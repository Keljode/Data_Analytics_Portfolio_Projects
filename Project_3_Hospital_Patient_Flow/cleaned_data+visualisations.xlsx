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c480f49c16cbc13e/Documents/Schools/Netcom/Projects/Project 4/"/>
    </mc:Choice>
  </mc:AlternateContent>
  <xr:revisionPtr revIDLastSave="0" documentId="8_{A02373C6-FB63-426F-A7A6-73C66A0B8CB3}" xr6:coauthVersionLast="47" xr6:coauthVersionMax="47" xr10:uidLastSave="{00000000-0000-0000-0000-000000000000}"/>
  <bookViews>
    <workbookView xWindow="32010" yWindow="0" windowWidth="24420" windowHeight="13695" firstSheet="1" activeTab="1" xr2:uid="{BDDF5601-BC65-4D87-BDAF-5E3BE23233E7}"/>
  </bookViews>
  <sheets>
    <sheet name="Patients " sheetId="4" r:id="rId1"/>
    <sheet name="Average_waitingTime_by_deprtmt" sheetId="9" r:id="rId2"/>
    <sheet name="Admission_type_by_Outcome" sheetId="10" r:id="rId3"/>
    <sheet name="AWT_by_staff_on_duty" sheetId="11" r:id="rId4"/>
    <sheet name="Bed_availability" sheetId="12" r:id="rId5"/>
    <sheet name="Admissions" sheetId="6" r:id="rId6"/>
    <sheet name="Depts" sheetId="1" r:id="rId7"/>
    <sheet name="StaffingLevels" sheetId="5" r:id="rId8"/>
    <sheet name="Sheet2" sheetId="8" r:id="rId9"/>
  </sheets>
  <definedNames>
    <definedName name="_xlnm._FilterDatabase" localSheetId="0" hidden="1">'Patients '!$A$1:$F$1</definedName>
    <definedName name="_xlnm._FilterDatabase" localSheetId="8" hidden="1">Sheet2!$A$1:$B$1</definedName>
    <definedName name="_xlnm._FilterDatabase" localSheetId="7" hidden="1">StaffingLevels!$A$1:$D$4186</definedName>
    <definedName name="_xlnm._FilterDatabase" localSheetId="5" hidden="1">Admissions!$A$1:$O$1</definedName>
  </definedNames>
  <calcPr calcId="191028"/>
  <pivotCaches>
    <pivotCache cacheId="124" r:id="rId10"/>
    <pivotCache cacheId="12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9" i="6" l="1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4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2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2" i="5"/>
  <c r="J815" i="6"/>
  <c r="J715" i="6"/>
  <c r="J615" i="6"/>
  <c r="J515" i="6"/>
  <c r="J415" i="6"/>
  <c r="J315" i="6"/>
  <c r="J215" i="6"/>
  <c r="J159" i="6"/>
  <c r="J158" i="6"/>
  <c r="J157" i="6"/>
  <c r="J156" i="6"/>
  <c r="J155" i="6"/>
  <c r="J154" i="6"/>
  <c r="J153" i="6"/>
  <c r="J152" i="6"/>
  <c r="J151" i="6"/>
  <c r="J150" i="6"/>
  <c r="J115" i="6"/>
  <c r="J15" i="6"/>
  <c r="J818" i="6"/>
  <c r="J817" i="6"/>
  <c r="J816" i="6"/>
  <c r="J814" i="6"/>
  <c r="J813" i="6"/>
  <c r="J812" i="6"/>
  <c r="J811" i="6"/>
  <c r="J810" i="6"/>
  <c r="J801" i="6"/>
  <c r="J791" i="6"/>
  <c r="J781" i="6"/>
  <c r="J771" i="6"/>
  <c r="J761" i="6"/>
  <c r="J751" i="6"/>
  <c r="J741" i="6"/>
  <c r="J731" i="6"/>
  <c r="J721" i="6"/>
  <c r="J719" i="6"/>
  <c r="J718" i="6"/>
  <c r="J717" i="6"/>
  <c r="J716" i="6"/>
  <c r="J714" i="6"/>
  <c r="J713" i="6"/>
  <c r="J712" i="6"/>
  <c r="J711" i="6"/>
  <c r="J710" i="6"/>
  <c r="J701" i="6"/>
  <c r="J691" i="6"/>
  <c r="J681" i="6"/>
  <c r="J671" i="6"/>
  <c r="J661" i="6"/>
  <c r="J651" i="6"/>
  <c r="J641" i="6"/>
  <c r="J631" i="6"/>
  <c r="J621" i="6"/>
  <c r="J619" i="6"/>
  <c r="J618" i="6"/>
  <c r="J617" i="6"/>
  <c r="J616" i="6"/>
  <c r="J614" i="6"/>
  <c r="J613" i="6"/>
  <c r="J612" i="6"/>
  <c r="J611" i="6"/>
  <c r="J610" i="6"/>
  <c r="J601" i="6"/>
  <c r="J591" i="6"/>
  <c r="J581" i="6"/>
  <c r="J571" i="6"/>
  <c r="J561" i="6"/>
  <c r="J551" i="6"/>
  <c r="J541" i="6"/>
  <c r="J531" i="6"/>
  <c r="J521" i="6"/>
  <c r="J519" i="6"/>
  <c r="J518" i="6"/>
  <c r="J517" i="6"/>
  <c r="J516" i="6"/>
  <c r="J514" i="6"/>
  <c r="J513" i="6"/>
  <c r="J512" i="6"/>
  <c r="J511" i="6"/>
  <c r="J510" i="6"/>
  <c r="J501" i="6"/>
  <c r="J491" i="6"/>
  <c r="J481" i="6"/>
  <c r="J471" i="6"/>
  <c r="J461" i="6"/>
  <c r="J451" i="6"/>
  <c r="J441" i="6"/>
  <c r="J431" i="6"/>
  <c r="J421" i="6"/>
  <c r="J419" i="6"/>
  <c r="J418" i="6"/>
  <c r="J417" i="6"/>
  <c r="J416" i="6"/>
  <c r="J414" i="6"/>
  <c r="J413" i="6"/>
  <c r="J412" i="6"/>
  <c r="J411" i="6"/>
  <c r="J410" i="6"/>
  <c r="J401" i="6"/>
  <c r="J391" i="6"/>
  <c r="J381" i="6"/>
  <c r="J371" i="6"/>
  <c r="J361" i="6"/>
  <c r="J351" i="6"/>
  <c r="J341" i="6"/>
  <c r="J331" i="6"/>
  <c r="J321" i="6"/>
  <c r="J319" i="6"/>
  <c r="J318" i="6"/>
  <c r="J317" i="6"/>
  <c r="J316" i="6"/>
  <c r="J314" i="6"/>
  <c r="J313" i="6"/>
  <c r="J312" i="6"/>
  <c r="J311" i="6"/>
  <c r="J310" i="6"/>
  <c r="J301" i="6"/>
  <c r="J291" i="6"/>
  <c r="J281" i="6"/>
  <c r="J271" i="6"/>
  <c r="J261" i="6"/>
  <c r="J251" i="6"/>
  <c r="J241" i="6"/>
  <c r="J231" i="6"/>
  <c r="J221" i="6"/>
  <c r="J219" i="6"/>
  <c r="J218" i="6"/>
  <c r="J217" i="6"/>
  <c r="J216" i="6"/>
  <c r="J214" i="6"/>
  <c r="J213" i="6"/>
  <c r="J212" i="6"/>
  <c r="J211" i="6"/>
  <c r="J210" i="6"/>
  <c r="J201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1" i="6"/>
  <c r="J81" i="6"/>
  <c r="J71" i="6"/>
  <c r="J61" i="6"/>
  <c r="J51" i="6"/>
  <c r="J41" i="6"/>
  <c r="J31" i="6"/>
  <c r="J21" i="6"/>
  <c r="J19" i="6"/>
  <c r="J18" i="6"/>
  <c r="J17" i="6"/>
  <c r="J16" i="6"/>
  <c r="J14" i="6"/>
  <c r="J13" i="6"/>
  <c r="J12" i="6"/>
  <c r="J11" i="6"/>
  <c r="J10" i="6"/>
  <c r="J3" i="6"/>
  <c r="J4" i="6"/>
  <c r="J5" i="6"/>
  <c r="J6" i="6"/>
  <c r="J7" i="6"/>
  <c r="J8" i="6"/>
  <c r="J9" i="6"/>
  <c r="J20" i="6"/>
  <c r="J22" i="6"/>
  <c r="J23" i="6"/>
  <c r="J24" i="6"/>
  <c r="J25" i="6"/>
  <c r="J26" i="6"/>
  <c r="J27" i="6"/>
  <c r="J28" i="6"/>
  <c r="J29" i="6"/>
  <c r="J30" i="6"/>
  <c r="J32" i="6"/>
  <c r="J33" i="6"/>
  <c r="J34" i="6"/>
  <c r="J35" i="6"/>
  <c r="J36" i="6"/>
  <c r="J37" i="6"/>
  <c r="J38" i="6"/>
  <c r="J39" i="6"/>
  <c r="J40" i="6"/>
  <c r="J42" i="6"/>
  <c r="J43" i="6"/>
  <c r="J44" i="6"/>
  <c r="J45" i="6"/>
  <c r="J46" i="6"/>
  <c r="J47" i="6"/>
  <c r="J48" i="6"/>
  <c r="J49" i="6"/>
  <c r="J50" i="6"/>
  <c r="J52" i="6"/>
  <c r="J53" i="6"/>
  <c r="J54" i="6"/>
  <c r="J55" i="6"/>
  <c r="J56" i="6"/>
  <c r="J57" i="6"/>
  <c r="J58" i="6"/>
  <c r="J59" i="6"/>
  <c r="J60" i="6"/>
  <c r="J62" i="6"/>
  <c r="J63" i="6"/>
  <c r="J64" i="6"/>
  <c r="J65" i="6"/>
  <c r="J66" i="6"/>
  <c r="J67" i="6"/>
  <c r="J68" i="6"/>
  <c r="J69" i="6"/>
  <c r="J70" i="6"/>
  <c r="J72" i="6"/>
  <c r="J73" i="6"/>
  <c r="J74" i="6"/>
  <c r="J75" i="6"/>
  <c r="J76" i="6"/>
  <c r="J77" i="6"/>
  <c r="J78" i="6"/>
  <c r="J79" i="6"/>
  <c r="J80" i="6"/>
  <c r="J82" i="6"/>
  <c r="J83" i="6"/>
  <c r="J84" i="6"/>
  <c r="J85" i="6"/>
  <c r="J86" i="6"/>
  <c r="J87" i="6"/>
  <c r="J88" i="6"/>
  <c r="J89" i="6"/>
  <c r="J90" i="6"/>
  <c r="J92" i="6"/>
  <c r="J93" i="6"/>
  <c r="J94" i="6"/>
  <c r="J95" i="6"/>
  <c r="J96" i="6"/>
  <c r="J97" i="6"/>
  <c r="J98" i="6"/>
  <c r="J99" i="6"/>
  <c r="J200" i="6"/>
  <c r="J202" i="6"/>
  <c r="J203" i="6"/>
  <c r="J204" i="6"/>
  <c r="J205" i="6"/>
  <c r="J206" i="6"/>
  <c r="J207" i="6"/>
  <c r="J208" i="6"/>
  <c r="J209" i="6"/>
  <c r="J220" i="6"/>
  <c r="J222" i="6"/>
  <c r="J223" i="6"/>
  <c r="J224" i="6"/>
  <c r="J225" i="6"/>
  <c r="J226" i="6"/>
  <c r="J227" i="6"/>
  <c r="J228" i="6"/>
  <c r="J229" i="6"/>
  <c r="J230" i="6"/>
  <c r="J232" i="6"/>
  <c r="J233" i="6"/>
  <c r="J234" i="6"/>
  <c r="J235" i="6"/>
  <c r="J236" i="6"/>
  <c r="J237" i="6"/>
  <c r="J238" i="6"/>
  <c r="J239" i="6"/>
  <c r="J240" i="6"/>
  <c r="J242" i="6"/>
  <c r="J243" i="6"/>
  <c r="J244" i="6"/>
  <c r="J245" i="6"/>
  <c r="J246" i="6"/>
  <c r="J247" i="6"/>
  <c r="J248" i="6"/>
  <c r="J249" i="6"/>
  <c r="J250" i="6"/>
  <c r="J252" i="6"/>
  <c r="J253" i="6"/>
  <c r="J254" i="6"/>
  <c r="J255" i="6"/>
  <c r="J256" i="6"/>
  <c r="J257" i="6"/>
  <c r="J258" i="6"/>
  <c r="J259" i="6"/>
  <c r="J260" i="6"/>
  <c r="J262" i="6"/>
  <c r="J263" i="6"/>
  <c r="J264" i="6"/>
  <c r="J265" i="6"/>
  <c r="J266" i="6"/>
  <c r="J267" i="6"/>
  <c r="J268" i="6"/>
  <c r="J269" i="6"/>
  <c r="J270" i="6"/>
  <c r="J272" i="6"/>
  <c r="J273" i="6"/>
  <c r="J274" i="6"/>
  <c r="J275" i="6"/>
  <c r="J276" i="6"/>
  <c r="J277" i="6"/>
  <c r="J278" i="6"/>
  <c r="J279" i="6"/>
  <c r="J280" i="6"/>
  <c r="J282" i="6"/>
  <c r="J283" i="6"/>
  <c r="J284" i="6"/>
  <c r="J285" i="6"/>
  <c r="J286" i="6"/>
  <c r="J287" i="6"/>
  <c r="J288" i="6"/>
  <c r="J289" i="6"/>
  <c r="J290" i="6"/>
  <c r="J292" i="6"/>
  <c r="J293" i="6"/>
  <c r="J294" i="6"/>
  <c r="J295" i="6"/>
  <c r="J296" i="6"/>
  <c r="J297" i="6"/>
  <c r="J298" i="6"/>
  <c r="J299" i="6"/>
  <c r="J300" i="6"/>
  <c r="J302" i="6"/>
  <c r="J303" i="6"/>
  <c r="J304" i="6"/>
  <c r="J305" i="6"/>
  <c r="J306" i="6"/>
  <c r="J307" i="6"/>
  <c r="J308" i="6"/>
  <c r="J309" i="6"/>
  <c r="J320" i="6"/>
  <c r="J322" i="6"/>
  <c r="J323" i="6"/>
  <c r="J324" i="6"/>
  <c r="J325" i="6"/>
  <c r="J326" i="6"/>
  <c r="J327" i="6"/>
  <c r="J328" i="6"/>
  <c r="J329" i="6"/>
  <c r="J330" i="6"/>
  <c r="J332" i="6"/>
  <c r="J333" i="6"/>
  <c r="J334" i="6"/>
  <c r="J335" i="6"/>
  <c r="J336" i="6"/>
  <c r="J337" i="6"/>
  <c r="J338" i="6"/>
  <c r="J339" i="6"/>
  <c r="J340" i="6"/>
  <c r="J342" i="6"/>
  <c r="J343" i="6"/>
  <c r="J344" i="6"/>
  <c r="J345" i="6"/>
  <c r="J346" i="6"/>
  <c r="J347" i="6"/>
  <c r="J348" i="6"/>
  <c r="J349" i="6"/>
  <c r="J350" i="6"/>
  <c r="J352" i="6"/>
  <c r="J353" i="6"/>
  <c r="J354" i="6"/>
  <c r="J355" i="6"/>
  <c r="J356" i="6"/>
  <c r="J357" i="6"/>
  <c r="J358" i="6"/>
  <c r="J359" i="6"/>
  <c r="J360" i="6"/>
  <c r="J362" i="6"/>
  <c r="J363" i="6"/>
  <c r="J364" i="6"/>
  <c r="J365" i="6"/>
  <c r="J366" i="6"/>
  <c r="J367" i="6"/>
  <c r="J368" i="6"/>
  <c r="J369" i="6"/>
  <c r="J370" i="6"/>
  <c r="J372" i="6"/>
  <c r="J373" i="6"/>
  <c r="J374" i="6"/>
  <c r="J375" i="6"/>
  <c r="J376" i="6"/>
  <c r="J377" i="6"/>
  <c r="J378" i="6"/>
  <c r="J379" i="6"/>
  <c r="J380" i="6"/>
  <c r="J382" i="6"/>
  <c r="J383" i="6"/>
  <c r="J384" i="6"/>
  <c r="J385" i="6"/>
  <c r="J386" i="6"/>
  <c r="J387" i="6"/>
  <c r="J388" i="6"/>
  <c r="J389" i="6"/>
  <c r="J390" i="6"/>
  <c r="J392" i="6"/>
  <c r="J393" i="6"/>
  <c r="J394" i="6"/>
  <c r="J395" i="6"/>
  <c r="J396" i="6"/>
  <c r="J397" i="6"/>
  <c r="J398" i="6"/>
  <c r="J399" i="6"/>
  <c r="J400" i="6"/>
  <c r="J402" i="6"/>
  <c r="J403" i="6"/>
  <c r="J404" i="6"/>
  <c r="J405" i="6"/>
  <c r="J406" i="6"/>
  <c r="J407" i="6"/>
  <c r="J408" i="6"/>
  <c r="J409" i="6"/>
  <c r="J420" i="6"/>
  <c r="J422" i="6"/>
  <c r="J423" i="6"/>
  <c r="J424" i="6"/>
  <c r="J425" i="6"/>
  <c r="J426" i="6"/>
  <c r="J427" i="6"/>
  <c r="J428" i="6"/>
  <c r="J429" i="6"/>
  <c r="J430" i="6"/>
  <c r="J432" i="6"/>
  <c r="J433" i="6"/>
  <c r="J434" i="6"/>
  <c r="J435" i="6"/>
  <c r="J436" i="6"/>
  <c r="J437" i="6"/>
  <c r="J438" i="6"/>
  <c r="J439" i="6"/>
  <c r="J440" i="6"/>
  <c r="J442" i="6"/>
  <c r="J443" i="6"/>
  <c r="J444" i="6"/>
  <c r="J445" i="6"/>
  <c r="J446" i="6"/>
  <c r="J447" i="6"/>
  <c r="J448" i="6"/>
  <c r="J449" i="6"/>
  <c r="J450" i="6"/>
  <c r="J452" i="6"/>
  <c r="J453" i="6"/>
  <c r="J454" i="6"/>
  <c r="J455" i="6"/>
  <c r="J456" i="6"/>
  <c r="J457" i="6"/>
  <c r="J458" i="6"/>
  <c r="J459" i="6"/>
  <c r="J460" i="6"/>
  <c r="J462" i="6"/>
  <c r="J463" i="6"/>
  <c r="J464" i="6"/>
  <c r="J465" i="6"/>
  <c r="J466" i="6"/>
  <c r="J467" i="6"/>
  <c r="J468" i="6"/>
  <c r="J469" i="6"/>
  <c r="J470" i="6"/>
  <c r="J472" i="6"/>
  <c r="J473" i="6"/>
  <c r="J474" i="6"/>
  <c r="J475" i="6"/>
  <c r="J476" i="6"/>
  <c r="J477" i="6"/>
  <c r="J478" i="6"/>
  <c r="J479" i="6"/>
  <c r="J480" i="6"/>
  <c r="J482" i="6"/>
  <c r="J483" i="6"/>
  <c r="J484" i="6"/>
  <c r="J485" i="6"/>
  <c r="J486" i="6"/>
  <c r="J487" i="6"/>
  <c r="J488" i="6"/>
  <c r="J489" i="6"/>
  <c r="J490" i="6"/>
  <c r="J492" i="6"/>
  <c r="J493" i="6"/>
  <c r="J494" i="6"/>
  <c r="J495" i="6"/>
  <c r="J496" i="6"/>
  <c r="J497" i="6"/>
  <c r="J498" i="6"/>
  <c r="J499" i="6"/>
  <c r="J500" i="6"/>
  <c r="J502" i="6"/>
  <c r="J503" i="6"/>
  <c r="J504" i="6"/>
  <c r="J505" i="6"/>
  <c r="J506" i="6"/>
  <c r="J507" i="6"/>
  <c r="J508" i="6"/>
  <c r="J509" i="6"/>
  <c r="J520" i="6"/>
  <c r="J522" i="6"/>
  <c r="J523" i="6"/>
  <c r="J524" i="6"/>
  <c r="J525" i="6"/>
  <c r="J526" i="6"/>
  <c r="J527" i="6"/>
  <c r="J528" i="6"/>
  <c r="J529" i="6"/>
  <c r="J530" i="6"/>
  <c r="J532" i="6"/>
  <c r="J533" i="6"/>
  <c r="J534" i="6"/>
  <c r="J535" i="6"/>
  <c r="J536" i="6"/>
  <c r="J537" i="6"/>
  <c r="J538" i="6"/>
  <c r="J539" i="6"/>
  <c r="J540" i="6"/>
  <c r="J542" i="6"/>
  <c r="J543" i="6"/>
  <c r="J544" i="6"/>
  <c r="J545" i="6"/>
  <c r="J546" i="6"/>
  <c r="J547" i="6"/>
  <c r="J548" i="6"/>
  <c r="J549" i="6"/>
  <c r="J550" i="6"/>
  <c r="J552" i="6"/>
  <c r="J553" i="6"/>
  <c r="J554" i="6"/>
  <c r="J555" i="6"/>
  <c r="J556" i="6"/>
  <c r="J557" i="6"/>
  <c r="J558" i="6"/>
  <c r="J559" i="6"/>
  <c r="J560" i="6"/>
  <c r="J562" i="6"/>
  <c r="J563" i="6"/>
  <c r="J564" i="6"/>
  <c r="J565" i="6"/>
  <c r="J566" i="6"/>
  <c r="J567" i="6"/>
  <c r="J568" i="6"/>
  <c r="J569" i="6"/>
  <c r="J570" i="6"/>
  <c r="J572" i="6"/>
  <c r="J573" i="6"/>
  <c r="J574" i="6"/>
  <c r="J575" i="6"/>
  <c r="J576" i="6"/>
  <c r="J577" i="6"/>
  <c r="J578" i="6"/>
  <c r="J579" i="6"/>
  <c r="J580" i="6"/>
  <c r="J582" i="6"/>
  <c r="J583" i="6"/>
  <c r="J584" i="6"/>
  <c r="J585" i="6"/>
  <c r="J586" i="6"/>
  <c r="J587" i="6"/>
  <c r="J588" i="6"/>
  <c r="J589" i="6"/>
  <c r="J590" i="6"/>
  <c r="J592" i="6"/>
  <c r="J593" i="6"/>
  <c r="J594" i="6"/>
  <c r="J595" i="6"/>
  <c r="J596" i="6"/>
  <c r="J597" i="6"/>
  <c r="J598" i="6"/>
  <c r="J599" i="6"/>
  <c r="J600" i="6"/>
  <c r="J602" i="6"/>
  <c r="J603" i="6"/>
  <c r="J604" i="6"/>
  <c r="J605" i="6"/>
  <c r="J606" i="6"/>
  <c r="J607" i="6"/>
  <c r="J608" i="6"/>
  <c r="J609" i="6"/>
  <c r="J620" i="6"/>
  <c r="J622" i="6"/>
  <c r="J623" i="6"/>
  <c r="J624" i="6"/>
  <c r="J625" i="6"/>
  <c r="J626" i="6"/>
  <c r="J627" i="6"/>
  <c r="J628" i="6"/>
  <c r="J629" i="6"/>
  <c r="J630" i="6"/>
  <c r="J632" i="6"/>
  <c r="J633" i="6"/>
  <c r="J634" i="6"/>
  <c r="J635" i="6"/>
  <c r="J636" i="6"/>
  <c r="J637" i="6"/>
  <c r="J638" i="6"/>
  <c r="J639" i="6"/>
  <c r="J640" i="6"/>
  <c r="J642" i="6"/>
  <c r="J643" i="6"/>
  <c r="J644" i="6"/>
  <c r="J645" i="6"/>
  <c r="J646" i="6"/>
  <c r="J647" i="6"/>
  <c r="J648" i="6"/>
  <c r="J649" i="6"/>
  <c r="J650" i="6"/>
  <c r="J652" i="6"/>
  <c r="J653" i="6"/>
  <c r="J654" i="6"/>
  <c r="J655" i="6"/>
  <c r="J656" i="6"/>
  <c r="J657" i="6"/>
  <c r="J658" i="6"/>
  <c r="J659" i="6"/>
  <c r="J660" i="6"/>
  <c r="J662" i="6"/>
  <c r="J663" i="6"/>
  <c r="J664" i="6"/>
  <c r="J665" i="6"/>
  <c r="J666" i="6"/>
  <c r="J667" i="6"/>
  <c r="J668" i="6"/>
  <c r="J669" i="6"/>
  <c r="J670" i="6"/>
  <c r="J672" i="6"/>
  <c r="J673" i="6"/>
  <c r="J674" i="6"/>
  <c r="J675" i="6"/>
  <c r="J676" i="6"/>
  <c r="J677" i="6"/>
  <c r="J678" i="6"/>
  <c r="J679" i="6"/>
  <c r="J680" i="6"/>
  <c r="J682" i="6"/>
  <c r="J683" i="6"/>
  <c r="J684" i="6"/>
  <c r="J685" i="6"/>
  <c r="J686" i="6"/>
  <c r="J687" i="6"/>
  <c r="J688" i="6"/>
  <c r="J689" i="6"/>
  <c r="J690" i="6"/>
  <c r="J692" i="6"/>
  <c r="J693" i="6"/>
  <c r="J694" i="6"/>
  <c r="J695" i="6"/>
  <c r="J696" i="6"/>
  <c r="J697" i="6"/>
  <c r="J698" i="6"/>
  <c r="J699" i="6"/>
  <c r="J700" i="6"/>
  <c r="J702" i="6"/>
  <c r="J703" i="6"/>
  <c r="J704" i="6"/>
  <c r="J705" i="6"/>
  <c r="J706" i="6"/>
  <c r="J707" i="6"/>
  <c r="J708" i="6"/>
  <c r="J709" i="6"/>
  <c r="J720" i="6"/>
  <c r="J722" i="6"/>
  <c r="J723" i="6"/>
  <c r="J724" i="6"/>
  <c r="J725" i="6"/>
  <c r="J726" i="6"/>
  <c r="J727" i="6"/>
  <c r="J728" i="6"/>
  <c r="J729" i="6"/>
  <c r="J730" i="6"/>
  <c r="J732" i="6"/>
  <c r="J733" i="6"/>
  <c r="J734" i="6"/>
  <c r="J735" i="6"/>
  <c r="J736" i="6"/>
  <c r="J737" i="6"/>
  <c r="J738" i="6"/>
  <c r="J739" i="6"/>
  <c r="J740" i="6"/>
  <c r="J742" i="6"/>
  <c r="J743" i="6"/>
  <c r="J744" i="6"/>
  <c r="J745" i="6"/>
  <c r="J746" i="6"/>
  <c r="J747" i="6"/>
  <c r="J748" i="6"/>
  <c r="J749" i="6"/>
  <c r="J750" i="6"/>
  <c r="J752" i="6"/>
  <c r="J753" i="6"/>
  <c r="J754" i="6"/>
  <c r="J755" i="6"/>
  <c r="J756" i="6"/>
  <c r="J757" i="6"/>
  <c r="J758" i="6"/>
  <c r="J759" i="6"/>
  <c r="J760" i="6"/>
  <c r="J762" i="6"/>
  <c r="J763" i="6"/>
  <c r="J764" i="6"/>
  <c r="J765" i="6"/>
  <c r="J766" i="6"/>
  <c r="J767" i="6"/>
  <c r="J768" i="6"/>
  <c r="J769" i="6"/>
  <c r="J770" i="6"/>
  <c r="J772" i="6"/>
  <c r="J773" i="6"/>
  <c r="J774" i="6"/>
  <c r="J775" i="6"/>
  <c r="J776" i="6"/>
  <c r="J777" i="6"/>
  <c r="J778" i="6"/>
  <c r="J779" i="6"/>
  <c r="J780" i="6"/>
  <c r="J782" i="6"/>
  <c r="J783" i="6"/>
  <c r="J784" i="6"/>
  <c r="J785" i="6"/>
  <c r="J786" i="6"/>
  <c r="J787" i="6"/>
  <c r="J788" i="6"/>
  <c r="J789" i="6"/>
  <c r="J790" i="6"/>
  <c r="J792" i="6"/>
  <c r="J793" i="6"/>
  <c r="J794" i="6"/>
  <c r="J795" i="6"/>
  <c r="J796" i="6"/>
  <c r="J797" i="6"/>
  <c r="J798" i="6"/>
  <c r="J799" i="6"/>
  <c r="J800" i="6"/>
  <c r="J802" i="6"/>
  <c r="J803" i="6"/>
  <c r="J804" i="6"/>
  <c r="J805" i="6"/>
  <c r="J806" i="6"/>
  <c r="J807" i="6"/>
  <c r="J808" i="6"/>
  <c r="J809" i="6"/>
  <c r="J2" i="6"/>
</calcChain>
</file>

<file path=xl/sharedStrings.xml><?xml version="1.0" encoding="utf-8"?>
<sst xmlns="http://schemas.openxmlformats.org/spreadsheetml/2006/main" count="14971" uniqueCount="4080">
  <si>
    <t>PatientID</t>
  </si>
  <si>
    <t>Age</t>
  </si>
  <si>
    <t>Gender</t>
  </si>
  <si>
    <t>Ethnicity</t>
  </si>
  <si>
    <t>Postcode</t>
  </si>
  <si>
    <t>LongTermCondition</t>
  </si>
  <si>
    <t>Male</t>
  </si>
  <si>
    <t>White British</t>
  </si>
  <si>
    <t>SL1</t>
  </si>
  <si>
    <t>Yes</t>
  </si>
  <si>
    <t>Female</t>
  </si>
  <si>
    <t>Black African</t>
  </si>
  <si>
    <t>EN3</t>
  </si>
  <si>
    <t>No</t>
  </si>
  <si>
    <t>UB2</t>
  </si>
  <si>
    <t>Indian</t>
  </si>
  <si>
    <t>SL3</t>
  </si>
  <si>
    <t>Pakistani</t>
  </si>
  <si>
    <t>RG1</t>
  </si>
  <si>
    <t>White Other</t>
  </si>
  <si>
    <t>HP1</t>
  </si>
  <si>
    <t>Black Caribbean</t>
  </si>
  <si>
    <t>SL2</t>
  </si>
  <si>
    <t>Bangladeshi</t>
  </si>
  <si>
    <t>UB3</t>
  </si>
  <si>
    <t>Chinese</t>
  </si>
  <si>
    <t>RG2</t>
  </si>
  <si>
    <t>HP2</t>
  </si>
  <si>
    <t>SL4</t>
  </si>
  <si>
    <t>White Irish</t>
  </si>
  <si>
    <t>UB1</t>
  </si>
  <si>
    <t>RG12</t>
  </si>
  <si>
    <t>UB5</t>
  </si>
  <si>
    <t>HP3</t>
  </si>
  <si>
    <t>UB4</t>
  </si>
  <si>
    <t>RG4</t>
  </si>
  <si>
    <t>UB6</t>
  </si>
  <si>
    <t>DepartmentID</t>
  </si>
  <si>
    <t>Average of WaitingTimeMinutes</t>
  </si>
  <si>
    <t>A&amp;E (Emergency)</t>
  </si>
  <si>
    <t>Cardiology</t>
  </si>
  <si>
    <t>ENT</t>
  </si>
  <si>
    <t>Gastroenterology</t>
  </si>
  <si>
    <t>General Surgery</t>
  </si>
  <si>
    <t>Geriatrics</t>
  </si>
  <si>
    <t>Maternity</t>
  </si>
  <si>
    <t>Neurology</t>
  </si>
  <si>
    <t>Oncology</t>
  </si>
  <si>
    <t>Orthopaedics</t>
  </si>
  <si>
    <t>Paediatrics</t>
  </si>
  <si>
    <t>Renal Medicine</t>
  </si>
  <si>
    <t>Respiratory</t>
  </si>
  <si>
    <t>Grand Total</t>
  </si>
  <si>
    <t>Count of AdmissionID</t>
  </si>
  <si>
    <t>AdmissionType</t>
  </si>
  <si>
    <t>Outcome</t>
  </si>
  <si>
    <t>Elective</t>
  </si>
  <si>
    <t>Emergency</t>
  </si>
  <si>
    <t>Transfer</t>
  </si>
  <si>
    <t>Deceased</t>
  </si>
  <si>
    <t>Discharged</t>
  </si>
  <si>
    <t>Transferred</t>
  </si>
  <si>
    <t>StaffOnDuty</t>
  </si>
  <si>
    <t>(blank)</t>
  </si>
  <si>
    <t>Average of BedAvailable</t>
  </si>
  <si>
    <t>AdmissionID</t>
  </si>
  <si>
    <t>AdmissionDate</t>
  </si>
  <si>
    <t>DischargeDate</t>
  </si>
  <si>
    <t>LengthOfStay</t>
  </si>
  <si>
    <t>WaitingTimeMinutes</t>
  </si>
  <si>
    <t>BedPressureScore</t>
  </si>
  <si>
    <t>Lookupkey</t>
  </si>
  <si>
    <t>BedAvailable</t>
  </si>
  <si>
    <t>31/11/2025</t>
  </si>
  <si>
    <t>29/02/2026</t>
  </si>
  <si>
    <t>31/04/2026</t>
  </si>
  <si>
    <t>DepartmentName</t>
  </si>
  <si>
    <t>Ward</t>
  </si>
  <si>
    <t>BedsAvailable</t>
  </si>
  <si>
    <t>Region</t>
  </si>
  <si>
    <t>Emergency Ward</t>
  </si>
  <si>
    <t>London</t>
  </si>
  <si>
    <t>Heart Ward</t>
  </si>
  <si>
    <t>South East</t>
  </si>
  <si>
    <t>Respiratory Ward</t>
  </si>
  <si>
    <t>Midlands</t>
  </si>
  <si>
    <t>Surgery Ward 1</t>
  </si>
  <si>
    <t>North West</t>
  </si>
  <si>
    <t>Ortho Ward</t>
  </si>
  <si>
    <t>East of England</t>
  </si>
  <si>
    <t>Neuro Ward</t>
  </si>
  <si>
    <t>Cancer Care Ward</t>
  </si>
  <si>
    <t>South West</t>
  </si>
  <si>
    <t>Children's Ward</t>
  </si>
  <si>
    <t>North East &amp; Yorkshire</t>
  </si>
  <si>
    <t>Maternity Ward</t>
  </si>
  <si>
    <t>Renal Ward</t>
  </si>
  <si>
    <t>GI Ward</t>
  </si>
  <si>
    <t>Endocrinology</t>
  </si>
  <si>
    <t>Endocrine Ward</t>
  </si>
  <si>
    <t>Urology</t>
  </si>
  <si>
    <t>Urology Ward</t>
  </si>
  <si>
    <t>ENT Ward</t>
  </si>
  <si>
    <t>Elderly Care Ward</t>
  </si>
  <si>
    <t>Date</t>
  </si>
  <si>
    <t>01/01/2025A&amp;E (Emergency)</t>
  </si>
  <si>
    <t>01/01/2025Cardiology</t>
  </si>
  <si>
    <t>01/01/2025Respiratory</t>
  </si>
  <si>
    <t>01/01/2025General Surgery</t>
  </si>
  <si>
    <t>01/01/2025Orthopaedics</t>
  </si>
  <si>
    <t>01/01/2025Neurology</t>
  </si>
  <si>
    <t>01/01/2025Oncology</t>
  </si>
  <si>
    <t>01/01/2025Paediatrics</t>
  </si>
  <si>
    <t>01/01/2025Maternity</t>
  </si>
  <si>
    <t>01/01/2025Renal Medicine</t>
  </si>
  <si>
    <t>01/01/2025Gastroenterology</t>
  </si>
  <si>
    <t>01/01/2025Endocrinology</t>
  </si>
  <si>
    <t>01/01/2025Urology</t>
  </si>
  <si>
    <t>01/01/2025ENT</t>
  </si>
  <si>
    <t>01/01/2025Geriatrics</t>
  </si>
  <si>
    <t>02/01/2025A&amp;E (Emergency)</t>
  </si>
  <si>
    <t>02/01/2025Cardiology</t>
  </si>
  <si>
    <t>02/01/2025Respiratory</t>
  </si>
  <si>
    <t>02/01/2025General Surgery</t>
  </si>
  <si>
    <t>02/01/2025Orthopaedics</t>
  </si>
  <si>
    <t>02/01/2025Neurology</t>
  </si>
  <si>
    <t>02/01/2025Oncology</t>
  </si>
  <si>
    <t>02/01/2025Paediatrics</t>
  </si>
  <si>
    <t>02/01/2025Maternity</t>
  </si>
  <si>
    <t>02/01/2025Renal Medicine</t>
  </si>
  <si>
    <t>02/01/2025Gastroenterology</t>
  </si>
  <si>
    <t>02/01/2025Endocrinology</t>
  </si>
  <si>
    <t>02/01/2025Urology</t>
  </si>
  <si>
    <t>02/01/2025ENT</t>
  </si>
  <si>
    <t>02/01/2025Geriatrics</t>
  </si>
  <si>
    <t>03/01/2025A&amp;E (Emergency)</t>
  </si>
  <si>
    <t>03/01/2025Cardiology</t>
  </si>
  <si>
    <t>03/01/2025Respiratory</t>
  </si>
  <si>
    <t>03/01/2025General Surgery</t>
  </si>
  <si>
    <t>03/01/2025Orthopaedics</t>
  </si>
  <si>
    <t>03/01/2025Neurology</t>
  </si>
  <si>
    <t>03/01/2025Oncology</t>
  </si>
  <si>
    <t>03/01/2025Paediatrics</t>
  </si>
  <si>
    <t>03/01/2025Maternity</t>
  </si>
  <si>
    <t>03/01/2025Renal Medicine</t>
  </si>
  <si>
    <t>03/01/2025Gastroenterology</t>
  </si>
  <si>
    <t>03/01/2025Endocrinology</t>
  </si>
  <si>
    <t>03/01/2025Urology</t>
  </si>
  <si>
    <t>03/01/2025ENT</t>
  </si>
  <si>
    <t>03/01/2025Geriatrics</t>
  </si>
  <si>
    <t>04/01/2025A&amp;E (Emergency)</t>
  </si>
  <si>
    <t>04/01/2025Cardiology</t>
  </si>
  <si>
    <t>04/01/2025Respiratory</t>
  </si>
  <si>
    <t>04/01/2025General Surgery</t>
  </si>
  <si>
    <t>04/01/2025Orthopaedics</t>
  </si>
  <si>
    <t>04/01/2025Neurology</t>
  </si>
  <si>
    <t>04/01/2025Oncology</t>
  </si>
  <si>
    <t>04/01/2025Paediatrics</t>
  </si>
  <si>
    <t>04/01/2025Maternity</t>
  </si>
  <si>
    <t>04/01/2025Renal Medicine</t>
  </si>
  <si>
    <t>04/01/2025Gastroenterology</t>
  </si>
  <si>
    <t>04/01/2025Endocrinology</t>
  </si>
  <si>
    <t>04/01/2025Urology</t>
  </si>
  <si>
    <t>04/01/2025ENT</t>
  </si>
  <si>
    <t>04/01/2025Geriatrics</t>
  </si>
  <si>
    <t>05/01/2025A&amp;E (Emergency)</t>
  </si>
  <si>
    <t>05/01/2025Cardiology</t>
  </si>
  <si>
    <t>05/01/2025Respiratory</t>
  </si>
  <si>
    <t>05/01/2025General Surgery</t>
  </si>
  <si>
    <t>05/01/2025Orthopaedics</t>
  </si>
  <si>
    <t>05/01/2025Neurology</t>
  </si>
  <si>
    <t>05/01/2025Oncology</t>
  </si>
  <si>
    <t>05/01/2025Paediatrics</t>
  </si>
  <si>
    <t>05/01/2025Maternity</t>
  </si>
  <si>
    <t>05/01/2025Renal Medicine</t>
  </si>
  <si>
    <t>05/01/2025Gastroenterology</t>
  </si>
  <si>
    <t>05/01/2025Endocrinology</t>
  </si>
  <si>
    <t>05/01/2025Urology</t>
  </si>
  <si>
    <t>05/01/2025ENT</t>
  </si>
  <si>
    <t>05/01/2025Geriatrics</t>
  </si>
  <si>
    <t>06/01/2025A&amp;E (Emergency)</t>
  </si>
  <si>
    <t>06/01/2025Cardiology</t>
  </si>
  <si>
    <t>06/01/2025Respiratory</t>
  </si>
  <si>
    <t>06/01/2025General Surgery</t>
  </si>
  <si>
    <t>06/01/2025Orthopaedics</t>
  </si>
  <si>
    <t>06/01/2025Neurology</t>
  </si>
  <si>
    <t>06/01/2025Oncology</t>
  </si>
  <si>
    <t>06/01/2025Paediatrics</t>
  </si>
  <si>
    <t>06/01/2025Maternity</t>
  </si>
  <si>
    <t>06/01/2025Renal Medicine</t>
  </si>
  <si>
    <t>06/01/2025Gastroenterology</t>
  </si>
  <si>
    <t>06/01/2025Endocrinology</t>
  </si>
  <si>
    <t>06/01/2025Urology</t>
  </si>
  <si>
    <t>06/01/2025ENT</t>
  </si>
  <si>
    <t>06/01/2025Geriatrics</t>
  </si>
  <si>
    <t>07/01/2025A&amp;E (Emergency)</t>
  </si>
  <si>
    <t>07/01/2025Cardiology</t>
  </si>
  <si>
    <t>07/01/2025Respiratory</t>
  </si>
  <si>
    <t>07/01/2025General Surgery</t>
  </si>
  <si>
    <t>07/01/2025Orthopaedics</t>
  </si>
  <si>
    <t>07/01/2025Neurology</t>
  </si>
  <si>
    <t>07/01/2025Oncology</t>
  </si>
  <si>
    <t>07/01/2025Paediatrics</t>
  </si>
  <si>
    <t>07/01/2025Maternity</t>
  </si>
  <si>
    <t>07/01/2025Renal Medicine</t>
  </si>
  <si>
    <t>07/01/2025Gastroenterology</t>
  </si>
  <si>
    <t>07/01/2025Endocrinology</t>
  </si>
  <si>
    <t>07/01/2025Urology</t>
  </si>
  <si>
    <t>07/01/2025ENT</t>
  </si>
  <si>
    <t>07/01/2025Geriatrics</t>
  </si>
  <si>
    <t>08/01/2025A&amp;E (Emergency)</t>
  </si>
  <si>
    <t>08/01/2025Cardiology</t>
  </si>
  <si>
    <t>08/01/2025Respiratory</t>
  </si>
  <si>
    <t>08/01/2025General Surgery</t>
  </si>
  <si>
    <t>08/01/2025Orthopaedics</t>
  </si>
  <si>
    <t>08/01/2025Neurology</t>
  </si>
  <si>
    <t>08/01/2025Oncology</t>
  </si>
  <si>
    <t>08/01/2025Paediatrics</t>
  </si>
  <si>
    <t>08/01/2025Maternity</t>
  </si>
  <si>
    <t>08/01/2025Renal Medicine</t>
  </si>
  <si>
    <t>08/01/2025Gastroenterology</t>
  </si>
  <si>
    <t>08/01/2025Endocrinology</t>
  </si>
  <si>
    <t>08/01/2025Urology</t>
  </si>
  <si>
    <t>08/01/2025ENT</t>
  </si>
  <si>
    <t>08/01/2025Geriatrics</t>
  </si>
  <si>
    <t>09/01/2025A&amp;E (Emergency)</t>
  </si>
  <si>
    <t>09/01/2025Cardiology</t>
  </si>
  <si>
    <t>09/01/2025Respiratory</t>
  </si>
  <si>
    <t>09/01/2025General Surgery</t>
  </si>
  <si>
    <t>09/01/2025Orthopaedics</t>
  </si>
  <si>
    <t>09/01/2025Neurology</t>
  </si>
  <si>
    <t>09/01/2025Oncology</t>
  </si>
  <si>
    <t>09/01/2025Paediatrics</t>
  </si>
  <si>
    <t>09/01/2025Maternity</t>
  </si>
  <si>
    <t>09/01/2025Renal Medicine</t>
  </si>
  <si>
    <t>09/01/2025Gastroenterology</t>
  </si>
  <si>
    <t>09/01/2025Endocrinology</t>
  </si>
  <si>
    <t>09/01/2025Urology</t>
  </si>
  <si>
    <t>09/01/2025ENT</t>
  </si>
  <si>
    <t>09/01/2025Geriatrics</t>
  </si>
  <si>
    <t>10/01/2025A&amp;E (Emergency)</t>
  </si>
  <si>
    <t>10/01/2025Cardiology</t>
  </si>
  <si>
    <t>10/01/2025Respiratory</t>
  </si>
  <si>
    <t>10/01/2025General Surgery</t>
  </si>
  <si>
    <t>10/01/2025Orthopaedics</t>
  </si>
  <si>
    <t>10/01/2025Neurology</t>
  </si>
  <si>
    <t>10/01/2025Oncology</t>
  </si>
  <si>
    <t>10/01/2025Paediatrics</t>
  </si>
  <si>
    <t>10/01/2025Maternity</t>
  </si>
  <si>
    <t>10/01/2025Renal Medicine</t>
  </si>
  <si>
    <t>10/01/2025Gastroenterology</t>
  </si>
  <si>
    <t>10/01/2025Endocrinology</t>
  </si>
  <si>
    <t>10/01/2025Urology</t>
  </si>
  <si>
    <t>10/01/2025ENT</t>
  </si>
  <si>
    <t>10/01/2025Geriatrics</t>
  </si>
  <si>
    <t>11/01/2025A&amp;E (Emergency)</t>
  </si>
  <si>
    <t>11/01/2025Cardiology</t>
  </si>
  <si>
    <t>11/01/2025Respiratory</t>
  </si>
  <si>
    <t>11/01/2025General Surgery</t>
  </si>
  <si>
    <t>11/01/2025Orthopaedics</t>
  </si>
  <si>
    <t>11/01/2025Neurology</t>
  </si>
  <si>
    <t>11/01/2025Oncology</t>
  </si>
  <si>
    <t>11/01/2025Paediatrics</t>
  </si>
  <si>
    <t>11/01/2025Maternity</t>
  </si>
  <si>
    <t>11/01/2025Renal Medicine</t>
  </si>
  <si>
    <t>11/01/2025Gastroenterology</t>
  </si>
  <si>
    <t>11/01/2025Endocrinology</t>
  </si>
  <si>
    <t>11/01/2025Urology</t>
  </si>
  <si>
    <t>11/01/2025ENT</t>
  </si>
  <si>
    <t>11/01/2025Geriatrics</t>
  </si>
  <si>
    <t>12/01/2025A&amp;E (Emergency)</t>
  </si>
  <si>
    <t>12/01/2025Cardiology</t>
  </si>
  <si>
    <t>12/01/2025Respiratory</t>
  </si>
  <si>
    <t>12/01/2025General Surgery</t>
  </si>
  <si>
    <t>12/01/2025Orthopaedics</t>
  </si>
  <si>
    <t>12/01/2025Neurology</t>
  </si>
  <si>
    <t>12/01/2025Oncology</t>
  </si>
  <si>
    <t>12/01/2025Paediatrics</t>
  </si>
  <si>
    <t>12/01/2025Maternity</t>
  </si>
  <si>
    <t>12/01/2025Renal Medicine</t>
  </si>
  <si>
    <t>12/01/2025Gastroenterology</t>
  </si>
  <si>
    <t>12/01/2025Endocrinology</t>
  </si>
  <si>
    <t>12/01/2025Urology</t>
  </si>
  <si>
    <t>12/01/2025ENT</t>
  </si>
  <si>
    <t>12/01/2025Geriatrics</t>
  </si>
  <si>
    <t>13/01/2025A&amp;E (Emergency)</t>
  </si>
  <si>
    <t>13/01/2025Cardiology</t>
  </si>
  <si>
    <t>13/01/2025Respiratory</t>
  </si>
  <si>
    <t>13/01/2025General Surgery</t>
  </si>
  <si>
    <t>13/01/2025Orthopaedics</t>
  </si>
  <si>
    <t>13/01/2025Neurology</t>
  </si>
  <si>
    <t>13/01/2025Oncology</t>
  </si>
  <si>
    <t>13/01/2025Paediatrics</t>
  </si>
  <si>
    <t>13/01/2025Maternity</t>
  </si>
  <si>
    <t>13/01/2025Renal Medicine</t>
  </si>
  <si>
    <t>13/01/2025Gastroenterology</t>
  </si>
  <si>
    <t>13/01/2025Endocrinology</t>
  </si>
  <si>
    <t>13/01/2025Urology</t>
  </si>
  <si>
    <t>13/01/2025ENT</t>
  </si>
  <si>
    <t>13/01/2025Geriatrics</t>
  </si>
  <si>
    <t>14/01/2025A&amp;E (Emergency)</t>
  </si>
  <si>
    <t>14/01/2025Cardiology</t>
  </si>
  <si>
    <t>14/01/2025Respiratory</t>
  </si>
  <si>
    <t>14/01/2025General Surgery</t>
  </si>
  <si>
    <t>14/01/2025Orthopaedics</t>
  </si>
  <si>
    <t>14/01/2025Neurology</t>
  </si>
  <si>
    <t>14/01/2025Oncology</t>
  </si>
  <si>
    <t>14/01/2025Paediatrics</t>
  </si>
  <si>
    <t>14/01/2025Maternity</t>
  </si>
  <si>
    <t>14/01/2025Renal Medicine</t>
  </si>
  <si>
    <t>14/01/2025Gastroenterology</t>
  </si>
  <si>
    <t>14/01/2025Endocrinology</t>
  </si>
  <si>
    <t>14/01/2025Urology</t>
  </si>
  <si>
    <t>14/01/2025ENT</t>
  </si>
  <si>
    <t>14/01/2025Geriatrics</t>
  </si>
  <si>
    <t>15/01/2025A&amp;E (Emergency)</t>
  </si>
  <si>
    <t>15/01/2025Cardiology</t>
  </si>
  <si>
    <t>15/01/2025Respiratory</t>
  </si>
  <si>
    <t>15/01/2025General Surgery</t>
  </si>
  <si>
    <t>15/01/2025Orthopaedics</t>
  </si>
  <si>
    <t>15/01/2025Neurology</t>
  </si>
  <si>
    <t>15/01/2025Oncology</t>
  </si>
  <si>
    <t>15/01/2025Paediatrics</t>
  </si>
  <si>
    <t>15/01/2025Maternity</t>
  </si>
  <si>
    <t>15/01/2025Renal Medicine</t>
  </si>
  <si>
    <t>15/01/2025Gastroenterology</t>
  </si>
  <si>
    <t>15/01/2025Endocrinology</t>
  </si>
  <si>
    <t>15/01/2025Urology</t>
  </si>
  <si>
    <t>15/01/2025ENT</t>
  </si>
  <si>
    <t>15/01/2025Geriatrics</t>
  </si>
  <si>
    <t>16/01/2025A&amp;E (Emergency)</t>
  </si>
  <si>
    <t>16/01/2025Cardiology</t>
  </si>
  <si>
    <t>16/01/2025Respiratory</t>
  </si>
  <si>
    <t>16/01/2025General Surgery</t>
  </si>
  <si>
    <t>16/01/2025Orthopaedics</t>
  </si>
  <si>
    <t>16/01/2025Neurology</t>
  </si>
  <si>
    <t>16/01/2025Oncology</t>
  </si>
  <si>
    <t>16/01/2025Paediatrics</t>
  </si>
  <si>
    <t>16/01/2025Maternity</t>
  </si>
  <si>
    <t>16/01/2025Renal Medicine</t>
  </si>
  <si>
    <t>16/01/2025Gastroenterology</t>
  </si>
  <si>
    <t>16/01/2025Endocrinology</t>
  </si>
  <si>
    <t>16/01/2025Urology</t>
  </si>
  <si>
    <t>16/01/2025ENT</t>
  </si>
  <si>
    <t>16/01/2025Geriatrics</t>
  </si>
  <si>
    <t>17/01/2025A&amp;E (Emergency)</t>
  </si>
  <si>
    <t>17/01/2025Cardiology</t>
  </si>
  <si>
    <t>17/01/2025Respiratory</t>
  </si>
  <si>
    <t>17/01/2025General Surgery</t>
  </si>
  <si>
    <t>17/01/2025Orthopaedics</t>
  </si>
  <si>
    <t>17/01/2025Neurology</t>
  </si>
  <si>
    <t>17/01/2025Oncology</t>
  </si>
  <si>
    <t>17/01/2025Paediatrics</t>
  </si>
  <si>
    <t>17/01/2025Maternity</t>
  </si>
  <si>
    <t>17/01/2025Renal Medicine</t>
  </si>
  <si>
    <t>17/01/2025Gastroenterology</t>
  </si>
  <si>
    <t>17/01/2025Endocrinology</t>
  </si>
  <si>
    <t>17/01/2025Urology</t>
  </si>
  <si>
    <t>17/01/2025ENT</t>
  </si>
  <si>
    <t>17/01/2025Geriatrics</t>
  </si>
  <si>
    <t>18/01/2025A&amp;E (Emergency)</t>
  </si>
  <si>
    <t>18/01/2025Cardiology</t>
  </si>
  <si>
    <t>18/01/2025Respiratory</t>
  </si>
  <si>
    <t>18/01/2025General Surgery</t>
  </si>
  <si>
    <t>18/01/2025Orthopaedics</t>
  </si>
  <si>
    <t>18/01/2025Neurology</t>
  </si>
  <si>
    <t>18/01/2025Oncology</t>
  </si>
  <si>
    <t>18/01/2025Paediatrics</t>
  </si>
  <si>
    <t>18/01/2025Maternity</t>
  </si>
  <si>
    <t>18/01/2025Renal Medicine</t>
  </si>
  <si>
    <t>18/01/2025Gastroenterology</t>
  </si>
  <si>
    <t>18/01/2025Endocrinology</t>
  </si>
  <si>
    <t>18/01/2025Urology</t>
  </si>
  <si>
    <t>18/01/2025ENT</t>
  </si>
  <si>
    <t>18/01/2025Geriatrics</t>
  </si>
  <si>
    <t>19/01/2025A&amp;E (Emergency)</t>
  </si>
  <si>
    <t>19/01/2025Cardiology</t>
  </si>
  <si>
    <t>19/01/2025Respiratory</t>
  </si>
  <si>
    <t>19/01/2025General Surgery</t>
  </si>
  <si>
    <t>19/01/2025Orthopaedics</t>
  </si>
  <si>
    <t>19/01/2025Neurology</t>
  </si>
  <si>
    <t>19/01/2025Oncology</t>
  </si>
  <si>
    <t>19/01/2025Paediatrics</t>
  </si>
  <si>
    <t>19/01/2025Maternity</t>
  </si>
  <si>
    <t>19/01/2025Renal Medicine</t>
  </si>
  <si>
    <t>19/01/2025Gastroenterology</t>
  </si>
  <si>
    <t>19/01/2025Endocrinology</t>
  </si>
  <si>
    <t>19/01/2025Urology</t>
  </si>
  <si>
    <t>19/01/2025ENT</t>
  </si>
  <si>
    <t>19/01/2025Geriatrics</t>
  </si>
  <si>
    <t>20/01/2025A&amp;E (Emergency)</t>
  </si>
  <si>
    <t>20/01/2025Cardiology</t>
  </si>
  <si>
    <t>20/01/2025Respiratory</t>
  </si>
  <si>
    <t>20/01/2025General Surgery</t>
  </si>
  <si>
    <t>20/01/2025Orthopaedics</t>
  </si>
  <si>
    <t>20/01/2025Neurology</t>
  </si>
  <si>
    <t>20/01/2025Oncology</t>
  </si>
  <si>
    <t>20/01/2025Paediatrics</t>
  </si>
  <si>
    <t>20/01/2025Maternity</t>
  </si>
  <si>
    <t>20/01/2025Renal Medicine</t>
  </si>
  <si>
    <t>20/01/2025Gastroenterology</t>
  </si>
  <si>
    <t>20/01/2025Endocrinology</t>
  </si>
  <si>
    <t>20/01/2025Urology</t>
  </si>
  <si>
    <t>20/01/2025ENT</t>
  </si>
  <si>
    <t>20/01/2025Geriatrics</t>
  </si>
  <si>
    <t>21/01/2025A&amp;E (Emergency)</t>
  </si>
  <si>
    <t>21/01/2025Cardiology</t>
  </si>
  <si>
    <t>21/01/2025Respiratory</t>
  </si>
  <si>
    <t>21/01/2025General Surgery</t>
  </si>
  <si>
    <t>21/01/2025Orthopaedics</t>
  </si>
  <si>
    <t>21/01/2025Neurology</t>
  </si>
  <si>
    <t>21/01/2025Oncology</t>
  </si>
  <si>
    <t>21/01/2025Paediatrics</t>
  </si>
  <si>
    <t>21/01/2025Maternity</t>
  </si>
  <si>
    <t>21/01/2025Renal Medicine</t>
  </si>
  <si>
    <t>21/01/2025Gastroenterology</t>
  </si>
  <si>
    <t>21/01/2025Endocrinology</t>
  </si>
  <si>
    <t>21/01/2025Urology</t>
  </si>
  <si>
    <t>21/01/2025ENT</t>
  </si>
  <si>
    <t>21/01/2025Geriatrics</t>
  </si>
  <si>
    <t>22/01/2025A&amp;E (Emergency)</t>
  </si>
  <si>
    <t>22/01/2025Cardiology</t>
  </si>
  <si>
    <t>22/01/2025Respiratory</t>
  </si>
  <si>
    <t>22/01/2025General Surgery</t>
  </si>
  <si>
    <t>22/01/2025Orthopaedics</t>
  </si>
  <si>
    <t>22/01/2025Neurology</t>
  </si>
  <si>
    <t>22/01/2025Oncology</t>
  </si>
  <si>
    <t>22/01/2025Paediatrics</t>
  </si>
  <si>
    <t>22/01/2025Maternity</t>
  </si>
  <si>
    <t>22/01/2025Renal Medicine</t>
  </si>
  <si>
    <t>22/01/2025Gastroenterology</t>
  </si>
  <si>
    <t>22/01/2025Endocrinology</t>
  </si>
  <si>
    <t>22/01/2025Urology</t>
  </si>
  <si>
    <t>22/01/2025ENT</t>
  </si>
  <si>
    <t>22/01/2025Geriatrics</t>
  </si>
  <si>
    <t>23/01/2025A&amp;E (Emergency)</t>
  </si>
  <si>
    <t>23/01/2025Cardiology</t>
  </si>
  <si>
    <t>23/01/2025Respiratory</t>
  </si>
  <si>
    <t>23/01/2025General Surgery</t>
  </si>
  <si>
    <t>23/01/2025Orthopaedics</t>
  </si>
  <si>
    <t>23/01/2025Neurology</t>
  </si>
  <si>
    <t>23/01/2025Oncology</t>
  </si>
  <si>
    <t>23/01/2025Paediatrics</t>
  </si>
  <si>
    <t>23/01/2025Maternity</t>
  </si>
  <si>
    <t>23/01/2025Renal Medicine</t>
  </si>
  <si>
    <t>23/01/2025Gastroenterology</t>
  </si>
  <si>
    <t>23/01/2025Endocrinology</t>
  </si>
  <si>
    <t>23/01/2025Urology</t>
  </si>
  <si>
    <t>23/01/2025ENT</t>
  </si>
  <si>
    <t>23/01/2025Geriatrics</t>
  </si>
  <si>
    <t>24/01/2025A&amp;E (Emergency)</t>
  </si>
  <si>
    <t>24/01/2025Cardiology</t>
  </si>
  <si>
    <t>24/01/2025Respiratory</t>
  </si>
  <si>
    <t>24/01/2025General Surgery</t>
  </si>
  <si>
    <t>24/01/2025Orthopaedics</t>
  </si>
  <si>
    <t>24/01/2025Neurology</t>
  </si>
  <si>
    <t>24/01/2025Oncology</t>
  </si>
  <si>
    <t>24/01/2025Paediatrics</t>
  </si>
  <si>
    <t>24/01/2025Maternity</t>
  </si>
  <si>
    <t>24/01/2025Renal Medicine</t>
  </si>
  <si>
    <t>24/01/2025Gastroenterology</t>
  </si>
  <si>
    <t>24/01/2025Endocrinology</t>
  </si>
  <si>
    <t>24/01/2025Urology</t>
  </si>
  <si>
    <t>24/01/2025ENT</t>
  </si>
  <si>
    <t>24/01/2025Geriatrics</t>
  </si>
  <si>
    <t>25/01/2025A&amp;E (Emergency)</t>
  </si>
  <si>
    <t>25/01/2025Cardiology</t>
  </si>
  <si>
    <t>25/01/2025Respiratory</t>
  </si>
  <si>
    <t>25/01/2025General Surgery</t>
  </si>
  <si>
    <t>25/01/2025Orthopaedics</t>
  </si>
  <si>
    <t>25/01/2025Neurology</t>
  </si>
  <si>
    <t>25/01/2025Oncology</t>
  </si>
  <si>
    <t>25/01/2025Paediatrics</t>
  </si>
  <si>
    <t>25/01/2025Maternity</t>
  </si>
  <si>
    <t>25/01/2025Renal Medicine</t>
  </si>
  <si>
    <t>25/01/2025Gastroenterology</t>
  </si>
  <si>
    <t>25/01/2025Endocrinology</t>
  </si>
  <si>
    <t>25/01/2025Urology</t>
  </si>
  <si>
    <t>25/01/2025ENT</t>
  </si>
  <si>
    <t>25/01/2025Geriatrics</t>
  </si>
  <si>
    <t>26/01/2025A&amp;E (Emergency)</t>
  </si>
  <si>
    <t>26/01/2025Cardiology</t>
  </si>
  <si>
    <t>26/01/2025Respiratory</t>
  </si>
  <si>
    <t>26/01/2025General Surgery</t>
  </si>
  <si>
    <t>26/01/2025Orthopaedics</t>
  </si>
  <si>
    <t>26/01/2025Neurology</t>
  </si>
  <si>
    <t>26/01/2025Oncology</t>
  </si>
  <si>
    <t>26/01/2025Paediatrics</t>
  </si>
  <si>
    <t>26/01/2025Maternity</t>
  </si>
  <si>
    <t>26/01/2025Renal Medicine</t>
  </si>
  <si>
    <t>26/01/2025Gastroenterology</t>
  </si>
  <si>
    <t>26/01/2025Endocrinology</t>
  </si>
  <si>
    <t>26/01/2025Urology</t>
  </si>
  <si>
    <t>26/01/2025ENT</t>
  </si>
  <si>
    <t>26/01/2025Geriatrics</t>
  </si>
  <si>
    <t>27/01/2025A&amp;E (Emergency)</t>
  </si>
  <si>
    <t>27/01/2025Cardiology</t>
  </si>
  <si>
    <t>27/01/2025Respiratory</t>
  </si>
  <si>
    <t>27/01/2025General Surgery</t>
  </si>
  <si>
    <t>27/01/2025Orthopaedics</t>
  </si>
  <si>
    <t>27/01/2025Neurology</t>
  </si>
  <si>
    <t>27/01/2025Oncology</t>
  </si>
  <si>
    <t>27/01/2025Paediatrics</t>
  </si>
  <si>
    <t>27/01/2025Maternity</t>
  </si>
  <si>
    <t>27/01/2025Renal Medicine</t>
  </si>
  <si>
    <t>27/01/2025Gastroenterology</t>
  </si>
  <si>
    <t>27/01/2025Endocrinology</t>
  </si>
  <si>
    <t>27/01/2025Urology</t>
  </si>
  <si>
    <t>27/01/2025ENT</t>
  </si>
  <si>
    <t>27/01/2025Geriatrics</t>
  </si>
  <si>
    <t>28/01/2025A&amp;E (Emergency)</t>
  </si>
  <si>
    <t>28/01/2025Cardiology</t>
  </si>
  <si>
    <t>28/01/2025Respiratory</t>
  </si>
  <si>
    <t>28/01/2025General Surgery</t>
  </si>
  <si>
    <t>28/01/2025Orthopaedics</t>
  </si>
  <si>
    <t>28/01/2025Neurology</t>
  </si>
  <si>
    <t>28/01/2025Oncology</t>
  </si>
  <si>
    <t>28/01/2025Paediatrics</t>
  </si>
  <si>
    <t>28/01/2025Maternity</t>
  </si>
  <si>
    <t>28/01/2025Renal Medicine</t>
  </si>
  <si>
    <t>28/01/2025Gastroenterology</t>
  </si>
  <si>
    <t>28/01/2025Endocrinology</t>
  </si>
  <si>
    <t>28/01/2025Urology</t>
  </si>
  <si>
    <t>28/01/2025ENT</t>
  </si>
  <si>
    <t>28/01/2025Geriatrics</t>
  </si>
  <si>
    <t>29/01/2025A&amp;E (Emergency)</t>
  </si>
  <si>
    <t>29/01/2025Cardiology</t>
  </si>
  <si>
    <t>29/01/2025Respiratory</t>
  </si>
  <si>
    <t>29/01/2025General Surgery</t>
  </si>
  <si>
    <t>29/01/2025Orthopaedics</t>
  </si>
  <si>
    <t>29/01/2025Neurology</t>
  </si>
  <si>
    <t>29/01/2025Oncology</t>
  </si>
  <si>
    <t>29/01/2025Paediatrics</t>
  </si>
  <si>
    <t>29/01/2025Maternity</t>
  </si>
  <si>
    <t>29/01/2025Renal Medicine</t>
  </si>
  <si>
    <t>29/01/2025Gastroenterology</t>
  </si>
  <si>
    <t>29/01/2025Endocrinology</t>
  </si>
  <si>
    <t>29/01/2025Urology</t>
  </si>
  <si>
    <t>29/01/2025ENT</t>
  </si>
  <si>
    <t>29/01/2025Geriatrics</t>
  </si>
  <si>
    <t>30/01/2025A&amp;E (Emergency)</t>
  </si>
  <si>
    <t>30/01/2025Cardiology</t>
  </si>
  <si>
    <t>30/01/2025Respiratory</t>
  </si>
  <si>
    <t>30/01/2025General Surgery</t>
  </si>
  <si>
    <t>30/01/2025Orthopaedics</t>
  </si>
  <si>
    <t>30/01/2025Neurology</t>
  </si>
  <si>
    <t>30/01/2025Oncology</t>
  </si>
  <si>
    <t>30/01/2025Paediatrics</t>
  </si>
  <si>
    <t>30/01/2025Maternity</t>
  </si>
  <si>
    <t>30/01/2025Renal Medicine</t>
  </si>
  <si>
    <t>30/01/2025Gastroenterology</t>
  </si>
  <si>
    <t>30/01/2025Endocrinology</t>
  </si>
  <si>
    <t>30/01/2025Urology</t>
  </si>
  <si>
    <t>30/01/2025ENT</t>
  </si>
  <si>
    <t>30/01/2025Geriatrics</t>
  </si>
  <si>
    <t>31/01/2025A&amp;E (Emergency)</t>
  </si>
  <si>
    <t>31/01/2025Cardiology</t>
  </si>
  <si>
    <t>31/01/2025Respiratory</t>
  </si>
  <si>
    <t>31/01/2025General Surgery</t>
  </si>
  <si>
    <t>31/01/2025Orthopaedics</t>
  </si>
  <si>
    <t>31/01/2025Neurology</t>
  </si>
  <si>
    <t>31/01/2025Oncology</t>
  </si>
  <si>
    <t>31/01/2025Paediatrics</t>
  </si>
  <si>
    <t>31/01/2025Maternity</t>
  </si>
  <si>
    <t>31/01/2025Renal Medicine</t>
  </si>
  <si>
    <t>31/01/2025Gastroenterology</t>
  </si>
  <si>
    <t>31/01/2025Endocrinology</t>
  </si>
  <si>
    <t>31/01/2025Urology</t>
  </si>
  <si>
    <t>31/01/2025ENT</t>
  </si>
  <si>
    <t>31/01/2025Geriatrics</t>
  </si>
  <si>
    <t>01/02/2025A&amp;E (Emergency)</t>
  </si>
  <si>
    <t>01/02/2025Cardiology</t>
  </si>
  <si>
    <t>01/02/2025Respiratory</t>
  </si>
  <si>
    <t>01/02/2025General Surgery</t>
  </si>
  <si>
    <t>01/02/2025Orthopaedics</t>
  </si>
  <si>
    <t>01/02/2025Neurology</t>
  </si>
  <si>
    <t>01/02/2025Oncology</t>
  </si>
  <si>
    <t>01/02/2025Paediatrics</t>
  </si>
  <si>
    <t>01/02/2025Maternity</t>
  </si>
  <si>
    <t>01/02/2025Renal Medicine</t>
  </si>
  <si>
    <t>01/02/2025Gastroenterology</t>
  </si>
  <si>
    <t>01/02/2025Endocrinology</t>
  </si>
  <si>
    <t>01/02/2025Urology</t>
  </si>
  <si>
    <t>01/02/2025ENT</t>
  </si>
  <si>
    <t>01/02/2025Geriatrics</t>
  </si>
  <si>
    <t>02/02/2025A&amp;E (Emergency)</t>
  </si>
  <si>
    <t>02/02/2025Cardiology</t>
  </si>
  <si>
    <t>02/02/2025Respiratory</t>
  </si>
  <si>
    <t>02/02/2025General Surgery</t>
  </si>
  <si>
    <t>02/02/2025Orthopaedics</t>
  </si>
  <si>
    <t>02/02/2025Neurology</t>
  </si>
  <si>
    <t>02/02/2025Oncology</t>
  </si>
  <si>
    <t>02/02/2025Paediatrics</t>
  </si>
  <si>
    <t>02/02/2025Maternity</t>
  </si>
  <si>
    <t>02/02/2025Renal Medicine</t>
  </si>
  <si>
    <t>02/02/2025Gastroenterology</t>
  </si>
  <si>
    <t>02/02/2025Endocrinology</t>
  </si>
  <si>
    <t>02/02/2025Urology</t>
  </si>
  <si>
    <t>02/02/2025ENT</t>
  </si>
  <si>
    <t>02/02/2025Geriatrics</t>
  </si>
  <si>
    <t>03/02/2025A&amp;E (Emergency)</t>
  </si>
  <si>
    <t>03/02/2025Cardiology</t>
  </si>
  <si>
    <t>03/02/2025Respiratory</t>
  </si>
  <si>
    <t>03/02/2025General Surgery</t>
  </si>
  <si>
    <t>03/02/2025Orthopaedics</t>
  </si>
  <si>
    <t>03/02/2025Neurology</t>
  </si>
  <si>
    <t>03/02/2025Oncology</t>
  </si>
  <si>
    <t>03/02/2025Paediatrics</t>
  </si>
  <si>
    <t>03/02/2025Maternity</t>
  </si>
  <si>
    <t>03/02/2025Renal Medicine</t>
  </si>
  <si>
    <t>03/02/2025Gastroenterology</t>
  </si>
  <si>
    <t>03/02/2025Endocrinology</t>
  </si>
  <si>
    <t>03/02/2025Urology</t>
  </si>
  <si>
    <t>03/02/2025ENT</t>
  </si>
  <si>
    <t>03/02/2025Geriatrics</t>
  </si>
  <si>
    <t>04/02/2025A&amp;E (Emergency)</t>
  </si>
  <si>
    <t>04/02/2025Cardiology</t>
  </si>
  <si>
    <t>04/02/2025Respiratory</t>
  </si>
  <si>
    <t>04/02/2025General Surgery</t>
  </si>
  <si>
    <t>04/02/2025Orthopaedics</t>
  </si>
  <si>
    <t>04/02/2025Neurology</t>
  </si>
  <si>
    <t>04/02/2025Oncology</t>
  </si>
  <si>
    <t>04/02/2025Paediatrics</t>
  </si>
  <si>
    <t>04/02/2025Maternity</t>
  </si>
  <si>
    <t>04/02/2025Renal Medicine</t>
  </si>
  <si>
    <t>04/02/2025Gastroenterology</t>
  </si>
  <si>
    <t>04/02/2025Endocrinology</t>
  </si>
  <si>
    <t>04/02/2025Urology</t>
  </si>
  <si>
    <t>04/02/2025ENT</t>
  </si>
  <si>
    <t>04/02/2025Geriatrics</t>
  </si>
  <si>
    <t>05/02/2025A&amp;E (Emergency)</t>
  </si>
  <si>
    <t>05/02/2025Cardiology</t>
  </si>
  <si>
    <t>05/02/2025Respiratory</t>
  </si>
  <si>
    <t>05/02/2025General Surgery</t>
  </si>
  <si>
    <t>05/02/2025Orthopaedics</t>
  </si>
  <si>
    <t>05/02/2025Neurology</t>
  </si>
  <si>
    <t>05/02/2025Oncology</t>
  </si>
  <si>
    <t>05/02/2025Paediatrics</t>
  </si>
  <si>
    <t>05/02/2025Maternity</t>
  </si>
  <si>
    <t>05/02/2025Renal Medicine</t>
  </si>
  <si>
    <t>05/02/2025Gastroenterology</t>
  </si>
  <si>
    <t>05/02/2025Endocrinology</t>
  </si>
  <si>
    <t>05/02/2025Urology</t>
  </si>
  <si>
    <t>05/02/2025ENT</t>
  </si>
  <si>
    <t>05/02/2025Geriatrics</t>
  </si>
  <si>
    <t>06/02/2025A&amp;E (Emergency)</t>
  </si>
  <si>
    <t>06/02/2025Cardiology</t>
  </si>
  <si>
    <t>06/02/2025Respiratory</t>
  </si>
  <si>
    <t>06/02/2025General Surgery</t>
  </si>
  <si>
    <t>06/02/2025Orthopaedics</t>
  </si>
  <si>
    <t>06/02/2025Neurology</t>
  </si>
  <si>
    <t>06/02/2025Oncology</t>
  </si>
  <si>
    <t>06/02/2025Paediatrics</t>
  </si>
  <si>
    <t>06/02/2025Maternity</t>
  </si>
  <si>
    <t>06/02/2025Renal Medicine</t>
  </si>
  <si>
    <t>06/02/2025Gastroenterology</t>
  </si>
  <si>
    <t>06/02/2025Endocrinology</t>
  </si>
  <si>
    <t>06/02/2025Urology</t>
  </si>
  <si>
    <t>06/02/2025ENT</t>
  </si>
  <si>
    <t>06/02/2025Geriatrics</t>
  </si>
  <si>
    <t>07/02/2025A&amp;E (Emergency)</t>
  </si>
  <si>
    <t>07/02/2025Cardiology</t>
  </si>
  <si>
    <t>07/02/2025Respiratory</t>
  </si>
  <si>
    <t>07/02/2025General Surgery</t>
  </si>
  <si>
    <t>07/02/2025Orthopaedics</t>
  </si>
  <si>
    <t>07/02/2025Neurology</t>
  </si>
  <si>
    <t>07/02/2025Oncology</t>
  </si>
  <si>
    <t>07/02/2025Paediatrics</t>
  </si>
  <si>
    <t>07/02/2025Maternity</t>
  </si>
  <si>
    <t>07/02/2025Renal Medicine</t>
  </si>
  <si>
    <t>07/02/2025Gastroenterology</t>
  </si>
  <si>
    <t>07/02/2025Endocrinology</t>
  </si>
  <si>
    <t>07/02/2025Urology</t>
  </si>
  <si>
    <t>07/02/2025ENT</t>
  </si>
  <si>
    <t>07/02/2025Geriatrics</t>
  </si>
  <si>
    <t>08/02/2025A&amp;E (Emergency)</t>
  </si>
  <si>
    <t>08/02/2025Cardiology</t>
  </si>
  <si>
    <t>08/02/2025Respiratory</t>
  </si>
  <si>
    <t>08/02/2025General Surgery</t>
  </si>
  <si>
    <t>08/02/2025Orthopaedics</t>
  </si>
  <si>
    <t>08/02/2025Neurology</t>
  </si>
  <si>
    <t>08/02/2025Oncology</t>
  </si>
  <si>
    <t>08/02/2025Paediatrics</t>
  </si>
  <si>
    <t>08/02/2025Maternity</t>
  </si>
  <si>
    <t>08/02/2025Renal Medicine</t>
  </si>
  <si>
    <t>08/02/2025Gastroenterology</t>
  </si>
  <si>
    <t>08/02/2025Endocrinology</t>
  </si>
  <si>
    <t>08/02/2025Urology</t>
  </si>
  <si>
    <t>08/02/2025ENT</t>
  </si>
  <si>
    <t>08/02/2025Geriatrics</t>
  </si>
  <si>
    <t>09/02/2025A&amp;E (Emergency)</t>
  </si>
  <si>
    <t>09/02/2025Cardiology</t>
  </si>
  <si>
    <t>09/02/2025Respiratory</t>
  </si>
  <si>
    <t>09/02/2025General Surgery</t>
  </si>
  <si>
    <t>09/02/2025Orthopaedics</t>
  </si>
  <si>
    <t>09/02/2025Neurology</t>
  </si>
  <si>
    <t>09/02/2025Oncology</t>
  </si>
  <si>
    <t>09/02/2025Paediatrics</t>
  </si>
  <si>
    <t>09/02/2025Maternity</t>
  </si>
  <si>
    <t>09/02/2025Renal Medicine</t>
  </si>
  <si>
    <t>09/02/2025Gastroenterology</t>
  </si>
  <si>
    <t>09/02/2025Endocrinology</t>
  </si>
  <si>
    <t>09/02/2025Urology</t>
  </si>
  <si>
    <t>09/02/2025ENT</t>
  </si>
  <si>
    <t>09/02/2025Geriatrics</t>
  </si>
  <si>
    <t>10/02/2025A&amp;E (Emergency)</t>
  </si>
  <si>
    <t>10/02/2025Cardiology</t>
  </si>
  <si>
    <t>10/02/2025Respiratory</t>
  </si>
  <si>
    <t>10/02/2025General Surgery</t>
  </si>
  <si>
    <t>10/02/2025Orthopaedics</t>
  </si>
  <si>
    <t>10/02/2025Neurology</t>
  </si>
  <si>
    <t>10/02/2025Oncology</t>
  </si>
  <si>
    <t>10/02/2025Paediatrics</t>
  </si>
  <si>
    <t>10/02/2025Maternity</t>
  </si>
  <si>
    <t>10/02/2025Renal Medicine</t>
  </si>
  <si>
    <t>10/02/2025Gastroenterology</t>
  </si>
  <si>
    <t>10/02/2025Endocrinology</t>
  </si>
  <si>
    <t>10/02/2025Urology</t>
  </si>
  <si>
    <t>10/02/2025ENT</t>
  </si>
  <si>
    <t>10/02/2025Geriatrics</t>
  </si>
  <si>
    <t>11/02/2025A&amp;E (Emergency)</t>
  </si>
  <si>
    <t>11/02/2025Cardiology</t>
  </si>
  <si>
    <t>11/02/2025Respiratory</t>
  </si>
  <si>
    <t>11/02/2025General Surgery</t>
  </si>
  <si>
    <t>11/02/2025Orthopaedics</t>
  </si>
  <si>
    <t>11/02/2025Neurology</t>
  </si>
  <si>
    <t>11/02/2025Oncology</t>
  </si>
  <si>
    <t>11/02/2025Paediatrics</t>
  </si>
  <si>
    <t>11/02/2025Maternity</t>
  </si>
  <si>
    <t>11/02/2025Renal Medicine</t>
  </si>
  <si>
    <t>11/02/2025Gastroenterology</t>
  </si>
  <si>
    <t>11/02/2025Endocrinology</t>
  </si>
  <si>
    <t>11/02/2025Urology</t>
  </si>
  <si>
    <t>11/02/2025ENT</t>
  </si>
  <si>
    <t>11/02/2025Geriatrics</t>
  </si>
  <si>
    <t>12/02/2025A&amp;E (Emergency)</t>
  </si>
  <si>
    <t>12/02/2025Cardiology</t>
  </si>
  <si>
    <t>12/02/2025Respiratory</t>
  </si>
  <si>
    <t>12/02/2025General Surgery</t>
  </si>
  <si>
    <t>12/02/2025Orthopaedics</t>
  </si>
  <si>
    <t>12/02/2025Neurology</t>
  </si>
  <si>
    <t>12/02/2025Oncology</t>
  </si>
  <si>
    <t>12/02/2025Paediatrics</t>
  </si>
  <si>
    <t>12/02/2025Maternity</t>
  </si>
  <si>
    <t>12/02/2025Renal Medicine</t>
  </si>
  <si>
    <t>12/02/2025Gastroenterology</t>
  </si>
  <si>
    <t>12/02/2025Endocrinology</t>
  </si>
  <si>
    <t>12/02/2025Urology</t>
  </si>
  <si>
    <t>12/02/2025ENT</t>
  </si>
  <si>
    <t>12/02/2025Geriatrics</t>
  </si>
  <si>
    <t>13/02/2025A&amp;E (Emergency)</t>
  </si>
  <si>
    <t>13/02/2025Cardiology</t>
  </si>
  <si>
    <t>13/02/2025Respiratory</t>
  </si>
  <si>
    <t>13/02/2025General Surgery</t>
  </si>
  <si>
    <t>13/02/2025Orthopaedics</t>
  </si>
  <si>
    <t>13/02/2025Neurology</t>
  </si>
  <si>
    <t>13/02/2025Oncology</t>
  </si>
  <si>
    <t>13/02/2025Paediatrics</t>
  </si>
  <si>
    <t>13/02/2025Maternity</t>
  </si>
  <si>
    <t>13/02/2025Renal Medicine</t>
  </si>
  <si>
    <t>13/02/2025Gastroenterology</t>
  </si>
  <si>
    <t>13/02/2025Endocrinology</t>
  </si>
  <si>
    <t>13/02/2025Urology</t>
  </si>
  <si>
    <t>13/02/2025ENT</t>
  </si>
  <si>
    <t>13/02/2025Geriatrics</t>
  </si>
  <si>
    <t>14/02/2025A&amp;E (Emergency)</t>
  </si>
  <si>
    <t>14/02/2025Cardiology</t>
  </si>
  <si>
    <t>14/02/2025Respiratory</t>
  </si>
  <si>
    <t>14/02/2025General Surgery</t>
  </si>
  <si>
    <t>14/02/2025Orthopaedics</t>
  </si>
  <si>
    <t>14/02/2025Neurology</t>
  </si>
  <si>
    <t>14/02/2025Oncology</t>
  </si>
  <si>
    <t>14/02/2025Paediatrics</t>
  </si>
  <si>
    <t>14/02/2025Maternity</t>
  </si>
  <si>
    <t>14/02/2025Renal Medicine</t>
  </si>
  <si>
    <t>14/02/2025Gastroenterology</t>
  </si>
  <si>
    <t>14/02/2025Endocrinology</t>
  </si>
  <si>
    <t>14/02/2025Urology</t>
  </si>
  <si>
    <t>14/02/2025ENT</t>
  </si>
  <si>
    <t>14/02/2025Geriatrics</t>
  </si>
  <si>
    <t>15/02/2025A&amp;E (Emergency)</t>
  </si>
  <si>
    <t>15/02/2025Cardiology</t>
  </si>
  <si>
    <t>15/02/2025Respiratory</t>
  </si>
  <si>
    <t>15/02/2025General Surgery</t>
  </si>
  <si>
    <t>15/02/2025Orthopaedics</t>
  </si>
  <si>
    <t>15/02/2025Neurology</t>
  </si>
  <si>
    <t>15/02/2025Oncology</t>
  </si>
  <si>
    <t>15/02/2025Paediatrics</t>
  </si>
  <si>
    <t>15/02/2025Maternity</t>
  </si>
  <si>
    <t>15/02/2025Renal Medicine</t>
  </si>
  <si>
    <t>15/02/2025Gastroenterology</t>
  </si>
  <si>
    <t>15/02/2025Endocrinology</t>
  </si>
  <si>
    <t>15/02/2025Urology</t>
  </si>
  <si>
    <t>15/02/2025ENT</t>
  </si>
  <si>
    <t>15/02/2025Geriatrics</t>
  </si>
  <si>
    <t>16/02/2025A&amp;E (Emergency)</t>
  </si>
  <si>
    <t>16/02/2025Cardiology</t>
  </si>
  <si>
    <t>16/02/2025Respiratory</t>
  </si>
  <si>
    <t>16/02/2025General Surgery</t>
  </si>
  <si>
    <t>16/02/2025Orthopaedics</t>
  </si>
  <si>
    <t>16/02/2025Neurology</t>
  </si>
  <si>
    <t>16/02/2025Oncology</t>
  </si>
  <si>
    <t>16/02/2025Paediatrics</t>
  </si>
  <si>
    <t>16/02/2025Maternity</t>
  </si>
  <si>
    <t>16/02/2025Renal Medicine</t>
  </si>
  <si>
    <t>16/02/2025Gastroenterology</t>
  </si>
  <si>
    <t>16/02/2025Endocrinology</t>
  </si>
  <si>
    <t>16/02/2025Urology</t>
  </si>
  <si>
    <t>16/02/2025ENT</t>
  </si>
  <si>
    <t>16/02/2025Geriatrics</t>
  </si>
  <si>
    <t>17/02/2025A&amp;E (Emergency)</t>
  </si>
  <si>
    <t>17/02/2025Cardiology</t>
  </si>
  <si>
    <t>17/02/2025Respiratory</t>
  </si>
  <si>
    <t>17/02/2025General Surgery</t>
  </si>
  <si>
    <t>17/02/2025Orthopaedics</t>
  </si>
  <si>
    <t>17/02/2025Neurology</t>
  </si>
  <si>
    <t>17/02/2025Oncology</t>
  </si>
  <si>
    <t>17/02/2025Paediatrics</t>
  </si>
  <si>
    <t>17/02/2025Maternity</t>
  </si>
  <si>
    <t>17/02/2025Renal Medicine</t>
  </si>
  <si>
    <t>17/02/2025Gastroenterology</t>
  </si>
  <si>
    <t>17/02/2025Endocrinology</t>
  </si>
  <si>
    <t>17/02/2025Urology</t>
  </si>
  <si>
    <t>17/02/2025ENT</t>
  </si>
  <si>
    <t>17/02/2025Geriatrics</t>
  </si>
  <si>
    <t>18/02/2025A&amp;E (Emergency)</t>
  </si>
  <si>
    <t>18/02/2025Cardiology</t>
  </si>
  <si>
    <t>18/02/2025Respiratory</t>
  </si>
  <si>
    <t>18/02/2025General Surgery</t>
  </si>
  <si>
    <t>18/02/2025Orthopaedics</t>
  </si>
  <si>
    <t>18/02/2025Neurology</t>
  </si>
  <si>
    <t>18/02/2025Oncology</t>
  </si>
  <si>
    <t>18/02/2025Paediatrics</t>
  </si>
  <si>
    <t>18/02/2025Maternity</t>
  </si>
  <si>
    <t>18/02/2025Renal Medicine</t>
  </si>
  <si>
    <t>18/02/2025Gastroenterology</t>
  </si>
  <si>
    <t>18/02/2025Endocrinology</t>
  </si>
  <si>
    <t>18/02/2025Urology</t>
  </si>
  <si>
    <t>18/02/2025ENT</t>
  </si>
  <si>
    <t>18/02/2025Geriatrics</t>
  </si>
  <si>
    <t>19/02/2025A&amp;E (Emergency)</t>
  </si>
  <si>
    <t>19/02/2025Cardiology</t>
  </si>
  <si>
    <t>19/02/2025Respiratory</t>
  </si>
  <si>
    <t>19/02/2025General Surgery</t>
  </si>
  <si>
    <t>19/02/2025Orthopaedics</t>
  </si>
  <si>
    <t>19/02/2025Neurology</t>
  </si>
  <si>
    <t>19/02/2025Oncology</t>
  </si>
  <si>
    <t>19/02/2025Paediatrics</t>
  </si>
  <si>
    <t>19/02/2025Maternity</t>
  </si>
  <si>
    <t>19/02/2025Renal Medicine</t>
  </si>
  <si>
    <t>19/02/2025Gastroenterology</t>
  </si>
  <si>
    <t>19/02/2025Endocrinology</t>
  </si>
  <si>
    <t>19/02/2025Urology</t>
  </si>
  <si>
    <t>19/02/2025ENT</t>
  </si>
  <si>
    <t>19/02/2025Geriatrics</t>
  </si>
  <si>
    <t>20/02/2025A&amp;E (Emergency)</t>
  </si>
  <si>
    <t>20/02/2025Cardiology</t>
  </si>
  <si>
    <t>20/02/2025Respiratory</t>
  </si>
  <si>
    <t>20/02/2025General Surgery</t>
  </si>
  <si>
    <t>20/02/2025Orthopaedics</t>
  </si>
  <si>
    <t>20/02/2025Neurology</t>
  </si>
  <si>
    <t>20/02/2025Oncology</t>
  </si>
  <si>
    <t>20/02/2025Paediatrics</t>
  </si>
  <si>
    <t>20/02/2025Maternity</t>
  </si>
  <si>
    <t>20/02/2025Renal Medicine</t>
  </si>
  <si>
    <t>20/02/2025Gastroenterology</t>
  </si>
  <si>
    <t>20/02/2025Endocrinology</t>
  </si>
  <si>
    <t>20/02/2025Urology</t>
  </si>
  <si>
    <t>20/02/2025ENT</t>
  </si>
  <si>
    <t>20/02/2025Geriatrics</t>
  </si>
  <si>
    <t>21/02/2025A&amp;E (Emergency)</t>
  </si>
  <si>
    <t>21/02/2025Cardiology</t>
  </si>
  <si>
    <t>21/02/2025Respiratory</t>
  </si>
  <si>
    <t>21/02/2025General Surgery</t>
  </si>
  <si>
    <t>21/02/2025Orthopaedics</t>
  </si>
  <si>
    <t>21/02/2025Neurology</t>
  </si>
  <si>
    <t>21/02/2025Oncology</t>
  </si>
  <si>
    <t>21/02/2025Paediatrics</t>
  </si>
  <si>
    <t>21/02/2025Maternity</t>
  </si>
  <si>
    <t>21/02/2025Renal Medicine</t>
  </si>
  <si>
    <t>21/02/2025Gastroenterology</t>
  </si>
  <si>
    <t>21/02/2025Endocrinology</t>
  </si>
  <si>
    <t>21/02/2025Urology</t>
  </si>
  <si>
    <t>21/02/2025ENT</t>
  </si>
  <si>
    <t>21/02/2025Geriatrics</t>
  </si>
  <si>
    <t>22/02/2025A&amp;E (Emergency)</t>
  </si>
  <si>
    <t>22/02/2025Cardiology</t>
  </si>
  <si>
    <t>22/02/2025Respiratory</t>
  </si>
  <si>
    <t>22/02/2025General Surgery</t>
  </si>
  <si>
    <t>22/02/2025Orthopaedics</t>
  </si>
  <si>
    <t>22/02/2025Neurology</t>
  </si>
  <si>
    <t>22/02/2025Oncology</t>
  </si>
  <si>
    <t>22/02/2025Paediatrics</t>
  </si>
  <si>
    <t>22/02/2025Maternity</t>
  </si>
  <si>
    <t>22/02/2025Renal Medicine</t>
  </si>
  <si>
    <t>22/02/2025Gastroenterology</t>
  </si>
  <si>
    <t>22/02/2025Endocrinology</t>
  </si>
  <si>
    <t>22/02/2025Urology</t>
  </si>
  <si>
    <t>22/02/2025ENT</t>
  </si>
  <si>
    <t>22/02/2025Geriatrics</t>
  </si>
  <si>
    <t>23/02/2025A&amp;E (Emergency)</t>
  </si>
  <si>
    <t>23/02/2025Cardiology</t>
  </si>
  <si>
    <t>23/02/2025Respiratory</t>
  </si>
  <si>
    <t>23/02/2025General Surgery</t>
  </si>
  <si>
    <t>23/02/2025Orthopaedics</t>
  </si>
  <si>
    <t>23/02/2025Neurology</t>
  </si>
  <si>
    <t>23/02/2025Oncology</t>
  </si>
  <si>
    <t>23/02/2025Paediatrics</t>
  </si>
  <si>
    <t>23/02/2025Maternity</t>
  </si>
  <si>
    <t>23/02/2025Renal Medicine</t>
  </si>
  <si>
    <t>23/02/2025Gastroenterology</t>
  </si>
  <si>
    <t>23/02/2025Endocrinology</t>
  </si>
  <si>
    <t>23/02/2025Urology</t>
  </si>
  <si>
    <t>23/02/2025ENT</t>
  </si>
  <si>
    <t>23/02/2025Geriatrics</t>
  </si>
  <si>
    <t>24/02/2025A&amp;E (Emergency)</t>
  </si>
  <si>
    <t>24/02/2025Cardiology</t>
  </si>
  <si>
    <t>24/02/2025Respiratory</t>
  </si>
  <si>
    <t>24/02/2025General Surgery</t>
  </si>
  <si>
    <t>24/02/2025Orthopaedics</t>
  </si>
  <si>
    <t>24/02/2025Neurology</t>
  </si>
  <si>
    <t>24/02/2025Oncology</t>
  </si>
  <si>
    <t>24/02/2025Paediatrics</t>
  </si>
  <si>
    <t>24/02/2025Maternity</t>
  </si>
  <si>
    <t>24/02/2025Renal Medicine</t>
  </si>
  <si>
    <t>24/02/2025Gastroenterology</t>
  </si>
  <si>
    <t>24/02/2025Endocrinology</t>
  </si>
  <si>
    <t>24/02/2025Urology</t>
  </si>
  <si>
    <t>24/02/2025ENT</t>
  </si>
  <si>
    <t>24/02/2025Geriatrics</t>
  </si>
  <si>
    <t>25/02/2025A&amp;E (Emergency)</t>
  </si>
  <si>
    <t>25/02/2025Cardiology</t>
  </si>
  <si>
    <t>25/02/2025Respiratory</t>
  </si>
  <si>
    <t>25/02/2025General Surgery</t>
  </si>
  <si>
    <t>25/02/2025Orthopaedics</t>
  </si>
  <si>
    <t>25/02/2025Neurology</t>
  </si>
  <si>
    <t>25/02/2025Oncology</t>
  </si>
  <si>
    <t>25/02/2025Paediatrics</t>
  </si>
  <si>
    <t>25/02/2025Maternity</t>
  </si>
  <si>
    <t>25/02/2025Renal Medicine</t>
  </si>
  <si>
    <t>25/02/2025Gastroenterology</t>
  </si>
  <si>
    <t>25/02/2025Endocrinology</t>
  </si>
  <si>
    <t>25/02/2025Urology</t>
  </si>
  <si>
    <t>25/02/2025ENT</t>
  </si>
  <si>
    <t>25/02/2025Geriatrics</t>
  </si>
  <si>
    <t>26/02/2025A&amp;E (Emergency)</t>
  </si>
  <si>
    <t>26/02/2025Cardiology</t>
  </si>
  <si>
    <t>26/02/2025Respiratory</t>
  </si>
  <si>
    <t>26/02/2025General Surgery</t>
  </si>
  <si>
    <t>26/02/2025Orthopaedics</t>
  </si>
  <si>
    <t>26/02/2025Neurology</t>
  </si>
  <si>
    <t>26/02/2025Oncology</t>
  </si>
  <si>
    <t>26/02/2025Paediatrics</t>
  </si>
  <si>
    <t>26/02/2025Maternity</t>
  </si>
  <si>
    <t>26/02/2025Renal Medicine</t>
  </si>
  <si>
    <t>26/02/2025Gastroenterology</t>
  </si>
  <si>
    <t>26/02/2025Endocrinology</t>
  </si>
  <si>
    <t>26/02/2025Urology</t>
  </si>
  <si>
    <t>26/02/2025ENT</t>
  </si>
  <si>
    <t>26/02/2025Geriatrics</t>
  </si>
  <si>
    <t>27/02/2025A&amp;E (Emergency)</t>
  </si>
  <si>
    <t>27/02/2025Cardiology</t>
  </si>
  <si>
    <t>27/02/2025Respiratory</t>
  </si>
  <si>
    <t>27/02/2025General Surgery</t>
  </si>
  <si>
    <t>27/02/2025Orthopaedics</t>
  </si>
  <si>
    <t>27/02/2025Neurology</t>
  </si>
  <si>
    <t>27/02/2025Oncology</t>
  </si>
  <si>
    <t>27/02/2025Paediatrics</t>
  </si>
  <si>
    <t>27/02/2025Maternity</t>
  </si>
  <si>
    <t>27/02/2025Renal Medicine</t>
  </si>
  <si>
    <t>27/02/2025Gastroenterology</t>
  </si>
  <si>
    <t>27/02/2025Endocrinology</t>
  </si>
  <si>
    <t>27/02/2025Urology</t>
  </si>
  <si>
    <t>27/02/2025ENT</t>
  </si>
  <si>
    <t>27/02/2025Geriatrics</t>
  </si>
  <si>
    <t>28/02/2025A&amp;E (Emergency)</t>
  </si>
  <si>
    <t>28/02/2025Cardiology</t>
  </si>
  <si>
    <t>28/02/2025Respiratory</t>
  </si>
  <si>
    <t>28/02/2025General Surgery</t>
  </si>
  <si>
    <t>28/02/2025Orthopaedics</t>
  </si>
  <si>
    <t>28/02/2025Neurology</t>
  </si>
  <si>
    <t>28/02/2025Oncology</t>
  </si>
  <si>
    <t>28/02/2025Paediatrics</t>
  </si>
  <si>
    <t>28/02/2025Maternity</t>
  </si>
  <si>
    <t>28/02/2025Renal Medicine</t>
  </si>
  <si>
    <t>28/02/2025Gastroenterology</t>
  </si>
  <si>
    <t>28/02/2025Endocrinology</t>
  </si>
  <si>
    <t>28/02/2025Urology</t>
  </si>
  <si>
    <t>28/02/2025ENT</t>
  </si>
  <si>
    <t>28/02/2025Geriatrics</t>
  </si>
  <si>
    <t>01/03/2025A&amp;E (Emergency)</t>
  </si>
  <si>
    <t>01/03/2025Cardiology</t>
  </si>
  <si>
    <t>01/03/2025Respiratory</t>
  </si>
  <si>
    <t>01/03/2025General Surgery</t>
  </si>
  <si>
    <t>01/03/2025Orthopaedics</t>
  </si>
  <si>
    <t>01/03/2025Neurology</t>
  </si>
  <si>
    <t>01/03/2025Oncology</t>
  </si>
  <si>
    <t>01/03/2025Paediatrics</t>
  </si>
  <si>
    <t>01/03/2025Maternity</t>
  </si>
  <si>
    <t>01/03/2025Renal Medicine</t>
  </si>
  <si>
    <t>01/03/2025Gastroenterology</t>
  </si>
  <si>
    <t>01/03/2025Endocrinology</t>
  </si>
  <si>
    <t>01/03/2025Urology</t>
  </si>
  <si>
    <t>01/03/2025ENT</t>
  </si>
  <si>
    <t>01/03/2025Geriatrics</t>
  </si>
  <si>
    <t>02/03/2025A&amp;E (Emergency)</t>
  </si>
  <si>
    <t>02/03/2025Cardiology</t>
  </si>
  <si>
    <t>02/03/2025Respiratory</t>
  </si>
  <si>
    <t>02/03/2025General Surgery</t>
  </si>
  <si>
    <t>02/03/2025Orthopaedics</t>
  </si>
  <si>
    <t>02/03/2025Neurology</t>
  </si>
  <si>
    <t>02/03/2025Oncology</t>
  </si>
  <si>
    <t>02/03/2025Paediatrics</t>
  </si>
  <si>
    <t>02/03/2025Maternity</t>
  </si>
  <si>
    <t>02/03/2025Renal Medicine</t>
  </si>
  <si>
    <t>02/03/2025Gastroenterology</t>
  </si>
  <si>
    <t>02/03/2025Endocrinology</t>
  </si>
  <si>
    <t>02/03/2025Urology</t>
  </si>
  <si>
    <t>02/03/2025ENT</t>
  </si>
  <si>
    <t>02/03/2025Geriatrics</t>
  </si>
  <si>
    <t>03/03/2025A&amp;E (Emergency)</t>
  </si>
  <si>
    <t>03/03/2025Cardiology</t>
  </si>
  <si>
    <t>03/03/2025Respiratory</t>
  </si>
  <si>
    <t>03/03/2025General Surgery</t>
  </si>
  <si>
    <t>03/03/2025Orthopaedics</t>
  </si>
  <si>
    <t>03/03/2025Neurology</t>
  </si>
  <si>
    <t>03/03/2025Oncology</t>
  </si>
  <si>
    <t>03/03/2025Paediatrics</t>
  </si>
  <si>
    <t>03/03/2025Maternity</t>
  </si>
  <si>
    <t>03/03/2025Renal Medicine</t>
  </si>
  <si>
    <t>03/03/2025Gastroenterology</t>
  </si>
  <si>
    <t>03/03/2025Endocrinology</t>
  </si>
  <si>
    <t>03/03/2025Urology</t>
  </si>
  <si>
    <t>03/03/2025ENT</t>
  </si>
  <si>
    <t>03/03/2025Geriatrics</t>
  </si>
  <si>
    <t>04/03/2025A&amp;E (Emergency)</t>
  </si>
  <si>
    <t>04/03/2025Cardiology</t>
  </si>
  <si>
    <t>04/03/2025Respiratory</t>
  </si>
  <si>
    <t>04/03/2025General Surgery</t>
  </si>
  <si>
    <t>04/03/2025Orthopaedics</t>
  </si>
  <si>
    <t>04/03/2025Neurology</t>
  </si>
  <si>
    <t>04/03/2025Oncology</t>
  </si>
  <si>
    <t>04/03/2025Paediatrics</t>
  </si>
  <si>
    <t>04/03/2025Maternity</t>
  </si>
  <si>
    <t>04/03/2025Renal Medicine</t>
  </si>
  <si>
    <t>04/03/2025Gastroenterology</t>
  </si>
  <si>
    <t>04/03/2025Endocrinology</t>
  </si>
  <si>
    <t>04/03/2025Urology</t>
  </si>
  <si>
    <t>04/03/2025ENT</t>
  </si>
  <si>
    <t>04/03/2025Geriatrics</t>
  </si>
  <si>
    <t>05/03/2025A&amp;E (Emergency)</t>
  </si>
  <si>
    <t>05/03/2025Cardiology</t>
  </si>
  <si>
    <t>05/03/2025Respiratory</t>
  </si>
  <si>
    <t>05/03/2025General Surgery</t>
  </si>
  <si>
    <t>05/03/2025Orthopaedics</t>
  </si>
  <si>
    <t>05/03/2025Neurology</t>
  </si>
  <si>
    <t>05/03/2025Oncology</t>
  </si>
  <si>
    <t>05/03/2025Paediatrics</t>
  </si>
  <si>
    <t>05/03/2025Maternity</t>
  </si>
  <si>
    <t>05/03/2025Renal Medicine</t>
  </si>
  <si>
    <t>05/03/2025Gastroenterology</t>
  </si>
  <si>
    <t>05/03/2025Endocrinology</t>
  </si>
  <si>
    <t>05/03/2025Urology</t>
  </si>
  <si>
    <t>05/03/2025ENT</t>
  </si>
  <si>
    <t>05/03/2025Geriatrics</t>
  </si>
  <si>
    <t>06/03/2025A&amp;E (Emergency)</t>
  </si>
  <si>
    <t>06/03/2025Cardiology</t>
  </si>
  <si>
    <t>06/03/2025Respiratory</t>
  </si>
  <si>
    <t>06/03/2025General Surgery</t>
  </si>
  <si>
    <t>06/03/2025Orthopaedics</t>
  </si>
  <si>
    <t>06/03/2025Neurology</t>
  </si>
  <si>
    <t>06/03/2025Oncology</t>
  </si>
  <si>
    <t>06/03/2025Paediatrics</t>
  </si>
  <si>
    <t>06/03/2025Maternity</t>
  </si>
  <si>
    <t>06/03/2025Renal Medicine</t>
  </si>
  <si>
    <t>06/03/2025Gastroenterology</t>
  </si>
  <si>
    <t>06/03/2025Endocrinology</t>
  </si>
  <si>
    <t>06/03/2025Urology</t>
  </si>
  <si>
    <t>06/03/2025ENT</t>
  </si>
  <si>
    <t>06/03/2025Geriatrics</t>
  </si>
  <si>
    <t>07/03/2025A&amp;E (Emergency)</t>
  </si>
  <si>
    <t>07/03/2025Cardiology</t>
  </si>
  <si>
    <t>07/03/2025Respiratory</t>
  </si>
  <si>
    <t>07/03/2025General Surgery</t>
  </si>
  <si>
    <t>07/03/2025Orthopaedics</t>
  </si>
  <si>
    <t>07/03/2025Neurology</t>
  </si>
  <si>
    <t>07/03/2025Oncology</t>
  </si>
  <si>
    <t>07/03/2025Paediatrics</t>
  </si>
  <si>
    <t>07/03/2025Maternity</t>
  </si>
  <si>
    <t>07/03/2025Renal Medicine</t>
  </si>
  <si>
    <t>07/03/2025Gastroenterology</t>
  </si>
  <si>
    <t>07/03/2025Endocrinology</t>
  </si>
  <si>
    <t>07/03/2025Urology</t>
  </si>
  <si>
    <t>07/03/2025ENT</t>
  </si>
  <si>
    <t>07/03/2025Geriatrics</t>
  </si>
  <si>
    <t>08/03/2025A&amp;E (Emergency)</t>
  </si>
  <si>
    <t>08/03/2025Cardiology</t>
  </si>
  <si>
    <t>08/03/2025Respiratory</t>
  </si>
  <si>
    <t>08/03/2025General Surgery</t>
  </si>
  <si>
    <t>08/03/2025Orthopaedics</t>
  </si>
  <si>
    <t>08/03/2025Neurology</t>
  </si>
  <si>
    <t>08/03/2025Oncology</t>
  </si>
  <si>
    <t>08/03/2025Paediatrics</t>
  </si>
  <si>
    <t>08/03/2025Maternity</t>
  </si>
  <si>
    <t>08/03/2025Renal Medicine</t>
  </si>
  <si>
    <t>08/03/2025Gastroenterology</t>
  </si>
  <si>
    <t>08/03/2025Endocrinology</t>
  </si>
  <si>
    <t>08/03/2025Urology</t>
  </si>
  <si>
    <t>08/03/2025ENT</t>
  </si>
  <si>
    <t>08/03/2025Geriatrics</t>
  </si>
  <si>
    <t>09/03/2025A&amp;E (Emergency)</t>
  </si>
  <si>
    <t>09/03/2025Cardiology</t>
  </si>
  <si>
    <t>09/03/2025Respiratory</t>
  </si>
  <si>
    <t>09/03/2025General Surgery</t>
  </si>
  <si>
    <t>09/03/2025Orthopaedics</t>
  </si>
  <si>
    <t>09/03/2025Neurology</t>
  </si>
  <si>
    <t>09/03/2025Oncology</t>
  </si>
  <si>
    <t>09/03/2025Paediatrics</t>
  </si>
  <si>
    <t>09/03/2025Maternity</t>
  </si>
  <si>
    <t>09/03/2025Renal Medicine</t>
  </si>
  <si>
    <t>09/03/2025Gastroenterology</t>
  </si>
  <si>
    <t>09/03/2025Endocrinology</t>
  </si>
  <si>
    <t>09/03/2025Urology</t>
  </si>
  <si>
    <t>09/03/2025ENT</t>
  </si>
  <si>
    <t>09/03/2025Geriatrics</t>
  </si>
  <si>
    <t>10/03/2025A&amp;E (Emergency)</t>
  </si>
  <si>
    <t>10/03/2025Cardiology</t>
  </si>
  <si>
    <t>10/03/2025Respiratory</t>
  </si>
  <si>
    <t>10/03/2025General Surgery</t>
  </si>
  <si>
    <t>10/03/2025Orthopaedics</t>
  </si>
  <si>
    <t>10/03/2025Neurology</t>
  </si>
  <si>
    <t>10/03/2025Oncology</t>
  </si>
  <si>
    <t>10/03/2025Paediatrics</t>
  </si>
  <si>
    <t>10/03/2025Maternity</t>
  </si>
  <si>
    <t>10/03/2025Renal Medicine</t>
  </si>
  <si>
    <t>10/03/2025Gastroenterology</t>
  </si>
  <si>
    <t>10/03/2025Endocrinology</t>
  </si>
  <si>
    <t>10/03/2025Urology</t>
  </si>
  <si>
    <t>10/03/2025ENT</t>
  </si>
  <si>
    <t>10/03/2025Geriatrics</t>
  </si>
  <si>
    <t>11/03/2025A&amp;E (Emergency)</t>
  </si>
  <si>
    <t>11/03/2025Cardiology</t>
  </si>
  <si>
    <t>11/03/2025Respiratory</t>
  </si>
  <si>
    <t>11/03/2025General Surgery</t>
  </si>
  <si>
    <t>11/03/2025Orthopaedics</t>
  </si>
  <si>
    <t>11/03/2025Neurology</t>
  </si>
  <si>
    <t>11/03/2025Oncology</t>
  </si>
  <si>
    <t>11/03/2025Paediatrics</t>
  </si>
  <si>
    <t>11/03/2025Maternity</t>
  </si>
  <si>
    <t>11/03/2025Renal Medicine</t>
  </si>
  <si>
    <t>11/03/2025Gastroenterology</t>
  </si>
  <si>
    <t>11/03/2025Endocrinology</t>
  </si>
  <si>
    <t>11/03/2025Urology</t>
  </si>
  <si>
    <t>11/03/2025ENT</t>
  </si>
  <si>
    <t>11/03/2025Geriatrics</t>
  </si>
  <si>
    <t>12/03/2025A&amp;E (Emergency)</t>
  </si>
  <si>
    <t>12/03/2025Cardiology</t>
  </si>
  <si>
    <t>12/03/2025Respiratory</t>
  </si>
  <si>
    <t>12/03/2025General Surgery</t>
  </si>
  <si>
    <t>12/03/2025Orthopaedics</t>
  </si>
  <si>
    <t>12/03/2025Neurology</t>
  </si>
  <si>
    <t>12/03/2025Oncology</t>
  </si>
  <si>
    <t>12/03/2025Paediatrics</t>
  </si>
  <si>
    <t>12/03/2025Maternity</t>
  </si>
  <si>
    <t>12/03/2025Renal Medicine</t>
  </si>
  <si>
    <t>12/03/2025Gastroenterology</t>
  </si>
  <si>
    <t>12/03/2025Endocrinology</t>
  </si>
  <si>
    <t>12/03/2025Urology</t>
  </si>
  <si>
    <t>12/03/2025ENT</t>
  </si>
  <si>
    <t>12/03/2025Geriatrics</t>
  </si>
  <si>
    <t>13/03/2025A&amp;E (Emergency)</t>
  </si>
  <si>
    <t>13/03/2025Cardiology</t>
  </si>
  <si>
    <t>13/03/2025Respiratory</t>
  </si>
  <si>
    <t>13/03/2025General Surgery</t>
  </si>
  <si>
    <t>13/03/2025Orthopaedics</t>
  </si>
  <si>
    <t>13/03/2025Neurology</t>
  </si>
  <si>
    <t>13/03/2025Oncology</t>
  </si>
  <si>
    <t>13/03/2025Paediatrics</t>
  </si>
  <si>
    <t>13/03/2025Maternity</t>
  </si>
  <si>
    <t>13/03/2025Renal Medicine</t>
  </si>
  <si>
    <t>13/03/2025Gastroenterology</t>
  </si>
  <si>
    <t>13/03/2025Endocrinology</t>
  </si>
  <si>
    <t>13/03/2025Urology</t>
  </si>
  <si>
    <t>13/03/2025ENT</t>
  </si>
  <si>
    <t>13/03/2025Geriatrics</t>
  </si>
  <si>
    <t>14/03/2025A&amp;E (Emergency)</t>
  </si>
  <si>
    <t>14/03/2025Cardiology</t>
  </si>
  <si>
    <t>14/03/2025Respiratory</t>
  </si>
  <si>
    <t>14/03/2025General Surgery</t>
  </si>
  <si>
    <t>14/03/2025Orthopaedics</t>
  </si>
  <si>
    <t>14/03/2025Neurology</t>
  </si>
  <si>
    <t>14/03/2025Oncology</t>
  </si>
  <si>
    <t>14/03/2025Paediatrics</t>
  </si>
  <si>
    <t>14/03/2025Maternity</t>
  </si>
  <si>
    <t>14/03/2025Renal Medicine</t>
  </si>
  <si>
    <t>14/03/2025Gastroenterology</t>
  </si>
  <si>
    <t>14/03/2025Endocrinology</t>
  </si>
  <si>
    <t>14/03/2025Urology</t>
  </si>
  <si>
    <t>14/03/2025ENT</t>
  </si>
  <si>
    <t>14/03/2025Geriatrics</t>
  </si>
  <si>
    <t>15/03/2025A&amp;E (Emergency)</t>
  </si>
  <si>
    <t>15/03/2025Cardiology</t>
  </si>
  <si>
    <t>15/03/2025Respiratory</t>
  </si>
  <si>
    <t>15/03/2025General Surgery</t>
  </si>
  <si>
    <t>15/03/2025Orthopaedics</t>
  </si>
  <si>
    <t>15/03/2025Neurology</t>
  </si>
  <si>
    <t>15/03/2025Oncology</t>
  </si>
  <si>
    <t>15/03/2025Paediatrics</t>
  </si>
  <si>
    <t>15/03/2025Maternity</t>
  </si>
  <si>
    <t>15/03/2025Renal Medicine</t>
  </si>
  <si>
    <t>15/03/2025Gastroenterology</t>
  </si>
  <si>
    <t>15/03/2025Endocrinology</t>
  </si>
  <si>
    <t>15/03/2025Urology</t>
  </si>
  <si>
    <t>15/03/2025ENT</t>
  </si>
  <si>
    <t>15/03/2025Geriatrics</t>
  </si>
  <si>
    <t>16/03/2025A&amp;E (Emergency)</t>
  </si>
  <si>
    <t>16/03/2025Cardiology</t>
  </si>
  <si>
    <t>16/03/2025Respiratory</t>
  </si>
  <si>
    <t>16/03/2025General Surgery</t>
  </si>
  <si>
    <t>16/03/2025Orthopaedics</t>
  </si>
  <si>
    <t>16/03/2025Neurology</t>
  </si>
  <si>
    <t>16/03/2025Oncology</t>
  </si>
  <si>
    <t>16/03/2025Paediatrics</t>
  </si>
  <si>
    <t>16/03/2025Maternity</t>
  </si>
  <si>
    <t>16/03/2025Renal Medicine</t>
  </si>
  <si>
    <t>16/03/2025Gastroenterology</t>
  </si>
  <si>
    <t>16/03/2025Endocrinology</t>
  </si>
  <si>
    <t>16/03/2025Urology</t>
  </si>
  <si>
    <t>16/03/2025ENT</t>
  </si>
  <si>
    <t>16/03/2025Geriatrics</t>
  </si>
  <si>
    <t>17/03/2025A&amp;E (Emergency)</t>
  </si>
  <si>
    <t>17/03/2025Cardiology</t>
  </si>
  <si>
    <t>17/03/2025Respiratory</t>
  </si>
  <si>
    <t>17/03/2025General Surgery</t>
  </si>
  <si>
    <t>17/03/2025Orthopaedics</t>
  </si>
  <si>
    <t>17/03/2025Neurology</t>
  </si>
  <si>
    <t>17/03/2025Oncology</t>
  </si>
  <si>
    <t>17/03/2025Paediatrics</t>
  </si>
  <si>
    <t>17/03/2025Maternity</t>
  </si>
  <si>
    <t>17/03/2025Renal Medicine</t>
  </si>
  <si>
    <t>17/03/2025Gastroenterology</t>
  </si>
  <si>
    <t>17/03/2025Endocrinology</t>
  </si>
  <si>
    <t>17/03/2025Urology</t>
  </si>
  <si>
    <t>17/03/2025ENT</t>
  </si>
  <si>
    <t>17/03/2025Geriatrics</t>
  </si>
  <si>
    <t>18/03/2025A&amp;E (Emergency)</t>
  </si>
  <si>
    <t>18/03/2025Cardiology</t>
  </si>
  <si>
    <t>18/03/2025Respiratory</t>
  </si>
  <si>
    <t>18/03/2025General Surgery</t>
  </si>
  <si>
    <t>18/03/2025Orthopaedics</t>
  </si>
  <si>
    <t>18/03/2025Neurology</t>
  </si>
  <si>
    <t>18/03/2025Oncology</t>
  </si>
  <si>
    <t>18/03/2025Paediatrics</t>
  </si>
  <si>
    <t>18/03/2025Maternity</t>
  </si>
  <si>
    <t>18/03/2025Renal Medicine</t>
  </si>
  <si>
    <t>18/03/2025Gastroenterology</t>
  </si>
  <si>
    <t>18/03/2025Endocrinology</t>
  </si>
  <si>
    <t>18/03/2025Urology</t>
  </si>
  <si>
    <t>18/03/2025ENT</t>
  </si>
  <si>
    <t>18/03/2025Geriatrics</t>
  </si>
  <si>
    <t>19/03/2025A&amp;E (Emergency)</t>
  </si>
  <si>
    <t>19/03/2025Cardiology</t>
  </si>
  <si>
    <t>19/03/2025Respiratory</t>
  </si>
  <si>
    <t>19/03/2025General Surgery</t>
  </si>
  <si>
    <t>19/03/2025Orthopaedics</t>
  </si>
  <si>
    <t>19/03/2025Neurology</t>
  </si>
  <si>
    <t>19/03/2025Oncology</t>
  </si>
  <si>
    <t>19/03/2025Paediatrics</t>
  </si>
  <si>
    <t>19/03/2025Maternity</t>
  </si>
  <si>
    <t>19/03/2025Renal Medicine</t>
  </si>
  <si>
    <t>19/03/2025Gastroenterology</t>
  </si>
  <si>
    <t>19/03/2025Endocrinology</t>
  </si>
  <si>
    <t>19/03/2025Urology</t>
  </si>
  <si>
    <t>19/03/2025ENT</t>
  </si>
  <si>
    <t>19/03/2025Geriatrics</t>
  </si>
  <si>
    <t>20/03/2025A&amp;E (Emergency)</t>
  </si>
  <si>
    <t>20/03/2025Cardiology</t>
  </si>
  <si>
    <t>20/03/2025Respiratory</t>
  </si>
  <si>
    <t>20/03/2025General Surgery</t>
  </si>
  <si>
    <t>20/03/2025Orthopaedics</t>
  </si>
  <si>
    <t>20/03/2025Neurology</t>
  </si>
  <si>
    <t>20/03/2025Oncology</t>
  </si>
  <si>
    <t>20/03/2025Paediatrics</t>
  </si>
  <si>
    <t>20/03/2025Maternity</t>
  </si>
  <si>
    <t>20/03/2025Renal Medicine</t>
  </si>
  <si>
    <t>20/03/2025Gastroenterology</t>
  </si>
  <si>
    <t>20/03/2025Endocrinology</t>
  </si>
  <si>
    <t>20/03/2025Urology</t>
  </si>
  <si>
    <t>20/03/2025ENT</t>
  </si>
  <si>
    <t>20/03/2025Geriatrics</t>
  </si>
  <si>
    <t>21/03/2025A&amp;E (Emergency)</t>
  </si>
  <si>
    <t>21/03/2025Cardiology</t>
  </si>
  <si>
    <t>21/03/2025Respiratory</t>
  </si>
  <si>
    <t>21/03/2025General Surgery</t>
  </si>
  <si>
    <t>21/03/2025Orthopaedics</t>
  </si>
  <si>
    <t>21/03/2025Neurology</t>
  </si>
  <si>
    <t>21/03/2025Oncology</t>
  </si>
  <si>
    <t>21/03/2025Paediatrics</t>
  </si>
  <si>
    <t>21/03/2025Maternity</t>
  </si>
  <si>
    <t>21/03/2025Renal Medicine</t>
  </si>
  <si>
    <t>21/03/2025Gastroenterology</t>
  </si>
  <si>
    <t>21/03/2025Endocrinology</t>
  </si>
  <si>
    <t>21/03/2025Urology</t>
  </si>
  <si>
    <t>21/03/2025ENT</t>
  </si>
  <si>
    <t>21/03/2025Geriatrics</t>
  </si>
  <si>
    <t>22/03/2025A&amp;E (Emergency)</t>
  </si>
  <si>
    <t>22/03/2025Cardiology</t>
  </si>
  <si>
    <t>22/03/2025Respiratory</t>
  </si>
  <si>
    <t>22/03/2025General Surgery</t>
  </si>
  <si>
    <t>22/03/2025Orthopaedics</t>
  </si>
  <si>
    <t>22/03/2025Neurology</t>
  </si>
  <si>
    <t>22/03/2025Oncology</t>
  </si>
  <si>
    <t>22/03/2025Paediatrics</t>
  </si>
  <si>
    <t>22/03/2025Maternity</t>
  </si>
  <si>
    <t>22/03/2025Renal Medicine</t>
  </si>
  <si>
    <t>22/03/2025Gastroenterology</t>
  </si>
  <si>
    <t>22/03/2025Endocrinology</t>
  </si>
  <si>
    <t>22/03/2025Urology</t>
  </si>
  <si>
    <t>22/03/2025ENT</t>
  </si>
  <si>
    <t>22/03/2025Geriatrics</t>
  </si>
  <si>
    <t>23/03/2025A&amp;E (Emergency)</t>
  </si>
  <si>
    <t>23/03/2025Cardiology</t>
  </si>
  <si>
    <t>23/03/2025Respiratory</t>
  </si>
  <si>
    <t>23/03/2025General Surgery</t>
  </si>
  <si>
    <t>23/03/2025Orthopaedics</t>
  </si>
  <si>
    <t>23/03/2025Neurology</t>
  </si>
  <si>
    <t>23/03/2025Oncology</t>
  </si>
  <si>
    <t>23/03/2025Paediatrics</t>
  </si>
  <si>
    <t>23/03/2025Maternity</t>
  </si>
  <si>
    <t>23/03/2025Renal Medicine</t>
  </si>
  <si>
    <t>23/03/2025Gastroenterology</t>
  </si>
  <si>
    <t>23/03/2025Endocrinology</t>
  </si>
  <si>
    <t>23/03/2025Urology</t>
  </si>
  <si>
    <t>23/03/2025ENT</t>
  </si>
  <si>
    <t>23/03/2025Geriatrics</t>
  </si>
  <si>
    <t>24/03/2025A&amp;E (Emergency)</t>
  </si>
  <si>
    <t>24/03/2025Cardiology</t>
  </si>
  <si>
    <t>24/03/2025Respiratory</t>
  </si>
  <si>
    <t>24/03/2025General Surgery</t>
  </si>
  <si>
    <t>24/03/2025Orthopaedics</t>
  </si>
  <si>
    <t>24/03/2025Neurology</t>
  </si>
  <si>
    <t>24/03/2025Oncology</t>
  </si>
  <si>
    <t>24/03/2025Paediatrics</t>
  </si>
  <si>
    <t>24/03/2025Maternity</t>
  </si>
  <si>
    <t>24/03/2025Renal Medicine</t>
  </si>
  <si>
    <t>24/03/2025Gastroenterology</t>
  </si>
  <si>
    <t>24/03/2025Endocrinology</t>
  </si>
  <si>
    <t>24/03/2025Urology</t>
  </si>
  <si>
    <t>24/03/2025ENT</t>
  </si>
  <si>
    <t>24/03/2025Geriatrics</t>
  </si>
  <si>
    <t>25/03/2025A&amp;E (Emergency)</t>
  </si>
  <si>
    <t>25/03/2025Cardiology</t>
  </si>
  <si>
    <t>25/03/2025Respiratory</t>
  </si>
  <si>
    <t>25/03/2025General Surgery</t>
  </si>
  <si>
    <t>25/03/2025Orthopaedics</t>
  </si>
  <si>
    <t>25/03/2025Neurology</t>
  </si>
  <si>
    <t>25/03/2025Oncology</t>
  </si>
  <si>
    <t>25/03/2025Paediatrics</t>
  </si>
  <si>
    <t>25/03/2025Maternity</t>
  </si>
  <si>
    <t>25/03/2025Renal Medicine</t>
  </si>
  <si>
    <t>25/03/2025Gastroenterology</t>
  </si>
  <si>
    <t>25/03/2025Endocrinology</t>
  </si>
  <si>
    <t>25/03/2025Urology</t>
  </si>
  <si>
    <t>25/03/2025ENT</t>
  </si>
  <si>
    <t>25/03/2025Geriatrics</t>
  </si>
  <si>
    <t>26/03/2025A&amp;E (Emergency)</t>
  </si>
  <si>
    <t>26/03/2025Cardiology</t>
  </si>
  <si>
    <t>26/03/2025Respiratory</t>
  </si>
  <si>
    <t>26/03/2025General Surgery</t>
  </si>
  <si>
    <t>26/03/2025Orthopaedics</t>
  </si>
  <si>
    <t>26/03/2025Neurology</t>
  </si>
  <si>
    <t>26/03/2025Oncology</t>
  </si>
  <si>
    <t>26/03/2025Paediatrics</t>
  </si>
  <si>
    <t>26/03/2025Maternity</t>
  </si>
  <si>
    <t>26/03/2025Renal Medicine</t>
  </si>
  <si>
    <t>26/03/2025Gastroenterology</t>
  </si>
  <si>
    <t>26/03/2025Endocrinology</t>
  </si>
  <si>
    <t>26/03/2025Urology</t>
  </si>
  <si>
    <t>26/03/2025ENT</t>
  </si>
  <si>
    <t>26/03/2025Geriatrics</t>
  </si>
  <si>
    <t>27/03/2025A&amp;E (Emergency)</t>
  </si>
  <si>
    <t>27/03/2025Cardiology</t>
  </si>
  <si>
    <t>27/03/2025Respiratory</t>
  </si>
  <si>
    <t>27/03/2025General Surgery</t>
  </si>
  <si>
    <t>27/03/2025Orthopaedics</t>
  </si>
  <si>
    <t>27/03/2025Neurology</t>
  </si>
  <si>
    <t>27/03/2025Oncology</t>
  </si>
  <si>
    <t>27/03/2025Paediatrics</t>
  </si>
  <si>
    <t>27/03/2025Maternity</t>
  </si>
  <si>
    <t>27/03/2025Renal Medicine</t>
  </si>
  <si>
    <t>27/03/2025Gastroenterology</t>
  </si>
  <si>
    <t>27/03/2025Endocrinology</t>
  </si>
  <si>
    <t>27/03/2025Urology</t>
  </si>
  <si>
    <t>27/03/2025ENT</t>
  </si>
  <si>
    <t>27/03/2025Geriatrics</t>
  </si>
  <si>
    <t>28/03/2025A&amp;E (Emergency)</t>
  </si>
  <si>
    <t>28/03/2025Cardiology</t>
  </si>
  <si>
    <t>28/03/2025Respiratory</t>
  </si>
  <si>
    <t>28/03/2025General Surgery</t>
  </si>
  <si>
    <t>28/03/2025Orthopaedics</t>
  </si>
  <si>
    <t>28/03/2025Neurology</t>
  </si>
  <si>
    <t>28/03/2025Oncology</t>
  </si>
  <si>
    <t>28/03/2025Paediatrics</t>
  </si>
  <si>
    <t>28/03/2025Maternity</t>
  </si>
  <si>
    <t>28/03/2025Renal Medicine</t>
  </si>
  <si>
    <t>28/03/2025Gastroenterology</t>
  </si>
  <si>
    <t>28/03/2025Endocrinology</t>
  </si>
  <si>
    <t>28/03/2025Urology</t>
  </si>
  <si>
    <t>28/03/2025ENT</t>
  </si>
  <si>
    <t>28/03/2025Geriatrics</t>
  </si>
  <si>
    <t>29/03/2025A&amp;E (Emergency)</t>
  </si>
  <si>
    <t>29/03/2025Cardiology</t>
  </si>
  <si>
    <t>29/03/2025Respiratory</t>
  </si>
  <si>
    <t>29/03/2025General Surgery</t>
  </si>
  <si>
    <t>29/03/2025Orthopaedics</t>
  </si>
  <si>
    <t>29/03/2025Neurology</t>
  </si>
  <si>
    <t>29/03/2025Oncology</t>
  </si>
  <si>
    <t>29/03/2025Paediatrics</t>
  </si>
  <si>
    <t>29/03/2025Maternity</t>
  </si>
  <si>
    <t>29/03/2025Renal Medicine</t>
  </si>
  <si>
    <t>29/03/2025Gastroenterology</t>
  </si>
  <si>
    <t>29/03/2025Endocrinology</t>
  </si>
  <si>
    <t>29/03/2025Urology</t>
  </si>
  <si>
    <t>29/03/2025ENT</t>
  </si>
  <si>
    <t>29/03/2025Geriatrics</t>
  </si>
  <si>
    <t>30/03/2025A&amp;E (Emergency)</t>
  </si>
  <si>
    <t>30/03/2025Cardiology</t>
  </si>
  <si>
    <t>30/03/2025Respiratory</t>
  </si>
  <si>
    <t>30/03/2025General Surgery</t>
  </si>
  <si>
    <t>30/03/2025Orthopaedics</t>
  </si>
  <si>
    <t>30/03/2025Neurology</t>
  </si>
  <si>
    <t>30/03/2025Oncology</t>
  </si>
  <si>
    <t>30/03/2025Paediatrics</t>
  </si>
  <si>
    <t>30/03/2025Maternity</t>
  </si>
  <si>
    <t>30/03/2025Renal Medicine</t>
  </si>
  <si>
    <t>30/03/2025Gastroenterology</t>
  </si>
  <si>
    <t>30/03/2025Endocrinology</t>
  </si>
  <si>
    <t>30/03/2025Urology</t>
  </si>
  <si>
    <t>30/03/2025ENT</t>
  </si>
  <si>
    <t>30/03/2025Geriatrics</t>
  </si>
  <si>
    <t>31/03/2025A&amp;E (Emergency)</t>
  </si>
  <si>
    <t>31/03/2025Cardiology</t>
  </si>
  <si>
    <t>31/03/2025Respiratory</t>
  </si>
  <si>
    <t>31/03/2025General Surgery</t>
  </si>
  <si>
    <t>31/03/2025Orthopaedics</t>
  </si>
  <si>
    <t>31/03/2025Neurology</t>
  </si>
  <si>
    <t>31/03/2025Oncology</t>
  </si>
  <si>
    <t>31/03/2025Paediatrics</t>
  </si>
  <si>
    <t>31/03/2025Maternity</t>
  </si>
  <si>
    <t>31/03/2025Renal Medicine</t>
  </si>
  <si>
    <t>31/03/2025Gastroenterology</t>
  </si>
  <si>
    <t>31/03/2025Endocrinology</t>
  </si>
  <si>
    <t>31/03/2025Urology</t>
  </si>
  <si>
    <t>31/03/2025ENT</t>
  </si>
  <si>
    <t>31/03/2025Geriatrics</t>
  </si>
  <si>
    <t>01/04/2025A&amp;E (Emergency)</t>
  </si>
  <si>
    <t>01/04/2025Cardiology</t>
  </si>
  <si>
    <t>01/04/2025Respiratory</t>
  </si>
  <si>
    <t>01/04/2025General Surgery</t>
  </si>
  <si>
    <t>01/04/2025Orthopaedics</t>
  </si>
  <si>
    <t>01/04/2025Neurology</t>
  </si>
  <si>
    <t>01/04/2025Oncology</t>
  </si>
  <si>
    <t>01/04/2025Paediatrics</t>
  </si>
  <si>
    <t>01/04/2025Maternity</t>
  </si>
  <si>
    <t>01/04/2025Renal Medicine</t>
  </si>
  <si>
    <t>01/04/2025Gastroenterology</t>
  </si>
  <si>
    <t>01/04/2025Endocrinology</t>
  </si>
  <si>
    <t>01/04/2025Urology</t>
  </si>
  <si>
    <t>01/04/2025ENT</t>
  </si>
  <si>
    <t>01/04/2025Geriatrics</t>
  </si>
  <si>
    <t>02/04/2025A&amp;E (Emergency)</t>
  </si>
  <si>
    <t>02/04/2025Cardiology</t>
  </si>
  <si>
    <t>02/04/2025Respiratory</t>
  </si>
  <si>
    <t>02/04/2025General Surgery</t>
  </si>
  <si>
    <t>02/04/2025Orthopaedics</t>
  </si>
  <si>
    <t>02/04/2025Neurology</t>
  </si>
  <si>
    <t>02/04/2025Oncology</t>
  </si>
  <si>
    <t>02/04/2025Paediatrics</t>
  </si>
  <si>
    <t>02/04/2025Maternity</t>
  </si>
  <si>
    <t>02/04/2025Renal Medicine</t>
  </si>
  <si>
    <t>02/04/2025Gastroenterology</t>
  </si>
  <si>
    <t>02/04/2025Endocrinology</t>
  </si>
  <si>
    <t>02/04/2025Urology</t>
  </si>
  <si>
    <t>02/04/2025ENT</t>
  </si>
  <si>
    <t>02/04/2025Geriatrics</t>
  </si>
  <si>
    <t>03/04/2025A&amp;E (Emergency)</t>
  </si>
  <si>
    <t>03/04/2025Cardiology</t>
  </si>
  <si>
    <t>03/04/2025Respiratory</t>
  </si>
  <si>
    <t>03/04/2025General Surgery</t>
  </si>
  <si>
    <t>03/04/2025Orthopaedics</t>
  </si>
  <si>
    <t>03/04/2025Neurology</t>
  </si>
  <si>
    <t>03/04/2025Oncology</t>
  </si>
  <si>
    <t>03/04/2025Paediatrics</t>
  </si>
  <si>
    <t>03/04/2025Maternity</t>
  </si>
  <si>
    <t>03/04/2025Renal Medicine</t>
  </si>
  <si>
    <t>03/04/2025Gastroenterology</t>
  </si>
  <si>
    <t>03/04/2025Endocrinology</t>
  </si>
  <si>
    <t>03/04/2025Urology</t>
  </si>
  <si>
    <t>03/04/2025ENT</t>
  </si>
  <si>
    <t>03/04/2025Geriatrics</t>
  </si>
  <si>
    <t>04/04/2025A&amp;E (Emergency)</t>
  </si>
  <si>
    <t>04/04/2025Cardiology</t>
  </si>
  <si>
    <t>04/04/2025Respiratory</t>
  </si>
  <si>
    <t>04/04/2025General Surgery</t>
  </si>
  <si>
    <t>04/04/2025Orthopaedics</t>
  </si>
  <si>
    <t>04/04/2025Neurology</t>
  </si>
  <si>
    <t>04/04/2025Oncology</t>
  </si>
  <si>
    <t>04/04/2025Paediatrics</t>
  </si>
  <si>
    <t>04/04/2025Maternity</t>
  </si>
  <si>
    <t>04/04/2025Renal Medicine</t>
  </si>
  <si>
    <t>04/04/2025Gastroenterology</t>
  </si>
  <si>
    <t>04/04/2025Endocrinology</t>
  </si>
  <si>
    <t>04/04/2025Urology</t>
  </si>
  <si>
    <t>04/04/2025ENT</t>
  </si>
  <si>
    <t>04/04/2025Geriatrics</t>
  </si>
  <si>
    <t>05/04/2025A&amp;E (Emergency)</t>
  </si>
  <si>
    <t>05/04/2025Cardiology</t>
  </si>
  <si>
    <t>05/04/2025Respiratory</t>
  </si>
  <si>
    <t>05/04/2025General Surgery</t>
  </si>
  <si>
    <t>05/04/2025Orthopaedics</t>
  </si>
  <si>
    <t>05/04/2025Neurology</t>
  </si>
  <si>
    <t>05/04/2025Oncology</t>
  </si>
  <si>
    <t>05/04/2025Paediatrics</t>
  </si>
  <si>
    <t>05/04/2025Maternity</t>
  </si>
  <si>
    <t>05/04/2025Renal Medicine</t>
  </si>
  <si>
    <t>05/04/2025Gastroenterology</t>
  </si>
  <si>
    <t>05/04/2025Endocrinology</t>
  </si>
  <si>
    <t>05/04/2025Urology</t>
  </si>
  <si>
    <t>05/04/2025ENT</t>
  </si>
  <si>
    <t>05/04/2025Geriatrics</t>
  </si>
  <si>
    <t>06/04/2025A&amp;E (Emergency)</t>
  </si>
  <si>
    <t>06/04/2025Cardiology</t>
  </si>
  <si>
    <t>06/04/2025Respiratory</t>
  </si>
  <si>
    <t>06/04/2025General Surgery</t>
  </si>
  <si>
    <t>06/04/2025Orthopaedics</t>
  </si>
  <si>
    <t>06/04/2025Neurology</t>
  </si>
  <si>
    <t>06/04/2025Oncology</t>
  </si>
  <si>
    <t>06/04/2025Paediatrics</t>
  </si>
  <si>
    <t>06/04/2025Maternity</t>
  </si>
  <si>
    <t>06/04/2025Renal Medicine</t>
  </si>
  <si>
    <t>06/04/2025Gastroenterology</t>
  </si>
  <si>
    <t>06/04/2025Endocrinology</t>
  </si>
  <si>
    <t>06/04/2025Urology</t>
  </si>
  <si>
    <t>06/04/2025ENT</t>
  </si>
  <si>
    <t>06/04/2025Geriatrics</t>
  </si>
  <si>
    <t>07/04/2025A&amp;E (Emergency)</t>
  </si>
  <si>
    <t>07/04/2025Cardiology</t>
  </si>
  <si>
    <t>07/04/2025Respiratory</t>
  </si>
  <si>
    <t>07/04/2025General Surgery</t>
  </si>
  <si>
    <t>07/04/2025Orthopaedics</t>
  </si>
  <si>
    <t>07/04/2025Neurology</t>
  </si>
  <si>
    <t>07/04/2025Oncology</t>
  </si>
  <si>
    <t>07/04/2025Paediatrics</t>
  </si>
  <si>
    <t>07/04/2025Maternity</t>
  </si>
  <si>
    <t>07/04/2025Renal Medicine</t>
  </si>
  <si>
    <t>07/04/2025Gastroenterology</t>
  </si>
  <si>
    <t>07/04/2025Endocrinology</t>
  </si>
  <si>
    <t>07/04/2025Urology</t>
  </si>
  <si>
    <t>07/04/2025ENT</t>
  </si>
  <si>
    <t>07/04/2025Geriatrics</t>
  </si>
  <si>
    <t>08/04/2025A&amp;E (Emergency)</t>
  </si>
  <si>
    <t>08/04/2025Cardiology</t>
  </si>
  <si>
    <t>08/04/2025Respiratory</t>
  </si>
  <si>
    <t>08/04/2025General Surgery</t>
  </si>
  <si>
    <t>08/04/2025Orthopaedics</t>
  </si>
  <si>
    <t>08/04/2025Neurology</t>
  </si>
  <si>
    <t>08/04/2025Oncology</t>
  </si>
  <si>
    <t>08/04/2025Paediatrics</t>
  </si>
  <si>
    <t>08/04/2025Maternity</t>
  </si>
  <si>
    <t>08/04/2025Renal Medicine</t>
  </si>
  <si>
    <t>08/04/2025Gastroenterology</t>
  </si>
  <si>
    <t>08/04/2025Endocrinology</t>
  </si>
  <si>
    <t>08/04/2025Urology</t>
  </si>
  <si>
    <t>08/04/2025ENT</t>
  </si>
  <si>
    <t>08/04/2025Geriatrics</t>
  </si>
  <si>
    <t>09/04/2025A&amp;E (Emergency)</t>
  </si>
  <si>
    <t>09/04/2025Cardiology</t>
  </si>
  <si>
    <t>09/04/2025Respiratory</t>
  </si>
  <si>
    <t>09/04/2025General Surgery</t>
  </si>
  <si>
    <t>09/04/2025Orthopaedics</t>
  </si>
  <si>
    <t>09/04/2025Neurology</t>
  </si>
  <si>
    <t>09/04/2025Oncology</t>
  </si>
  <si>
    <t>09/04/2025Paediatrics</t>
  </si>
  <si>
    <t>09/04/2025Maternity</t>
  </si>
  <si>
    <t>09/04/2025Renal Medicine</t>
  </si>
  <si>
    <t>09/04/2025Gastroenterology</t>
  </si>
  <si>
    <t>09/04/2025Endocrinology</t>
  </si>
  <si>
    <t>09/04/2025Urology</t>
  </si>
  <si>
    <t>09/04/2025ENT</t>
  </si>
  <si>
    <t>09/04/2025Geriatrics</t>
  </si>
  <si>
    <t>10/04/2025A&amp;E (Emergency)</t>
  </si>
  <si>
    <t>10/04/2025Cardiology</t>
  </si>
  <si>
    <t>10/04/2025Respiratory</t>
  </si>
  <si>
    <t>10/04/2025General Surgery</t>
  </si>
  <si>
    <t>10/04/2025Orthopaedics</t>
  </si>
  <si>
    <t>10/04/2025Neurology</t>
  </si>
  <si>
    <t>10/04/2025Oncology</t>
  </si>
  <si>
    <t>10/04/2025Paediatrics</t>
  </si>
  <si>
    <t>10/04/2025Maternity</t>
  </si>
  <si>
    <t>10/04/2025Renal Medicine</t>
  </si>
  <si>
    <t>10/04/2025Gastroenterology</t>
  </si>
  <si>
    <t>10/04/2025Endocrinology</t>
  </si>
  <si>
    <t>10/04/2025Urology</t>
  </si>
  <si>
    <t>10/04/2025ENT</t>
  </si>
  <si>
    <t>10/04/2025Geriatrics</t>
  </si>
  <si>
    <t>11/04/2025A&amp;E (Emergency)</t>
  </si>
  <si>
    <t>11/04/2025Cardiology</t>
  </si>
  <si>
    <t>11/04/2025Respiratory</t>
  </si>
  <si>
    <t>11/04/2025General Surgery</t>
  </si>
  <si>
    <t>11/04/2025Orthopaedics</t>
  </si>
  <si>
    <t>11/04/2025Neurology</t>
  </si>
  <si>
    <t>11/04/2025Oncology</t>
  </si>
  <si>
    <t>11/04/2025Paediatrics</t>
  </si>
  <si>
    <t>11/04/2025Maternity</t>
  </si>
  <si>
    <t>11/04/2025Renal Medicine</t>
  </si>
  <si>
    <t>11/04/2025Gastroenterology</t>
  </si>
  <si>
    <t>11/04/2025Endocrinology</t>
  </si>
  <si>
    <t>11/04/2025Urology</t>
  </si>
  <si>
    <t>11/04/2025ENT</t>
  </si>
  <si>
    <t>11/04/2025Geriatrics</t>
  </si>
  <si>
    <t>12/04/2025A&amp;E (Emergency)</t>
  </si>
  <si>
    <t>12/04/2025Cardiology</t>
  </si>
  <si>
    <t>12/04/2025Respiratory</t>
  </si>
  <si>
    <t>12/04/2025General Surgery</t>
  </si>
  <si>
    <t>12/04/2025Orthopaedics</t>
  </si>
  <si>
    <t>12/04/2025Neurology</t>
  </si>
  <si>
    <t>12/04/2025Oncology</t>
  </si>
  <si>
    <t>12/04/2025Paediatrics</t>
  </si>
  <si>
    <t>12/04/2025Maternity</t>
  </si>
  <si>
    <t>12/04/2025Renal Medicine</t>
  </si>
  <si>
    <t>12/04/2025Gastroenterology</t>
  </si>
  <si>
    <t>12/04/2025Endocrinology</t>
  </si>
  <si>
    <t>12/04/2025Urology</t>
  </si>
  <si>
    <t>12/04/2025ENT</t>
  </si>
  <si>
    <t>12/04/2025Geriatrics</t>
  </si>
  <si>
    <t>13/04/2025A&amp;E (Emergency)</t>
  </si>
  <si>
    <t>13/04/2025Cardiology</t>
  </si>
  <si>
    <t>13/04/2025Respiratory</t>
  </si>
  <si>
    <t>13/04/2025General Surgery</t>
  </si>
  <si>
    <t>13/04/2025Orthopaedics</t>
  </si>
  <si>
    <t>13/04/2025Neurology</t>
  </si>
  <si>
    <t>13/04/2025Oncology</t>
  </si>
  <si>
    <t>13/04/2025Paediatrics</t>
  </si>
  <si>
    <t>13/04/2025Maternity</t>
  </si>
  <si>
    <t>13/04/2025Renal Medicine</t>
  </si>
  <si>
    <t>13/04/2025Gastroenterology</t>
  </si>
  <si>
    <t>13/04/2025Endocrinology</t>
  </si>
  <si>
    <t>13/04/2025Urology</t>
  </si>
  <si>
    <t>13/04/2025ENT</t>
  </si>
  <si>
    <t>13/04/2025Geriatrics</t>
  </si>
  <si>
    <t>14/04/2025A&amp;E (Emergency)</t>
  </si>
  <si>
    <t>14/04/2025Cardiology</t>
  </si>
  <si>
    <t>14/04/2025Respiratory</t>
  </si>
  <si>
    <t>14/04/2025General Surgery</t>
  </si>
  <si>
    <t>14/04/2025Orthopaedics</t>
  </si>
  <si>
    <t>14/04/2025Neurology</t>
  </si>
  <si>
    <t>14/04/2025Oncology</t>
  </si>
  <si>
    <t>14/04/2025Paediatrics</t>
  </si>
  <si>
    <t>14/04/2025Maternity</t>
  </si>
  <si>
    <t>14/04/2025Renal Medicine</t>
  </si>
  <si>
    <t>14/04/2025Gastroenterology</t>
  </si>
  <si>
    <t>14/04/2025Endocrinology</t>
  </si>
  <si>
    <t>14/04/2025Urology</t>
  </si>
  <si>
    <t>14/04/2025ENT</t>
  </si>
  <si>
    <t>14/04/2025Geriatrics</t>
  </si>
  <si>
    <t>15/04/2025A&amp;E (Emergency)</t>
  </si>
  <si>
    <t>15/04/2025Cardiology</t>
  </si>
  <si>
    <t>15/04/2025Respiratory</t>
  </si>
  <si>
    <t>15/04/2025General Surgery</t>
  </si>
  <si>
    <t>15/04/2025Orthopaedics</t>
  </si>
  <si>
    <t>15/04/2025Neurology</t>
  </si>
  <si>
    <t>15/04/2025Oncology</t>
  </si>
  <si>
    <t>15/04/2025Paediatrics</t>
  </si>
  <si>
    <t>15/04/2025Maternity</t>
  </si>
  <si>
    <t>15/04/2025Renal Medicine</t>
  </si>
  <si>
    <t>15/04/2025Gastroenterology</t>
  </si>
  <si>
    <t>15/04/2025Endocrinology</t>
  </si>
  <si>
    <t>15/04/2025Urology</t>
  </si>
  <si>
    <t>15/04/2025ENT</t>
  </si>
  <si>
    <t>15/04/2025Geriatrics</t>
  </si>
  <si>
    <t>16/04/2025A&amp;E (Emergency)</t>
  </si>
  <si>
    <t>16/04/2025Cardiology</t>
  </si>
  <si>
    <t>16/04/2025Respiratory</t>
  </si>
  <si>
    <t>16/04/2025General Surgery</t>
  </si>
  <si>
    <t>16/04/2025Orthopaedics</t>
  </si>
  <si>
    <t>16/04/2025Neurology</t>
  </si>
  <si>
    <t>16/04/2025Oncology</t>
  </si>
  <si>
    <t>16/04/2025Paediatrics</t>
  </si>
  <si>
    <t>16/04/2025Maternity</t>
  </si>
  <si>
    <t>16/04/2025Renal Medicine</t>
  </si>
  <si>
    <t>16/04/2025Gastroenterology</t>
  </si>
  <si>
    <t>16/04/2025Endocrinology</t>
  </si>
  <si>
    <t>16/04/2025Urology</t>
  </si>
  <si>
    <t>16/04/2025ENT</t>
  </si>
  <si>
    <t>16/04/2025Geriatrics</t>
  </si>
  <si>
    <t>17/04/2025A&amp;E (Emergency)</t>
  </si>
  <si>
    <t>17/04/2025Cardiology</t>
  </si>
  <si>
    <t>17/04/2025Respiratory</t>
  </si>
  <si>
    <t>17/04/2025General Surgery</t>
  </si>
  <si>
    <t>17/04/2025Orthopaedics</t>
  </si>
  <si>
    <t>17/04/2025Neurology</t>
  </si>
  <si>
    <t>17/04/2025Oncology</t>
  </si>
  <si>
    <t>17/04/2025Paediatrics</t>
  </si>
  <si>
    <t>17/04/2025Maternity</t>
  </si>
  <si>
    <t>17/04/2025Renal Medicine</t>
  </si>
  <si>
    <t>17/04/2025Gastroenterology</t>
  </si>
  <si>
    <t>17/04/2025Endocrinology</t>
  </si>
  <si>
    <t>17/04/2025Urology</t>
  </si>
  <si>
    <t>17/04/2025ENT</t>
  </si>
  <si>
    <t>17/04/2025Geriatrics</t>
  </si>
  <si>
    <t>18/04/2025A&amp;E (Emergency)</t>
  </si>
  <si>
    <t>18/04/2025Cardiology</t>
  </si>
  <si>
    <t>18/04/2025Respiratory</t>
  </si>
  <si>
    <t>18/04/2025General Surgery</t>
  </si>
  <si>
    <t>18/04/2025Orthopaedics</t>
  </si>
  <si>
    <t>18/04/2025Neurology</t>
  </si>
  <si>
    <t>18/04/2025Oncology</t>
  </si>
  <si>
    <t>18/04/2025Paediatrics</t>
  </si>
  <si>
    <t>18/04/2025Maternity</t>
  </si>
  <si>
    <t>18/04/2025Renal Medicine</t>
  </si>
  <si>
    <t>18/04/2025Gastroenterology</t>
  </si>
  <si>
    <t>18/04/2025Endocrinology</t>
  </si>
  <si>
    <t>18/04/2025Urology</t>
  </si>
  <si>
    <t>18/04/2025ENT</t>
  </si>
  <si>
    <t>18/04/2025Geriatrics</t>
  </si>
  <si>
    <t>19/04/2025A&amp;E (Emergency)</t>
  </si>
  <si>
    <t>19/04/2025Cardiology</t>
  </si>
  <si>
    <t>19/04/2025Respiratory</t>
  </si>
  <si>
    <t>19/04/2025General Surgery</t>
  </si>
  <si>
    <t>19/04/2025Orthopaedics</t>
  </si>
  <si>
    <t>19/04/2025Neurology</t>
  </si>
  <si>
    <t>19/04/2025Oncology</t>
  </si>
  <si>
    <t>19/04/2025Paediatrics</t>
  </si>
  <si>
    <t>19/04/2025Maternity</t>
  </si>
  <si>
    <t>19/04/2025Renal Medicine</t>
  </si>
  <si>
    <t>19/04/2025Gastroenterology</t>
  </si>
  <si>
    <t>19/04/2025Endocrinology</t>
  </si>
  <si>
    <t>19/04/2025Urology</t>
  </si>
  <si>
    <t>19/04/2025ENT</t>
  </si>
  <si>
    <t>19/04/2025Geriatrics</t>
  </si>
  <si>
    <t>20/04/2025A&amp;E (Emergency)</t>
  </si>
  <si>
    <t>20/04/2025Cardiology</t>
  </si>
  <si>
    <t>20/04/2025Respiratory</t>
  </si>
  <si>
    <t>20/04/2025General Surgery</t>
  </si>
  <si>
    <t>20/04/2025Orthopaedics</t>
  </si>
  <si>
    <t>20/04/2025Neurology</t>
  </si>
  <si>
    <t>20/04/2025Oncology</t>
  </si>
  <si>
    <t>20/04/2025Paediatrics</t>
  </si>
  <si>
    <t>20/04/2025Maternity</t>
  </si>
  <si>
    <t>20/04/2025Renal Medicine</t>
  </si>
  <si>
    <t>20/04/2025Gastroenterology</t>
  </si>
  <si>
    <t>20/04/2025Endocrinology</t>
  </si>
  <si>
    <t>20/04/2025Urology</t>
  </si>
  <si>
    <t>20/04/2025ENT</t>
  </si>
  <si>
    <t>20/04/2025Geriatrics</t>
  </si>
  <si>
    <t>21/04/2025A&amp;E (Emergency)</t>
  </si>
  <si>
    <t>21/04/2025Cardiology</t>
  </si>
  <si>
    <t>21/04/2025Respiratory</t>
  </si>
  <si>
    <t>21/04/2025General Surgery</t>
  </si>
  <si>
    <t>21/04/2025Orthopaedics</t>
  </si>
  <si>
    <t>21/04/2025Neurology</t>
  </si>
  <si>
    <t>21/04/2025Oncology</t>
  </si>
  <si>
    <t>21/04/2025Paediatrics</t>
  </si>
  <si>
    <t>21/04/2025Maternity</t>
  </si>
  <si>
    <t>21/04/2025Renal Medicine</t>
  </si>
  <si>
    <t>21/04/2025Gastroenterology</t>
  </si>
  <si>
    <t>21/04/2025Endocrinology</t>
  </si>
  <si>
    <t>21/04/2025Urology</t>
  </si>
  <si>
    <t>21/04/2025ENT</t>
  </si>
  <si>
    <t>21/04/2025Geriatrics</t>
  </si>
  <si>
    <t>22/04/2025A&amp;E (Emergency)</t>
  </si>
  <si>
    <t>22/04/2025Cardiology</t>
  </si>
  <si>
    <t>22/04/2025Respiratory</t>
  </si>
  <si>
    <t>22/04/2025General Surgery</t>
  </si>
  <si>
    <t>22/04/2025Orthopaedics</t>
  </si>
  <si>
    <t>22/04/2025Neurology</t>
  </si>
  <si>
    <t>22/04/2025Oncology</t>
  </si>
  <si>
    <t>22/04/2025Paediatrics</t>
  </si>
  <si>
    <t>22/04/2025Maternity</t>
  </si>
  <si>
    <t>22/04/2025Renal Medicine</t>
  </si>
  <si>
    <t>22/04/2025Gastroenterology</t>
  </si>
  <si>
    <t>22/04/2025Endocrinology</t>
  </si>
  <si>
    <t>22/04/2025Urology</t>
  </si>
  <si>
    <t>22/04/2025ENT</t>
  </si>
  <si>
    <t>22/04/2025Geriatrics</t>
  </si>
  <si>
    <t>23/04/2025A&amp;E (Emergency)</t>
  </si>
  <si>
    <t>23/04/2025Cardiology</t>
  </si>
  <si>
    <t>23/04/2025Respiratory</t>
  </si>
  <si>
    <t>23/04/2025General Surgery</t>
  </si>
  <si>
    <t>23/04/2025Orthopaedics</t>
  </si>
  <si>
    <t>23/04/2025Neurology</t>
  </si>
  <si>
    <t>23/04/2025Oncology</t>
  </si>
  <si>
    <t>23/04/2025Paediatrics</t>
  </si>
  <si>
    <t>23/04/2025Maternity</t>
  </si>
  <si>
    <t>23/04/2025Renal Medicine</t>
  </si>
  <si>
    <t>23/04/2025Gastroenterology</t>
  </si>
  <si>
    <t>23/04/2025Endocrinology</t>
  </si>
  <si>
    <t>23/04/2025Urology</t>
  </si>
  <si>
    <t>23/04/2025ENT</t>
  </si>
  <si>
    <t>23/04/2025Geriatrics</t>
  </si>
  <si>
    <t>24/04/2025A&amp;E (Emergency)</t>
  </si>
  <si>
    <t>24/04/2025Cardiology</t>
  </si>
  <si>
    <t>24/04/2025Respiratory</t>
  </si>
  <si>
    <t>24/04/2025General Surgery</t>
  </si>
  <si>
    <t>24/04/2025Orthopaedics</t>
  </si>
  <si>
    <t>24/04/2025Neurology</t>
  </si>
  <si>
    <t>24/04/2025Oncology</t>
  </si>
  <si>
    <t>24/04/2025Paediatrics</t>
  </si>
  <si>
    <t>24/04/2025Maternity</t>
  </si>
  <si>
    <t>24/04/2025Renal Medicine</t>
  </si>
  <si>
    <t>24/04/2025Gastroenterology</t>
  </si>
  <si>
    <t>24/04/2025Endocrinology</t>
  </si>
  <si>
    <t>24/04/2025Urology</t>
  </si>
  <si>
    <t>24/04/2025ENT</t>
  </si>
  <si>
    <t>24/04/2025Geriatrics</t>
  </si>
  <si>
    <t>25/04/2025A&amp;E (Emergency)</t>
  </si>
  <si>
    <t>25/04/2025Cardiology</t>
  </si>
  <si>
    <t>25/04/2025Respiratory</t>
  </si>
  <si>
    <t>25/04/2025General Surgery</t>
  </si>
  <si>
    <t>25/04/2025Orthopaedics</t>
  </si>
  <si>
    <t>25/04/2025Neurology</t>
  </si>
  <si>
    <t>25/04/2025Oncology</t>
  </si>
  <si>
    <t>25/04/2025Paediatrics</t>
  </si>
  <si>
    <t>25/04/2025Maternity</t>
  </si>
  <si>
    <t>25/04/2025Renal Medicine</t>
  </si>
  <si>
    <t>25/04/2025Gastroenterology</t>
  </si>
  <si>
    <t>25/04/2025Endocrinology</t>
  </si>
  <si>
    <t>25/04/2025Urology</t>
  </si>
  <si>
    <t>25/04/2025ENT</t>
  </si>
  <si>
    <t>25/04/2025Geriatrics</t>
  </si>
  <si>
    <t>26/04/2025A&amp;E (Emergency)</t>
  </si>
  <si>
    <t>26/04/2025Cardiology</t>
  </si>
  <si>
    <t>26/04/2025Respiratory</t>
  </si>
  <si>
    <t>26/04/2025General Surgery</t>
  </si>
  <si>
    <t>26/04/2025Orthopaedics</t>
  </si>
  <si>
    <t>26/04/2025Neurology</t>
  </si>
  <si>
    <t>26/04/2025Oncology</t>
  </si>
  <si>
    <t>26/04/2025Paediatrics</t>
  </si>
  <si>
    <t>26/04/2025Maternity</t>
  </si>
  <si>
    <t>26/04/2025Renal Medicine</t>
  </si>
  <si>
    <t>26/04/2025Gastroenterology</t>
  </si>
  <si>
    <t>26/04/2025Endocrinology</t>
  </si>
  <si>
    <t>26/04/2025Urology</t>
  </si>
  <si>
    <t>26/04/2025ENT</t>
  </si>
  <si>
    <t>26/04/2025Geriatrics</t>
  </si>
  <si>
    <t>27/04/2025A&amp;E (Emergency)</t>
  </si>
  <si>
    <t>27/04/2025Cardiology</t>
  </si>
  <si>
    <t>27/04/2025Respiratory</t>
  </si>
  <si>
    <t>27/04/2025General Surgery</t>
  </si>
  <si>
    <t>27/04/2025Orthopaedics</t>
  </si>
  <si>
    <t>27/04/2025Neurology</t>
  </si>
  <si>
    <t>27/04/2025Oncology</t>
  </si>
  <si>
    <t>27/04/2025Paediatrics</t>
  </si>
  <si>
    <t>27/04/2025Maternity</t>
  </si>
  <si>
    <t>27/04/2025Renal Medicine</t>
  </si>
  <si>
    <t>27/04/2025Gastroenterology</t>
  </si>
  <si>
    <t>27/04/2025Endocrinology</t>
  </si>
  <si>
    <t>27/04/2025Urology</t>
  </si>
  <si>
    <t>27/04/2025ENT</t>
  </si>
  <si>
    <t>27/04/2025Geriatrics</t>
  </si>
  <si>
    <t>28/04/2025A&amp;E (Emergency)</t>
  </si>
  <si>
    <t>28/04/2025Cardiology</t>
  </si>
  <si>
    <t>28/04/2025Respiratory</t>
  </si>
  <si>
    <t>28/04/2025General Surgery</t>
  </si>
  <si>
    <t>28/04/2025Orthopaedics</t>
  </si>
  <si>
    <t>28/04/2025Neurology</t>
  </si>
  <si>
    <t>28/04/2025Oncology</t>
  </si>
  <si>
    <t>28/04/2025Paediatrics</t>
  </si>
  <si>
    <t>28/04/2025Maternity</t>
  </si>
  <si>
    <t>28/04/2025Renal Medicine</t>
  </si>
  <si>
    <t>28/04/2025Gastroenterology</t>
  </si>
  <si>
    <t>28/04/2025Endocrinology</t>
  </si>
  <si>
    <t>28/04/2025Urology</t>
  </si>
  <si>
    <t>28/04/2025ENT</t>
  </si>
  <si>
    <t>28/04/2025Geriatrics</t>
  </si>
  <si>
    <t>29/04/2025A&amp;E (Emergency)</t>
  </si>
  <si>
    <t>29/04/2025Cardiology</t>
  </si>
  <si>
    <t>29/04/2025Respiratory</t>
  </si>
  <si>
    <t>29/04/2025General Surgery</t>
  </si>
  <si>
    <t>29/04/2025Orthopaedics</t>
  </si>
  <si>
    <t>29/04/2025Neurology</t>
  </si>
  <si>
    <t>29/04/2025Oncology</t>
  </si>
  <si>
    <t>29/04/2025Paediatrics</t>
  </si>
  <si>
    <t>29/04/2025Maternity</t>
  </si>
  <si>
    <t>29/04/2025Renal Medicine</t>
  </si>
  <si>
    <t>29/04/2025Gastroenterology</t>
  </si>
  <si>
    <t>29/04/2025Endocrinology</t>
  </si>
  <si>
    <t>29/04/2025Urology</t>
  </si>
  <si>
    <t>29/04/2025ENT</t>
  </si>
  <si>
    <t>29/04/2025Geriatrics</t>
  </si>
  <si>
    <t>30/04/2025A&amp;E (Emergency)</t>
  </si>
  <si>
    <t>30/04/2025Cardiology</t>
  </si>
  <si>
    <t>30/04/2025Respiratory</t>
  </si>
  <si>
    <t>30/04/2025General Surgery</t>
  </si>
  <si>
    <t>30/04/2025Orthopaedics</t>
  </si>
  <si>
    <t>30/04/2025Neurology</t>
  </si>
  <si>
    <t>30/04/2025Oncology</t>
  </si>
  <si>
    <t>30/04/2025Paediatrics</t>
  </si>
  <si>
    <t>30/04/2025Maternity</t>
  </si>
  <si>
    <t>30/04/2025Renal Medicine</t>
  </si>
  <si>
    <t>30/04/2025Gastroenterology</t>
  </si>
  <si>
    <t>30/04/2025Endocrinology</t>
  </si>
  <si>
    <t>30/04/2025Urology</t>
  </si>
  <si>
    <t>30/04/2025ENT</t>
  </si>
  <si>
    <t>30/04/2025Geriatrics</t>
  </si>
  <si>
    <t>01/05/2025A&amp;E (Emergency)</t>
  </si>
  <si>
    <t>01/05/2025Cardiology</t>
  </si>
  <si>
    <t>01/05/2025Respiratory</t>
  </si>
  <si>
    <t>01/05/2025General Surgery</t>
  </si>
  <si>
    <t>01/05/2025Orthopaedics</t>
  </si>
  <si>
    <t>01/05/2025Neurology</t>
  </si>
  <si>
    <t>01/05/2025Oncology</t>
  </si>
  <si>
    <t>01/05/2025Paediatrics</t>
  </si>
  <si>
    <t>01/05/2025Maternity</t>
  </si>
  <si>
    <t>01/05/2025Renal Medicine</t>
  </si>
  <si>
    <t>01/05/2025Gastroenterology</t>
  </si>
  <si>
    <t>01/05/2025Endocrinology</t>
  </si>
  <si>
    <t>01/05/2025Urology</t>
  </si>
  <si>
    <t>01/05/2025ENT</t>
  </si>
  <si>
    <t>01/05/2025Geriatrics</t>
  </si>
  <si>
    <t>02/05/2025A&amp;E (Emergency)</t>
  </si>
  <si>
    <t>02/05/2025Cardiology</t>
  </si>
  <si>
    <t>02/05/2025Respiratory</t>
  </si>
  <si>
    <t>02/05/2025General Surgery</t>
  </si>
  <si>
    <t>02/05/2025Orthopaedics</t>
  </si>
  <si>
    <t>02/05/2025Neurology</t>
  </si>
  <si>
    <t>02/05/2025Oncology</t>
  </si>
  <si>
    <t>02/05/2025Paediatrics</t>
  </si>
  <si>
    <t>02/05/2025Maternity</t>
  </si>
  <si>
    <t>02/05/2025Renal Medicine</t>
  </si>
  <si>
    <t>02/05/2025Gastroenterology</t>
  </si>
  <si>
    <t>02/05/2025Endocrinology</t>
  </si>
  <si>
    <t>02/05/2025Urology</t>
  </si>
  <si>
    <t>02/05/2025ENT</t>
  </si>
  <si>
    <t>02/05/2025Geriatrics</t>
  </si>
  <si>
    <t>03/05/2025A&amp;E (Emergency)</t>
  </si>
  <si>
    <t>03/05/2025Cardiology</t>
  </si>
  <si>
    <t>03/05/2025Respiratory</t>
  </si>
  <si>
    <t>03/05/2025General Surgery</t>
  </si>
  <si>
    <t>03/05/2025Orthopaedics</t>
  </si>
  <si>
    <t>03/05/2025Neurology</t>
  </si>
  <si>
    <t>03/05/2025Oncology</t>
  </si>
  <si>
    <t>03/05/2025Paediatrics</t>
  </si>
  <si>
    <t>03/05/2025Maternity</t>
  </si>
  <si>
    <t>03/05/2025Renal Medicine</t>
  </si>
  <si>
    <t>03/05/2025Gastroenterology</t>
  </si>
  <si>
    <t>03/05/2025Endocrinology</t>
  </si>
  <si>
    <t>03/05/2025Urology</t>
  </si>
  <si>
    <t>03/05/2025ENT</t>
  </si>
  <si>
    <t>03/05/2025Geriatrics</t>
  </si>
  <si>
    <t>04/05/2025A&amp;E (Emergency)</t>
  </si>
  <si>
    <t>04/05/2025Cardiology</t>
  </si>
  <si>
    <t>04/05/2025Respiratory</t>
  </si>
  <si>
    <t>04/05/2025General Surgery</t>
  </si>
  <si>
    <t>04/05/2025Orthopaedics</t>
  </si>
  <si>
    <t>04/05/2025Neurology</t>
  </si>
  <si>
    <t>04/05/2025Oncology</t>
  </si>
  <si>
    <t>04/05/2025Paediatrics</t>
  </si>
  <si>
    <t>04/05/2025Maternity</t>
  </si>
  <si>
    <t>04/05/2025Renal Medicine</t>
  </si>
  <si>
    <t>04/05/2025Gastroenterology</t>
  </si>
  <si>
    <t>04/05/2025Endocrinology</t>
  </si>
  <si>
    <t>04/05/2025Urology</t>
  </si>
  <si>
    <t>04/05/2025ENT</t>
  </si>
  <si>
    <t>04/05/2025Geriatrics</t>
  </si>
  <si>
    <t>05/05/2025A&amp;E (Emergency)</t>
  </si>
  <si>
    <t>05/05/2025Cardiology</t>
  </si>
  <si>
    <t>05/05/2025Respiratory</t>
  </si>
  <si>
    <t>05/05/2025General Surgery</t>
  </si>
  <si>
    <t>05/05/2025Orthopaedics</t>
  </si>
  <si>
    <t>05/05/2025Neurology</t>
  </si>
  <si>
    <t>05/05/2025Oncology</t>
  </si>
  <si>
    <t>05/05/2025Paediatrics</t>
  </si>
  <si>
    <t>05/05/2025Maternity</t>
  </si>
  <si>
    <t>05/05/2025Renal Medicine</t>
  </si>
  <si>
    <t>05/05/2025Gastroenterology</t>
  </si>
  <si>
    <t>05/05/2025Endocrinology</t>
  </si>
  <si>
    <t>05/05/2025Urology</t>
  </si>
  <si>
    <t>05/05/2025ENT</t>
  </si>
  <si>
    <t>05/05/2025Geriatrics</t>
  </si>
  <si>
    <t>06/05/2025A&amp;E (Emergency)</t>
  </si>
  <si>
    <t>06/05/2025Cardiology</t>
  </si>
  <si>
    <t>06/05/2025Respiratory</t>
  </si>
  <si>
    <t>06/05/2025General Surgery</t>
  </si>
  <si>
    <t>06/05/2025Orthopaedics</t>
  </si>
  <si>
    <t>06/05/2025Neurology</t>
  </si>
  <si>
    <t>06/05/2025Oncology</t>
  </si>
  <si>
    <t>06/05/2025Paediatrics</t>
  </si>
  <si>
    <t>06/05/2025Maternity</t>
  </si>
  <si>
    <t>06/05/2025Renal Medicine</t>
  </si>
  <si>
    <t>06/05/2025Gastroenterology</t>
  </si>
  <si>
    <t>06/05/2025Endocrinology</t>
  </si>
  <si>
    <t>06/05/2025Urology</t>
  </si>
  <si>
    <t>06/05/2025ENT</t>
  </si>
  <si>
    <t>06/05/2025Geriatrics</t>
  </si>
  <si>
    <t>07/05/2025A&amp;E (Emergency)</t>
  </si>
  <si>
    <t>07/05/2025Cardiology</t>
  </si>
  <si>
    <t>07/05/2025Respiratory</t>
  </si>
  <si>
    <t>07/05/2025General Surgery</t>
  </si>
  <si>
    <t>07/05/2025Orthopaedics</t>
  </si>
  <si>
    <t>07/05/2025Neurology</t>
  </si>
  <si>
    <t>07/05/2025Oncology</t>
  </si>
  <si>
    <t>07/05/2025Paediatrics</t>
  </si>
  <si>
    <t>07/05/2025Maternity</t>
  </si>
  <si>
    <t>07/05/2025Renal Medicine</t>
  </si>
  <si>
    <t>07/05/2025Gastroenterology</t>
  </si>
  <si>
    <t>07/05/2025Endocrinology</t>
  </si>
  <si>
    <t>07/05/2025Urology</t>
  </si>
  <si>
    <t>07/05/2025ENT</t>
  </si>
  <si>
    <t>07/05/2025Geriatrics</t>
  </si>
  <si>
    <t>08/05/2025A&amp;E (Emergency)</t>
  </si>
  <si>
    <t>08/05/2025Cardiology</t>
  </si>
  <si>
    <t>08/05/2025Respiratory</t>
  </si>
  <si>
    <t>08/05/2025General Surgery</t>
  </si>
  <si>
    <t>08/05/2025Orthopaedics</t>
  </si>
  <si>
    <t>08/05/2025Neurology</t>
  </si>
  <si>
    <t>08/05/2025Oncology</t>
  </si>
  <si>
    <t>08/05/2025Paediatrics</t>
  </si>
  <si>
    <t>08/05/2025Maternity</t>
  </si>
  <si>
    <t>08/05/2025Renal Medicine</t>
  </si>
  <si>
    <t>08/05/2025Gastroenterology</t>
  </si>
  <si>
    <t>08/05/2025Endocrinology</t>
  </si>
  <si>
    <t>08/05/2025Urology</t>
  </si>
  <si>
    <t>08/05/2025ENT</t>
  </si>
  <si>
    <t>08/05/2025Geriatrics</t>
  </si>
  <si>
    <t>09/05/2025A&amp;E (Emergency)</t>
  </si>
  <si>
    <t>09/05/2025Cardiology</t>
  </si>
  <si>
    <t>09/05/2025Respiratory</t>
  </si>
  <si>
    <t>09/05/2025General Surgery</t>
  </si>
  <si>
    <t>09/05/2025Orthopaedics</t>
  </si>
  <si>
    <t>09/05/2025Neurology</t>
  </si>
  <si>
    <t>09/05/2025Oncology</t>
  </si>
  <si>
    <t>09/05/2025Paediatrics</t>
  </si>
  <si>
    <t>09/05/2025Maternity</t>
  </si>
  <si>
    <t>09/05/2025Renal Medicine</t>
  </si>
  <si>
    <t>09/05/2025Gastroenterology</t>
  </si>
  <si>
    <t>09/05/2025Endocrinology</t>
  </si>
  <si>
    <t>09/05/2025Urology</t>
  </si>
  <si>
    <t>09/05/2025ENT</t>
  </si>
  <si>
    <t>09/05/2025Geriatrics</t>
  </si>
  <si>
    <t>10/05/2025A&amp;E (Emergency)</t>
  </si>
  <si>
    <t>10/05/2025Cardiology</t>
  </si>
  <si>
    <t>10/05/2025Respiratory</t>
  </si>
  <si>
    <t>10/05/2025General Surgery</t>
  </si>
  <si>
    <t>10/05/2025Orthopaedics</t>
  </si>
  <si>
    <t>10/05/2025Neurology</t>
  </si>
  <si>
    <t>10/05/2025Oncology</t>
  </si>
  <si>
    <t>10/05/2025Paediatrics</t>
  </si>
  <si>
    <t>10/05/2025Maternity</t>
  </si>
  <si>
    <t>10/05/2025Renal Medicine</t>
  </si>
  <si>
    <t>10/05/2025Gastroenterology</t>
  </si>
  <si>
    <t>10/05/2025Endocrinology</t>
  </si>
  <si>
    <t>10/05/2025Urology</t>
  </si>
  <si>
    <t>10/05/2025ENT</t>
  </si>
  <si>
    <t>10/05/2025Geriatrics</t>
  </si>
  <si>
    <t>11/05/2025A&amp;E (Emergency)</t>
  </si>
  <si>
    <t>11/05/2025Cardiology</t>
  </si>
  <si>
    <t>11/05/2025Respiratory</t>
  </si>
  <si>
    <t>11/05/2025General Surgery</t>
  </si>
  <si>
    <t>11/05/2025Orthopaedics</t>
  </si>
  <si>
    <t>11/05/2025Neurology</t>
  </si>
  <si>
    <t>11/05/2025Oncology</t>
  </si>
  <si>
    <t>11/05/2025Paediatrics</t>
  </si>
  <si>
    <t>11/05/2025Maternity</t>
  </si>
  <si>
    <t>11/05/2025Renal Medicine</t>
  </si>
  <si>
    <t>11/05/2025Gastroenterology</t>
  </si>
  <si>
    <t>11/05/2025Endocrinology</t>
  </si>
  <si>
    <t>11/05/2025Urology</t>
  </si>
  <si>
    <t>11/05/2025ENT</t>
  </si>
  <si>
    <t>11/05/2025Geriatrics</t>
  </si>
  <si>
    <t>12/05/2025A&amp;E (Emergency)</t>
  </si>
  <si>
    <t>12/05/2025Cardiology</t>
  </si>
  <si>
    <t>12/05/2025Respiratory</t>
  </si>
  <si>
    <t>12/05/2025General Surgery</t>
  </si>
  <si>
    <t>12/05/2025Orthopaedics</t>
  </si>
  <si>
    <t>12/05/2025Neurology</t>
  </si>
  <si>
    <t>12/05/2025Oncology</t>
  </si>
  <si>
    <t>12/05/2025Paediatrics</t>
  </si>
  <si>
    <t>12/05/2025Maternity</t>
  </si>
  <si>
    <t>12/05/2025Renal Medicine</t>
  </si>
  <si>
    <t>12/05/2025Gastroenterology</t>
  </si>
  <si>
    <t>12/05/2025Endocrinology</t>
  </si>
  <si>
    <t>12/05/2025Urology</t>
  </si>
  <si>
    <t>12/05/2025ENT</t>
  </si>
  <si>
    <t>12/05/2025Geriatrics</t>
  </si>
  <si>
    <t>13/05/2025A&amp;E (Emergency)</t>
  </si>
  <si>
    <t>13/05/2025Cardiology</t>
  </si>
  <si>
    <t>13/05/2025Respiratory</t>
  </si>
  <si>
    <t>13/05/2025General Surgery</t>
  </si>
  <si>
    <t>13/05/2025Orthopaedics</t>
  </si>
  <si>
    <t>13/05/2025Neurology</t>
  </si>
  <si>
    <t>13/05/2025Oncology</t>
  </si>
  <si>
    <t>13/05/2025Paediatrics</t>
  </si>
  <si>
    <t>13/05/2025Maternity</t>
  </si>
  <si>
    <t>13/05/2025Renal Medicine</t>
  </si>
  <si>
    <t>13/05/2025Gastroenterology</t>
  </si>
  <si>
    <t>13/05/2025Endocrinology</t>
  </si>
  <si>
    <t>13/05/2025Urology</t>
  </si>
  <si>
    <t>13/05/2025ENT</t>
  </si>
  <si>
    <t>13/05/2025Geriatrics</t>
  </si>
  <si>
    <t>14/05/2025A&amp;E (Emergency)</t>
  </si>
  <si>
    <t>14/05/2025Cardiology</t>
  </si>
  <si>
    <t>14/05/2025Respiratory</t>
  </si>
  <si>
    <t>14/05/2025General Surgery</t>
  </si>
  <si>
    <t>14/05/2025Orthopaedics</t>
  </si>
  <si>
    <t>14/05/2025Neurology</t>
  </si>
  <si>
    <t>14/05/2025Oncology</t>
  </si>
  <si>
    <t>14/05/2025Paediatrics</t>
  </si>
  <si>
    <t>14/05/2025Maternity</t>
  </si>
  <si>
    <t>14/05/2025Renal Medicine</t>
  </si>
  <si>
    <t>14/05/2025Gastroenterology</t>
  </si>
  <si>
    <t>14/05/2025Endocrinology</t>
  </si>
  <si>
    <t>14/05/2025Urology</t>
  </si>
  <si>
    <t>14/05/2025ENT</t>
  </si>
  <si>
    <t>14/05/2025Geriatrics</t>
  </si>
  <si>
    <t>15/05/2025A&amp;E (Emergency)</t>
  </si>
  <si>
    <t>15/05/2025Cardiology</t>
  </si>
  <si>
    <t>15/05/2025Respiratory</t>
  </si>
  <si>
    <t>15/05/2025General Surgery</t>
  </si>
  <si>
    <t>15/05/2025Orthopaedics</t>
  </si>
  <si>
    <t>15/05/2025Neurology</t>
  </si>
  <si>
    <t>15/05/2025Oncology</t>
  </si>
  <si>
    <t>15/05/2025Paediatrics</t>
  </si>
  <si>
    <t>15/05/2025Maternity</t>
  </si>
  <si>
    <t>15/05/2025Renal Medicine</t>
  </si>
  <si>
    <t>15/05/2025Gastroenterology</t>
  </si>
  <si>
    <t>15/05/2025Endocrinology</t>
  </si>
  <si>
    <t>15/05/2025Urology</t>
  </si>
  <si>
    <t>15/05/2025ENT</t>
  </si>
  <si>
    <t>15/05/2025Geriatrics</t>
  </si>
  <si>
    <t>16/05/2025A&amp;E (Emergency)</t>
  </si>
  <si>
    <t>16/05/2025Cardiology</t>
  </si>
  <si>
    <t>16/05/2025Respiratory</t>
  </si>
  <si>
    <t>16/05/2025General Surgery</t>
  </si>
  <si>
    <t>16/05/2025Orthopaedics</t>
  </si>
  <si>
    <t>16/05/2025Neurology</t>
  </si>
  <si>
    <t>16/05/2025Oncology</t>
  </si>
  <si>
    <t>16/05/2025Paediatrics</t>
  </si>
  <si>
    <t>16/05/2025Maternity</t>
  </si>
  <si>
    <t>16/05/2025Renal Medicine</t>
  </si>
  <si>
    <t>16/05/2025Gastroenterology</t>
  </si>
  <si>
    <t>16/05/2025Endocrinology</t>
  </si>
  <si>
    <t>16/05/2025Urology</t>
  </si>
  <si>
    <t>16/05/2025ENT</t>
  </si>
  <si>
    <t>16/05/2025Geriatrics</t>
  </si>
  <si>
    <t>17/05/2025A&amp;E (Emergency)</t>
  </si>
  <si>
    <t>17/05/2025Cardiology</t>
  </si>
  <si>
    <t>17/05/2025Respiratory</t>
  </si>
  <si>
    <t>17/05/2025General Surgery</t>
  </si>
  <si>
    <t>17/05/2025Orthopaedics</t>
  </si>
  <si>
    <t>17/05/2025Neurology</t>
  </si>
  <si>
    <t>17/05/2025Oncology</t>
  </si>
  <si>
    <t>17/05/2025Paediatrics</t>
  </si>
  <si>
    <t>17/05/2025Maternity</t>
  </si>
  <si>
    <t>17/05/2025Renal Medicine</t>
  </si>
  <si>
    <t>17/05/2025Gastroenterology</t>
  </si>
  <si>
    <t>17/05/2025Endocrinology</t>
  </si>
  <si>
    <t>17/05/2025Urology</t>
  </si>
  <si>
    <t>17/05/2025ENT</t>
  </si>
  <si>
    <t>17/05/2025Geriatrics</t>
  </si>
  <si>
    <t>18/05/2025A&amp;E (Emergency)</t>
  </si>
  <si>
    <t>18/05/2025Cardiology</t>
  </si>
  <si>
    <t>18/05/2025Respiratory</t>
  </si>
  <si>
    <t>18/05/2025General Surgery</t>
  </si>
  <si>
    <t>18/05/2025Orthopaedics</t>
  </si>
  <si>
    <t>18/05/2025Neurology</t>
  </si>
  <si>
    <t>18/05/2025Oncology</t>
  </si>
  <si>
    <t>18/05/2025Paediatrics</t>
  </si>
  <si>
    <t>18/05/2025Maternity</t>
  </si>
  <si>
    <t>18/05/2025Renal Medicine</t>
  </si>
  <si>
    <t>18/05/2025Gastroenterology</t>
  </si>
  <si>
    <t>18/05/2025Endocrinology</t>
  </si>
  <si>
    <t>18/05/2025Urology</t>
  </si>
  <si>
    <t>18/05/2025ENT</t>
  </si>
  <si>
    <t>18/05/2025Geriatrics</t>
  </si>
  <si>
    <t>19/05/2025A&amp;E (Emergency)</t>
  </si>
  <si>
    <t>19/05/2025Cardiology</t>
  </si>
  <si>
    <t>19/05/2025Respiratory</t>
  </si>
  <si>
    <t>19/05/2025General Surgery</t>
  </si>
  <si>
    <t>19/05/2025Orthopaedics</t>
  </si>
  <si>
    <t>19/05/2025Neurology</t>
  </si>
  <si>
    <t>19/05/2025Oncology</t>
  </si>
  <si>
    <t>19/05/2025Paediatrics</t>
  </si>
  <si>
    <t>19/05/2025Maternity</t>
  </si>
  <si>
    <t>19/05/2025Renal Medicine</t>
  </si>
  <si>
    <t>19/05/2025Gastroenterology</t>
  </si>
  <si>
    <t>19/05/2025Endocrinology</t>
  </si>
  <si>
    <t>19/05/2025Urology</t>
  </si>
  <si>
    <t>19/05/2025ENT</t>
  </si>
  <si>
    <t>19/05/2025Geriatrics</t>
  </si>
  <si>
    <t>20/05/2025A&amp;E (Emergency)</t>
  </si>
  <si>
    <t>20/05/2025Cardiology</t>
  </si>
  <si>
    <t>20/05/2025Respiratory</t>
  </si>
  <si>
    <t>20/05/2025General Surgery</t>
  </si>
  <si>
    <t>20/05/2025Orthopaedics</t>
  </si>
  <si>
    <t>20/05/2025Neurology</t>
  </si>
  <si>
    <t>20/05/2025Oncology</t>
  </si>
  <si>
    <t>20/05/2025Paediatrics</t>
  </si>
  <si>
    <t>20/05/2025Maternity</t>
  </si>
  <si>
    <t>20/05/2025Renal Medicine</t>
  </si>
  <si>
    <t>20/05/2025Gastroenterology</t>
  </si>
  <si>
    <t>20/05/2025Endocrinology</t>
  </si>
  <si>
    <t>20/05/2025Urology</t>
  </si>
  <si>
    <t>20/05/2025ENT</t>
  </si>
  <si>
    <t>20/05/2025Geriatrics</t>
  </si>
  <si>
    <t>21/05/2025A&amp;E (Emergency)</t>
  </si>
  <si>
    <t>21/05/2025Cardiology</t>
  </si>
  <si>
    <t>21/05/2025Respiratory</t>
  </si>
  <si>
    <t>21/05/2025General Surgery</t>
  </si>
  <si>
    <t>21/05/2025Orthopaedics</t>
  </si>
  <si>
    <t>21/05/2025Neurology</t>
  </si>
  <si>
    <t>21/05/2025Oncology</t>
  </si>
  <si>
    <t>21/05/2025Paediatrics</t>
  </si>
  <si>
    <t>21/05/2025Maternity</t>
  </si>
  <si>
    <t>21/05/2025Renal Medicine</t>
  </si>
  <si>
    <t>21/05/2025Gastroenterology</t>
  </si>
  <si>
    <t>21/05/2025Endocrinology</t>
  </si>
  <si>
    <t>21/05/2025Urology</t>
  </si>
  <si>
    <t>21/05/2025ENT</t>
  </si>
  <si>
    <t>21/05/2025Geriatrics</t>
  </si>
  <si>
    <t>22/05/2025A&amp;E (Emergency)</t>
  </si>
  <si>
    <t>22/05/2025Cardiology</t>
  </si>
  <si>
    <t>22/05/2025Respiratory</t>
  </si>
  <si>
    <t>22/05/2025General Surgery</t>
  </si>
  <si>
    <t>22/05/2025Orthopaedics</t>
  </si>
  <si>
    <t>22/05/2025Neurology</t>
  </si>
  <si>
    <t>22/05/2025Oncology</t>
  </si>
  <si>
    <t>22/05/2025Paediatrics</t>
  </si>
  <si>
    <t>22/05/2025Maternity</t>
  </si>
  <si>
    <t>22/05/2025Renal Medicine</t>
  </si>
  <si>
    <t>22/05/2025Gastroenterology</t>
  </si>
  <si>
    <t>22/05/2025Endocrinology</t>
  </si>
  <si>
    <t>22/05/2025Urology</t>
  </si>
  <si>
    <t>22/05/2025ENT</t>
  </si>
  <si>
    <t>22/05/2025Geriatrics</t>
  </si>
  <si>
    <t>23/05/2025A&amp;E (Emergency)</t>
  </si>
  <si>
    <t>23/05/2025Cardiology</t>
  </si>
  <si>
    <t>23/05/2025Respiratory</t>
  </si>
  <si>
    <t>23/05/2025General Surgery</t>
  </si>
  <si>
    <t>23/05/2025Orthopaedics</t>
  </si>
  <si>
    <t>23/05/2025Neurology</t>
  </si>
  <si>
    <t>23/05/2025Oncology</t>
  </si>
  <si>
    <t>23/05/2025Paediatrics</t>
  </si>
  <si>
    <t>23/05/2025Maternity</t>
  </si>
  <si>
    <t>23/05/2025Renal Medicine</t>
  </si>
  <si>
    <t>23/05/2025Gastroenterology</t>
  </si>
  <si>
    <t>23/05/2025Endocrinology</t>
  </si>
  <si>
    <t>23/05/2025Urology</t>
  </si>
  <si>
    <t>23/05/2025ENT</t>
  </si>
  <si>
    <t>23/05/2025Geriatrics</t>
  </si>
  <si>
    <t>24/05/2025A&amp;E (Emergency)</t>
  </si>
  <si>
    <t>24/05/2025Cardiology</t>
  </si>
  <si>
    <t>24/05/2025Respiratory</t>
  </si>
  <si>
    <t>24/05/2025General Surgery</t>
  </si>
  <si>
    <t>24/05/2025Orthopaedics</t>
  </si>
  <si>
    <t>24/05/2025Neurology</t>
  </si>
  <si>
    <t>24/05/2025Oncology</t>
  </si>
  <si>
    <t>24/05/2025Paediatrics</t>
  </si>
  <si>
    <t>24/05/2025Maternity</t>
  </si>
  <si>
    <t>24/05/2025Renal Medicine</t>
  </si>
  <si>
    <t>24/05/2025Gastroenterology</t>
  </si>
  <si>
    <t>24/05/2025Endocrinology</t>
  </si>
  <si>
    <t>24/05/2025Urology</t>
  </si>
  <si>
    <t>24/05/2025ENT</t>
  </si>
  <si>
    <t>24/05/2025Geriatrics</t>
  </si>
  <si>
    <t>25/05/2025A&amp;E (Emergency)</t>
  </si>
  <si>
    <t>25/05/2025Cardiology</t>
  </si>
  <si>
    <t>25/05/2025Respiratory</t>
  </si>
  <si>
    <t>25/05/2025General Surgery</t>
  </si>
  <si>
    <t>25/05/2025Orthopaedics</t>
  </si>
  <si>
    <t>25/05/2025Neurology</t>
  </si>
  <si>
    <t>25/05/2025Oncology</t>
  </si>
  <si>
    <t>25/05/2025Paediatrics</t>
  </si>
  <si>
    <t>25/05/2025Maternity</t>
  </si>
  <si>
    <t>25/05/2025Renal Medicine</t>
  </si>
  <si>
    <t>25/05/2025Gastroenterology</t>
  </si>
  <si>
    <t>25/05/2025Endocrinology</t>
  </si>
  <si>
    <t>25/05/2025Urology</t>
  </si>
  <si>
    <t>25/05/2025ENT</t>
  </si>
  <si>
    <t>25/05/2025Geriatrics</t>
  </si>
  <si>
    <t>26/05/2025A&amp;E (Emergency)</t>
  </si>
  <si>
    <t>26/05/2025Cardiology</t>
  </si>
  <si>
    <t>26/05/2025Respiratory</t>
  </si>
  <si>
    <t>26/05/2025General Surgery</t>
  </si>
  <si>
    <t>26/05/2025Orthopaedics</t>
  </si>
  <si>
    <t>26/05/2025Neurology</t>
  </si>
  <si>
    <t>26/05/2025Oncology</t>
  </si>
  <si>
    <t>26/05/2025Paediatrics</t>
  </si>
  <si>
    <t>26/05/2025Maternity</t>
  </si>
  <si>
    <t>26/05/2025Renal Medicine</t>
  </si>
  <si>
    <t>26/05/2025Gastroenterology</t>
  </si>
  <si>
    <t>26/05/2025Endocrinology</t>
  </si>
  <si>
    <t>26/05/2025Urology</t>
  </si>
  <si>
    <t>26/05/2025ENT</t>
  </si>
  <si>
    <t>26/05/2025Geriatrics</t>
  </si>
  <si>
    <t>27/05/2025A&amp;E (Emergency)</t>
  </si>
  <si>
    <t>27/05/2025Cardiology</t>
  </si>
  <si>
    <t>27/05/2025Respiratory</t>
  </si>
  <si>
    <t>27/05/2025General Surgery</t>
  </si>
  <si>
    <t>27/05/2025Orthopaedics</t>
  </si>
  <si>
    <t>27/05/2025Neurology</t>
  </si>
  <si>
    <t>27/05/2025Oncology</t>
  </si>
  <si>
    <t>27/05/2025Paediatrics</t>
  </si>
  <si>
    <t>27/05/2025Maternity</t>
  </si>
  <si>
    <t>27/05/2025Renal Medicine</t>
  </si>
  <si>
    <t>27/05/2025Gastroenterology</t>
  </si>
  <si>
    <t>27/05/2025Endocrinology</t>
  </si>
  <si>
    <t>27/05/2025Urology</t>
  </si>
  <si>
    <t>27/05/2025ENT</t>
  </si>
  <si>
    <t>27/05/2025Geriatrics</t>
  </si>
  <si>
    <t>28/05/2025A&amp;E (Emergency)</t>
  </si>
  <si>
    <t>28/05/2025Cardiology</t>
  </si>
  <si>
    <t>28/05/2025Respiratory</t>
  </si>
  <si>
    <t>28/05/2025General Surgery</t>
  </si>
  <si>
    <t>28/05/2025Orthopaedics</t>
  </si>
  <si>
    <t>28/05/2025Neurology</t>
  </si>
  <si>
    <t>28/05/2025Oncology</t>
  </si>
  <si>
    <t>28/05/2025Paediatrics</t>
  </si>
  <si>
    <t>28/05/2025Maternity</t>
  </si>
  <si>
    <t>28/05/2025Renal Medicine</t>
  </si>
  <si>
    <t>28/05/2025Gastroenterology</t>
  </si>
  <si>
    <t>28/05/2025Endocrinology</t>
  </si>
  <si>
    <t>28/05/2025Urology</t>
  </si>
  <si>
    <t>28/05/2025ENT</t>
  </si>
  <si>
    <t>28/05/2025Geriatrics</t>
  </si>
  <si>
    <t>29/05/2025A&amp;E (Emergency)</t>
  </si>
  <si>
    <t>29/05/2025Cardiology</t>
  </si>
  <si>
    <t>29/05/2025Respiratory</t>
  </si>
  <si>
    <t>29/05/2025General Surgery</t>
  </si>
  <si>
    <t>29/05/2025Orthopaedics</t>
  </si>
  <si>
    <t>29/05/2025Neurology</t>
  </si>
  <si>
    <t>29/05/2025Oncology</t>
  </si>
  <si>
    <t>29/05/2025Paediatrics</t>
  </si>
  <si>
    <t>29/05/2025Maternity</t>
  </si>
  <si>
    <t>29/05/2025Renal Medicine</t>
  </si>
  <si>
    <t>29/05/2025Gastroenterology</t>
  </si>
  <si>
    <t>29/05/2025Endocrinology</t>
  </si>
  <si>
    <t>29/05/2025Urology</t>
  </si>
  <si>
    <t>29/05/2025ENT</t>
  </si>
  <si>
    <t>29/05/2025Geriatrics</t>
  </si>
  <si>
    <t>30/05/2025A&amp;E (Emergency)</t>
  </si>
  <si>
    <t>30/05/2025Cardiology</t>
  </si>
  <si>
    <t>30/05/2025Respiratory</t>
  </si>
  <si>
    <t>30/05/2025General Surgery</t>
  </si>
  <si>
    <t>30/05/2025Orthopaedics</t>
  </si>
  <si>
    <t>30/05/2025Neurology</t>
  </si>
  <si>
    <t>30/05/2025Oncology</t>
  </si>
  <si>
    <t>30/05/2025Paediatrics</t>
  </si>
  <si>
    <t>30/05/2025Maternity</t>
  </si>
  <si>
    <t>30/05/2025Renal Medicine</t>
  </si>
  <si>
    <t>30/05/2025Gastroenterology</t>
  </si>
  <si>
    <t>30/05/2025Endocrinology</t>
  </si>
  <si>
    <t>30/05/2025Urology</t>
  </si>
  <si>
    <t>30/05/2025ENT</t>
  </si>
  <si>
    <t>30/05/2025Geriatrics</t>
  </si>
  <si>
    <t>31/05/2025A&amp;E (Emergency)</t>
  </si>
  <si>
    <t>31/05/2025Cardiology</t>
  </si>
  <si>
    <t>31/05/2025Respiratory</t>
  </si>
  <si>
    <t>31/05/2025General Surgery</t>
  </si>
  <si>
    <t>31/05/2025Orthopaedics</t>
  </si>
  <si>
    <t>31/05/2025Neurology</t>
  </si>
  <si>
    <t>31/05/2025Oncology</t>
  </si>
  <si>
    <t>31/05/2025Paediatrics</t>
  </si>
  <si>
    <t>31/05/2025Maternity</t>
  </si>
  <si>
    <t>31/05/2025Renal Medicine</t>
  </si>
  <si>
    <t>31/05/2025Gastroenterology</t>
  </si>
  <si>
    <t>31/05/2025Endocrinology</t>
  </si>
  <si>
    <t>31/05/2025Urology</t>
  </si>
  <si>
    <t>31/05/2025ENT</t>
  </si>
  <si>
    <t>31/05/2025Geriatrics</t>
  </si>
  <si>
    <t>01/06/2025A&amp;E (Emergency)</t>
  </si>
  <si>
    <t>01/06/2025Cardiology</t>
  </si>
  <si>
    <t>01/06/2025Respiratory</t>
  </si>
  <si>
    <t>01/06/2025General Surgery</t>
  </si>
  <si>
    <t>01/06/2025Orthopaedics</t>
  </si>
  <si>
    <t>01/06/2025Neurology</t>
  </si>
  <si>
    <t>01/06/2025Oncology</t>
  </si>
  <si>
    <t>01/06/2025Paediatrics</t>
  </si>
  <si>
    <t>01/06/2025Maternity</t>
  </si>
  <si>
    <t>01/06/2025Renal Medicine</t>
  </si>
  <si>
    <t>01/06/2025Gastroenterology</t>
  </si>
  <si>
    <t>01/06/2025Endocrinology</t>
  </si>
  <si>
    <t>01/06/2025Urology</t>
  </si>
  <si>
    <t>01/06/2025ENT</t>
  </si>
  <si>
    <t>01/06/2025Geriatrics</t>
  </si>
  <si>
    <t>02/06/2025A&amp;E (Emergency)</t>
  </si>
  <si>
    <t>02/06/2025Cardiology</t>
  </si>
  <si>
    <t>02/06/2025Respiratory</t>
  </si>
  <si>
    <t>02/06/2025General Surgery</t>
  </si>
  <si>
    <t>02/06/2025Orthopaedics</t>
  </si>
  <si>
    <t>02/06/2025Neurology</t>
  </si>
  <si>
    <t>02/06/2025Oncology</t>
  </si>
  <si>
    <t>02/06/2025Paediatrics</t>
  </si>
  <si>
    <t>02/06/2025Maternity</t>
  </si>
  <si>
    <t>02/06/2025Renal Medicine</t>
  </si>
  <si>
    <t>02/06/2025Gastroenterology</t>
  </si>
  <si>
    <t>02/06/2025Endocrinology</t>
  </si>
  <si>
    <t>02/06/2025Urology</t>
  </si>
  <si>
    <t>02/06/2025ENT</t>
  </si>
  <si>
    <t>02/06/2025Geriatrics</t>
  </si>
  <si>
    <t>03/06/2025A&amp;E (Emergency)</t>
  </si>
  <si>
    <t>03/06/2025Cardiology</t>
  </si>
  <si>
    <t>03/06/2025Respiratory</t>
  </si>
  <si>
    <t>03/06/2025General Surgery</t>
  </si>
  <si>
    <t>03/06/2025Orthopaedics</t>
  </si>
  <si>
    <t>03/06/2025Neurology</t>
  </si>
  <si>
    <t>03/06/2025Oncology</t>
  </si>
  <si>
    <t>03/06/2025Paediatrics</t>
  </si>
  <si>
    <t>03/06/2025Maternity</t>
  </si>
  <si>
    <t>03/06/2025Renal Medicine</t>
  </si>
  <si>
    <t>03/06/2025Gastroenterology</t>
  </si>
  <si>
    <t>03/06/2025Endocrinology</t>
  </si>
  <si>
    <t>03/06/2025Urology</t>
  </si>
  <si>
    <t>03/06/2025ENT</t>
  </si>
  <si>
    <t>03/06/2025Geriatrics</t>
  </si>
  <si>
    <t>04/06/2025A&amp;E (Emergency)</t>
  </si>
  <si>
    <t>04/06/2025Cardiology</t>
  </si>
  <si>
    <t>04/06/2025Respiratory</t>
  </si>
  <si>
    <t>04/06/2025General Surgery</t>
  </si>
  <si>
    <t>04/06/2025Orthopaedics</t>
  </si>
  <si>
    <t>04/06/2025Neurology</t>
  </si>
  <si>
    <t>04/06/2025Oncology</t>
  </si>
  <si>
    <t>04/06/2025Paediatrics</t>
  </si>
  <si>
    <t>04/06/2025Maternity</t>
  </si>
  <si>
    <t>04/06/2025Renal Medicine</t>
  </si>
  <si>
    <t>04/06/2025Gastroenterology</t>
  </si>
  <si>
    <t>04/06/2025Endocrinology</t>
  </si>
  <si>
    <t>04/06/2025Urology</t>
  </si>
  <si>
    <t>04/06/2025ENT</t>
  </si>
  <si>
    <t>04/06/2025Geriatrics</t>
  </si>
  <si>
    <t>05/06/2025A&amp;E (Emergency)</t>
  </si>
  <si>
    <t>05/06/2025Cardiology</t>
  </si>
  <si>
    <t>05/06/2025Respiratory</t>
  </si>
  <si>
    <t>05/06/2025General Surgery</t>
  </si>
  <si>
    <t>05/06/2025Orthopaedics</t>
  </si>
  <si>
    <t>05/06/2025Neurology</t>
  </si>
  <si>
    <t>05/06/2025Oncology</t>
  </si>
  <si>
    <t>05/06/2025Paediatrics</t>
  </si>
  <si>
    <t>05/06/2025Maternity</t>
  </si>
  <si>
    <t>05/06/2025Renal Medicine</t>
  </si>
  <si>
    <t>05/06/2025Gastroenterology</t>
  </si>
  <si>
    <t>05/06/2025Endocrinology</t>
  </si>
  <si>
    <t>05/06/2025Urology</t>
  </si>
  <si>
    <t>05/06/2025ENT</t>
  </si>
  <si>
    <t>05/06/2025Geriatrics</t>
  </si>
  <si>
    <t>06/06/2025A&amp;E (Emergency)</t>
  </si>
  <si>
    <t>06/06/2025Cardiology</t>
  </si>
  <si>
    <t>06/06/2025Respiratory</t>
  </si>
  <si>
    <t>06/06/2025General Surgery</t>
  </si>
  <si>
    <t>06/06/2025Orthopaedics</t>
  </si>
  <si>
    <t>06/06/2025Neurology</t>
  </si>
  <si>
    <t>06/06/2025Oncology</t>
  </si>
  <si>
    <t>06/06/2025Paediatrics</t>
  </si>
  <si>
    <t>06/06/2025Maternity</t>
  </si>
  <si>
    <t>06/06/2025Renal Medicine</t>
  </si>
  <si>
    <t>06/06/2025Gastroenterology</t>
  </si>
  <si>
    <t>06/06/2025Endocrinology</t>
  </si>
  <si>
    <t>06/06/2025Urology</t>
  </si>
  <si>
    <t>06/06/2025ENT</t>
  </si>
  <si>
    <t>06/06/2025Geriatrics</t>
  </si>
  <si>
    <t>07/06/2025A&amp;E (Emergency)</t>
  </si>
  <si>
    <t>07/06/2025Cardiology</t>
  </si>
  <si>
    <t>07/06/2025Respiratory</t>
  </si>
  <si>
    <t>07/06/2025General Surgery</t>
  </si>
  <si>
    <t>07/06/2025Orthopaedics</t>
  </si>
  <si>
    <t>07/06/2025Neurology</t>
  </si>
  <si>
    <t>07/06/2025Oncology</t>
  </si>
  <si>
    <t>07/06/2025Paediatrics</t>
  </si>
  <si>
    <t>07/06/2025Maternity</t>
  </si>
  <si>
    <t>07/06/2025Renal Medicine</t>
  </si>
  <si>
    <t>07/06/2025Gastroenterology</t>
  </si>
  <si>
    <t>07/06/2025Endocrinology</t>
  </si>
  <si>
    <t>07/06/2025Urology</t>
  </si>
  <si>
    <t>07/06/2025ENT</t>
  </si>
  <si>
    <t>07/06/2025Geriatrics</t>
  </si>
  <si>
    <t>08/06/2025A&amp;E (Emergency)</t>
  </si>
  <si>
    <t>08/06/2025Cardiology</t>
  </si>
  <si>
    <t>08/06/2025Respiratory</t>
  </si>
  <si>
    <t>08/06/2025General Surgery</t>
  </si>
  <si>
    <t>08/06/2025Orthopaedics</t>
  </si>
  <si>
    <t>08/06/2025Neurology</t>
  </si>
  <si>
    <t>08/06/2025Oncology</t>
  </si>
  <si>
    <t>08/06/2025Paediatrics</t>
  </si>
  <si>
    <t>08/06/2025Maternity</t>
  </si>
  <si>
    <t>08/06/2025Renal Medicine</t>
  </si>
  <si>
    <t>08/06/2025Gastroenterology</t>
  </si>
  <si>
    <t>08/06/2025Endocrinology</t>
  </si>
  <si>
    <t>08/06/2025Urology</t>
  </si>
  <si>
    <t>08/06/2025ENT</t>
  </si>
  <si>
    <t>08/06/2025Geriatrics</t>
  </si>
  <si>
    <t>09/06/2025A&amp;E (Emergency)</t>
  </si>
  <si>
    <t>09/06/2025Cardiology</t>
  </si>
  <si>
    <t>09/06/2025Respiratory</t>
  </si>
  <si>
    <t>09/06/2025General Surgery</t>
  </si>
  <si>
    <t>09/06/2025Orthopaedics</t>
  </si>
  <si>
    <t>09/06/2025Neurology</t>
  </si>
  <si>
    <t>09/06/2025Oncology</t>
  </si>
  <si>
    <t>09/06/2025Paediatrics</t>
  </si>
  <si>
    <t>09/06/2025Maternity</t>
  </si>
  <si>
    <t>09/06/2025Renal Medicine</t>
  </si>
  <si>
    <t>09/06/2025Gastroenterology</t>
  </si>
  <si>
    <t>09/06/2025Endocrinology</t>
  </si>
  <si>
    <t>09/06/2025Urology</t>
  </si>
  <si>
    <t>09/06/2025ENT</t>
  </si>
  <si>
    <t>09/06/2025Geriatrics</t>
  </si>
  <si>
    <t>10/06/2025A&amp;E (Emergency)</t>
  </si>
  <si>
    <t>10/06/2025Cardiology</t>
  </si>
  <si>
    <t>10/06/2025Respiratory</t>
  </si>
  <si>
    <t>10/06/2025General Surgery</t>
  </si>
  <si>
    <t>10/06/2025Orthopaedics</t>
  </si>
  <si>
    <t>10/06/2025Neurology</t>
  </si>
  <si>
    <t>10/06/2025Oncology</t>
  </si>
  <si>
    <t>10/06/2025Paediatrics</t>
  </si>
  <si>
    <t>10/06/2025Maternity</t>
  </si>
  <si>
    <t>10/06/2025Renal Medicine</t>
  </si>
  <si>
    <t>10/06/2025Gastroenterology</t>
  </si>
  <si>
    <t>10/06/2025Endocrinology</t>
  </si>
  <si>
    <t>10/06/2025Urology</t>
  </si>
  <si>
    <t>10/06/2025ENT</t>
  </si>
  <si>
    <t>10/06/2025Geriatrics</t>
  </si>
  <si>
    <t>11/06/2025A&amp;E (Emergency)</t>
  </si>
  <si>
    <t>11/06/2025Cardiology</t>
  </si>
  <si>
    <t>11/06/2025Respiratory</t>
  </si>
  <si>
    <t>11/06/2025General Surgery</t>
  </si>
  <si>
    <t>11/06/2025Orthopaedics</t>
  </si>
  <si>
    <t>11/06/2025Neurology</t>
  </si>
  <si>
    <t>11/06/2025Oncology</t>
  </si>
  <si>
    <t>11/06/2025Paediatrics</t>
  </si>
  <si>
    <t>11/06/2025Maternity</t>
  </si>
  <si>
    <t>11/06/2025Renal Medicine</t>
  </si>
  <si>
    <t>11/06/2025Gastroenterology</t>
  </si>
  <si>
    <t>11/06/2025Endocrinology</t>
  </si>
  <si>
    <t>11/06/2025Urology</t>
  </si>
  <si>
    <t>11/06/2025ENT</t>
  </si>
  <si>
    <t>11/06/2025Geriatrics</t>
  </si>
  <si>
    <t>12/06/2025A&amp;E (Emergency)</t>
  </si>
  <si>
    <t>12/06/2025Cardiology</t>
  </si>
  <si>
    <t>12/06/2025Respiratory</t>
  </si>
  <si>
    <t>12/06/2025General Surgery</t>
  </si>
  <si>
    <t>12/06/2025Orthopaedics</t>
  </si>
  <si>
    <t>12/06/2025Neurology</t>
  </si>
  <si>
    <t>12/06/2025Oncology</t>
  </si>
  <si>
    <t>12/06/2025Paediatrics</t>
  </si>
  <si>
    <t>12/06/2025Maternity</t>
  </si>
  <si>
    <t>12/06/2025Renal Medicine</t>
  </si>
  <si>
    <t>12/06/2025Gastroenterology</t>
  </si>
  <si>
    <t>12/06/2025Endocrinology</t>
  </si>
  <si>
    <t>12/06/2025Urology</t>
  </si>
  <si>
    <t>12/06/2025ENT</t>
  </si>
  <si>
    <t>12/06/2025Geriatrics</t>
  </si>
  <si>
    <t>13/06/2025A&amp;E (Emergency)</t>
  </si>
  <si>
    <t>13/06/2025Cardiology</t>
  </si>
  <si>
    <t>13/06/2025Respiratory</t>
  </si>
  <si>
    <t>13/06/2025General Surgery</t>
  </si>
  <si>
    <t>13/06/2025Orthopaedics</t>
  </si>
  <si>
    <t>13/06/2025Neurology</t>
  </si>
  <si>
    <t>13/06/2025Oncology</t>
  </si>
  <si>
    <t>13/06/2025Paediatrics</t>
  </si>
  <si>
    <t>13/06/2025Maternity</t>
  </si>
  <si>
    <t>13/06/2025Renal Medicine</t>
  </si>
  <si>
    <t>13/06/2025Gastroenterology</t>
  </si>
  <si>
    <t>13/06/2025Endocrinology</t>
  </si>
  <si>
    <t>13/06/2025Urology</t>
  </si>
  <si>
    <t>13/06/2025ENT</t>
  </si>
  <si>
    <t>13/06/2025Geriatrics</t>
  </si>
  <si>
    <t>14/06/2025A&amp;E (Emergency)</t>
  </si>
  <si>
    <t>14/06/2025Cardiology</t>
  </si>
  <si>
    <t>14/06/2025Respiratory</t>
  </si>
  <si>
    <t>14/06/2025General Surgery</t>
  </si>
  <si>
    <t>14/06/2025Orthopaedics</t>
  </si>
  <si>
    <t>14/06/2025Neurology</t>
  </si>
  <si>
    <t>14/06/2025Oncology</t>
  </si>
  <si>
    <t>14/06/2025Paediatrics</t>
  </si>
  <si>
    <t>14/06/2025Maternity</t>
  </si>
  <si>
    <t>14/06/2025Renal Medicine</t>
  </si>
  <si>
    <t>14/06/2025Gastroenterology</t>
  </si>
  <si>
    <t>14/06/2025Endocrinology</t>
  </si>
  <si>
    <t>14/06/2025Urology</t>
  </si>
  <si>
    <t>14/06/2025ENT</t>
  </si>
  <si>
    <t>14/06/2025Geriatrics</t>
  </si>
  <si>
    <t>15/06/2025A&amp;E (Emergency)</t>
  </si>
  <si>
    <t>15/06/2025Cardiology</t>
  </si>
  <si>
    <t>15/06/2025Respiratory</t>
  </si>
  <si>
    <t>15/06/2025General Surgery</t>
  </si>
  <si>
    <t>15/06/2025Orthopaedics</t>
  </si>
  <si>
    <t>15/06/2025Neurology</t>
  </si>
  <si>
    <t>15/06/2025Oncology</t>
  </si>
  <si>
    <t>15/06/2025Paediatrics</t>
  </si>
  <si>
    <t>15/06/2025Maternity</t>
  </si>
  <si>
    <t>15/06/2025Renal Medicine</t>
  </si>
  <si>
    <t>15/06/2025Gastroenterology</t>
  </si>
  <si>
    <t>15/06/2025Endocrinology</t>
  </si>
  <si>
    <t>15/06/2025Urology</t>
  </si>
  <si>
    <t>15/06/2025ENT</t>
  </si>
  <si>
    <t>15/06/2025Geriatrics</t>
  </si>
  <si>
    <t>16/06/2025A&amp;E (Emergency)</t>
  </si>
  <si>
    <t>16/06/2025Cardiology</t>
  </si>
  <si>
    <t>16/06/2025Respiratory</t>
  </si>
  <si>
    <t>16/06/2025General Surgery</t>
  </si>
  <si>
    <t>16/06/2025Orthopaedics</t>
  </si>
  <si>
    <t>16/06/2025Neurology</t>
  </si>
  <si>
    <t>16/06/2025Oncology</t>
  </si>
  <si>
    <t>16/06/2025Paediatrics</t>
  </si>
  <si>
    <t>16/06/2025Maternity</t>
  </si>
  <si>
    <t>16/06/2025Renal Medicine</t>
  </si>
  <si>
    <t>16/06/2025Gastroenterology</t>
  </si>
  <si>
    <t>16/06/2025Endocrinology</t>
  </si>
  <si>
    <t>16/06/2025Urology</t>
  </si>
  <si>
    <t>16/06/2025ENT</t>
  </si>
  <si>
    <t>16/06/2025Geriatrics</t>
  </si>
  <si>
    <t>17/06/2025A&amp;E (Emergency)</t>
  </si>
  <si>
    <t>17/06/2025Cardiology</t>
  </si>
  <si>
    <t>17/06/2025Respiratory</t>
  </si>
  <si>
    <t>17/06/2025General Surgery</t>
  </si>
  <si>
    <t>17/06/2025Orthopaedics</t>
  </si>
  <si>
    <t>17/06/2025Neurology</t>
  </si>
  <si>
    <t>17/06/2025Oncology</t>
  </si>
  <si>
    <t>17/06/2025Paediatrics</t>
  </si>
  <si>
    <t>17/06/2025Maternity</t>
  </si>
  <si>
    <t>17/06/2025Renal Medicine</t>
  </si>
  <si>
    <t>17/06/2025Gastroenterology</t>
  </si>
  <si>
    <t>17/06/2025Endocrinology</t>
  </si>
  <si>
    <t>17/06/2025Urology</t>
  </si>
  <si>
    <t>17/06/2025ENT</t>
  </si>
  <si>
    <t>17/06/2025Geriatrics</t>
  </si>
  <si>
    <t>18/06/2025A&amp;E (Emergency)</t>
  </si>
  <si>
    <t>18/06/2025Cardiology</t>
  </si>
  <si>
    <t>18/06/2025Respiratory</t>
  </si>
  <si>
    <t>18/06/2025General Surgery</t>
  </si>
  <si>
    <t>18/06/2025Orthopaedics</t>
  </si>
  <si>
    <t>18/06/2025Neurology</t>
  </si>
  <si>
    <t>18/06/2025Oncology</t>
  </si>
  <si>
    <t>18/06/2025Paediatrics</t>
  </si>
  <si>
    <t>18/06/2025Maternity</t>
  </si>
  <si>
    <t>18/06/2025Renal Medicine</t>
  </si>
  <si>
    <t>18/06/2025Gastroenterology</t>
  </si>
  <si>
    <t>18/06/2025Endocrinology</t>
  </si>
  <si>
    <t>18/06/2025Urology</t>
  </si>
  <si>
    <t>18/06/2025ENT</t>
  </si>
  <si>
    <t>18/06/2025Geriatrics</t>
  </si>
  <si>
    <t>19/06/2025A&amp;E (Emergency)</t>
  </si>
  <si>
    <t>19/06/2025Cardiology</t>
  </si>
  <si>
    <t>19/06/2025Respiratory</t>
  </si>
  <si>
    <t>19/06/2025General Surgery</t>
  </si>
  <si>
    <t>19/06/2025Orthopaedics</t>
  </si>
  <si>
    <t>19/06/2025Neurology</t>
  </si>
  <si>
    <t>19/06/2025Oncology</t>
  </si>
  <si>
    <t>19/06/2025Paediatrics</t>
  </si>
  <si>
    <t>19/06/2025Maternity</t>
  </si>
  <si>
    <t>19/06/2025Renal Medicine</t>
  </si>
  <si>
    <t>19/06/2025Gastroenterology</t>
  </si>
  <si>
    <t>19/06/2025Endocrinology</t>
  </si>
  <si>
    <t>19/06/2025Urology</t>
  </si>
  <si>
    <t>19/06/2025ENT</t>
  </si>
  <si>
    <t>19/06/2025Geriatrics</t>
  </si>
  <si>
    <t>20/06/2025A&amp;E (Emergency)</t>
  </si>
  <si>
    <t>20/06/2025Cardiology</t>
  </si>
  <si>
    <t>20/06/2025Respiratory</t>
  </si>
  <si>
    <t>20/06/2025General Surgery</t>
  </si>
  <si>
    <t>20/06/2025Orthopaedics</t>
  </si>
  <si>
    <t>20/06/2025Neurology</t>
  </si>
  <si>
    <t>20/06/2025Oncology</t>
  </si>
  <si>
    <t>20/06/2025Paediatrics</t>
  </si>
  <si>
    <t>20/06/2025Maternity</t>
  </si>
  <si>
    <t>20/06/2025Renal Medicine</t>
  </si>
  <si>
    <t>20/06/2025Gastroenterology</t>
  </si>
  <si>
    <t>20/06/2025Endocrinology</t>
  </si>
  <si>
    <t>20/06/2025Urology</t>
  </si>
  <si>
    <t>20/06/2025ENT</t>
  </si>
  <si>
    <t>20/06/2025Geriatrics</t>
  </si>
  <si>
    <t>21/06/2025A&amp;E (Emergency)</t>
  </si>
  <si>
    <t>21/06/2025Cardiology</t>
  </si>
  <si>
    <t>21/06/2025Respiratory</t>
  </si>
  <si>
    <t>21/06/2025General Surgery</t>
  </si>
  <si>
    <t>21/06/2025Orthopaedics</t>
  </si>
  <si>
    <t>21/06/2025Neurology</t>
  </si>
  <si>
    <t>21/06/2025Oncology</t>
  </si>
  <si>
    <t>21/06/2025Paediatrics</t>
  </si>
  <si>
    <t>21/06/2025Maternity</t>
  </si>
  <si>
    <t>21/06/2025Renal Medicine</t>
  </si>
  <si>
    <t>21/06/2025Gastroenterology</t>
  </si>
  <si>
    <t>21/06/2025Endocrinology</t>
  </si>
  <si>
    <t>21/06/2025Urology</t>
  </si>
  <si>
    <t>21/06/2025ENT</t>
  </si>
  <si>
    <t>21/06/2025Geriatrics</t>
  </si>
  <si>
    <t>22/06/2025A&amp;E (Emergency)</t>
  </si>
  <si>
    <t>22/06/2025Cardiology</t>
  </si>
  <si>
    <t>22/06/2025Respiratory</t>
  </si>
  <si>
    <t>22/06/2025General Surgery</t>
  </si>
  <si>
    <t>22/06/2025Orthopaedics</t>
  </si>
  <si>
    <t>22/06/2025Neurology</t>
  </si>
  <si>
    <t>22/06/2025Oncology</t>
  </si>
  <si>
    <t>22/06/2025Paediatrics</t>
  </si>
  <si>
    <t>22/06/2025Maternity</t>
  </si>
  <si>
    <t>22/06/2025Renal Medicine</t>
  </si>
  <si>
    <t>22/06/2025Gastroenterology</t>
  </si>
  <si>
    <t>22/06/2025Endocrinology</t>
  </si>
  <si>
    <t>22/06/2025Urology</t>
  </si>
  <si>
    <t>22/06/2025ENT</t>
  </si>
  <si>
    <t>22/06/2025Geriatrics</t>
  </si>
  <si>
    <t>23/06/2025A&amp;E (Emergency)</t>
  </si>
  <si>
    <t>23/06/2025Cardiology</t>
  </si>
  <si>
    <t>23/06/2025Respiratory</t>
  </si>
  <si>
    <t>23/06/2025General Surgery</t>
  </si>
  <si>
    <t>23/06/2025Orthopaedics</t>
  </si>
  <si>
    <t>23/06/2025Neurology</t>
  </si>
  <si>
    <t>23/06/2025Oncology</t>
  </si>
  <si>
    <t>23/06/2025Paediatrics</t>
  </si>
  <si>
    <t>23/06/2025Maternity</t>
  </si>
  <si>
    <t>23/06/2025Renal Medicine</t>
  </si>
  <si>
    <t>23/06/2025Gastroenterology</t>
  </si>
  <si>
    <t>23/06/2025Endocrinology</t>
  </si>
  <si>
    <t>23/06/2025Urology</t>
  </si>
  <si>
    <t>23/06/2025ENT</t>
  </si>
  <si>
    <t>23/06/2025Geriatrics</t>
  </si>
  <si>
    <t>24/06/2025A&amp;E (Emergency)</t>
  </si>
  <si>
    <t>24/06/2025Cardiology</t>
  </si>
  <si>
    <t>24/06/2025Respiratory</t>
  </si>
  <si>
    <t>24/06/2025General Surgery</t>
  </si>
  <si>
    <t>24/06/2025Orthopaedics</t>
  </si>
  <si>
    <t>24/06/2025Neurology</t>
  </si>
  <si>
    <t>24/06/2025Oncology</t>
  </si>
  <si>
    <t>24/06/2025Paediatrics</t>
  </si>
  <si>
    <t>24/06/2025Maternity</t>
  </si>
  <si>
    <t>24/06/2025Renal Medicine</t>
  </si>
  <si>
    <t>24/06/2025Gastroenterology</t>
  </si>
  <si>
    <t>24/06/2025Endocrinology</t>
  </si>
  <si>
    <t>24/06/2025Urology</t>
  </si>
  <si>
    <t>24/06/2025ENT</t>
  </si>
  <si>
    <t>24/06/2025Geriatrics</t>
  </si>
  <si>
    <t>25/06/2025A&amp;E (Emergency)</t>
  </si>
  <si>
    <t>25/06/2025Cardiology</t>
  </si>
  <si>
    <t>25/06/2025Respiratory</t>
  </si>
  <si>
    <t>25/06/2025General Surgery</t>
  </si>
  <si>
    <t>25/06/2025Orthopaedics</t>
  </si>
  <si>
    <t>25/06/2025Neurology</t>
  </si>
  <si>
    <t>25/06/2025Oncology</t>
  </si>
  <si>
    <t>25/06/2025Paediatrics</t>
  </si>
  <si>
    <t>25/06/2025Maternity</t>
  </si>
  <si>
    <t>25/06/2025Renal Medicine</t>
  </si>
  <si>
    <t>25/06/2025Gastroenterology</t>
  </si>
  <si>
    <t>25/06/2025Endocrinology</t>
  </si>
  <si>
    <t>25/06/2025Urology</t>
  </si>
  <si>
    <t>25/06/2025ENT</t>
  </si>
  <si>
    <t>25/06/2025Geriatrics</t>
  </si>
  <si>
    <t>26/06/2025A&amp;E (Emergency)</t>
  </si>
  <si>
    <t>26/06/2025Cardiology</t>
  </si>
  <si>
    <t>26/06/2025Respiratory</t>
  </si>
  <si>
    <t>26/06/2025General Surgery</t>
  </si>
  <si>
    <t>26/06/2025Orthopaedics</t>
  </si>
  <si>
    <t>26/06/2025Neurology</t>
  </si>
  <si>
    <t>26/06/2025Oncology</t>
  </si>
  <si>
    <t>26/06/2025Paediatrics</t>
  </si>
  <si>
    <t>26/06/2025Maternity</t>
  </si>
  <si>
    <t>26/06/2025Renal Medicine</t>
  </si>
  <si>
    <t>26/06/2025Gastroenterology</t>
  </si>
  <si>
    <t>26/06/2025Endocrinology</t>
  </si>
  <si>
    <t>26/06/2025Urology</t>
  </si>
  <si>
    <t>26/06/2025ENT</t>
  </si>
  <si>
    <t>26/06/2025Geriatrics</t>
  </si>
  <si>
    <t>27/06/2025A&amp;E (Emergency)</t>
  </si>
  <si>
    <t>27/06/2025Cardiology</t>
  </si>
  <si>
    <t>27/06/2025Respiratory</t>
  </si>
  <si>
    <t>27/06/2025General Surgery</t>
  </si>
  <si>
    <t>27/06/2025Orthopaedics</t>
  </si>
  <si>
    <t>27/06/2025Neurology</t>
  </si>
  <si>
    <t>27/06/2025Oncology</t>
  </si>
  <si>
    <t>27/06/2025Paediatrics</t>
  </si>
  <si>
    <t>27/06/2025Maternity</t>
  </si>
  <si>
    <t>27/06/2025Renal Medicine</t>
  </si>
  <si>
    <t>27/06/2025Gastroenterology</t>
  </si>
  <si>
    <t>27/06/2025Endocrinology</t>
  </si>
  <si>
    <t>27/06/2025Urology</t>
  </si>
  <si>
    <t>27/06/2025ENT</t>
  </si>
  <si>
    <t>27/06/2025Geriatrics</t>
  </si>
  <si>
    <t>28/06/2025A&amp;E (Emergency)</t>
  </si>
  <si>
    <t>28/06/2025Cardiology</t>
  </si>
  <si>
    <t>28/06/2025Respiratory</t>
  </si>
  <si>
    <t>28/06/2025General Surgery</t>
  </si>
  <si>
    <t>28/06/2025Orthopaedics</t>
  </si>
  <si>
    <t>28/06/2025Neurology</t>
  </si>
  <si>
    <t>28/06/2025Oncology</t>
  </si>
  <si>
    <t>28/06/2025Paediatrics</t>
  </si>
  <si>
    <t>28/06/2025Maternity</t>
  </si>
  <si>
    <t>28/06/2025Renal Medicine</t>
  </si>
  <si>
    <t>28/06/2025Gastroenterology</t>
  </si>
  <si>
    <t>28/06/2025Endocrinology</t>
  </si>
  <si>
    <t>28/06/2025Urology</t>
  </si>
  <si>
    <t>28/06/2025ENT</t>
  </si>
  <si>
    <t>28/06/2025Geriatrics</t>
  </si>
  <si>
    <t>29/06/2025A&amp;E (Emergency)</t>
  </si>
  <si>
    <t>29/06/2025Cardiology</t>
  </si>
  <si>
    <t>29/06/2025Respiratory</t>
  </si>
  <si>
    <t>29/06/2025General Surgery</t>
  </si>
  <si>
    <t>29/06/2025Orthopaedics</t>
  </si>
  <si>
    <t>29/06/2025Neurology</t>
  </si>
  <si>
    <t>29/06/2025Oncology</t>
  </si>
  <si>
    <t>29/06/2025Paediatrics</t>
  </si>
  <si>
    <t>29/06/2025Maternity</t>
  </si>
  <si>
    <t>29/06/2025Renal Medicine</t>
  </si>
  <si>
    <t>29/06/2025Gastroenterology</t>
  </si>
  <si>
    <t>29/06/2025Endocrinology</t>
  </si>
  <si>
    <t>29/06/2025Urology</t>
  </si>
  <si>
    <t>29/06/2025ENT</t>
  </si>
  <si>
    <t>29/06/2025Geriatrics</t>
  </si>
  <si>
    <t>30/06/2025A&amp;E (Emergency)</t>
  </si>
  <si>
    <t>30/06/2025Cardiology</t>
  </si>
  <si>
    <t>30/06/2025Respiratory</t>
  </si>
  <si>
    <t>30/06/2025General Surgery</t>
  </si>
  <si>
    <t>30/06/2025Orthopaedics</t>
  </si>
  <si>
    <t>30/06/2025Neurology</t>
  </si>
  <si>
    <t>30/06/2025Oncology</t>
  </si>
  <si>
    <t>30/06/2025Paediatrics</t>
  </si>
  <si>
    <t>30/06/2025Maternity</t>
  </si>
  <si>
    <t>30/06/2025Renal Medicine</t>
  </si>
  <si>
    <t>30/06/2025Gastroenterology</t>
  </si>
  <si>
    <t>30/06/2025Endocrinology</t>
  </si>
  <si>
    <t>30/06/2025Urology</t>
  </si>
  <si>
    <t>30/06/2025ENT</t>
  </si>
  <si>
    <t>30/06/2025Geriatrics</t>
  </si>
  <si>
    <t>01/07/2025A&amp;E (Emergency)</t>
  </si>
  <si>
    <t>01/07/2025Cardiology</t>
  </si>
  <si>
    <t>01/07/2025Respiratory</t>
  </si>
  <si>
    <t>01/07/2025General Surgery</t>
  </si>
  <si>
    <t>01/07/2025Orthopaedics</t>
  </si>
  <si>
    <t>01/07/2025Neurology</t>
  </si>
  <si>
    <t>01/07/2025Oncology</t>
  </si>
  <si>
    <t>01/07/2025Paediatrics</t>
  </si>
  <si>
    <t>01/07/2025Maternity</t>
  </si>
  <si>
    <t>01/07/2025Renal Medicine</t>
  </si>
  <si>
    <t>01/07/2025Gastroenterology</t>
  </si>
  <si>
    <t>01/07/2025Endocrinology</t>
  </si>
  <si>
    <t>01/07/2025Urology</t>
  </si>
  <si>
    <t>01/07/2025ENT</t>
  </si>
  <si>
    <t>01/07/2025Geriatrics</t>
  </si>
  <si>
    <t>02/07/2025A&amp;E (Emergency)</t>
  </si>
  <si>
    <t>02/07/2025Cardiology</t>
  </si>
  <si>
    <t>02/07/2025Respiratory</t>
  </si>
  <si>
    <t>02/07/2025General Surgery</t>
  </si>
  <si>
    <t>02/07/2025Orthopaedics</t>
  </si>
  <si>
    <t>02/07/2025Neurology</t>
  </si>
  <si>
    <t>02/07/2025Oncology</t>
  </si>
  <si>
    <t>02/07/2025Paediatrics</t>
  </si>
  <si>
    <t>02/07/2025Maternity</t>
  </si>
  <si>
    <t>02/07/2025Renal Medicine</t>
  </si>
  <si>
    <t>02/07/2025Gastroenterology</t>
  </si>
  <si>
    <t>02/07/2025Endocrinology</t>
  </si>
  <si>
    <t>02/07/2025Urology</t>
  </si>
  <si>
    <t>02/07/2025ENT</t>
  </si>
  <si>
    <t>02/07/2025Geriatrics</t>
  </si>
  <si>
    <t>03/07/2025A&amp;E (Emergency)</t>
  </si>
  <si>
    <t>03/07/2025Cardiology</t>
  </si>
  <si>
    <t>03/07/2025Respiratory</t>
  </si>
  <si>
    <t>03/07/2025General Surgery</t>
  </si>
  <si>
    <t>03/07/2025Orthopaedics</t>
  </si>
  <si>
    <t>03/07/2025Neurology</t>
  </si>
  <si>
    <t>03/07/2025Oncology</t>
  </si>
  <si>
    <t>03/07/2025Paediatrics</t>
  </si>
  <si>
    <t>03/07/2025Maternity</t>
  </si>
  <si>
    <t>03/07/2025Renal Medicine</t>
  </si>
  <si>
    <t>03/07/2025Gastroenterology</t>
  </si>
  <si>
    <t>03/07/2025Endocrinology</t>
  </si>
  <si>
    <t>03/07/2025Urology</t>
  </si>
  <si>
    <t>03/07/2025ENT</t>
  </si>
  <si>
    <t>03/07/2025Geriatrics</t>
  </si>
  <si>
    <t>04/07/2025A&amp;E (Emergency)</t>
  </si>
  <si>
    <t>04/07/2025Cardiology</t>
  </si>
  <si>
    <t>04/07/2025Respiratory</t>
  </si>
  <si>
    <t>04/07/2025General Surgery</t>
  </si>
  <si>
    <t>04/07/2025Orthopaedics</t>
  </si>
  <si>
    <t>04/07/2025Neurology</t>
  </si>
  <si>
    <t>04/07/2025Oncology</t>
  </si>
  <si>
    <t>04/07/2025Paediatrics</t>
  </si>
  <si>
    <t>04/07/2025Maternity</t>
  </si>
  <si>
    <t>04/07/2025Renal Medicine</t>
  </si>
  <si>
    <t>04/07/2025Gastroenterology</t>
  </si>
  <si>
    <t>04/07/2025Endocrinology</t>
  </si>
  <si>
    <t>04/07/2025Urology</t>
  </si>
  <si>
    <t>04/07/2025ENT</t>
  </si>
  <si>
    <t>04/07/2025Geriatrics</t>
  </si>
  <si>
    <t>05/07/2025A&amp;E (Emergency)</t>
  </si>
  <si>
    <t>05/07/2025Cardiology</t>
  </si>
  <si>
    <t>05/07/2025Respiratory</t>
  </si>
  <si>
    <t>05/07/2025General Surgery</t>
  </si>
  <si>
    <t>05/07/2025Orthopaedics</t>
  </si>
  <si>
    <t>05/07/2025Neurology</t>
  </si>
  <si>
    <t>05/07/2025Oncology</t>
  </si>
  <si>
    <t>05/07/2025Paediatrics</t>
  </si>
  <si>
    <t>05/07/2025Maternity</t>
  </si>
  <si>
    <t>05/07/2025Renal Medicine</t>
  </si>
  <si>
    <t>05/07/2025Gastroenterology</t>
  </si>
  <si>
    <t>05/07/2025Endocrinology</t>
  </si>
  <si>
    <t>05/07/2025Urology</t>
  </si>
  <si>
    <t>05/07/2025ENT</t>
  </si>
  <si>
    <t>05/07/2025Geriatrics</t>
  </si>
  <si>
    <t>06/07/2025A&amp;E (Emergency)</t>
  </si>
  <si>
    <t>06/07/2025Cardiology</t>
  </si>
  <si>
    <t>06/07/2025Respiratory</t>
  </si>
  <si>
    <t>06/07/2025General Surgery</t>
  </si>
  <si>
    <t>06/07/2025Orthopaedics</t>
  </si>
  <si>
    <t>06/07/2025Neurology</t>
  </si>
  <si>
    <t>06/07/2025Oncology</t>
  </si>
  <si>
    <t>06/07/2025Paediatrics</t>
  </si>
  <si>
    <t>06/07/2025Maternity</t>
  </si>
  <si>
    <t>06/07/2025Renal Medicine</t>
  </si>
  <si>
    <t>06/07/2025Gastroenterology</t>
  </si>
  <si>
    <t>06/07/2025Endocrinology</t>
  </si>
  <si>
    <t>06/07/2025Urology</t>
  </si>
  <si>
    <t>06/07/2025ENT</t>
  </si>
  <si>
    <t>06/07/2025Geriatrics</t>
  </si>
  <si>
    <t>07/07/2025A&amp;E (Emergency)</t>
  </si>
  <si>
    <t>07/07/2025Cardiology</t>
  </si>
  <si>
    <t>07/07/2025Respiratory</t>
  </si>
  <si>
    <t>07/07/2025General Surgery</t>
  </si>
  <si>
    <t>07/07/2025Orthopaedics</t>
  </si>
  <si>
    <t>07/07/2025Neurology</t>
  </si>
  <si>
    <t>07/07/2025Oncology</t>
  </si>
  <si>
    <t>07/07/2025Paediatrics</t>
  </si>
  <si>
    <t>07/07/2025Maternity</t>
  </si>
  <si>
    <t>07/07/2025Renal Medicine</t>
  </si>
  <si>
    <t>07/07/2025Gastroenterology</t>
  </si>
  <si>
    <t>07/07/2025Endocrinology</t>
  </si>
  <si>
    <t>07/07/2025Urology</t>
  </si>
  <si>
    <t>07/07/2025ENT</t>
  </si>
  <si>
    <t>07/07/2025Geriatrics</t>
  </si>
  <si>
    <t>08/07/2025A&amp;E (Emergency)</t>
  </si>
  <si>
    <t>08/07/2025Cardiology</t>
  </si>
  <si>
    <t>08/07/2025Respiratory</t>
  </si>
  <si>
    <t>08/07/2025General Surgery</t>
  </si>
  <si>
    <t>08/07/2025Orthopaedics</t>
  </si>
  <si>
    <t>08/07/2025Neurology</t>
  </si>
  <si>
    <t>08/07/2025Oncology</t>
  </si>
  <si>
    <t>08/07/2025Paediatrics</t>
  </si>
  <si>
    <t>08/07/2025Maternity</t>
  </si>
  <si>
    <t>08/07/2025Renal Medicine</t>
  </si>
  <si>
    <t>08/07/2025Gastroenterology</t>
  </si>
  <si>
    <t>08/07/2025Endocrinology</t>
  </si>
  <si>
    <t>08/07/2025Urology</t>
  </si>
  <si>
    <t>08/07/2025ENT</t>
  </si>
  <si>
    <t>08/07/2025Geriatrics</t>
  </si>
  <si>
    <t>09/07/2025A&amp;E (Emergency)</t>
  </si>
  <si>
    <t>09/07/2025Cardiology</t>
  </si>
  <si>
    <t>09/07/2025Respiratory</t>
  </si>
  <si>
    <t>09/07/2025General Surgery</t>
  </si>
  <si>
    <t>09/07/2025Orthopaedics</t>
  </si>
  <si>
    <t>09/07/2025Neurology</t>
  </si>
  <si>
    <t>09/07/2025Oncology</t>
  </si>
  <si>
    <t>09/07/2025Paediatrics</t>
  </si>
  <si>
    <t>09/07/2025Maternity</t>
  </si>
  <si>
    <t>09/07/2025Renal Medicine</t>
  </si>
  <si>
    <t>09/07/2025Gastroenterology</t>
  </si>
  <si>
    <t>09/07/2025Endocrinology</t>
  </si>
  <si>
    <t>09/07/2025Urology</t>
  </si>
  <si>
    <t>09/07/2025ENT</t>
  </si>
  <si>
    <t>09/07/2025Geriatrics</t>
  </si>
  <si>
    <t>10/07/2025A&amp;E (Emergency)</t>
  </si>
  <si>
    <t>10/07/2025Cardiology</t>
  </si>
  <si>
    <t>10/07/2025Respiratory</t>
  </si>
  <si>
    <t>10/07/2025General Surgery</t>
  </si>
  <si>
    <t>10/07/2025Orthopaedics</t>
  </si>
  <si>
    <t>10/07/2025Neurology</t>
  </si>
  <si>
    <t>10/07/2025Oncology</t>
  </si>
  <si>
    <t>10/07/2025Paediatrics</t>
  </si>
  <si>
    <t>10/07/2025Maternity</t>
  </si>
  <si>
    <t>10/07/2025Renal Medicine</t>
  </si>
  <si>
    <t>10/07/2025Gastroenterology</t>
  </si>
  <si>
    <t>10/07/2025Endocrinology</t>
  </si>
  <si>
    <t>10/07/2025Urology</t>
  </si>
  <si>
    <t>10/07/2025ENT</t>
  </si>
  <si>
    <t>10/07/2025Geriatrics</t>
  </si>
  <si>
    <t>11/07/2025A&amp;E (Emergency)</t>
  </si>
  <si>
    <t>11/07/2025Cardiology</t>
  </si>
  <si>
    <t>11/07/2025Respiratory</t>
  </si>
  <si>
    <t>11/07/2025General Surgery</t>
  </si>
  <si>
    <t>11/07/2025Orthopaedics</t>
  </si>
  <si>
    <t>11/07/2025Neurology</t>
  </si>
  <si>
    <t>11/07/2025Oncology</t>
  </si>
  <si>
    <t>11/07/2025Paediatrics</t>
  </si>
  <si>
    <t>11/07/2025Maternity</t>
  </si>
  <si>
    <t>11/07/2025Renal Medicine</t>
  </si>
  <si>
    <t>11/07/2025Gastroenterology</t>
  </si>
  <si>
    <t>11/07/2025Endocrinology</t>
  </si>
  <si>
    <t>11/07/2025Urology</t>
  </si>
  <si>
    <t>11/07/2025ENT</t>
  </si>
  <si>
    <t>11/07/2025Geriatrics</t>
  </si>
  <si>
    <t>12/07/2025A&amp;E (Emergency)</t>
  </si>
  <si>
    <t>12/07/2025Cardiology</t>
  </si>
  <si>
    <t>12/07/2025Respiratory</t>
  </si>
  <si>
    <t>12/07/2025General Surgery</t>
  </si>
  <si>
    <t>12/07/2025Orthopaedics</t>
  </si>
  <si>
    <t>12/07/2025Neurology</t>
  </si>
  <si>
    <t>12/07/2025Oncology</t>
  </si>
  <si>
    <t>12/07/2025Paediatrics</t>
  </si>
  <si>
    <t>12/07/2025Maternity</t>
  </si>
  <si>
    <t>12/07/2025Renal Medicine</t>
  </si>
  <si>
    <t>12/07/2025Gastroenterology</t>
  </si>
  <si>
    <t>12/07/2025Endocrinology</t>
  </si>
  <si>
    <t>12/07/2025Urology</t>
  </si>
  <si>
    <t>12/07/2025ENT</t>
  </si>
  <si>
    <t>12/07/2025Geriatrics</t>
  </si>
  <si>
    <t>13/07/2025A&amp;E (Emergency)</t>
  </si>
  <si>
    <t>13/07/2025Cardiology</t>
  </si>
  <si>
    <t>13/07/2025Respiratory</t>
  </si>
  <si>
    <t>13/07/2025General Surgery</t>
  </si>
  <si>
    <t>13/07/2025Orthopaedics</t>
  </si>
  <si>
    <t>13/07/2025Neurology</t>
  </si>
  <si>
    <t>13/07/2025Oncology</t>
  </si>
  <si>
    <t>13/07/2025Paediatrics</t>
  </si>
  <si>
    <t>13/07/2025Maternity</t>
  </si>
  <si>
    <t>13/07/2025Renal Medicine</t>
  </si>
  <si>
    <t>13/07/2025Gastroenterology</t>
  </si>
  <si>
    <t>13/07/2025Endocrinology</t>
  </si>
  <si>
    <t>13/07/2025Urology</t>
  </si>
  <si>
    <t>13/07/2025ENT</t>
  </si>
  <si>
    <t>13/07/2025Geriatrics</t>
  </si>
  <si>
    <t>14/07/2025A&amp;E (Emergency)</t>
  </si>
  <si>
    <t>14/07/2025Cardiology</t>
  </si>
  <si>
    <t>14/07/2025Respiratory</t>
  </si>
  <si>
    <t>14/07/2025General Surgery</t>
  </si>
  <si>
    <t>14/07/2025Orthopaedics</t>
  </si>
  <si>
    <t>14/07/2025Neurology</t>
  </si>
  <si>
    <t>14/07/2025Oncology</t>
  </si>
  <si>
    <t>14/07/2025Paediatrics</t>
  </si>
  <si>
    <t>14/07/2025Maternity</t>
  </si>
  <si>
    <t>14/07/2025Renal Medicine</t>
  </si>
  <si>
    <t>14/07/2025Gastroenterology</t>
  </si>
  <si>
    <t>14/07/2025Endocrinology</t>
  </si>
  <si>
    <t>14/07/2025Urology</t>
  </si>
  <si>
    <t>14/07/2025ENT</t>
  </si>
  <si>
    <t>14/07/2025Geriatrics</t>
  </si>
  <si>
    <t>15/07/2025A&amp;E (Emergency)</t>
  </si>
  <si>
    <t>15/07/2025Cardiology</t>
  </si>
  <si>
    <t>15/07/2025Respiratory</t>
  </si>
  <si>
    <t>15/07/2025General Surgery</t>
  </si>
  <si>
    <t>15/07/2025Orthopaedics</t>
  </si>
  <si>
    <t>15/07/2025Neurology</t>
  </si>
  <si>
    <t>15/07/2025Oncology</t>
  </si>
  <si>
    <t>15/07/2025Paediatrics</t>
  </si>
  <si>
    <t>15/07/2025Maternity</t>
  </si>
  <si>
    <t>15/07/2025Renal Medicine</t>
  </si>
  <si>
    <t>15/07/2025Gastroenterology</t>
  </si>
  <si>
    <t>15/07/2025Endocrinology</t>
  </si>
  <si>
    <t>15/07/2025Urology</t>
  </si>
  <si>
    <t>15/07/2025ENT</t>
  </si>
  <si>
    <t>15/07/2025Geriatrics</t>
  </si>
  <si>
    <t>16/07/2025A&amp;E (Emergency)</t>
  </si>
  <si>
    <t>16/07/2025Cardiology</t>
  </si>
  <si>
    <t>16/07/2025Respiratory</t>
  </si>
  <si>
    <t>16/07/2025General Surgery</t>
  </si>
  <si>
    <t>16/07/2025Orthopaedics</t>
  </si>
  <si>
    <t>16/07/2025Neurology</t>
  </si>
  <si>
    <t>16/07/2025Oncology</t>
  </si>
  <si>
    <t>16/07/2025Paediatrics</t>
  </si>
  <si>
    <t>16/07/2025Maternity</t>
  </si>
  <si>
    <t>16/07/2025Renal Medicine</t>
  </si>
  <si>
    <t>16/07/2025Gastroenterology</t>
  </si>
  <si>
    <t>16/07/2025Endocrinology</t>
  </si>
  <si>
    <t>16/07/2025Urology</t>
  </si>
  <si>
    <t>16/07/2025ENT</t>
  </si>
  <si>
    <t>16/07/2025Geriatrics</t>
  </si>
  <si>
    <t>17/07/2025A&amp;E (Emergency)</t>
  </si>
  <si>
    <t>17/07/2025Cardiology</t>
  </si>
  <si>
    <t>17/07/2025Respiratory</t>
  </si>
  <si>
    <t>17/07/2025General Surgery</t>
  </si>
  <si>
    <t>17/07/2025Orthopaedics</t>
  </si>
  <si>
    <t>17/07/2025Neurology</t>
  </si>
  <si>
    <t>17/07/2025Oncology</t>
  </si>
  <si>
    <t>17/07/2025Paediatrics</t>
  </si>
  <si>
    <t>17/07/2025Maternity</t>
  </si>
  <si>
    <t>17/07/2025Renal Medicine</t>
  </si>
  <si>
    <t>17/07/2025Gastroenterology</t>
  </si>
  <si>
    <t>17/07/2025Endocrinology</t>
  </si>
  <si>
    <t>17/07/2025Urology</t>
  </si>
  <si>
    <t>17/07/2025ENT</t>
  </si>
  <si>
    <t>17/07/2025Geriatrics</t>
  </si>
  <si>
    <t>18/07/2025A&amp;E (Emergency)</t>
  </si>
  <si>
    <t>18/07/2025Cardiology</t>
  </si>
  <si>
    <t>18/07/2025Respiratory</t>
  </si>
  <si>
    <t>18/07/2025General Surgery</t>
  </si>
  <si>
    <t>18/07/2025Orthopaedics</t>
  </si>
  <si>
    <t>18/07/2025Neurology</t>
  </si>
  <si>
    <t>18/07/2025Oncology</t>
  </si>
  <si>
    <t>18/07/2025Paediatrics</t>
  </si>
  <si>
    <t>18/07/2025Maternity</t>
  </si>
  <si>
    <t>18/07/2025Renal Medicine</t>
  </si>
  <si>
    <t>18/07/2025Gastroenterology</t>
  </si>
  <si>
    <t>18/07/2025Endocrinology</t>
  </si>
  <si>
    <t>18/07/2025Urology</t>
  </si>
  <si>
    <t>18/07/2025ENT</t>
  </si>
  <si>
    <t>18/07/2025Geriatrics</t>
  </si>
  <si>
    <t>19/07/2025A&amp;E (Emergency)</t>
  </si>
  <si>
    <t>19/07/2025Cardiology</t>
  </si>
  <si>
    <t>19/07/2025Respiratory</t>
  </si>
  <si>
    <t>19/07/2025General Surgery</t>
  </si>
  <si>
    <t>19/07/2025Orthopaedics</t>
  </si>
  <si>
    <t>19/07/2025Neurology</t>
  </si>
  <si>
    <t>19/07/2025Oncology</t>
  </si>
  <si>
    <t>19/07/2025Paediatrics</t>
  </si>
  <si>
    <t>19/07/2025Maternity</t>
  </si>
  <si>
    <t>19/07/2025Renal Medicine</t>
  </si>
  <si>
    <t>19/07/2025Gastroenterology</t>
  </si>
  <si>
    <t>19/07/2025Endocrinology</t>
  </si>
  <si>
    <t>19/07/2025Urology</t>
  </si>
  <si>
    <t>19/07/2025ENT</t>
  </si>
  <si>
    <t>19/07/2025Geriatrics</t>
  </si>
  <si>
    <t>20/07/2025A&amp;E (Emergency)</t>
  </si>
  <si>
    <t>20/07/2025Cardiology</t>
  </si>
  <si>
    <t>20/07/2025Respiratory</t>
  </si>
  <si>
    <t>20/07/2025General Surgery</t>
  </si>
  <si>
    <t>20/07/2025Orthopaedics</t>
  </si>
  <si>
    <t>20/07/2025Neurology</t>
  </si>
  <si>
    <t>20/07/2025Oncology</t>
  </si>
  <si>
    <t>20/07/2025Paediatrics</t>
  </si>
  <si>
    <t>20/07/2025Maternity</t>
  </si>
  <si>
    <t>20/07/2025Renal Medicine</t>
  </si>
  <si>
    <t>20/07/2025Gastroenterology</t>
  </si>
  <si>
    <t>20/07/2025Endocrinology</t>
  </si>
  <si>
    <t>20/07/2025Urology</t>
  </si>
  <si>
    <t>20/07/2025ENT</t>
  </si>
  <si>
    <t>20/07/2025Geriatrics</t>
  </si>
  <si>
    <t>21/07/2025A&amp;E (Emergency)</t>
  </si>
  <si>
    <t>21/07/2025Cardiology</t>
  </si>
  <si>
    <t>21/07/2025Respiratory</t>
  </si>
  <si>
    <t>21/07/2025General Surgery</t>
  </si>
  <si>
    <t>21/07/2025Orthopaedics</t>
  </si>
  <si>
    <t>21/07/2025Neurology</t>
  </si>
  <si>
    <t>21/07/2025Oncology</t>
  </si>
  <si>
    <t>21/07/2025Paediatrics</t>
  </si>
  <si>
    <t>21/07/2025Maternity</t>
  </si>
  <si>
    <t>21/07/2025Renal Medicine</t>
  </si>
  <si>
    <t>21/07/2025Gastroenterology</t>
  </si>
  <si>
    <t>21/07/2025Endocrinology</t>
  </si>
  <si>
    <t>21/07/2025Urology</t>
  </si>
  <si>
    <t>21/07/2025ENT</t>
  </si>
  <si>
    <t>21/07/2025Geriatrics</t>
  </si>
  <si>
    <t>22/07/2025A&amp;E (Emergency)</t>
  </si>
  <si>
    <t>22/07/2025Cardiology</t>
  </si>
  <si>
    <t>22/07/2025Respiratory</t>
  </si>
  <si>
    <t>22/07/2025General Surgery</t>
  </si>
  <si>
    <t>22/07/2025Orthopaedics</t>
  </si>
  <si>
    <t>22/07/2025Neurology</t>
  </si>
  <si>
    <t>22/07/2025Oncology</t>
  </si>
  <si>
    <t>22/07/2025Paediatrics</t>
  </si>
  <si>
    <t>22/07/2025Maternity</t>
  </si>
  <si>
    <t>22/07/2025Renal Medicine</t>
  </si>
  <si>
    <t>22/07/2025Gastroenterology</t>
  </si>
  <si>
    <t>22/07/2025Endocrinology</t>
  </si>
  <si>
    <t>22/07/2025Urology</t>
  </si>
  <si>
    <t>22/07/2025ENT</t>
  </si>
  <si>
    <t>22/07/2025Geriatrics</t>
  </si>
  <si>
    <t>23/07/2025A&amp;E (Emergency)</t>
  </si>
  <si>
    <t>23/07/2025Cardiology</t>
  </si>
  <si>
    <t>23/07/2025Respiratory</t>
  </si>
  <si>
    <t>23/07/2025General Surgery</t>
  </si>
  <si>
    <t>23/07/2025Orthopaedics</t>
  </si>
  <si>
    <t>23/07/2025Neurology</t>
  </si>
  <si>
    <t>23/07/2025Oncology</t>
  </si>
  <si>
    <t>23/07/2025Paediatrics</t>
  </si>
  <si>
    <t>23/07/2025Maternity</t>
  </si>
  <si>
    <t>23/07/2025Renal Medicine</t>
  </si>
  <si>
    <t>23/07/2025Gastroenterology</t>
  </si>
  <si>
    <t>23/07/2025Endocrinology</t>
  </si>
  <si>
    <t>23/07/2025Urology</t>
  </si>
  <si>
    <t>23/07/2025ENT</t>
  </si>
  <si>
    <t>23/07/2025Geriatrics</t>
  </si>
  <si>
    <t>24/07/2025A&amp;E (Emergency)</t>
  </si>
  <si>
    <t>24/07/2025Cardiology</t>
  </si>
  <si>
    <t>24/07/2025Respiratory</t>
  </si>
  <si>
    <t>24/07/2025General Surgery</t>
  </si>
  <si>
    <t>24/07/2025Orthopaedics</t>
  </si>
  <si>
    <t>24/07/2025Neurology</t>
  </si>
  <si>
    <t>24/07/2025Oncology</t>
  </si>
  <si>
    <t>24/07/2025Paediatrics</t>
  </si>
  <si>
    <t>24/07/2025Maternity</t>
  </si>
  <si>
    <t>24/07/2025Renal Medicine</t>
  </si>
  <si>
    <t>24/07/2025Gastroenterology</t>
  </si>
  <si>
    <t>24/07/2025Endocrinology</t>
  </si>
  <si>
    <t>24/07/2025Urology</t>
  </si>
  <si>
    <t>24/07/2025ENT</t>
  </si>
  <si>
    <t>24/07/2025Geriatrics</t>
  </si>
  <si>
    <t>25/07/2025A&amp;E (Emergency)</t>
  </si>
  <si>
    <t>25/07/2025Cardiology</t>
  </si>
  <si>
    <t>25/07/2025Respiratory</t>
  </si>
  <si>
    <t>25/07/2025General Surgery</t>
  </si>
  <si>
    <t>25/07/2025Orthopaedics</t>
  </si>
  <si>
    <t>25/07/2025Neurology</t>
  </si>
  <si>
    <t>25/07/2025Oncology</t>
  </si>
  <si>
    <t>25/07/2025Paediatrics</t>
  </si>
  <si>
    <t>25/07/2025Maternity</t>
  </si>
  <si>
    <t>25/07/2025Renal Medicine</t>
  </si>
  <si>
    <t>25/07/2025Gastroenterology</t>
  </si>
  <si>
    <t>25/07/2025Endocrinology</t>
  </si>
  <si>
    <t>25/07/2025Urology</t>
  </si>
  <si>
    <t>25/07/2025ENT</t>
  </si>
  <si>
    <t>25/07/2025Geriatrics</t>
  </si>
  <si>
    <t>26/07/2025A&amp;E (Emergency)</t>
  </si>
  <si>
    <t>26/07/2025Cardiology</t>
  </si>
  <si>
    <t>26/07/2025Respiratory</t>
  </si>
  <si>
    <t>26/07/2025General Surgery</t>
  </si>
  <si>
    <t>26/07/2025Orthopaedics</t>
  </si>
  <si>
    <t>26/07/2025Neurology</t>
  </si>
  <si>
    <t>26/07/2025Oncology</t>
  </si>
  <si>
    <t>26/07/2025Paediatrics</t>
  </si>
  <si>
    <t>26/07/2025Maternity</t>
  </si>
  <si>
    <t>26/07/2025Renal Medicine</t>
  </si>
  <si>
    <t>26/07/2025Gastroenterology</t>
  </si>
  <si>
    <t>26/07/2025Endocrinology</t>
  </si>
  <si>
    <t>26/07/2025Urology</t>
  </si>
  <si>
    <t>26/07/2025ENT</t>
  </si>
  <si>
    <t>26/07/2025Geriatrics</t>
  </si>
  <si>
    <t>27/07/2025A&amp;E (Emergency)</t>
  </si>
  <si>
    <t>27/07/2025Cardiology</t>
  </si>
  <si>
    <t>27/07/2025Respiratory</t>
  </si>
  <si>
    <t>27/07/2025General Surgery</t>
  </si>
  <si>
    <t>27/07/2025Orthopaedics</t>
  </si>
  <si>
    <t>27/07/2025Neurology</t>
  </si>
  <si>
    <t>27/07/2025Oncology</t>
  </si>
  <si>
    <t>27/07/2025Paediatrics</t>
  </si>
  <si>
    <t>27/07/2025Maternity</t>
  </si>
  <si>
    <t>27/07/2025Renal Medicine</t>
  </si>
  <si>
    <t>27/07/2025Gastroenterology</t>
  </si>
  <si>
    <t>27/07/2025Endocrinology</t>
  </si>
  <si>
    <t>27/07/2025Urology</t>
  </si>
  <si>
    <t>27/07/2025ENT</t>
  </si>
  <si>
    <t>27/07/2025Geriatrics</t>
  </si>
  <si>
    <t>28/07/2025A&amp;E (Emergency)</t>
  </si>
  <si>
    <t>28/07/2025Cardiology</t>
  </si>
  <si>
    <t>28/07/2025Respiratory</t>
  </si>
  <si>
    <t>28/07/2025General Surgery</t>
  </si>
  <si>
    <t>28/07/2025Orthopaedics</t>
  </si>
  <si>
    <t>28/07/2025Neurology</t>
  </si>
  <si>
    <t>28/07/2025Oncology</t>
  </si>
  <si>
    <t>28/07/2025Paediatrics</t>
  </si>
  <si>
    <t>28/07/2025Maternity</t>
  </si>
  <si>
    <t>28/07/2025Renal Medicine</t>
  </si>
  <si>
    <t>28/07/2025Gastroenterology</t>
  </si>
  <si>
    <t>28/07/2025Endocrinology</t>
  </si>
  <si>
    <t>28/07/2025Urology</t>
  </si>
  <si>
    <t>28/07/2025ENT</t>
  </si>
  <si>
    <t>28/07/2025Geriatrics</t>
  </si>
  <si>
    <t>29/07/2025A&amp;E (Emergency)</t>
  </si>
  <si>
    <t>29/07/2025Cardiology</t>
  </si>
  <si>
    <t>29/07/2025Respiratory</t>
  </si>
  <si>
    <t>29/07/2025General Surgery</t>
  </si>
  <si>
    <t>29/07/2025Orthopaedics</t>
  </si>
  <si>
    <t>29/07/2025Neurology</t>
  </si>
  <si>
    <t>29/07/2025Oncology</t>
  </si>
  <si>
    <t>29/07/2025Paediatrics</t>
  </si>
  <si>
    <t>29/07/2025Maternity</t>
  </si>
  <si>
    <t>29/07/2025Renal Medicine</t>
  </si>
  <si>
    <t>29/07/2025Gastroenterology</t>
  </si>
  <si>
    <t>29/07/2025Endocrinology</t>
  </si>
  <si>
    <t>29/07/2025Urology</t>
  </si>
  <si>
    <t>29/07/2025ENT</t>
  </si>
  <si>
    <t>29/07/2025Geriatrics</t>
  </si>
  <si>
    <t>30/07/2025A&amp;E (Emergency)</t>
  </si>
  <si>
    <t>30/07/2025Cardiology</t>
  </si>
  <si>
    <t>30/07/2025Respiratory</t>
  </si>
  <si>
    <t>30/07/2025General Surgery</t>
  </si>
  <si>
    <t>30/07/2025Orthopaedics</t>
  </si>
  <si>
    <t>30/07/2025Neurology</t>
  </si>
  <si>
    <t>30/07/2025Oncology</t>
  </si>
  <si>
    <t>30/07/2025Paediatrics</t>
  </si>
  <si>
    <t>30/07/2025Maternity</t>
  </si>
  <si>
    <t>30/07/2025Renal Medicine</t>
  </si>
  <si>
    <t>30/07/2025Gastroenterology</t>
  </si>
  <si>
    <t>30/07/2025Endocrinology</t>
  </si>
  <si>
    <t>30/07/2025Urology</t>
  </si>
  <si>
    <t>30/07/2025ENT</t>
  </si>
  <si>
    <t>30/07/2025Geriatrics</t>
  </si>
  <si>
    <t>31/07/2025A&amp;E (Emergency)</t>
  </si>
  <si>
    <t>31/07/2025Cardiology</t>
  </si>
  <si>
    <t>31/07/2025Respiratory</t>
  </si>
  <si>
    <t>31/07/2025General Surgery</t>
  </si>
  <si>
    <t>31/07/2025Orthopaedics</t>
  </si>
  <si>
    <t>31/07/2025Neurology</t>
  </si>
  <si>
    <t>31/07/2025Oncology</t>
  </si>
  <si>
    <t>31/07/2025Paediatrics</t>
  </si>
  <si>
    <t>31/07/2025Maternity</t>
  </si>
  <si>
    <t>31/07/2025Renal Medicine</t>
  </si>
  <si>
    <t>31/07/2025Gastroenterology</t>
  </si>
  <si>
    <t>31/07/2025Endocrinology</t>
  </si>
  <si>
    <t>31/07/2025Urology</t>
  </si>
  <si>
    <t>31/07/2025ENT</t>
  </si>
  <si>
    <t>31/07/2025Geriatrics</t>
  </si>
  <si>
    <t>01/08/2025A&amp;E (Emergency)</t>
  </si>
  <si>
    <t>01/08/2025Cardiology</t>
  </si>
  <si>
    <t>01/08/2025Respiratory</t>
  </si>
  <si>
    <t>01/08/2025General Surgery</t>
  </si>
  <si>
    <t>01/08/2025Orthopaedics</t>
  </si>
  <si>
    <t>01/08/2025Neurology</t>
  </si>
  <si>
    <t>01/08/2025Oncology</t>
  </si>
  <si>
    <t>01/08/2025Paediatrics</t>
  </si>
  <si>
    <t>01/08/2025Maternity</t>
  </si>
  <si>
    <t>01/08/2025Renal Medicine</t>
  </si>
  <si>
    <t>01/08/2025Gastroenterology</t>
  </si>
  <si>
    <t>01/08/2025Endocrinology</t>
  </si>
  <si>
    <t>01/08/2025Urology</t>
  </si>
  <si>
    <t>01/08/2025ENT</t>
  </si>
  <si>
    <t>01/08/2025Geriatrics</t>
  </si>
  <si>
    <t>02/08/2025A&amp;E (Emergency)</t>
  </si>
  <si>
    <t>02/08/2025Cardiology</t>
  </si>
  <si>
    <t>02/08/2025Respiratory</t>
  </si>
  <si>
    <t>02/08/2025General Surgery</t>
  </si>
  <si>
    <t>02/08/2025Orthopaedics</t>
  </si>
  <si>
    <t>02/08/2025Neurology</t>
  </si>
  <si>
    <t>02/08/2025Oncology</t>
  </si>
  <si>
    <t>02/08/2025Paediatrics</t>
  </si>
  <si>
    <t>02/08/2025Maternity</t>
  </si>
  <si>
    <t>02/08/2025Renal Medicine</t>
  </si>
  <si>
    <t>02/08/2025Gastroenterology</t>
  </si>
  <si>
    <t>02/08/2025Endocrinology</t>
  </si>
  <si>
    <t>02/08/2025Urology</t>
  </si>
  <si>
    <t>02/08/2025ENT</t>
  </si>
  <si>
    <t>02/08/2025Geriatrics</t>
  </si>
  <si>
    <t>03/08/2025A&amp;E (Emergency)</t>
  </si>
  <si>
    <t>03/08/2025Cardiology</t>
  </si>
  <si>
    <t>03/08/2025Respiratory</t>
  </si>
  <si>
    <t>03/08/2025General Surgery</t>
  </si>
  <si>
    <t>03/08/2025Orthopaedics</t>
  </si>
  <si>
    <t>03/08/2025Neurology</t>
  </si>
  <si>
    <t>03/08/2025Oncology</t>
  </si>
  <si>
    <t>03/08/2025Paediatrics</t>
  </si>
  <si>
    <t>03/08/2025Maternity</t>
  </si>
  <si>
    <t>03/08/2025Renal Medicine</t>
  </si>
  <si>
    <t>03/08/2025Gastroenterology</t>
  </si>
  <si>
    <t>03/08/2025Endocrinology</t>
  </si>
  <si>
    <t>03/08/2025Urology</t>
  </si>
  <si>
    <t>03/08/2025ENT</t>
  </si>
  <si>
    <t>03/08/2025Geriatrics</t>
  </si>
  <si>
    <t>04/08/2025A&amp;E (Emergency)</t>
  </si>
  <si>
    <t>04/08/2025Cardiology</t>
  </si>
  <si>
    <t>04/08/2025Respiratory</t>
  </si>
  <si>
    <t>04/08/2025General Surgery</t>
  </si>
  <si>
    <t>04/08/2025Orthopaedics</t>
  </si>
  <si>
    <t>04/08/2025Neurology</t>
  </si>
  <si>
    <t>04/08/2025Oncology</t>
  </si>
  <si>
    <t>04/08/2025Paediatrics</t>
  </si>
  <si>
    <t>04/08/2025Maternity</t>
  </si>
  <si>
    <t>04/08/2025Renal Medicine</t>
  </si>
  <si>
    <t>04/08/2025Gastroenterology</t>
  </si>
  <si>
    <t>04/08/2025Endocrinology</t>
  </si>
  <si>
    <t>04/08/2025Urology</t>
  </si>
  <si>
    <t>04/08/2025ENT</t>
  </si>
  <si>
    <t>04/08/2025Geriatrics</t>
  </si>
  <si>
    <t>05/08/2025A&amp;E (Emergency)</t>
  </si>
  <si>
    <t>05/08/2025Cardiology</t>
  </si>
  <si>
    <t>05/08/2025Respiratory</t>
  </si>
  <si>
    <t>05/08/2025General Surgery</t>
  </si>
  <si>
    <t>05/08/2025Orthopaedics</t>
  </si>
  <si>
    <t>05/08/2025Neurology</t>
  </si>
  <si>
    <t>05/08/2025Oncology</t>
  </si>
  <si>
    <t>05/08/2025Paediatrics</t>
  </si>
  <si>
    <t>05/08/2025Maternity</t>
  </si>
  <si>
    <t>05/08/2025Renal Medicine</t>
  </si>
  <si>
    <t>05/08/2025Gastroenterology</t>
  </si>
  <si>
    <t>05/08/2025Endocrinology</t>
  </si>
  <si>
    <t>05/08/2025Urology</t>
  </si>
  <si>
    <t>05/08/2025ENT</t>
  </si>
  <si>
    <t>05/08/2025Geriatrics</t>
  </si>
  <si>
    <t>06/08/2025A&amp;E (Emergency)</t>
  </si>
  <si>
    <t>06/08/2025Cardiology</t>
  </si>
  <si>
    <t>06/08/2025Respiratory</t>
  </si>
  <si>
    <t>06/08/2025General Surgery</t>
  </si>
  <si>
    <t>06/08/2025Orthopaedics</t>
  </si>
  <si>
    <t>06/08/2025Neurology</t>
  </si>
  <si>
    <t>06/08/2025Oncology</t>
  </si>
  <si>
    <t>06/08/2025Paediatrics</t>
  </si>
  <si>
    <t>06/08/2025Maternity</t>
  </si>
  <si>
    <t>06/08/2025Renal Medicine</t>
  </si>
  <si>
    <t>06/08/2025Gastroenterology</t>
  </si>
  <si>
    <t>06/08/2025Endocrinology</t>
  </si>
  <si>
    <t>06/08/2025Urology</t>
  </si>
  <si>
    <t>06/08/2025ENT</t>
  </si>
  <si>
    <t>06/08/2025Geriatrics</t>
  </si>
  <si>
    <t>07/08/2025A&amp;E (Emergency)</t>
  </si>
  <si>
    <t>07/08/2025Cardiology</t>
  </si>
  <si>
    <t>07/08/2025Respiratory</t>
  </si>
  <si>
    <t>07/08/2025General Surgery</t>
  </si>
  <si>
    <t>07/08/2025Orthopaedics</t>
  </si>
  <si>
    <t>07/08/2025Neurology</t>
  </si>
  <si>
    <t>07/08/2025Oncology</t>
  </si>
  <si>
    <t>07/08/2025Paediatrics</t>
  </si>
  <si>
    <t>07/08/2025Maternity</t>
  </si>
  <si>
    <t>07/08/2025Renal Medicine</t>
  </si>
  <si>
    <t>07/08/2025Gastroenterology</t>
  </si>
  <si>
    <t>07/08/2025Endocrinology</t>
  </si>
  <si>
    <t>07/08/2025Urology</t>
  </si>
  <si>
    <t>07/08/2025ENT</t>
  </si>
  <si>
    <t>07/08/2025Geriatrics</t>
  </si>
  <si>
    <t>08/08/2025A&amp;E (Emergency)</t>
  </si>
  <si>
    <t>08/08/2025Cardiology</t>
  </si>
  <si>
    <t>08/08/2025Respiratory</t>
  </si>
  <si>
    <t>08/08/2025General Surgery</t>
  </si>
  <si>
    <t>08/08/2025Orthopaedics</t>
  </si>
  <si>
    <t>08/08/2025Neurology</t>
  </si>
  <si>
    <t>08/08/2025Oncology</t>
  </si>
  <si>
    <t>08/08/2025Paediatrics</t>
  </si>
  <si>
    <t>08/08/2025Maternity</t>
  </si>
  <si>
    <t>08/08/2025Renal Medicine</t>
  </si>
  <si>
    <t>08/08/2025Gastroenterology</t>
  </si>
  <si>
    <t>08/08/2025Endocrinology</t>
  </si>
  <si>
    <t>08/08/2025Urology</t>
  </si>
  <si>
    <t>08/08/2025ENT</t>
  </si>
  <si>
    <t>08/08/2025Geriatrics</t>
  </si>
  <si>
    <t>09/08/2025A&amp;E (Emergency)</t>
  </si>
  <si>
    <t>09/08/2025Cardiology</t>
  </si>
  <si>
    <t>09/08/2025Respiratory</t>
  </si>
  <si>
    <t>09/08/2025General Surgery</t>
  </si>
  <si>
    <t>09/08/2025Orthopaedics</t>
  </si>
  <si>
    <t>09/08/2025Neurology</t>
  </si>
  <si>
    <t>09/08/2025Oncology</t>
  </si>
  <si>
    <t>09/08/2025Paediatrics</t>
  </si>
  <si>
    <t>09/08/2025Maternity</t>
  </si>
  <si>
    <t>09/08/2025Renal Medicine</t>
  </si>
  <si>
    <t>09/08/2025Gastroenterology</t>
  </si>
  <si>
    <t>09/08/2025Endocrinology</t>
  </si>
  <si>
    <t>09/08/2025Urology</t>
  </si>
  <si>
    <t>09/08/2025ENT</t>
  </si>
  <si>
    <t>09/08/2025Geriatrics</t>
  </si>
  <si>
    <t>10/08/2025A&amp;E (Emergency)</t>
  </si>
  <si>
    <t>10/08/2025Cardiology</t>
  </si>
  <si>
    <t>10/08/2025Respiratory</t>
  </si>
  <si>
    <t>10/08/2025General Surgery</t>
  </si>
  <si>
    <t>10/08/2025Orthopaedics</t>
  </si>
  <si>
    <t>10/08/2025Neurology</t>
  </si>
  <si>
    <t>10/08/2025Oncology</t>
  </si>
  <si>
    <t>10/08/2025Paediatrics</t>
  </si>
  <si>
    <t>10/08/2025Maternity</t>
  </si>
  <si>
    <t>10/08/2025Renal Medicine</t>
  </si>
  <si>
    <t>10/08/2025Gastroenterology</t>
  </si>
  <si>
    <t>10/08/2025Endocrinology</t>
  </si>
  <si>
    <t>10/08/2025Urology</t>
  </si>
  <si>
    <t>10/08/2025ENT</t>
  </si>
  <si>
    <t>10/08/2025Geriatrics</t>
  </si>
  <si>
    <t>11/08/2025A&amp;E (Emergency)</t>
  </si>
  <si>
    <t>11/08/2025Cardiology</t>
  </si>
  <si>
    <t>11/08/2025Respiratory</t>
  </si>
  <si>
    <t>11/08/2025General Surgery</t>
  </si>
  <si>
    <t>11/08/2025Orthopaedics</t>
  </si>
  <si>
    <t>11/08/2025Neurology</t>
  </si>
  <si>
    <t>11/08/2025Oncology</t>
  </si>
  <si>
    <t>11/08/2025Paediatrics</t>
  </si>
  <si>
    <t>11/08/2025Maternity</t>
  </si>
  <si>
    <t>11/08/2025Renal Medicine</t>
  </si>
  <si>
    <t>11/08/2025Gastroenterology</t>
  </si>
  <si>
    <t>11/08/2025Endocrinology</t>
  </si>
  <si>
    <t>11/08/2025Urology</t>
  </si>
  <si>
    <t>11/08/2025ENT</t>
  </si>
  <si>
    <t>11/08/2025Geriatrics</t>
  </si>
  <si>
    <t>12/08/2025A&amp;E (Emergency)</t>
  </si>
  <si>
    <t>12/08/2025Cardiology</t>
  </si>
  <si>
    <t>12/08/2025Respiratory</t>
  </si>
  <si>
    <t>12/08/2025General Surgery</t>
  </si>
  <si>
    <t>12/08/2025Orthopaedics</t>
  </si>
  <si>
    <t>12/08/2025Neurology</t>
  </si>
  <si>
    <t>12/08/2025Oncology</t>
  </si>
  <si>
    <t>12/08/2025Paediatrics</t>
  </si>
  <si>
    <t>12/08/2025Maternity</t>
  </si>
  <si>
    <t>12/08/2025Renal Medicine</t>
  </si>
  <si>
    <t>12/08/2025Gastroenterology</t>
  </si>
  <si>
    <t>12/08/2025Endocrinology</t>
  </si>
  <si>
    <t>12/08/2025Urology</t>
  </si>
  <si>
    <t>12/08/2025ENT</t>
  </si>
  <si>
    <t>12/08/2025Geriatrics</t>
  </si>
  <si>
    <t>13/08/2025A&amp;E (Emergency)</t>
  </si>
  <si>
    <t>13/08/2025Cardiology</t>
  </si>
  <si>
    <t>13/08/2025Respiratory</t>
  </si>
  <si>
    <t>13/08/2025General Surgery</t>
  </si>
  <si>
    <t>13/08/2025Orthopaedics</t>
  </si>
  <si>
    <t>13/08/2025Neurology</t>
  </si>
  <si>
    <t>13/08/2025Oncology</t>
  </si>
  <si>
    <t>13/08/2025Paediatrics</t>
  </si>
  <si>
    <t>13/08/2025Maternity</t>
  </si>
  <si>
    <t>13/08/2025Renal Medicine</t>
  </si>
  <si>
    <t>13/08/2025Gastroenterology</t>
  </si>
  <si>
    <t>13/08/2025Endocrinology</t>
  </si>
  <si>
    <t>13/08/2025Urology</t>
  </si>
  <si>
    <t>13/08/2025ENT</t>
  </si>
  <si>
    <t>13/08/2025Geriatrics</t>
  </si>
  <si>
    <t>14/08/2025A&amp;E (Emergency)</t>
  </si>
  <si>
    <t>14/08/2025Cardiology</t>
  </si>
  <si>
    <t>14/08/2025Respiratory</t>
  </si>
  <si>
    <t>14/08/2025General Surgery</t>
  </si>
  <si>
    <t>14/08/2025Orthopaedics</t>
  </si>
  <si>
    <t>14/08/2025Neurology</t>
  </si>
  <si>
    <t>14/08/2025Oncology</t>
  </si>
  <si>
    <t>14/08/2025Paediatrics</t>
  </si>
  <si>
    <t>14/08/2025Maternity</t>
  </si>
  <si>
    <t>14/08/2025Renal Medicine</t>
  </si>
  <si>
    <t>14/08/2025Gastroenterology</t>
  </si>
  <si>
    <t>14/08/2025Endocrinology</t>
  </si>
  <si>
    <t>14/08/2025Urology</t>
  </si>
  <si>
    <t>14/08/2025ENT</t>
  </si>
  <si>
    <t>14/08/2025Geriatrics</t>
  </si>
  <si>
    <t>15/08/2025A&amp;E (Emergency)</t>
  </si>
  <si>
    <t>15/08/2025Cardiology</t>
  </si>
  <si>
    <t>15/08/2025Respiratory</t>
  </si>
  <si>
    <t>15/08/2025General Surgery</t>
  </si>
  <si>
    <t>15/08/2025Orthopaedics</t>
  </si>
  <si>
    <t>15/08/2025Neurology</t>
  </si>
  <si>
    <t>15/08/2025Oncology</t>
  </si>
  <si>
    <t>15/08/2025Paediatrics</t>
  </si>
  <si>
    <t>15/08/2025Maternity</t>
  </si>
  <si>
    <t>15/08/2025Renal Medicine</t>
  </si>
  <si>
    <t>15/08/2025Gastroenterology</t>
  </si>
  <si>
    <t>15/08/2025Endocrinology</t>
  </si>
  <si>
    <t>15/08/2025Urology</t>
  </si>
  <si>
    <t>15/08/2025ENT</t>
  </si>
  <si>
    <t>15/08/2025Geriatrics</t>
  </si>
  <si>
    <t>16/08/2025A&amp;E (Emergency)</t>
  </si>
  <si>
    <t>16/08/2025Cardiology</t>
  </si>
  <si>
    <t>16/08/2025Respiratory</t>
  </si>
  <si>
    <t>16/08/2025General Surgery</t>
  </si>
  <si>
    <t>16/08/2025Orthopaedics</t>
  </si>
  <si>
    <t>16/08/2025Neurology</t>
  </si>
  <si>
    <t>16/08/2025Oncology</t>
  </si>
  <si>
    <t>16/08/2025Paediatrics</t>
  </si>
  <si>
    <t>16/08/2025Maternity</t>
  </si>
  <si>
    <t>16/08/2025Renal Medicine</t>
  </si>
  <si>
    <t>16/08/2025Gastroenterology</t>
  </si>
  <si>
    <t>16/08/2025Endocrinology</t>
  </si>
  <si>
    <t>16/08/2025Urology</t>
  </si>
  <si>
    <t>16/08/2025ENT</t>
  </si>
  <si>
    <t>16/08/2025Geriatrics</t>
  </si>
  <si>
    <t>17/08/2025A&amp;E (Emergency)</t>
  </si>
  <si>
    <t>17/08/2025Cardiology</t>
  </si>
  <si>
    <t>17/08/2025Respiratory</t>
  </si>
  <si>
    <t>17/08/2025General Surgery</t>
  </si>
  <si>
    <t>17/08/2025Orthopaedics</t>
  </si>
  <si>
    <t>17/08/2025Neurology</t>
  </si>
  <si>
    <t>17/08/2025Oncology</t>
  </si>
  <si>
    <t>17/08/2025Paediatrics</t>
  </si>
  <si>
    <t>17/08/2025Maternity</t>
  </si>
  <si>
    <t>17/08/2025Renal Medicine</t>
  </si>
  <si>
    <t>17/08/2025Gastroenterology</t>
  </si>
  <si>
    <t>17/08/2025Endocrinology</t>
  </si>
  <si>
    <t>17/08/2025Urology</t>
  </si>
  <si>
    <t>17/08/2025ENT</t>
  </si>
  <si>
    <t>17/08/2025Geriatrics</t>
  </si>
  <si>
    <t>18/08/2025A&amp;E (Emergency)</t>
  </si>
  <si>
    <t>18/08/2025Cardiology</t>
  </si>
  <si>
    <t>18/08/2025Respiratory</t>
  </si>
  <si>
    <t>18/08/2025General Surgery</t>
  </si>
  <si>
    <t>18/08/2025Orthopaedics</t>
  </si>
  <si>
    <t>18/08/2025Neurology</t>
  </si>
  <si>
    <t>18/08/2025Oncology</t>
  </si>
  <si>
    <t>18/08/2025Paediatrics</t>
  </si>
  <si>
    <t>18/08/2025Maternity</t>
  </si>
  <si>
    <t>18/08/2025Renal Medicine</t>
  </si>
  <si>
    <t>18/08/2025Gastroenterology</t>
  </si>
  <si>
    <t>18/08/2025Endocrinology</t>
  </si>
  <si>
    <t>18/08/2025Urology</t>
  </si>
  <si>
    <t>18/08/2025ENT</t>
  </si>
  <si>
    <t>18/08/2025Geriatrics</t>
  </si>
  <si>
    <t>19/08/2025A&amp;E (Emergency)</t>
  </si>
  <si>
    <t>19/08/2025Cardiology</t>
  </si>
  <si>
    <t>19/08/2025Respiratory</t>
  </si>
  <si>
    <t>19/08/2025General Surgery</t>
  </si>
  <si>
    <t>19/08/2025Orthopaedics</t>
  </si>
  <si>
    <t>19/08/2025Neurology</t>
  </si>
  <si>
    <t>19/08/2025Oncology</t>
  </si>
  <si>
    <t>19/08/2025Paediatrics</t>
  </si>
  <si>
    <t>19/08/2025Maternity</t>
  </si>
  <si>
    <t>19/08/2025Renal Medicine</t>
  </si>
  <si>
    <t>19/08/2025Gastroenterology</t>
  </si>
  <si>
    <t>19/08/2025Endocrinology</t>
  </si>
  <si>
    <t>19/08/2025Urology</t>
  </si>
  <si>
    <t>19/08/2025ENT</t>
  </si>
  <si>
    <t>19/08/2025Geriatrics</t>
  </si>
  <si>
    <t>20/08/2025A&amp;E (Emergency)</t>
  </si>
  <si>
    <t>20/08/2025Cardiology</t>
  </si>
  <si>
    <t>20/08/2025Respiratory</t>
  </si>
  <si>
    <t>20/08/2025General Surgery</t>
  </si>
  <si>
    <t>20/08/2025Orthopaedics</t>
  </si>
  <si>
    <t>20/08/2025Neurology</t>
  </si>
  <si>
    <t>20/08/2025Oncology</t>
  </si>
  <si>
    <t>20/08/2025Paediatrics</t>
  </si>
  <si>
    <t>20/08/2025Maternity</t>
  </si>
  <si>
    <t>20/08/2025Renal Medicine</t>
  </si>
  <si>
    <t>20/08/2025Gastroenterology</t>
  </si>
  <si>
    <t>20/08/2025Endocrinology</t>
  </si>
  <si>
    <t>20/08/2025Urology</t>
  </si>
  <si>
    <t>20/08/2025ENT</t>
  </si>
  <si>
    <t>20/08/2025Geriatrics</t>
  </si>
  <si>
    <t>21/08/2025A&amp;E (Emergency)</t>
  </si>
  <si>
    <t>21/08/2025Cardiology</t>
  </si>
  <si>
    <t>21/08/2025Respiratory</t>
  </si>
  <si>
    <t>21/08/2025General Surgery</t>
  </si>
  <si>
    <t>21/08/2025Orthopaedics</t>
  </si>
  <si>
    <t>21/08/2025Neurology</t>
  </si>
  <si>
    <t>21/08/2025Oncology</t>
  </si>
  <si>
    <t>21/08/2025Paediatrics</t>
  </si>
  <si>
    <t>21/08/2025Maternity</t>
  </si>
  <si>
    <t>21/08/2025Renal Medicine</t>
  </si>
  <si>
    <t>21/08/2025Gastroenterology</t>
  </si>
  <si>
    <t>21/08/2025Endocrinology</t>
  </si>
  <si>
    <t>21/08/2025Urology</t>
  </si>
  <si>
    <t>21/08/2025ENT</t>
  </si>
  <si>
    <t>21/08/2025Geriatrics</t>
  </si>
  <si>
    <t>22/08/2025A&amp;E (Emergency)</t>
  </si>
  <si>
    <t>22/08/2025Cardiology</t>
  </si>
  <si>
    <t>22/08/2025Respiratory</t>
  </si>
  <si>
    <t>22/08/2025General Surgery</t>
  </si>
  <si>
    <t>22/08/2025Orthopaedics</t>
  </si>
  <si>
    <t>22/08/2025Neurology</t>
  </si>
  <si>
    <t>22/08/2025Oncology</t>
  </si>
  <si>
    <t>22/08/2025Paediatrics</t>
  </si>
  <si>
    <t>22/08/2025Maternity</t>
  </si>
  <si>
    <t>22/08/2025Renal Medicine</t>
  </si>
  <si>
    <t>22/08/2025Gastroenterology</t>
  </si>
  <si>
    <t>22/08/2025Endocrinology</t>
  </si>
  <si>
    <t>22/08/2025Urology</t>
  </si>
  <si>
    <t>22/08/2025ENT</t>
  </si>
  <si>
    <t>22/08/2025Geriatrics</t>
  </si>
  <si>
    <t>23/08/2025A&amp;E (Emergency)</t>
  </si>
  <si>
    <t>23/08/2025Cardiology</t>
  </si>
  <si>
    <t>23/08/2025Respiratory</t>
  </si>
  <si>
    <t>23/08/2025General Surgery</t>
  </si>
  <si>
    <t>23/08/2025Orthopaedics</t>
  </si>
  <si>
    <t>23/08/2025Neurology</t>
  </si>
  <si>
    <t>23/08/2025Oncology</t>
  </si>
  <si>
    <t>23/08/2025Paediatrics</t>
  </si>
  <si>
    <t>23/08/2025Maternity</t>
  </si>
  <si>
    <t>23/08/2025Renal Medicine</t>
  </si>
  <si>
    <t>23/08/2025Gastroenterology</t>
  </si>
  <si>
    <t>23/08/2025Endocrinology</t>
  </si>
  <si>
    <t>23/08/2025Urology</t>
  </si>
  <si>
    <t>23/08/2025ENT</t>
  </si>
  <si>
    <t>23/08/2025Geriatrics</t>
  </si>
  <si>
    <t>24/08/2025A&amp;E (Emergency)</t>
  </si>
  <si>
    <t>24/08/2025Cardiology</t>
  </si>
  <si>
    <t>24/08/2025Respiratory</t>
  </si>
  <si>
    <t>24/08/2025General Surgery</t>
  </si>
  <si>
    <t>24/08/2025Orthopaedics</t>
  </si>
  <si>
    <t>24/08/2025Neurology</t>
  </si>
  <si>
    <t>24/08/2025Oncology</t>
  </si>
  <si>
    <t>24/08/2025Paediatrics</t>
  </si>
  <si>
    <t>24/08/2025Maternity</t>
  </si>
  <si>
    <t>24/08/2025Renal Medicine</t>
  </si>
  <si>
    <t>24/08/2025Gastroenterology</t>
  </si>
  <si>
    <t>24/08/2025Endocrinology</t>
  </si>
  <si>
    <t>24/08/2025Urology</t>
  </si>
  <si>
    <t>24/08/2025ENT</t>
  </si>
  <si>
    <t>24/08/2025Geriatrics</t>
  </si>
  <si>
    <t>25/08/2025A&amp;E (Emergency)</t>
  </si>
  <si>
    <t>25/08/2025Cardiology</t>
  </si>
  <si>
    <t>25/08/2025Respiratory</t>
  </si>
  <si>
    <t>25/08/2025General Surgery</t>
  </si>
  <si>
    <t>25/08/2025Orthopaedics</t>
  </si>
  <si>
    <t>25/08/2025Neurology</t>
  </si>
  <si>
    <t>25/08/2025Oncology</t>
  </si>
  <si>
    <t>25/08/2025Paediatrics</t>
  </si>
  <si>
    <t>25/08/2025Maternity</t>
  </si>
  <si>
    <t>25/08/2025Renal Medicine</t>
  </si>
  <si>
    <t>25/08/2025Gastroenterology</t>
  </si>
  <si>
    <t>25/08/2025Endocrinology</t>
  </si>
  <si>
    <t>25/08/2025Urology</t>
  </si>
  <si>
    <t>25/08/2025ENT</t>
  </si>
  <si>
    <t>25/08/2025Geriatrics</t>
  </si>
  <si>
    <t>26/08/2025A&amp;E (Emergency)</t>
  </si>
  <si>
    <t>26/08/2025Cardiology</t>
  </si>
  <si>
    <t>26/08/2025Respiratory</t>
  </si>
  <si>
    <t>26/08/2025General Surgery</t>
  </si>
  <si>
    <t>26/08/2025Orthopaedics</t>
  </si>
  <si>
    <t>26/08/2025Neurology</t>
  </si>
  <si>
    <t>26/08/2025Oncology</t>
  </si>
  <si>
    <t>26/08/2025Paediatrics</t>
  </si>
  <si>
    <t>26/08/2025Maternity</t>
  </si>
  <si>
    <t>26/08/2025Renal Medicine</t>
  </si>
  <si>
    <t>26/08/2025Gastroenterology</t>
  </si>
  <si>
    <t>26/08/2025Endocrinology</t>
  </si>
  <si>
    <t>26/08/2025Urology</t>
  </si>
  <si>
    <t>26/08/2025ENT</t>
  </si>
  <si>
    <t>26/08/2025Geriatrics</t>
  </si>
  <si>
    <t>27/08/2025A&amp;E (Emergency)</t>
  </si>
  <si>
    <t>27/08/2025Cardiology</t>
  </si>
  <si>
    <t>27/08/2025Respiratory</t>
  </si>
  <si>
    <t>27/08/2025General Surgery</t>
  </si>
  <si>
    <t>27/08/2025Orthopaedics</t>
  </si>
  <si>
    <t>27/08/2025Neurology</t>
  </si>
  <si>
    <t>27/08/2025Oncology</t>
  </si>
  <si>
    <t>27/08/2025Paediatrics</t>
  </si>
  <si>
    <t>27/08/2025Maternity</t>
  </si>
  <si>
    <t>27/08/2025Renal Medicine</t>
  </si>
  <si>
    <t>27/08/2025Gastroenterology</t>
  </si>
  <si>
    <t>27/08/2025Endocrinology</t>
  </si>
  <si>
    <t>27/08/2025Urology</t>
  </si>
  <si>
    <t>27/08/2025ENT</t>
  </si>
  <si>
    <t>27/08/2025Geriatrics</t>
  </si>
  <si>
    <t>28/08/2025A&amp;E (Emergency)</t>
  </si>
  <si>
    <t>28/08/2025Cardiology</t>
  </si>
  <si>
    <t>28/08/2025Respiratory</t>
  </si>
  <si>
    <t>28/08/2025General Surgery</t>
  </si>
  <si>
    <t>28/08/2025Orthopaedics</t>
  </si>
  <si>
    <t>28/08/2025Neurology</t>
  </si>
  <si>
    <t>28/08/2025Oncology</t>
  </si>
  <si>
    <t>28/08/2025Paediatrics</t>
  </si>
  <si>
    <t>28/08/2025Maternity</t>
  </si>
  <si>
    <t>28/08/2025Renal Medicine</t>
  </si>
  <si>
    <t>28/08/2025Gastroenterology</t>
  </si>
  <si>
    <t>28/08/2025Endocrinology</t>
  </si>
  <si>
    <t>28/08/2025Urology</t>
  </si>
  <si>
    <t>28/08/2025ENT</t>
  </si>
  <si>
    <t>28/08/2025Geriatrics</t>
  </si>
  <si>
    <t>29/08/2025A&amp;E (Emergency)</t>
  </si>
  <si>
    <t>29/08/2025Cardiology</t>
  </si>
  <si>
    <t>29/08/2025Respiratory</t>
  </si>
  <si>
    <t>29/08/2025General Surgery</t>
  </si>
  <si>
    <t>29/08/2025Orthopaedics</t>
  </si>
  <si>
    <t>29/08/2025Neurology</t>
  </si>
  <si>
    <t>29/08/2025Oncology</t>
  </si>
  <si>
    <t>29/08/2025Paediatrics</t>
  </si>
  <si>
    <t>29/08/2025Maternity</t>
  </si>
  <si>
    <t>29/08/2025Renal Medicine</t>
  </si>
  <si>
    <t>29/08/2025Gastroenterology</t>
  </si>
  <si>
    <t>29/08/2025Endocrinology</t>
  </si>
  <si>
    <t>29/08/2025Urology</t>
  </si>
  <si>
    <t>29/08/2025ENT</t>
  </si>
  <si>
    <t>29/08/2025Geriatrics</t>
  </si>
  <si>
    <t>30/08/2025A&amp;E (Emergency)</t>
  </si>
  <si>
    <t>30/08/2025Cardiology</t>
  </si>
  <si>
    <t>30/08/2025Respiratory</t>
  </si>
  <si>
    <t>30/08/2025General Surgery</t>
  </si>
  <si>
    <t>30/08/2025Orthopaedics</t>
  </si>
  <si>
    <t>30/08/2025Neurology</t>
  </si>
  <si>
    <t>30/08/2025Oncology</t>
  </si>
  <si>
    <t>30/08/2025Paediatrics</t>
  </si>
  <si>
    <t>30/08/2025Maternity</t>
  </si>
  <si>
    <t>30/08/2025Renal Medicine</t>
  </si>
  <si>
    <t>30/08/2025Gastroenterology</t>
  </si>
  <si>
    <t>30/08/2025Endocrinology</t>
  </si>
  <si>
    <t>30/08/2025Urology</t>
  </si>
  <si>
    <t>30/08/2025ENT</t>
  </si>
  <si>
    <t>30/08/2025Geriatrics</t>
  </si>
  <si>
    <t>31/08/2025A&amp;E (Emergency)</t>
  </si>
  <si>
    <t>31/08/2025Cardiology</t>
  </si>
  <si>
    <t>31/08/2025Respiratory</t>
  </si>
  <si>
    <t>31/08/2025General Surgery</t>
  </si>
  <si>
    <t>31/08/2025Orthopaedics</t>
  </si>
  <si>
    <t>31/08/2025Neurology</t>
  </si>
  <si>
    <t>31/08/2025Oncology</t>
  </si>
  <si>
    <t>31/08/2025Paediatrics</t>
  </si>
  <si>
    <t>31/08/2025Maternity</t>
  </si>
  <si>
    <t>31/08/2025Renal Medicine</t>
  </si>
  <si>
    <t>31/08/2025Gastroenterology</t>
  </si>
  <si>
    <t>31/08/2025Endocrinology</t>
  </si>
  <si>
    <t>31/08/2025Urology</t>
  </si>
  <si>
    <t>31/08/2025ENT</t>
  </si>
  <si>
    <t>31/08/2025Geriatrics</t>
  </si>
  <si>
    <t>01/09/2025A&amp;E (Emergency)</t>
  </si>
  <si>
    <t>01/09/2025Cardiology</t>
  </si>
  <si>
    <t>01/09/2025Respiratory</t>
  </si>
  <si>
    <t>01/09/2025General Surgery</t>
  </si>
  <si>
    <t>01/09/2025Orthopaedics</t>
  </si>
  <si>
    <t>01/09/2025Neurology</t>
  </si>
  <si>
    <t>01/09/2025Oncology</t>
  </si>
  <si>
    <t>01/09/2025Paediatrics</t>
  </si>
  <si>
    <t>01/09/2025Maternity</t>
  </si>
  <si>
    <t>01/09/2025Renal Medicine</t>
  </si>
  <si>
    <t>01/09/2025Gastroenterology</t>
  </si>
  <si>
    <t>01/09/2025Endocrinology</t>
  </si>
  <si>
    <t>01/09/2025Urology</t>
  </si>
  <si>
    <t>01/09/2025ENT</t>
  </si>
  <si>
    <t>01/09/2025Geriatrics</t>
  </si>
  <si>
    <t>02/09/2025A&amp;E (Emergency)</t>
  </si>
  <si>
    <t>02/09/2025Cardiology</t>
  </si>
  <si>
    <t>02/09/2025Respiratory</t>
  </si>
  <si>
    <t>02/09/2025General Surgery</t>
  </si>
  <si>
    <t>02/09/2025Orthopaedics</t>
  </si>
  <si>
    <t>02/09/2025Neurology</t>
  </si>
  <si>
    <t>02/09/2025Oncology</t>
  </si>
  <si>
    <t>02/09/2025Paediatrics</t>
  </si>
  <si>
    <t>02/09/2025Maternity</t>
  </si>
  <si>
    <t>02/09/2025Renal Medicine</t>
  </si>
  <si>
    <t>02/09/2025Gastroenterology</t>
  </si>
  <si>
    <t>02/09/2025Endocrinology</t>
  </si>
  <si>
    <t>02/09/2025Urology</t>
  </si>
  <si>
    <t>02/09/2025ENT</t>
  </si>
  <si>
    <t>02/09/2025Geriatrics</t>
  </si>
  <si>
    <t>03/09/2025A&amp;E (Emergency)</t>
  </si>
  <si>
    <t>03/09/2025Cardiology</t>
  </si>
  <si>
    <t>03/09/2025Respiratory</t>
  </si>
  <si>
    <t>03/09/2025General Surgery</t>
  </si>
  <si>
    <t>03/09/2025Orthopaedics</t>
  </si>
  <si>
    <t>03/09/2025Neurology</t>
  </si>
  <si>
    <t>03/09/2025Oncology</t>
  </si>
  <si>
    <t>03/09/2025Paediatrics</t>
  </si>
  <si>
    <t>03/09/2025Maternity</t>
  </si>
  <si>
    <t>03/09/2025Renal Medicine</t>
  </si>
  <si>
    <t>03/09/2025Gastroenterology</t>
  </si>
  <si>
    <t>03/09/2025Endocrinology</t>
  </si>
  <si>
    <t>03/09/2025Urology</t>
  </si>
  <si>
    <t>03/09/2025ENT</t>
  </si>
  <si>
    <t>03/09/2025Geriatrics</t>
  </si>
  <si>
    <t>04/09/2025A&amp;E (Emergency)</t>
  </si>
  <si>
    <t>04/09/2025Cardiology</t>
  </si>
  <si>
    <t>04/09/2025Respiratory</t>
  </si>
  <si>
    <t>04/09/2025General Surgery</t>
  </si>
  <si>
    <t>04/09/2025Orthopaedics</t>
  </si>
  <si>
    <t>04/09/2025Neurology</t>
  </si>
  <si>
    <t>04/09/2025Oncology</t>
  </si>
  <si>
    <t>04/09/2025Paediatrics</t>
  </si>
  <si>
    <t>04/09/2025Maternity</t>
  </si>
  <si>
    <t>04/09/2025Renal Medicine</t>
  </si>
  <si>
    <t>04/09/2025Gastroenterology</t>
  </si>
  <si>
    <t>04/09/2025Endocrinology</t>
  </si>
  <si>
    <t>04/09/2025Urology</t>
  </si>
  <si>
    <t>04/09/2025ENT</t>
  </si>
  <si>
    <t>04/09/2025Geriatrics</t>
  </si>
  <si>
    <t>05/09/2025A&amp;E (Emergency)</t>
  </si>
  <si>
    <t>05/09/2025Cardiology</t>
  </si>
  <si>
    <t>05/09/2025Respiratory</t>
  </si>
  <si>
    <t>05/09/2025General Surgery</t>
  </si>
  <si>
    <t>05/09/2025Orthopaedics</t>
  </si>
  <si>
    <t>05/09/2025Neurology</t>
  </si>
  <si>
    <t>05/09/2025Oncology</t>
  </si>
  <si>
    <t>05/09/2025Paediatrics</t>
  </si>
  <si>
    <t>05/09/2025Maternity</t>
  </si>
  <si>
    <t>05/09/2025Renal Medicine</t>
  </si>
  <si>
    <t>05/09/2025Gastroenterology</t>
  </si>
  <si>
    <t>05/09/2025Endocrinology</t>
  </si>
  <si>
    <t>05/09/2025Urology</t>
  </si>
  <si>
    <t>05/09/2025ENT</t>
  </si>
  <si>
    <t>05/09/2025Geriatrics</t>
  </si>
  <si>
    <t>06/09/2025A&amp;E (Emergency)</t>
  </si>
  <si>
    <t>06/09/2025Cardiology</t>
  </si>
  <si>
    <t>06/09/2025Respiratory</t>
  </si>
  <si>
    <t>06/09/2025General Surgery</t>
  </si>
  <si>
    <t>06/09/2025Orthopaedics</t>
  </si>
  <si>
    <t>06/09/2025Neurology</t>
  </si>
  <si>
    <t>06/09/2025Oncology</t>
  </si>
  <si>
    <t>06/09/2025Paediatrics</t>
  </si>
  <si>
    <t>06/09/2025Maternity</t>
  </si>
  <si>
    <t>06/09/2025Renal Medicine</t>
  </si>
  <si>
    <t>06/09/2025Gastroenterology</t>
  </si>
  <si>
    <t>06/09/2025Endocrinology</t>
  </si>
  <si>
    <t>06/09/2025Urology</t>
  </si>
  <si>
    <t>06/09/2025ENT</t>
  </si>
  <si>
    <t>06/09/2025Geriatrics</t>
  </si>
  <si>
    <t>07/09/2025A&amp;E (Emergency)</t>
  </si>
  <si>
    <t>07/09/2025Cardiology</t>
  </si>
  <si>
    <t>07/09/2025Respiratory</t>
  </si>
  <si>
    <t>07/09/2025General Surgery</t>
  </si>
  <si>
    <t>07/09/2025Orthopaedics</t>
  </si>
  <si>
    <t>07/09/2025Neurology</t>
  </si>
  <si>
    <t>07/09/2025Oncology</t>
  </si>
  <si>
    <t>07/09/2025Paediatrics</t>
  </si>
  <si>
    <t>07/09/2025Maternity</t>
  </si>
  <si>
    <t>07/09/2025Renal Medicine</t>
  </si>
  <si>
    <t>07/09/2025Gastroenterology</t>
  </si>
  <si>
    <t>07/09/2025Endocrinology</t>
  </si>
  <si>
    <t>07/09/2025Urology</t>
  </si>
  <si>
    <t>07/09/2025ENT</t>
  </si>
  <si>
    <t>07/09/2025Geriatrics</t>
  </si>
  <si>
    <t>08/09/2025A&amp;E (Emergency)</t>
  </si>
  <si>
    <t>08/09/2025Cardiology</t>
  </si>
  <si>
    <t>08/09/2025Respiratory</t>
  </si>
  <si>
    <t>08/09/2025General Surgery</t>
  </si>
  <si>
    <t>08/09/2025Orthopaedics</t>
  </si>
  <si>
    <t>08/09/2025Neurology</t>
  </si>
  <si>
    <t>08/09/2025Oncology</t>
  </si>
  <si>
    <t>08/09/2025Paediatrics</t>
  </si>
  <si>
    <t>08/09/2025Maternity</t>
  </si>
  <si>
    <t>08/09/2025Renal Medicine</t>
  </si>
  <si>
    <t>08/09/2025Gastroenterology</t>
  </si>
  <si>
    <t>08/09/2025Endocrinology</t>
  </si>
  <si>
    <t>08/09/2025Urology</t>
  </si>
  <si>
    <t>08/09/2025ENT</t>
  </si>
  <si>
    <t>08/09/2025Geriatrics</t>
  </si>
  <si>
    <t>09/09/2025A&amp;E (Emergency)</t>
  </si>
  <si>
    <t>09/09/2025Cardiology</t>
  </si>
  <si>
    <t>09/09/2025Respiratory</t>
  </si>
  <si>
    <t>09/09/2025General Surgery</t>
  </si>
  <si>
    <t>09/09/2025Orthopaedics</t>
  </si>
  <si>
    <t>09/09/2025Neurology</t>
  </si>
  <si>
    <t>09/09/2025Oncology</t>
  </si>
  <si>
    <t>09/09/2025Paediatrics</t>
  </si>
  <si>
    <t>09/09/2025Maternity</t>
  </si>
  <si>
    <t>09/09/2025Renal Medicine</t>
  </si>
  <si>
    <t>09/09/2025Gastroenterology</t>
  </si>
  <si>
    <t>09/09/2025Endocrinology</t>
  </si>
  <si>
    <t>09/09/2025Urology</t>
  </si>
  <si>
    <t>09/09/2025ENT</t>
  </si>
  <si>
    <t>09/09/2025Geriatrics</t>
  </si>
  <si>
    <t>10/09/2025A&amp;E (Emergency)</t>
  </si>
  <si>
    <t>10/09/2025Cardiology</t>
  </si>
  <si>
    <t>10/09/2025Respiratory</t>
  </si>
  <si>
    <t>10/09/2025General Surgery</t>
  </si>
  <si>
    <t>10/09/2025Orthopaedics</t>
  </si>
  <si>
    <t>10/09/2025Neurology</t>
  </si>
  <si>
    <t>10/09/2025Oncology</t>
  </si>
  <si>
    <t>10/09/2025Paediatrics</t>
  </si>
  <si>
    <t>10/09/2025Maternity</t>
  </si>
  <si>
    <t>10/09/2025Renal Medicine</t>
  </si>
  <si>
    <t>10/09/2025Gastroenterology</t>
  </si>
  <si>
    <t>10/09/2025Endocrinology</t>
  </si>
  <si>
    <t>10/09/2025Urology</t>
  </si>
  <si>
    <t>10/09/2025ENT</t>
  </si>
  <si>
    <t>10/09/2025Geriatrics</t>
  </si>
  <si>
    <t>11/09/2025A&amp;E (Emergency)</t>
  </si>
  <si>
    <t>11/09/2025Cardiology</t>
  </si>
  <si>
    <t>11/09/2025Respiratory</t>
  </si>
  <si>
    <t>11/09/2025General Surgery</t>
  </si>
  <si>
    <t>11/09/2025Orthopaedics</t>
  </si>
  <si>
    <t>11/09/2025Neurology</t>
  </si>
  <si>
    <t>11/09/2025Oncology</t>
  </si>
  <si>
    <t>11/09/2025Paediatrics</t>
  </si>
  <si>
    <t>11/09/2025Maternity</t>
  </si>
  <si>
    <t>11/09/2025Renal Medicine</t>
  </si>
  <si>
    <t>11/09/2025Gastroenterology</t>
  </si>
  <si>
    <t>11/09/2025Endocrinology</t>
  </si>
  <si>
    <t>11/09/2025Urology</t>
  </si>
  <si>
    <t>11/09/2025ENT</t>
  </si>
  <si>
    <t>11/09/2025Geriatrics</t>
  </si>
  <si>
    <t>12/09/2025A&amp;E (Emergency)</t>
  </si>
  <si>
    <t>12/09/2025Cardiology</t>
  </si>
  <si>
    <t>12/09/2025Respiratory</t>
  </si>
  <si>
    <t>12/09/2025General Surgery</t>
  </si>
  <si>
    <t>12/09/2025Orthopaedics</t>
  </si>
  <si>
    <t>12/09/2025Neurology</t>
  </si>
  <si>
    <t>12/09/2025Oncology</t>
  </si>
  <si>
    <t>12/09/2025Paediatrics</t>
  </si>
  <si>
    <t>12/09/2025Maternity</t>
  </si>
  <si>
    <t>12/09/2025Renal Medicine</t>
  </si>
  <si>
    <t>12/09/2025Gastroenterology</t>
  </si>
  <si>
    <t>12/09/2025Endocrinology</t>
  </si>
  <si>
    <t>12/09/2025Urology</t>
  </si>
  <si>
    <t>12/09/2025ENT</t>
  </si>
  <si>
    <t>12/09/2025Geriatrics</t>
  </si>
  <si>
    <t>13/09/2025A&amp;E (Emergency)</t>
  </si>
  <si>
    <t>13/09/2025Cardiology</t>
  </si>
  <si>
    <t>13/09/2025Respiratory</t>
  </si>
  <si>
    <t>13/09/2025General Surgery</t>
  </si>
  <si>
    <t>13/09/2025Orthopaedics</t>
  </si>
  <si>
    <t>13/09/2025Neurology</t>
  </si>
  <si>
    <t>13/09/2025Oncology</t>
  </si>
  <si>
    <t>13/09/2025Paediatrics</t>
  </si>
  <si>
    <t>13/09/2025Maternity</t>
  </si>
  <si>
    <t>13/09/2025Renal Medicine</t>
  </si>
  <si>
    <t>13/09/2025Gastroenterology</t>
  </si>
  <si>
    <t>13/09/2025Endocrinology</t>
  </si>
  <si>
    <t>13/09/2025Urology</t>
  </si>
  <si>
    <t>13/09/2025ENT</t>
  </si>
  <si>
    <t>13/09/2025Geriatrics</t>
  </si>
  <si>
    <t>14/09/2025A&amp;E (Emergency)</t>
  </si>
  <si>
    <t>14/09/2025Cardiology</t>
  </si>
  <si>
    <t>14/09/2025Respiratory</t>
  </si>
  <si>
    <t>14/09/2025General Surgery</t>
  </si>
  <si>
    <t>14/09/2025Orthopaedics</t>
  </si>
  <si>
    <t>14/09/2025Neurology</t>
  </si>
  <si>
    <t>14/09/2025Oncology</t>
  </si>
  <si>
    <t>14/09/2025Paediatrics</t>
  </si>
  <si>
    <t>14/09/2025Maternity</t>
  </si>
  <si>
    <t>14/09/2025Renal Medicine</t>
  </si>
  <si>
    <t>14/09/2025Gastroenterology</t>
  </si>
  <si>
    <t>14/09/2025Endocrinology</t>
  </si>
  <si>
    <t>14/09/2025Urology</t>
  </si>
  <si>
    <t>14/09/2025ENT</t>
  </si>
  <si>
    <t>14/09/2025Geriatrics</t>
  </si>
  <si>
    <t>15/09/2025A&amp;E (Emergency)</t>
  </si>
  <si>
    <t>15/09/2025Cardiology</t>
  </si>
  <si>
    <t>15/09/2025Respiratory</t>
  </si>
  <si>
    <t>15/09/2025General Surgery</t>
  </si>
  <si>
    <t>15/09/2025Orthopaedics</t>
  </si>
  <si>
    <t>15/09/2025Neurology</t>
  </si>
  <si>
    <t>15/09/2025Oncology</t>
  </si>
  <si>
    <t>15/09/2025Paediatrics</t>
  </si>
  <si>
    <t>15/09/2025Maternity</t>
  </si>
  <si>
    <t>15/09/2025Renal Medicine</t>
  </si>
  <si>
    <t>15/09/2025Gastroenterology</t>
  </si>
  <si>
    <t>15/09/2025Endocrinology</t>
  </si>
  <si>
    <t>15/09/2025Urology</t>
  </si>
  <si>
    <t>15/09/2025ENT</t>
  </si>
  <si>
    <t>15/09/2025Geriatrics</t>
  </si>
  <si>
    <t>16/09/2025A&amp;E (Emergency)</t>
  </si>
  <si>
    <t>16/09/2025Cardiology</t>
  </si>
  <si>
    <t>16/09/2025Respiratory</t>
  </si>
  <si>
    <t>16/09/2025General Surgery</t>
  </si>
  <si>
    <t>16/09/2025Orthopaedics</t>
  </si>
  <si>
    <t>16/09/2025Neurology</t>
  </si>
  <si>
    <t>16/09/2025Oncology</t>
  </si>
  <si>
    <t>16/09/2025Paediatrics</t>
  </si>
  <si>
    <t>16/09/2025Maternity</t>
  </si>
  <si>
    <t>16/09/2025Renal Medicine</t>
  </si>
  <si>
    <t>16/09/2025Gastroenterology</t>
  </si>
  <si>
    <t>16/09/2025Endocrinology</t>
  </si>
  <si>
    <t>16/09/2025Urology</t>
  </si>
  <si>
    <t>16/09/2025ENT</t>
  </si>
  <si>
    <t>16/09/2025Geriatrics</t>
  </si>
  <si>
    <t>17/09/2025A&amp;E (Emergency)</t>
  </si>
  <si>
    <t>17/09/2025Cardiology</t>
  </si>
  <si>
    <t>17/09/2025Respiratory</t>
  </si>
  <si>
    <t>17/09/2025General Surgery</t>
  </si>
  <si>
    <t>17/09/2025Orthopaedics</t>
  </si>
  <si>
    <t>17/09/2025Neurology</t>
  </si>
  <si>
    <t>17/09/2025Oncology</t>
  </si>
  <si>
    <t>17/09/2025Paediatrics</t>
  </si>
  <si>
    <t>17/09/2025Maternity</t>
  </si>
  <si>
    <t>17/09/2025Renal Medicine</t>
  </si>
  <si>
    <t>17/09/2025Gastroenterology</t>
  </si>
  <si>
    <t>17/09/2025Endocrinology</t>
  </si>
  <si>
    <t>17/09/2025Urology</t>
  </si>
  <si>
    <t>17/09/2025ENT</t>
  </si>
  <si>
    <t>17/09/2025Geriatrics</t>
  </si>
  <si>
    <t>18/09/2025A&amp;E (Emergency)</t>
  </si>
  <si>
    <t>18/09/2025Cardiology</t>
  </si>
  <si>
    <t>18/09/2025Respiratory</t>
  </si>
  <si>
    <t>18/09/2025General Surgery</t>
  </si>
  <si>
    <t>18/09/2025Orthopaedics</t>
  </si>
  <si>
    <t>18/09/2025Neurology</t>
  </si>
  <si>
    <t>18/09/2025Oncology</t>
  </si>
  <si>
    <t>18/09/2025Paediatrics</t>
  </si>
  <si>
    <t>18/09/2025Maternity</t>
  </si>
  <si>
    <t>18/09/2025Renal Medicine</t>
  </si>
  <si>
    <t>18/09/2025Gastroenterology</t>
  </si>
  <si>
    <t>18/09/2025Endocrinology</t>
  </si>
  <si>
    <t>18/09/2025Urology</t>
  </si>
  <si>
    <t>18/09/2025ENT</t>
  </si>
  <si>
    <t>18/09/2025Geriatrics</t>
  </si>
  <si>
    <t>19/09/2025A&amp;E (Emergency)</t>
  </si>
  <si>
    <t>19/09/2025Cardiology</t>
  </si>
  <si>
    <t>19/09/2025Respiratory</t>
  </si>
  <si>
    <t>19/09/2025General Surgery</t>
  </si>
  <si>
    <t>19/09/2025Orthopaedics</t>
  </si>
  <si>
    <t>19/09/2025Neurology</t>
  </si>
  <si>
    <t>19/09/2025Oncology</t>
  </si>
  <si>
    <t>19/09/2025Paediatrics</t>
  </si>
  <si>
    <t>19/09/2025Maternity</t>
  </si>
  <si>
    <t>19/09/2025Renal Medicine</t>
  </si>
  <si>
    <t>19/09/2025Gastroenterology</t>
  </si>
  <si>
    <t>19/09/2025Endocrinology</t>
  </si>
  <si>
    <t>19/09/2025Urology</t>
  </si>
  <si>
    <t>19/09/2025ENT</t>
  </si>
  <si>
    <t>19/09/2025Geriatrics</t>
  </si>
  <si>
    <t>20/09/2025A&amp;E (Emergency)</t>
  </si>
  <si>
    <t>20/09/2025Cardiology</t>
  </si>
  <si>
    <t>20/09/2025Respiratory</t>
  </si>
  <si>
    <t>20/09/2025General Surgery</t>
  </si>
  <si>
    <t>20/09/2025Orthopaedics</t>
  </si>
  <si>
    <t>20/09/2025Neurology</t>
  </si>
  <si>
    <t>20/09/2025Oncology</t>
  </si>
  <si>
    <t>20/09/2025Paediatrics</t>
  </si>
  <si>
    <t>20/09/2025Maternity</t>
  </si>
  <si>
    <t>20/09/2025Renal Medicine</t>
  </si>
  <si>
    <t>20/09/2025Gastroenterology</t>
  </si>
  <si>
    <t>20/09/2025Endocrinology</t>
  </si>
  <si>
    <t>20/09/2025Urology</t>
  </si>
  <si>
    <t>20/09/2025ENT</t>
  </si>
  <si>
    <t>20/09/2025Geriatrics</t>
  </si>
  <si>
    <t>21/09/2025A&amp;E (Emergency)</t>
  </si>
  <si>
    <t>21/09/2025Cardiology</t>
  </si>
  <si>
    <t>21/09/2025Respiratory</t>
  </si>
  <si>
    <t>21/09/2025General Surgery</t>
  </si>
  <si>
    <t>21/09/2025Orthopaedics</t>
  </si>
  <si>
    <t>21/09/2025Neurology</t>
  </si>
  <si>
    <t>21/09/2025Oncology</t>
  </si>
  <si>
    <t>21/09/2025Paediatrics</t>
  </si>
  <si>
    <t>21/09/2025Maternity</t>
  </si>
  <si>
    <t>21/09/2025Renal Medicine</t>
  </si>
  <si>
    <t>21/09/2025Gastroenterology</t>
  </si>
  <si>
    <t>21/09/2025Endocrinology</t>
  </si>
  <si>
    <t>21/09/2025Urology</t>
  </si>
  <si>
    <t>21/09/2025ENT</t>
  </si>
  <si>
    <t>21/09/2025Geriatrics</t>
  </si>
  <si>
    <t>22/09/2025A&amp;E (Emergency)</t>
  </si>
  <si>
    <t>22/09/2025Cardiology</t>
  </si>
  <si>
    <t>22/09/2025Respiratory</t>
  </si>
  <si>
    <t>22/09/2025General Surgery</t>
  </si>
  <si>
    <t>22/09/2025Orthopaedics</t>
  </si>
  <si>
    <t>22/09/2025Neurology</t>
  </si>
  <si>
    <t>22/09/2025Oncology</t>
  </si>
  <si>
    <t>22/09/2025Paediatrics</t>
  </si>
  <si>
    <t>22/09/2025Maternity</t>
  </si>
  <si>
    <t>22/09/2025Renal Medicine</t>
  </si>
  <si>
    <t>22/09/2025Gastroenterology</t>
  </si>
  <si>
    <t>22/09/2025Endocrinology</t>
  </si>
  <si>
    <t>22/09/2025Urology</t>
  </si>
  <si>
    <t>22/09/2025ENT</t>
  </si>
  <si>
    <t>22/09/2025Geriatrics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</si>
</sst>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14" fontId="1" fillId="0" borderId="0" xfId="0" applyNumberFormat="1" applyFont="1"/>
    <xf numFmtId="2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4.4X 1.xlsx]Average_waitingTime_by_deprtmt!PivotTable1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F9ED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waiting time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F9ED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Average_waitingTime_by_deprtmt!$B$3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Average_waitingTime_by_deprtmt!$A$4:$A$17</c:f>
              <c:strCache>
                <c:ptCount val="13"/>
                <c:pt idx="0">
                  <c:v>A&amp;E (Emergency)</c:v>
                </c:pt>
                <c:pt idx="1">
                  <c:v>Cardiology</c:v>
                </c:pt>
                <c:pt idx="2">
                  <c:v>ENT</c:v>
                </c:pt>
                <c:pt idx="3">
                  <c:v>Gastroenterology</c:v>
                </c:pt>
                <c:pt idx="4">
                  <c:v>General Surgery</c:v>
                </c:pt>
                <c:pt idx="5">
                  <c:v>Geriatrics</c:v>
                </c:pt>
                <c:pt idx="6">
                  <c:v>Maternity</c:v>
                </c:pt>
                <c:pt idx="7">
                  <c:v>Neurology</c:v>
                </c:pt>
                <c:pt idx="8">
                  <c:v>Oncology</c:v>
                </c:pt>
                <c:pt idx="9">
                  <c:v>Orthopaedics</c:v>
                </c:pt>
                <c:pt idx="10">
                  <c:v>Paediatrics</c:v>
                </c:pt>
                <c:pt idx="11">
                  <c:v>Renal Medicine</c:v>
                </c:pt>
                <c:pt idx="12">
                  <c:v>Respiratory</c:v>
                </c:pt>
              </c:strCache>
            </c:strRef>
          </c:cat>
          <c:val>
            <c:numRef>
              <c:f>Average_waitingTime_by_deprtmt!$B$4:$B$17</c:f>
              <c:numCache>
                <c:formatCode>0.00</c:formatCode>
                <c:ptCount val="13"/>
                <c:pt idx="0">
                  <c:v>99.169230769230765</c:v>
                </c:pt>
                <c:pt idx="1">
                  <c:v>49.639344262295083</c:v>
                </c:pt>
                <c:pt idx="2">
                  <c:v>102.9047619047619</c:v>
                </c:pt>
                <c:pt idx="3">
                  <c:v>31.015873015873016</c:v>
                </c:pt>
                <c:pt idx="4">
                  <c:v>36.73770491803279</c:v>
                </c:pt>
                <c:pt idx="5">
                  <c:v>43.476190476190474</c:v>
                </c:pt>
                <c:pt idx="6">
                  <c:v>107.53125</c:v>
                </c:pt>
                <c:pt idx="7">
                  <c:v>32.3125</c:v>
                </c:pt>
                <c:pt idx="8">
                  <c:v>32.065573770491802</c:v>
                </c:pt>
                <c:pt idx="9">
                  <c:v>36.40625</c:v>
                </c:pt>
                <c:pt idx="10">
                  <c:v>114</c:v>
                </c:pt>
                <c:pt idx="11">
                  <c:v>33.453125</c:v>
                </c:pt>
                <c:pt idx="12">
                  <c:v>106.08196721311475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9-421D-B718-E5A91A54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045576"/>
        <c:axId val="1152047624"/>
      </c:barChart>
      <c:catAx>
        <c:axId val="1152045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47624"/>
        <c:crosses val="autoZero"/>
        <c:auto val="1"/>
        <c:lblAlgn val="ctr"/>
        <c:lblOffset val="100"/>
        <c:noMultiLvlLbl val="0"/>
      </c:catAx>
      <c:valAx>
        <c:axId val="115204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waiting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4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4.4X 1.xlsx]Admission_type_by_Outcome!PivotTable2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F9ED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type by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F9ED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Admission_type_by_Outcome!$B$3:$B$4</c:f>
              <c:strCache>
                <c:ptCount val="1"/>
                <c:pt idx="0">
                  <c:v>Elective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Admission_type_by_Outcome!$A$5:$A$8</c:f>
              <c:strCache>
                <c:ptCount val="3"/>
                <c:pt idx="0">
                  <c:v>Deceased</c:v>
                </c:pt>
                <c:pt idx="1">
                  <c:v>Discharged</c:v>
                </c:pt>
                <c:pt idx="2">
                  <c:v>Transferred</c:v>
                </c:pt>
              </c:strCache>
            </c:strRef>
          </c:cat>
          <c:val>
            <c:numRef>
              <c:f>Admission_type_by_Outcome!$B$5:$B$8</c:f>
              <c:numCache>
                <c:formatCode>General</c:formatCode>
                <c:ptCount val="3"/>
                <c:pt idx="1">
                  <c:v>411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6-4539-B2E8-79A7E96CF146}"/>
            </c:ext>
          </c:extLst>
        </c:ser>
        <c:ser>
          <c:idx val="1"/>
          <c:order val="1"/>
          <c:tx>
            <c:strRef>
              <c:f>Admission_type_by_Outcome!$C$3:$C$4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Admission_type_by_Outcome!$A$5:$A$8</c:f>
              <c:strCache>
                <c:ptCount val="3"/>
                <c:pt idx="0">
                  <c:v>Deceased</c:v>
                </c:pt>
                <c:pt idx="1">
                  <c:v>Discharged</c:v>
                </c:pt>
                <c:pt idx="2">
                  <c:v>Transferred</c:v>
                </c:pt>
              </c:strCache>
            </c:strRef>
          </c:cat>
          <c:val>
            <c:numRef>
              <c:f>Admission_type_by_Outcome!$C$5:$C$8</c:f>
              <c:numCache>
                <c:formatCode>General</c:formatCode>
                <c:ptCount val="3"/>
                <c:pt idx="0">
                  <c:v>1</c:v>
                </c:pt>
                <c:pt idx="1">
                  <c:v>288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96-4539-B2E8-79A7E96CF146}"/>
            </c:ext>
          </c:extLst>
        </c:ser>
        <c:ser>
          <c:idx val="2"/>
          <c:order val="2"/>
          <c:tx>
            <c:strRef>
              <c:f>Admission_type_by_Outcome!$D$3:$D$4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Admission_type_by_Outcome!$A$5:$A$8</c:f>
              <c:strCache>
                <c:ptCount val="3"/>
                <c:pt idx="0">
                  <c:v>Deceased</c:v>
                </c:pt>
                <c:pt idx="1">
                  <c:v>Discharged</c:v>
                </c:pt>
                <c:pt idx="2">
                  <c:v>Transferred</c:v>
                </c:pt>
              </c:strCache>
            </c:strRef>
          </c:cat>
          <c:val>
            <c:numRef>
              <c:f>Admission_type_by_Outcome!$D$5:$D$8</c:f>
              <c:numCache>
                <c:formatCode>General</c:formatCode>
                <c:ptCount val="3"/>
                <c:pt idx="1">
                  <c:v>47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96-4539-B2E8-79A7E96CF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249096"/>
        <c:axId val="1908251656"/>
      </c:barChart>
      <c:catAx>
        <c:axId val="1908249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51656"/>
        <c:crosses val="autoZero"/>
        <c:auto val="1"/>
        <c:lblAlgn val="ctr"/>
        <c:lblOffset val="100"/>
        <c:noMultiLvlLbl val="0"/>
      </c:catAx>
      <c:valAx>
        <c:axId val="190825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4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4.4X 1.xlsx]AWT_by_staff_on_duty!PivotTable3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F9ED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waiting time vs staffOnDuty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F9ED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AWT_by_staff_on_duty!$B$3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E5014"/>
            </a:solidFill>
            <a:ln>
              <a:noFill/>
            </a:ln>
            <a:effectLst/>
          </c:spPr>
          <c:invertIfNegative val="0"/>
          <c:cat>
            <c:strRef>
              <c:f>AWT_by_staff_on_duty!$A$4:$A$23</c:f>
              <c:strCache>
                <c:ptCount val="1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(blank)</c:v>
                </c:pt>
              </c:strCache>
            </c:strRef>
          </c:cat>
          <c:val>
            <c:numRef>
              <c:f>AWT_by_staff_on_duty!$B$4:$B$23</c:f>
              <c:numCache>
                <c:formatCode>General</c:formatCode>
                <c:ptCount val="19"/>
                <c:pt idx="0">
                  <c:v>28</c:v>
                </c:pt>
                <c:pt idx="1">
                  <c:v>119</c:v>
                </c:pt>
                <c:pt idx="2">
                  <c:v>27</c:v>
                </c:pt>
                <c:pt idx="3">
                  <c:v>95.75</c:v>
                </c:pt>
                <c:pt idx="4" formatCode="0.0">
                  <c:v>54.333333333333336</c:v>
                </c:pt>
                <c:pt idx="5" formatCode="0.0">
                  <c:v>25.166666666666668</c:v>
                </c:pt>
                <c:pt idx="6" formatCode="0.0">
                  <c:v>101.66666666666667</c:v>
                </c:pt>
                <c:pt idx="7">
                  <c:v>73</c:v>
                </c:pt>
                <c:pt idx="8">
                  <c:v>106</c:v>
                </c:pt>
                <c:pt idx="9">
                  <c:v>21.4</c:v>
                </c:pt>
                <c:pt idx="10">
                  <c:v>18.5</c:v>
                </c:pt>
                <c:pt idx="11">
                  <c:v>44</c:v>
                </c:pt>
                <c:pt idx="12">
                  <c:v>19</c:v>
                </c:pt>
                <c:pt idx="13">
                  <c:v>43</c:v>
                </c:pt>
                <c:pt idx="14">
                  <c:v>10</c:v>
                </c:pt>
                <c:pt idx="15">
                  <c:v>135</c:v>
                </c:pt>
                <c:pt idx="16">
                  <c:v>120</c:v>
                </c:pt>
                <c:pt idx="17">
                  <c:v>103.5</c:v>
                </c:pt>
                <c:pt idx="18" formatCode="0.0">
                  <c:v>63.720207253886009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C-40EF-B3FC-069F559F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2083719"/>
        <c:axId val="1116571143"/>
      </c:barChart>
      <c:catAx>
        <c:axId val="1332083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staff on duty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1143"/>
        <c:crosses val="autoZero"/>
        <c:auto val="1"/>
        <c:lblAlgn val="ctr"/>
        <c:lblOffset val="100"/>
        <c:noMultiLvlLbl val="0"/>
      </c:catAx>
      <c:valAx>
        <c:axId val="1116571143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waiting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83719"/>
        <c:crosses val="autoZero"/>
        <c:crossBetween val="between"/>
        <c:majorUnit val="2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4.4X 1.xlsx]Bed_availability!PivotTable1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F9ED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availability and patient 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F9ED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Bed_availability!$B$3</c:f>
              <c:strCache>
                <c:ptCount val="1"/>
                <c:pt idx="0">
                  <c:v>Average of WaitingTimeMinutes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Bed_availability!$A$4:$A$17</c:f>
              <c:strCache>
                <c:ptCount val="13"/>
                <c:pt idx="0">
                  <c:v>A&amp;E (Emergency)</c:v>
                </c:pt>
                <c:pt idx="1">
                  <c:v>Cardiology</c:v>
                </c:pt>
                <c:pt idx="2">
                  <c:v>ENT</c:v>
                </c:pt>
                <c:pt idx="3">
                  <c:v>Gastroenterology</c:v>
                </c:pt>
                <c:pt idx="4">
                  <c:v>General Surgery</c:v>
                </c:pt>
                <c:pt idx="5">
                  <c:v>Geriatrics</c:v>
                </c:pt>
                <c:pt idx="6">
                  <c:v>Maternity</c:v>
                </c:pt>
                <c:pt idx="7">
                  <c:v>Neurology</c:v>
                </c:pt>
                <c:pt idx="8">
                  <c:v>Oncology</c:v>
                </c:pt>
                <c:pt idx="9">
                  <c:v>Orthopaedics</c:v>
                </c:pt>
                <c:pt idx="10">
                  <c:v>Paediatrics</c:v>
                </c:pt>
                <c:pt idx="11">
                  <c:v>Renal Medicine</c:v>
                </c:pt>
                <c:pt idx="12">
                  <c:v>Respiratory</c:v>
                </c:pt>
              </c:strCache>
            </c:strRef>
          </c:cat>
          <c:val>
            <c:numRef>
              <c:f>Bed_availability!$B$4:$B$17</c:f>
              <c:numCache>
                <c:formatCode>General</c:formatCode>
                <c:ptCount val="13"/>
                <c:pt idx="0">
                  <c:v>99.169230769230765</c:v>
                </c:pt>
                <c:pt idx="1">
                  <c:v>49.639344262295083</c:v>
                </c:pt>
                <c:pt idx="2">
                  <c:v>102.9047619047619</c:v>
                </c:pt>
                <c:pt idx="3">
                  <c:v>31.015873015873016</c:v>
                </c:pt>
                <c:pt idx="4">
                  <c:v>36.73770491803279</c:v>
                </c:pt>
                <c:pt idx="5">
                  <c:v>43.476190476190474</c:v>
                </c:pt>
                <c:pt idx="6">
                  <c:v>107.53125</c:v>
                </c:pt>
                <c:pt idx="7">
                  <c:v>32.3125</c:v>
                </c:pt>
                <c:pt idx="8">
                  <c:v>32.065573770491802</c:v>
                </c:pt>
                <c:pt idx="9">
                  <c:v>36.40625</c:v>
                </c:pt>
                <c:pt idx="10">
                  <c:v>114</c:v>
                </c:pt>
                <c:pt idx="11">
                  <c:v>33.453125</c:v>
                </c:pt>
                <c:pt idx="12">
                  <c:v>106.08196721311475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E-4EDE-A4A4-2EA4531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959176"/>
        <c:axId val="817786376"/>
      </c:barChart>
      <c:lineChart>
        <c:grouping val="standard"/>
        <c:varyColors val="0"/>
        <c:ser>
          <c:idx val="1"/>
          <c:order val="1"/>
          <c:tx>
            <c:strRef>
              <c:f>Bed_availability!$C$3</c:f>
              <c:strCache>
                <c:ptCount val="1"/>
                <c:pt idx="0">
                  <c:v>Average of BedAvailable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Bed_availability!$A$4:$A$17</c:f>
              <c:strCache>
                <c:ptCount val="13"/>
                <c:pt idx="0">
                  <c:v>A&amp;E (Emergency)</c:v>
                </c:pt>
                <c:pt idx="1">
                  <c:v>Cardiology</c:v>
                </c:pt>
                <c:pt idx="2">
                  <c:v>ENT</c:v>
                </c:pt>
                <c:pt idx="3">
                  <c:v>Gastroenterology</c:v>
                </c:pt>
                <c:pt idx="4">
                  <c:v>General Surgery</c:v>
                </c:pt>
                <c:pt idx="5">
                  <c:v>Geriatrics</c:v>
                </c:pt>
                <c:pt idx="6">
                  <c:v>Maternity</c:v>
                </c:pt>
                <c:pt idx="7">
                  <c:v>Neurology</c:v>
                </c:pt>
                <c:pt idx="8">
                  <c:v>Oncology</c:v>
                </c:pt>
                <c:pt idx="9">
                  <c:v>Orthopaedics</c:v>
                </c:pt>
                <c:pt idx="10">
                  <c:v>Paediatrics</c:v>
                </c:pt>
                <c:pt idx="11">
                  <c:v>Renal Medicine</c:v>
                </c:pt>
                <c:pt idx="12">
                  <c:v>Respiratory</c:v>
                </c:pt>
              </c:strCache>
            </c:strRef>
          </c:cat>
          <c:val>
            <c:numRef>
              <c:f>Bed_availability!$C$4:$C$17</c:f>
              <c:numCache>
                <c:formatCode>General</c:formatCode>
                <c:ptCount val="13"/>
                <c:pt idx="0">
                  <c:v>42</c:v>
                </c:pt>
                <c:pt idx="1">
                  <c:v>38</c:v>
                </c:pt>
                <c:pt idx="2">
                  <c:v>20</c:v>
                </c:pt>
                <c:pt idx="3">
                  <c:v>29</c:v>
                </c:pt>
                <c:pt idx="4">
                  <c:v>44</c:v>
                </c:pt>
                <c:pt idx="5">
                  <c:v>46</c:v>
                </c:pt>
                <c:pt idx="6">
                  <c:v>34</c:v>
                </c:pt>
                <c:pt idx="7">
                  <c:v>32</c:v>
                </c:pt>
                <c:pt idx="8">
                  <c:v>28</c:v>
                </c:pt>
                <c:pt idx="9">
                  <c:v>40</c:v>
                </c:pt>
                <c:pt idx="10">
                  <c:v>30</c:v>
                </c:pt>
                <c:pt idx="11">
                  <c:v>26</c:v>
                </c:pt>
                <c:pt idx="1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E-4EDE-A4A4-2EA4531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959176"/>
        <c:axId val="817786376"/>
      </c:lineChart>
      <c:catAx>
        <c:axId val="80595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86376"/>
        <c:crosses val="autoZero"/>
        <c:auto val="1"/>
        <c:lblAlgn val="ctr"/>
        <c:lblOffset val="100"/>
        <c:noMultiLvlLbl val="0"/>
      </c:catAx>
      <c:valAx>
        <c:axId val="81778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waiting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5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28575</xdr:rowOff>
    </xdr:from>
    <xdr:to>
      <xdr:col>10</xdr:col>
      <xdr:colOff>342900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DD155-3A10-A94A-9C09-551D0F18D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2</xdr:row>
      <xdr:rowOff>9525</xdr:rowOff>
    </xdr:from>
    <xdr:to>
      <xdr:col>17</xdr:col>
      <xdr:colOff>200025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BEEC1-2F9F-6183-0A3D-B3109DAAC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1857375</xdr:colOff>
      <xdr:row>5</xdr:row>
      <xdr:rowOff>123825</xdr:rowOff>
    </xdr:from>
    <xdr:to>
      <xdr:col>8</xdr:col>
      <xdr:colOff>38100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762A0-6238-DD3B-92FC-4D6FEC57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2</xdr:row>
      <xdr:rowOff>142875</xdr:rowOff>
    </xdr:from>
    <xdr:to>
      <xdr:col>6</xdr:col>
      <xdr:colOff>171450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8F329-FE4E-CDAD-FC47-3898ADDA1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408386805553" createdVersion="8" refreshedVersion="8" minRefreshableVersion="3" recordCount="817" xr:uid="{166F8E9E-7E76-4E59-8BD0-E58A596CC7B8}">
  <cacheSource type="worksheet">
    <worksheetSource ref="A1:L818" sheet="Admissions"/>
  </cacheSource>
  <cacheFields count="12">
    <cacheField name="AdmissionID" numFmtId="0">
      <sharedItems containsSemiMixedTypes="0" containsString="0" containsNumber="1" containsInteger="1" minValue="1" maxValue="1000"/>
    </cacheField>
    <cacheField name="PatientID" numFmtId="0">
      <sharedItems containsSemiMixedTypes="0" containsString="0" containsNumber="1" containsInteger="1" minValue="14" maxValue="999"/>
    </cacheField>
    <cacheField name="DepartmentID" numFmtId="0">
      <sharedItems count="13">
        <s v="A&amp;E (Emergency)"/>
        <s v="General Surgery"/>
        <s v="Oncology"/>
        <s v="Respiratory"/>
        <s v="Renal Medicine"/>
        <s v="Cardiology"/>
        <s v="Neurology"/>
        <s v="Maternity"/>
        <s v="Orthopaedics"/>
        <s v="Paediatrics"/>
        <s v="Gastroenterology"/>
        <s v="ENT"/>
        <s v="Geriatrics"/>
      </sharedItems>
    </cacheField>
    <cacheField name="AdmissionDate" numFmtId="0">
      <sharedItems containsDate="1" containsMixedTypes="1" minDate="2025-01-03T00:00:00" maxDate="2026-09-06T00:00:00"/>
    </cacheField>
    <cacheField name="DischargeDate" numFmtId="0">
      <sharedItems containsDate="1" containsBlank="1" containsMixedTypes="1" minDate="2025-01-08T00:00:00" maxDate="2026-09-11T00:00:00"/>
    </cacheField>
    <cacheField name="AdmissionType" numFmtId="0">
      <sharedItems count="3">
        <s v="Emergency"/>
        <s v="Elective"/>
        <s v="Transfer"/>
      </sharedItems>
    </cacheField>
    <cacheField name="LengthOfStay" numFmtId="0">
      <sharedItems containsSemiMixedTypes="0" containsString="0" containsNumber="1" containsInteger="1" minValue="1" maxValue="7"/>
    </cacheField>
    <cacheField name="WaitingTimeMinutes" numFmtId="0">
      <sharedItems containsSemiMixedTypes="0" containsString="0" containsNumber="1" containsInteger="1" minValue="0" maxValue="238"/>
    </cacheField>
    <cacheField name="Outcome" numFmtId="0">
      <sharedItems count="3">
        <s v="Discharged"/>
        <s v="Transferred"/>
        <s v="Deceased"/>
      </sharedItems>
    </cacheField>
    <cacheField name="BedPressureScore" numFmtId="0">
      <sharedItems containsSemiMixedTypes="0" containsString="0" containsNumber="1" minValue="0" maxValue="45.599999999999994"/>
    </cacheField>
    <cacheField name="Lookupkey" numFmtId="0">
      <sharedItems containsBlank="1"/>
    </cacheField>
    <cacheField name="StaffOnDuty" numFmtId="0">
      <sharedItems containsString="0" containsBlank="1" containsNumber="1" containsInteger="1" minValue="7" maxValue="24" count="19">
        <n v="22"/>
        <n v="15"/>
        <n v="12"/>
        <n v="21"/>
        <n v="17"/>
        <n v="24"/>
        <n v="13"/>
        <n v="10"/>
        <n v="7"/>
        <n v="20"/>
        <n v="16"/>
        <n v="19"/>
        <n v="11"/>
        <n v="9"/>
        <n v="14"/>
        <n v="23"/>
        <n v="18"/>
        <n v="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633910879631" createdVersion="8" refreshedVersion="8" minRefreshableVersion="3" recordCount="817" xr:uid="{F716DD0B-3DFC-425F-BCAE-1E63E93F8070}">
  <cacheSource type="worksheet">
    <worksheetSource ref="A1:M818" sheet="Admissions"/>
  </cacheSource>
  <cacheFields count="13">
    <cacheField name="AdmissionID" numFmtId="0">
      <sharedItems containsSemiMixedTypes="0" containsString="0" containsNumber="1" containsInteger="1" minValue="1" maxValue="1000"/>
    </cacheField>
    <cacheField name="PatientID" numFmtId="0">
      <sharedItems containsSemiMixedTypes="0" containsString="0" containsNumber="1" containsInteger="1" minValue="14" maxValue="999"/>
    </cacheField>
    <cacheField name="DepartmentID" numFmtId="0">
      <sharedItems count="13">
        <s v="A&amp;E (Emergency)"/>
        <s v="General Surgery"/>
        <s v="Oncology"/>
        <s v="Respiratory"/>
        <s v="Renal Medicine"/>
        <s v="Cardiology"/>
        <s v="Neurology"/>
        <s v="Maternity"/>
        <s v="Orthopaedics"/>
        <s v="Paediatrics"/>
        <s v="Gastroenterology"/>
        <s v="ENT"/>
        <s v="Geriatrics"/>
      </sharedItems>
    </cacheField>
    <cacheField name="AdmissionDate" numFmtId="14">
      <sharedItems containsDate="1" containsMixedTypes="1" minDate="2025-01-03T00:00:00" maxDate="2026-09-06T00:00:00"/>
    </cacheField>
    <cacheField name="DischargeDate" numFmtId="14">
      <sharedItems containsDate="1" containsBlank="1" containsMixedTypes="1" minDate="2025-01-08T00:00:00" maxDate="2026-09-11T00:00:00"/>
    </cacheField>
    <cacheField name="AdmissionType" numFmtId="0">
      <sharedItems/>
    </cacheField>
    <cacheField name="LengthOfStay" numFmtId="0">
      <sharedItems containsSemiMixedTypes="0" containsString="0" containsNumber="1" containsInteger="1" minValue="1" maxValue="7"/>
    </cacheField>
    <cacheField name="WaitingTimeMinutes" numFmtId="0">
      <sharedItems containsSemiMixedTypes="0" containsString="0" containsNumber="1" containsInteger="1" minValue="0" maxValue="238"/>
    </cacheField>
    <cacheField name="Outcome" numFmtId="0">
      <sharedItems/>
    </cacheField>
    <cacheField name="BedPressureScore" numFmtId="0">
      <sharedItems containsSemiMixedTypes="0" containsString="0" containsNumber="1" minValue="0" maxValue="45.599999999999994"/>
    </cacheField>
    <cacheField name="Lookupkey" numFmtId="0">
      <sharedItems/>
    </cacheField>
    <cacheField name="StaffOnDuty" numFmtId="0">
      <sharedItems containsMixedTypes="1" containsNumber="1" containsInteger="1" minValue="7" maxValue="28"/>
    </cacheField>
    <cacheField name="BedAvailable" numFmtId="0">
      <sharedItems containsSemiMixedTypes="0" containsString="0" containsNumber="1" containsInteger="1" minValue="20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n v="1"/>
    <n v="482"/>
    <x v="0"/>
    <d v="2025-01-03T00:00:00"/>
    <m/>
    <x v="0"/>
    <n v="2"/>
    <n v="122"/>
    <x v="0"/>
    <n v="8.1333333333333329"/>
    <s v="03/01/2025A&amp;E (Emergency)"/>
    <x v="0"/>
  </r>
  <r>
    <n v="2"/>
    <n v="119"/>
    <x v="1"/>
    <d v="2025-01-04T00:00:00"/>
    <d v="2025-01-09T00:00:00"/>
    <x v="1"/>
    <n v="5"/>
    <n v="14"/>
    <x v="0"/>
    <n v="2.3333333333333335"/>
    <s v="04/01/2025General Surgery"/>
    <x v="1"/>
  </r>
  <r>
    <n v="3"/>
    <n v="877"/>
    <x v="2"/>
    <d v="2025-01-05T00:00:00"/>
    <d v="2025-01-12T00:00:00"/>
    <x v="1"/>
    <n v="7"/>
    <n v="20"/>
    <x v="0"/>
    <n v="4.6666666666666661"/>
    <s v="05/01/2025Oncology"/>
    <x v="2"/>
  </r>
  <r>
    <n v="4"/>
    <n v="54"/>
    <x v="3"/>
    <d v="2025-01-06T00:00:00"/>
    <d v="2025-01-08T00:00:00"/>
    <x v="0"/>
    <n v="2"/>
    <n v="230"/>
    <x v="0"/>
    <n v="15.333333333333334"/>
    <s v="06/01/2025Respiratory"/>
    <x v="1"/>
  </r>
  <r>
    <n v="5"/>
    <n v="691"/>
    <x v="4"/>
    <d v="2025-01-06T00:00:00"/>
    <d v="2025-01-11T00:00:00"/>
    <x v="1"/>
    <n v="5"/>
    <n v="10"/>
    <x v="1"/>
    <n v="1.6666666666666665"/>
    <s v="06/01/2025Renal Medicine"/>
    <x v="3"/>
  </r>
  <r>
    <n v="6"/>
    <n v="305"/>
    <x v="5"/>
    <d v="2025-01-07T00:00:00"/>
    <d v="2025-01-10T00:00:00"/>
    <x v="2"/>
    <n v="3"/>
    <n v="35"/>
    <x v="0"/>
    <n v="3.5"/>
    <s v="07/01/2025Cardiology"/>
    <x v="4"/>
  </r>
  <r>
    <n v="7"/>
    <n v="812"/>
    <x v="6"/>
    <d v="2025-01-08T00:00:00"/>
    <d v="2025-01-14T00:00:00"/>
    <x v="1"/>
    <n v="6"/>
    <n v="2"/>
    <x v="0"/>
    <n v="0.4"/>
    <s v="08/01/2025Neurology"/>
    <x v="2"/>
  </r>
  <r>
    <n v="8"/>
    <n v="147"/>
    <x v="0"/>
    <d v="2025-01-08T00:00:00"/>
    <d v="2025-01-09T00:00:00"/>
    <x v="0"/>
    <n v="1"/>
    <n v="21"/>
    <x v="0"/>
    <n v="0.7"/>
    <s v="08/01/2025A&amp;E (Emergency)"/>
    <x v="5"/>
  </r>
  <r>
    <n v="9"/>
    <n v="529"/>
    <x v="7"/>
    <d v="2025-01-09T00:00:00"/>
    <d v="2025-01-13T00:00:00"/>
    <x v="1"/>
    <n v="4"/>
    <n v="29"/>
    <x v="0"/>
    <n v="3.8666666666666667"/>
    <s v="09/01/2025Maternity"/>
    <x v="2"/>
  </r>
  <r>
    <n v="10"/>
    <n v="63"/>
    <x v="8"/>
    <d v="2025-01-10T00:00:00"/>
    <d v="2025-01-15T00:00:00"/>
    <x v="1"/>
    <n v="5"/>
    <n v="20"/>
    <x v="0"/>
    <n v="3.333333333333333"/>
    <s v="10/01/2025Orthopaedics"/>
    <x v="6"/>
  </r>
  <r>
    <n v="11"/>
    <n v="914"/>
    <x v="9"/>
    <d v="2025-01-10T00:00:00"/>
    <d v="2025-01-12T00:00:00"/>
    <x v="0"/>
    <n v="2"/>
    <n v="77"/>
    <x v="0"/>
    <n v="5.1333333333333337"/>
    <s v="10/01/2025Paediatrics"/>
    <x v="7"/>
  </r>
  <r>
    <n v="12"/>
    <n v="372"/>
    <x v="10"/>
    <d v="2025-01-11T00:00:00"/>
    <d v="2025-01-16T00:00:00"/>
    <x v="1"/>
    <n v="5"/>
    <n v="43"/>
    <x v="0"/>
    <n v="7.166666666666667"/>
    <s v="11/01/2025Gastroenterology"/>
    <x v="8"/>
  </r>
  <r>
    <n v="13"/>
    <n v="250"/>
    <x v="11"/>
    <d v="2025-01-12T00:00:00"/>
    <d v="2025-01-14T00:00:00"/>
    <x v="0"/>
    <n v="2"/>
    <n v="238"/>
    <x v="0"/>
    <n v="15.866666666666667"/>
    <s v="12/01/2025ENT"/>
    <x v="7"/>
  </r>
  <r>
    <n v="14"/>
    <n v="701"/>
    <x v="12"/>
    <d v="2025-01-12T00:00:00"/>
    <d v="2025-01-18T00:00:00"/>
    <x v="1"/>
    <n v="6"/>
    <n v="41"/>
    <x v="0"/>
    <n v="8.1999999999999993"/>
    <s v="12/01/2025Geriatrics"/>
    <x v="2"/>
  </r>
  <r>
    <n v="15"/>
    <n v="84"/>
    <x v="3"/>
    <d v="2025-01-13T00:00:00"/>
    <d v="2025-01-15T00:00:00"/>
    <x v="0"/>
    <n v="2"/>
    <n v="207"/>
    <x v="0"/>
    <n v="13.8"/>
    <s v="13/01/2025Respiratory"/>
    <x v="1"/>
  </r>
  <r>
    <n v="16"/>
    <n v="560"/>
    <x v="1"/>
    <d v="2025-01-14T00:00:00"/>
    <d v="2025-01-19T00:00:00"/>
    <x v="1"/>
    <n v="5"/>
    <n v="43"/>
    <x v="0"/>
    <n v="7.166666666666667"/>
    <s v="14/01/2025General Surgery"/>
    <x v="9"/>
  </r>
  <r>
    <n v="17"/>
    <n v="933"/>
    <x v="5"/>
    <d v="2025-01-14T00:00:00"/>
    <d v="2025-01-17T00:00:00"/>
    <x v="2"/>
    <n v="3"/>
    <n v="2"/>
    <x v="1"/>
    <n v="0.2"/>
    <s v="14/01/2025Cardiology"/>
    <x v="4"/>
  </r>
  <r>
    <n v="18"/>
    <n v="318"/>
    <x v="2"/>
    <d v="2025-01-15T00:00:00"/>
    <d v="2025-01-20T00:00:00"/>
    <x v="1"/>
    <n v="5"/>
    <n v="6"/>
    <x v="0"/>
    <n v="1"/>
    <s v="15/01/2025Oncology"/>
    <x v="10"/>
  </r>
  <r>
    <n v="19"/>
    <n v="41"/>
    <x v="0"/>
    <d v="2025-01-15T00:00:00"/>
    <d v="2025-01-16T00:00:00"/>
    <x v="0"/>
    <n v="1"/>
    <n v="186"/>
    <x v="0"/>
    <n v="6.2"/>
    <s v="15/01/2025A&amp;E (Emergency)"/>
    <x v="5"/>
  </r>
  <r>
    <n v="20"/>
    <n v="688"/>
    <x v="4"/>
    <d v="2025-01-16T00:00:00"/>
    <d v="2025-01-21T00:00:00"/>
    <x v="1"/>
    <n v="5"/>
    <n v="24"/>
    <x v="1"/>
    <n v="4"/>
    <s v="16/01/2025Renal Medicine"/>
    <x v="11"/>
  </r>
  <r>
    <n v="21"/>
    <n v="502"/>
    <x v="6"/>
    <d v="2025-01-17T00:00:00"/>
    <d v="2025-01-23T00:00:00"/>
    <x v="1"/>
    <n v="6"/>
    <n v="8"/>
    <x v="0"/>
    <n v="1.6"/>
    <s v="17/01/2025Neurology"/>
    <x v="12"/>
  </r>
  <r>
    <n v="22"/>
    <n v="159"/>
    <x v="7"/>
    <d v="2025-01-17T00:00:00"/>
    <d v="2025-01-19T00:00:00"/>
    <x v="0"/>
    <n v="2"/>
    <n v="149"/>
    <x v="0"/>
    <n v="9.9333333333333336"/>
    <s v="17/01/2025Maternity"/>
    <x v="12"/>
  </r>
  <r>
    <n v="23"/>
    <n v="847"/>
    <x v="8"/>
    <d v="2025-01-18T00:00:00"/>
    <d v="2025-01-23T00:00:00"/>
    <x v="1"/>
    <n v="5"/>
    <n v="6"/>
    <x v="0"/>
    <n v="1"/>
    <s v="18/01/2025Orthopaedics"/>
    <x v="12"/>
  </r>
  <r>
    <n v="24"/>
    <n v="294"/>
    <x v="9"/>
    <d v="2025-01-18T00:00:00"/>
    <d v="2025-01-20T00:00:00"/>
    <x v="0"/>
    <n v="2"/>
    <n v="27"/>
    <x v="0"/>
    <n v="1.8"/>
    <s v="18/01/2025Paediatrics"/>
    <x v="13"/>
  </r>
  <r>
    <n v="25"/>
    <n v="763"/>
    <x v="10"/>
    <d v="2025-01-19T00:00:00"/>
    <d v="2025-01-24T00:00:00"/>
    <x v="1"/>
    <n v="5"/>
    <n v="13"/>
    <x v="0"/>
    <n v="2.166666666666667"/>
    <s v="19/01/2025Gastroenterology"/>
    <x v="8"/>
  </r>
  <r>
    <n v="26"/>
    <n v="37"/>
    <x v="11"/>
    <d v="2025-01-20T00:00:00"/>
    <d v="2025-01-22T00:00:00"/>
    <x v="0"/>
    <n v="2"/>
    <n v="69"/>
    <x v="0"/>
    <n v="4.5999999999999996"/>
    <s v="20/01/2025ENT"/>
    <x v="6"/>
  </r>
  <r>
    <n v="27"/>
    <n v="580"/>
    <x v="12"/>
    <d v="2025-01-20T00:00:00"/>
    <d v="2025-01-26T00:00:00"/>
    <x v="1"/>
    <n v="6"/>
    <n v="1"/>
    <x v="0"/>
    <n v="0.2"/>
    <s v="20/01/2025Geriatrics"/>
    <x v="10"/>
  </r>
  <r>
    <n v="28"/>
    <n v="421"/>
    <x v="3"/>
    <d v="2025-01-21T00:00:00"/>
    <d v="2025-01-23T00:00:00"/>
    <x v="0"/>
    <n v="2"/>
    <n v="73"/>
    <x v="0"/>
    <n v="4.8666666666666663"/>
    <s v="21/01/2025Respiratory"/>
    <x v="14"/>
  </r>
  <r>
    <n v="29"/>
    <n v="906"/>
    <x v="1"/>
    <d v="2025-01-22T00:00:00"/>
    <d v="2025-01-27T00:00:00"/>
    <x v="1"/>
    <n v="5"/>
    <n v="28"/>
    <x v="1"/>
    <n v="4.666666666666667"/>
    <s v="22/01/2025General Surgery"/>
    <x v="11"/>
  </r>
  <r>
    <n v="30"/>
    <n v="178"/>
    <x v="5"/>
    <d v="2025-01-22T00:00:00"/>
    <d v="2025-01-25T00:00:00"/>
    <x v="2"/>
    <n v="3"/>
    <n v="25"/>
    <x v="0"/>
    <n v="2.5"/>
    <s v="22/01/2025Cardiology"/>
    <x v="10"/>
  </r>
  <r>
    <n v="31"/>
    <n v="664"/>
    <x v="2"/>
    <d v="2025-01-23T00:00:00"/>
    <d v="2025-01-28T00:00:00"/>
    <x v="1"/>
    <n v="5"/>
    <n v="43"/>
    <x v="0"/>
    <n v="7.166666666666667"/>
    <s v="23/01/2025Oncology"/>
    <x v="10"/>
  </r>
  <r>
    <n v="32"/>
    <n v="323"/>
    <x v="0"/>
    <d v="2025-01-23T00:00:00"/>
    <d v="2025-01-24T00:00:00"/>
    <x v="0"/>
    <n v="1"/>
    <n v="120"/>
    <x v="1"/>
    <n v="4"/>
    <s v="23/01/2025A&amp;E (Emergency)"/>
    <x v="15"/>
  </r>
  <r>
    <n v="33"/>
    <n v="391"/>
    <x v="4"/>
    <d v="2025-01-24T00:00:00"/>
    <d v="2025-01-29T00:00:00"/>
    <x v="1"/>
    <n v="5"/>
    <n v="44"/>
    <x v="0"/>
    <n v="7.333333333333333"/>
    <s v="24/01/2025Renal Medicine"/>
    <x v="16"/>
  </r>
  <r>
    <n v="34"/>
    <n v="606"/>
    <x v="6"/>
    <d v="2025-01-25T00:00:00"/>
    <d v="2025-01-31T00:00:00"/>
    <x v="1"/>
    <n v="6"/>
    <n v="27"/>
    <x v="0"/>
    <n v="5.4"/>
    <s v="25/01/2025Neurology"/>
    <x v="13"/>
  </r>
  <r>
    <n v="35"/>
    <n v="394"/>
    <x v="7"/>
    <d v="2025-01-25T00:00:00"/>
    <d v="2025-01-27T00:00:00"/>
    <x v="0"/>
    <n v="2"/>
    <n v="55"/>
    <x v="0"/>
    <n v="3.6666666666666665"/>
    <s v="25/01/2025Maternity"/>
    <x v="7"/>
  </r>
  <r>
    <n v="36"/>
    <n v="654"/>
    <x v="8"/>
    <d v="2025-01-26T00:00:00"/>
    <d v="2025-01-31T00:00:00"/>
    <x v="1"/>
    <n v="5"/>
    <n v="13"/>
    <x v="0"/>
    <n v="2.166666666666667"/>
    <s v="26/01/2025Orthopaedics"/>
    <x v="7"/>
  </r>
  <r>
    <n v="37"/>
    <n v="639"/>
    <x v="9"/>
    <d v="2025-01-26T00:00:00"/>
    <d v="2025-01-28T00:00:00"/>
    <x v="0"/>
    <n v="2"/>
    <n v="119"/>
    <x v="0"/>
    <n v="7.9333333333333336"/>
    <s v="26/01/2025Paediatrics"/>
    <x v="17"/>
  </r>
  <r>
    <n v="38"/>
    <n v="459"/>
    <x v="10"/>
    <d v="2025-01-27T00:00:00"/>
    <d v="2025-02-01T00:00:00"/>
    <x v="1"/>
    <n v="5"/>
    <n v="17"/>
    <x v="0"/>
    <n v="2.833333333333333"/>
    <s v="27/01/2025Gastroenterology"/>
    <x v="2"/>
  </r>
  <r>
    <n v="39"/>
    <n v="53"/>
    <x v="11"/>
    <d v="2025-01-28T00:00:00"/>
    <d v="2025-01-30T00:00:00"/>
    <x v="0"/>
    <n v="2"/>
    <n v="42"/>
    <x v="0"/>
    <n v="2.8"/>
    <s v="28/01/2025ENT"/>
    <x v="2"/>
  </r>
  <r>
    <n v="40"/>
    <n v="551"/>
    <x v="12"/>
    <d v="2025-01-28T00:00:00"/>
    <d v="2025-02-03T00:00:00"/>
    <x v="1"/>
    <n v="6"/>
    <n v="38"/>
    <x v="0"/>
    <n v="7.6"/>
    <s v="28/01/2025Geriatrics"/>
    <x v="1"/>
  </r>
  <r>
    <n v="41"/>
    <n v="402"/>
    <x v="3"/>
    <d v="2025-01-29T00:00:00"/>
    <d v="2025-01-31T00:00:00"/>
    <x v="0"/>
    <n v="2"/>
    <n v="216"/>
    <x v="0"/>
    <n v="14.4"/>
    <s v="29/01/2025Respiratory"/>
    <x v="6"/>
  </r>
  <r>
    <n v="42"/>
    <n v="883"/>
    <x v="1"/>
    <d v="2025-01-30T00:00:00"/>
    <d v="2025-02-04T00:00:00"/>
    <x v="1"/>
    <n v="5"/>
    <n v="5"/>
    <x v="0"/>
    <n v="0.83333333333333326"/>
    <s v="30/01/2025General Surgery"/>
    <x v="11"/>
  </r>
  <r>
    <n v="43"/>
    <n v="842"/>
    <x v="5"/>
    <d v="2025-01-30T00:00:00"/>
    <d v="2025-02-02T00:00:00"/>
    <x v="2"/>
    <n v="3"/>
    <n v="32"/>
    <x v="0"/>
    <n v="3.2"/>
    <s v="30/01/2025Cardiology"/>
    <x v="10"/>
  </r>
  <r>
    <n v="44"/>
    <n v="557"/>
    <x v="2"/>
    <d v="2025-01-31T00:00:00"/>
    <d v="2025-02-05T00:00:00"/>
    <x v="1"/>
    <n v="5"/>
    <n v="41"/>
    <x v="0"/>
    <n v="6.8333333333333339"/>
    <s v="31/01/2025Oncology"/>
    <x v="1"/>
  </r>
  <r>
    <n v="45"/>
    <n v="618"/>
    <x v="0"/>
    <d v="2025-01-31T00:00:00"/>
    <d v="2025-02-01T00:00:00"/>
    <x v="0"/>
    <n v="1"/>
    <n v="148"/>
    <x v="0"/>
    <n v="4.9333333333333336"/>
    <s v="31/01/2025A&amp;E (Emergency)"/>
    <x v="0"/>
  </r>
  <r>
    <n v="46"/>
    <n v="675"/>
    <x v="4"/>
    <d v="2025-02-01T00:00:00"/>
    <d v="2025-02-06T00:00:00"/>
    <x v="1"/>
    <n v="5"/>
    <n v="23"/>
    <x v="0"/>
    <n v="3.8333333333333335"/>
    <m/>
    <x v="18"/>
  </r>
  <r>
    <n v="47"/>
    <n v="56"/>
    <x v="6"/>
    <d v="2025-02-02T00:00:00"/>
    <d v="2025-02-08T00:00:00"/>
    <x v="1"/>
    <n v="6"/>
    <n v="28"/>
    <x v="0"/>
    <n v="5.6"/>
    <m/>
    <x v="18"/>
  </r>
  <r>
    <n v="48"/>
    <n v="779"/>
    <x v="7"/>
    <d v="2025-02-02T00:00:00"/>
    <d v="2025-02-04T00:00:00"/>
    <x v="0"/>
    <n v="2"/>
    <n v="143"/>
    <x v="0"/>
    <n v="9.5333333333333332"/>
    <m/>
    <x v="18"/>
  </r>
  <r>
    <n v="49"/>
    <n v="602"/>
    <x v="8"/>
    <d v="2025-02-03T00:00:00"/>
    <d v="2025-02-08T00:00:00"/>
    <x v="1"/>
    <n v="5"/>
    <n v="1"/>
    <x v="0"/>
    <n v="0.16666666666666666"/>
    <m/>
    <x v="18"/>
  </r>
  <r>
    <n v="50"/>
    <n v="919"/>
    <x v="9"/>
    <d v="2025-02-03T00:00:00"/>
    <d v="2025-02-05T00:00:00"/>
    <x v="0"/>
    <n v="2"/>
    <n v="187"/>
    <x v="0"/>
    <n v="12.466666666666667"/>
    <m/>
    <x v="18"/>
  </r>
  <r>
    <n v="51"/>
    <n v="964"/>
    <x v="10"/>
    <d v="2025-02-04T00:00:00"/>
    <d v="2025-02-09T00:00:00"/>
    <x v="1"/>
    <n v="5"/>
    <n v="4"/>
    <x v="0"/>
    <n v="0.66666666666666663"/>
    <m/>
    <x v="18"/>
  </r>
  <r>
    <n v="52"/>
    <n v="569"/>
    <x v="11"/>
    <d v="2025-02-05T00:00:00"/>
    <d v="2025-02-07T00:00:00"/>
    <x v="0"/>
    <n v="2"/>
    <n v="131"/>
    <x v="0"/>
    <n v="8.7333333333333325"/>
    <m/>
    <x v="18"/>
  </r>
  <r>
    <n v="53"/>
    <n v="191"/>
    <x v="12"/>
    <d v="2025-02-05T00:00:00"/>
    <d v="2025-02-11T00:00:00"/>
    <x v="1"/>
    <n v="6"/>
    <n v="27"/>
    <x v="0"/>
    <n v="5.4"/>
    <m/>
    <x v="18"/>
  </r>
  <r>
    <n v="54"/>
    <n v="166"/>
    <x v="3"/>
    <d v="2025-02-06T00:00:00"/>
    <d v="2025-02-08T00:00:00"/>
    <x v="0"/>
    <n v="2"/>
    <n v="111"/>
    <x v="0"/>
    <n v="7.4"/>
    <m/>
    <x v="18"/>
  </r>
  <r>
    <n v="55"/>
    <n v="873"/>
    <x v="1"/>
    <d v="2025-02-07T00:00:00"/>
    <d v="2025-02-12T00:00:00"/>
    <x v="1"/>
    <n v="5"/>
    <n v="19"/>
    <x v="0"/>
    <n v="3.1666666666666665"/>
    <m/>
    <x v="18"/>
  </r>
  <r>
    <n v="56"/>
    <n v="926"/>
    <x v="5"/>
    <d v="2025-02-07T00:00:00"/>
    <d v="2025-02-10T00:00:00"/>
    <x v="2"/>
    <n v="3"/>
    <n v="40"/>
    <x v="0"/>
    <n v="4"/>
    <m/>
    <x v="18"/>
  </r>
  <r>
    <n v="57"/>
    <n v="329"/>
    <x v="2"/>
    <d v="2025-02-08T00:00:00"/>
    <d v="2025-02-13T00:00:00"/>
    <x v="1"/>
    <n v="5"/>
    <n v="11"/>
    <x v="0"/>
    <n v="1.8333333333333333"/>
    <m/>
    <x v="18"/>
  </r>
  <r>
    <n v="58"/>
    <n v="401"/>
    <x v="0"/>
    <d v="2025-02-08T00:00:00"/>
    <d v="2025-02-09T00:00:00"/>
    <x v="0"/>
    <n v="1"/>
    <n v="192"/>
    <x v="0"/>
    <n v="6.4"/>
    <m/>
    <x v="18"/>
  </r>
  <r>
    <n v="59"/>
    <n v="325"/>
    <x v="4"/>
    <d v="2025-02-09T00:00:00"/>
    <d v="2025-02-14T00:00:00"/>
    <x v="1"/>
    <n v="5"/>
    <n v="22"/>
    <x v="1"/>
    <n v="3.6666666666666665"/>
    <m/>
    <x v="18"/>
  </r>
  <r>
    <n v="60"/>
    <n v="910"/>
    <x v="6"/>
    <d v="2025-02-10T00:00:00"/>
    <d v="2025-02-16T00:00:00"/>
    <x v="1"/>
    <n v="6"/>
    <n v="43"/>
    <x v="0"/>
    <n v="8.6"/>
    <m/>
    <x v="18"/>
  </r>
  <r>
    <n v="61"/>
    <n v="844"/>
    <x v="7"/>
    <d v="2025-02-10T00:00:00"/>
    <d v="2025-02-12T00:00:00"/>
    <x v="0"/>
    <n v="2"/>
    <n v="126"/>
    <x v="0"/>
    <n v="8.4"/>
    <m/>
    <x v="18"/>
  </r>
  <r>
    <n v="62"/>
    <n v="568"/>
    <x v="8"/>
    <d v="2025-02-11T00:00:00"/>
    <d v="2025-02-16T00:00:00"/>
    <x v="1"/>
    <n v="5"/>
    <n v="22"/>
    <x v="0"/>
    <n v="3.6666666666666665"/>
    <m/>
    <x v="18"/>
  </r>
  <r>
    <n v="63"/>
    <n v="702"/>
    <x v="9"/>
    <d v="2025-02-11T00:00:00"/>
    <d v="2025-02-13T00:00:00"/>
    <x v="0"/>
    <n v="2"/>
    <n v="120"/>
    <x v="0"/>
    <n v="8"/>
    <m/>
    <x v="18"/>
  </r>
  <r>
    <n v="64"/>
    <n v="577"/>
    <x v="10"/>
    <d v="2025-02-12T00:00:00"/>
    <d v="2025-02-17T00:00:00"/>
    <x v="1"/>
    <n v="5"/>
    <n v="44"/>
    <x v="0"/>
    <n v="7.333333333333333"/>
    <m/>
    <x v="18"/>
  </r>
  <r>
    <n v="65"/>
    <n v="58"/>
    <x v="11"/>
    <d v="2025-02-13T00:00:00"/>
    <d v="2025-02-15T00:00:00"/>
    <x v="0"/>
    <n v="2"/>
    <n v="130"/>
    <x v="0"/>
    <n v="8.6666666666666661"/>
    <m/>
    <x v="18"/>
  </r>
  <r>
    <n v="66"/>
    <n v="547"/>
    <x v="12"/>
    <d v="2025-02-13T00:00:00"/>
    <d v="2025-02-19T00:00:00"/>
    <x v="1"/>
    <n v="6"/>
    <n v="35"/>
    <x v="0"/>
    <n v="7"/>
    <m/>
    <x v="18"/>
  </r>
  <r>
    <n v="67"/>
    <n v="617"/>
    <x v="3"/>
    <d v="2025-02-14T00:00:00"/>
    <d v="2025-02-16T00:00:00"/>
    <x v="0"/>
    <n v="2"/>
    <n v="228"/>
    <x v="1"/>
    <n v="15.2"/>
    <m/>
    <x v="18"/>
  </r>
  <r>
    <n v="68"/>
    <n v="555"/>
    <x v="1"/>
    <d v="2025-02-15T00:00:00"/>
    <d v="2025-02-20T00:00:00"/>
    <x v="1"/>
    <n v="5"/>
    <n v="11"/>
    <x v="0"/>
    <n v="1.8333333333333333"/>
    <m/>
    <x v="18"/>
  </r>
  <r>
    <n v="69"/>
    <n v="762"/>
    <x v="5"/>
    <d v="2025-02-15T00:00:00"/>
    <d v="2025-02-18T00:00:00"/>
    <x v="2"/>
    <n v="3"/>
    <n v="56"/>
    <x v="1"/>
    <n v="5.6"/>
    <m/>
    <x v="18"/>
  </r>
  <r>
    <n v="70"/>
    <n v="724"/>
    <x v="2"/>
    <d v="2025-02-16T00:00:00"/>
    <d v="2025-02-21T00:00:00"/>
    <x v="1"/>
    <n v="5"/>
    <n v="41"/>
    <x v="0"/>
    <n v="6.8333333333333339"/>
    <m/>
    <x v="18"/>
  </r>
  <r>
    <n v="71"/>
    <n v="833"/>
    <x v="0"/>
    <d v="2025-02-16T00:00:00"/>
    <d v="2025-02-17T00:00:00"/>
    <x v="0"/>
    <n v="1"/>
    <n v="34"/>
    <x v="0"/>
    <n v="1.1333333333333333"/>
    <m/>
    <x v="18"/>
  </r>
  <r>
    <n v="72"/>
    <n v="408"/>
    <x v="4"/>
    <d v="2025-02-17T00:00:00"/>
    <d v="2025-02-22T00:00:00"/>
    <x v="1"/>
    <n v="5"/>
    <n v="42"/>
    <x v="0"/>
    <n v="7"/>
    <m/>
    <x v="18"/>
  </r>
  <r>
    <n v="73"/>
    <n v="61"/>
    <x v="6"/>
    <d v="2025-02-18T00:00:00"/>
    <d v="2025-02-24T00:00:00"/>
    <x v="1"/>
    <n v="6"/>
    <n v="27"/>
    <x v="0"/>
    <n v="5.4"/>
    <m/>
    <x v="18"/>
  </r>
  <r>
    <n v="74"/>
    <n v="68"/>
    <x v="7"/>
    <d v="2025-02-18T00:00:00"/>
    <d v="2025-02-20T00:00:00"/>
    <x v="0"/>
    <n v="2"/>
    <n v="103"/>
    <x v="0"/>
    <n v="6.8666666666666663"/>
    <m/>
    <x v="18"/>
  </r>
  <r>
    <n v="75"/>
    <n v="992"/>
    <x v="8"/>
    <d v="2025-02-19T00:00:00"/>
    <d v="2025-02-24T00:00:00"/>
    <x v="1"/>
    <n v="5"/>
    <n v="44"/>
    <x v="0"/>
    <n v="7.333333333333333"/>
    <m/>
    <x v="18"/>
  </r>
  <r>
    <n v="76"/>
    <n v="734"/>
    <x v="9"/>
    <d v="2025-02-19T00:00:00"/>
    <d v="2025-02-21T00:00:00"/>
    <x v="0"/>
    <n v="2"/>
    <n v="207"/>
    <x v="0"/>
    <n v="13.8"/>
    <m/>
    <x v="18"/>
  </r>
  <r>
    <n v="77"/>
    <n v="651"/>
    <x v="10"/>
    <d v="2025-02-20T00:00:00"/>
    <d v="2025-02-25T00:00:00"/>
    <x v="1"/>
    <n v="5"/>
    <n v="42"/>
    <x v="0"/>
    <n v="7"/>
    <m/>
    <x v="18"/>
  </r>
  <r>
    <n v="78"/>
    <n v="442"/>
    <x v="11"/>
    <d v="2025-02-21T00:00:00"/>
    <d v="2025-02-23T00:00:00"/>
    <x v="0"/>
    <n v="2"/>
    <n v="38"/>
    <x v="0"/>
    <n v="2.5333333333333332"/>
    <m/>
    <x v="18"/>
  </r>
  <r>
    <n v="79"/>
    <n v="646"/>
    <x v="12"/>
    <d v="2025-02-21T00:00:00"/>
    <d v="2025-02-27T00:00:00"/>
    <x v="1"/>
    <n v="6"/>
    <n v="43"/>
    <x v="0"/>
    <n v="8.6"/>
    <m/>
    <x v="18"/>
  </r>
  <r>
    <n v="80"/>
    <n v="214"/>
    <x v="3"/>
    <d v="2025-02-22T00:00:00"/>
    <d v="2025-02-24T00:00:00"/>
    <x v="0"/>
    <n v="2"/>
    <n v="228"/>
    <x v="0"/>
    <n v="15.2"/>
    <m/>
    <x v="18"/>
  </r>
  <r>
    <n v="81"/>
    <n v="209"/>
    <x v="1"/>
    <d v="2025-02-23T00:00:00"/>
    <d v="2025-02-28T00:00:00"/>
    <x v="1"/>
    <n v="5"/>
    <n v="45"/>
    <x v="0"/>
    <n v="7.5"/>
    <m/>
    <x v="18"/>
  </r>
  <r>
    <n v="82"/>
    <n v="752"/>
    <x v="5"/>
    <d v="2025-02-23T00:00:00"/>
    <d v="2025-02-26T00:00:00"/>
    <x v="2"/>
    <n v="3"/>
    <n v="34"/>
    <x v="0"/>
    <n v="3.4"/>
    <m/>
    <x v="18"/>
  </r>
  <r>
    <n v="83"/>
    <n v="439"/>
    <x v="2"/>
    <d v="2025-02-24T00:00:00"/>
    <d v="2025-03-01T00:00:00"/>
    <x v="1"/>
    <n v="5"/>
    <n v="28"/>
    <x v="0"/>
    <n v="4.666666666666667"/>
    <m/>
    <x v="18"/>
  </r>
  <r>
    <n v="84"/>
    <n v="815"/>
    <x v="0"/>
    <d v="2025-02-24T00:00:00"/>
    <d v="2025-02-25T00:00:00"/>
    <x v="0"/>
    <n v="1"/>
    <n v="154"/>
    <x v="0"/>
    <n v="5.1333333333333337"/>
    <m/>
    <x v="18"/>
  </r>
  <r>
    <n v="85"/>
    <n v="861"/>
    <x v="4"/>
    <d v="2025-02-25T00:00:00"/>
    <d v="2025-03-02T00:00:00"/>
    <x v="1"/>
    <n v="5"/>
    <n v="20"/>
    <x v="0"/>
    <n v="3.333333333333333"/>
    <m/>
    <x v="18"/>
  </r>
  <r>
    <n v="86"/>
    <n v="220"/>
    <x v="6"/>
    <d v="2025-02-26T00:00:00"/>
    <d v="2025-03-04T00:00:00"/>
    <x v="1"/>
    <n v="6"/>
    <n v="32"/>
    <x v="0"/>
    <n v="6.4"/>
    <m/>
    <x v="18"/>
  </r>
  <r>
    <n v="87"/>
    <n v="83"/>
    <x v="7"/>
    <d v="2025-02-26T00:00:00"/>
    <d v="2025-02-28T00:00:00"/>
    <x v="0"/>
    <n v="2"/>
    <n v="185"/>
    <x v="0"/>
    <n v="12.333333333333334"/>
    <m/>
    <x v="18"/>
  </r>
  <r>
    <n v="88"/>
    <n v="380"/>
    <x v="8"/>
    <d v="2025-02-27T00:00:00"/>
    <d v="2025-03-04T00:00:00"/>
    <x v="1"/>
    <n v="5"/>
    <n v="6"/>
    <x v="1"/>
    <n v="1"/>
    <m/>
    <x v="18"/>
  </r>
  <r>
    <n v="89"/>
    <n v="686"/>
    <x v="9"/>
    <d v="2025-02-27T00:00:00"/>
    <d v="2025-03-01T00:00:00"/>
    <x v="0"/>
    <n v="2"/>
    <n v="99"/>
    <x v="1"/>
    <n v="6.6"/>
    <m/>
    <x v="18"/>
  </r>
  <r>
    <n v="90"/>
    <n v="344"/>
    <x v="10"/>
    <d v="2025-02-28T00:00:00"/>
    <d v="2025-03-05T00:00:00"/>
    <x v="1"/>
    <n v="5"/>
    <n v="38"/>
    <x v="0"/>
    <n v="6.333333333333333"/>
    <m/>
    <x v="18"/>
  </r>
  <r>
    <n v="91"/>
    <n v="489"/>
    <x v="11"/>
    <d v="2025-03-01T00:00:00"/>
    <d v="2025-03-03T00:00:00"/>
    <x v="0"/>
    <n v="2"/>
    <n v="189"/>
    <x v="0"/>
    <n v="12.6"/>
    <m/>
    <x v="18"/>
  </r>
  <r>
    <n v="92"/>
    <n v="604"/>
    <x v="12"/>
    <d v="2025-03-01T00:00:00"/>
    <d v="2025-03-07T00:00:00"/>
    <x v="1"/>
    <n v="6"/>
    <n v="12"/>
    <x v="0"/>
    <n v="2.4000000000000004"/>
    <m/>
    <x v="18"/>
  </r>
  <r>
    <n v="93"/>
    <n v="313"/>
    <x v="3"/>
    <d v="2025-03-02T00:00:00"/>
    <d v="2025-03-04T00:00:00"/>
    <x v="0"/>
    <n v="2"/>
    <n v="175"/>
    <x v="0"/>
    <n v="11.666666666666666"/>
    <m/>
    <x v="18"/>
  </r>
  <r>
    <n v="94"/>
    <n v="360"/>
    <x v="1"/>
    <d v="2025-03-03T00:00:00"/>
    <d v="2025-03-08T00:00:00"/>
    <x v="1"/>
    <n v="5"/>
    <n v="27"/>
    <x v="0"/>
    <n v="4.5"/>
    <m/>
    <x v="18"/>
  </r>
  <r>
    <n v="95"/>
    <n v="504"/>
    <x v="5"/>
    <d v="2025-03-03T00:00:00"/>
    <d v="2025-03-06T00:00:00"/>
    <x v="2"/>
    <n v="3"/>
    <n v="27"/>
    <x v="0"/>
    <n v="2.7"/>
    <m/>
    <x v="18"/>
  </r>
  <r>
    <n v="96"/>
    <n v="819"/>
    <x v="2"/>
    <d v="2025-03-04T00:00:00"/>
    <d v="2025-03-09T00:00:00"/>
    <x v="1"/>
    <n v="5"/>
    <n v="44"/>
    <x v="0"/>
    <n v="7.333333333333333"/>
    <m/>
    <x v="18"/>
  </r>
  <r>
    <n v="97"/>
    <n v="552"/>
    <x v="0"/>
    <d v="2025-03-04T00:00:00"/>
    <d v="2025-03-05T00:00:00"/>
    <x v="0"/>
    <n v="1"/>
    <n v="24"/>
    <x v="0"/>
    <n v="0.8"/>
    <m/>
    <x v="18"/>
  </r>
  <r>
    <n v="98"/>
    <n v="71"/>
    <x v="4"/>
    <d v="2025-03-05T00:00:00"/>
    <d v="2025-03-10T00:00:00"/>
    <x v="1"/>
    <n v="5"/>
    <n v="37"/>
    <x v="0"/>
    <n v="6.166666666666667"/>
    <m/>
    <x v="18"/>
  </r>
  <r>
    <n v="99"/>
    <n v="709"/>
    <x v="6"/>
    <d v="2025-03-06T00:00:00"/>
    <d v="2025-03-12T00:00:00"/>
    <x v="1"/>
    <n v="6"/>
    <n v="43"/>
    <x v="0"/>
    <n v="8.6"/>
    <m/>
    <x v="18"/>
  </r>
  <r>
    <n v="100"/>
    <n v="534"/>
    <x v="7"/>
    <d v="2025-03-06T00:00:00"/>
    <d v="2025-03-08T00:00:00"/>
    <x v="0"/>
    <n v="2"/>
    <n v="148"/>
    <x v="0"/>
    <n v="9.8666666666666671"/>
    <m/>
    <x v="18"/>
  </r>
  <r>
    <n v="101"/>
    <n v="624"/>
    <x v="8"/>
    <d v="2025-03-07T00:00:00"/>
    <d v="2025-03-12T00:00:00"/>
    <x v="1"/>
    <n v="5"/>
    <n v="34"/>
    <x v="0"/>
    <n v="5.6666666666666661"/>
    <m/>
    <x v="18"/>
  </r>
  <r>
    <n v="102"/>
    <n v="689"/>
    <x v="9"/>
    <d v="2025-03-07T00:00:00"/>
    <d v="2025-03-09T00:00:00"/>
    <x v="0"/>
    <n v="2"/>
    <n v="238"/>
    <x v="0"/>
    <n v="15.866666666666667"/>
    <m/>
    <x v="18"/>
  </r>
  <r>
    <n v="103"/>
    <n v="556"/>
    <x v="10"/>
    <d v="2025-03-08T00:00:00"/>
    <d v="2025-03-13T00:00:00"/>
    <x v="1"/>
    <n v="5"/>
    <n v="15"/>
    <x v="0"/>
    <n v="2.5"/>
    <m/>
    <x v="18"/>
  </r>
  <r>
    <n v="104"/>
    <n v="152"/>
    <x v="11"/>
    <d v="2025-03-09T00:00:00"/>
    <d v="2025-03-11T00:00:00"/>
    <x v="0"/>
    <n v="2"/>
    <n v="190"/>
    <x v="0"/>
    <n v="12.666666666666666"/>
    <m/>
    <x v="18"/>
  </r>
  <r>
    <n v="105"/>
    <n v="745"/>
    <x v="12"/>
    <d v="2025-03-09T00:00:00"/>
    <d v="2025-03-15T00:00:00"/>
    <x v="1"/>
    <n v="6"/>
    <n v="1"/>
    <x v="1"/>
    <n v="0.2"/>
    <m/>
    <x v="18"/>
  </r>
  <r>
    <n v="106"/>
    <n v="423"/>
    <x v="3"/>
    <d v="2025-03-10T00:00:00"/>
    <d v="2025-03-12T00:00:00"/>
    <x v="0"/>
    <n v="2"/>
    <n v="217"/>
    <x v="0"/>
    <n v="14.466666666666667"/>
    <m/>
    <x v="18"/>
  </r>
  <r>
    <n v="107"/>
    <n v="314"/>
    <x v="1"/>
    <d v="2025-03-11T00:00:00"/>
    <d v="2025-03-16T00:00:00"/>
    <x v="1"/>
    <n v="5"/>
    <n v="34"/>
    <x v="0"/>
    <n v="5.6666666666666661"/>
    <m/>
    <x v="18"/>
  </r>
  <r>
    <n v="108"/>
    <n v="18"/>
    <x v="5"/>
    <d v="2025-03-11T00:00:00"/>
    <d v="2025-03-14T00:00:00"/>
    <x v="2"/>
    <n v="3"/>
    <n v="56"/>
    <x v="1"/>
    <n v="5.6"/>
    <m/>
    <x v="18"/>
  </r>
  <r>
    <n v="109"/>
    <n v="24"/>
    <x v="2"/>
    <d v="2025-03-12T00:00:00"/>
    <d v="2025-03-17T00:00:00"/>
    <x v="1"/>
    <n v="5"/>
    <n v="14"/>
    <x v="0"/>
    <n v="2.3333333333333335"/>
    <m/>
    <x v="18"/>
  </r>
  <r>
    <n v="110"/>
    <n v="695"/>
    <x v="0"/>
    <d v="2025-03-12T00:00:00"/>
    <d v="2025-03-13T00:00:00"/>
    <x v="0"/>
    <n v="1"/>
    <n v="38"/>
    <x v="0"/>
    <n v="1.2666666666666666"/>
    <m/>
    <x v="18"/>
  </r>
  <r>
    <n v="111"/>
    <n v="268"/>
    <x v="4"/>
    <d v="2025-03-13T00:00:00"/>
    <d v="2025-03-18T00:00:00"/>
    <x v="1"/>
    <n v="5"/>
    <n v="25"/>
    <x v="0"/>
    <n v="4.166666666666667"/>
    <m/>
    <x v="18"/>
  </r>
  <r>
    <n v="112"/>
    <n v="854"/>
    <x v="6"/>
    <d v="2025-03-14T00:00:00"/>
    <d v="2025-03-20T00:00:00"/>
    <x v="1"/>
    <n v="6"/>
    <n v="4"/>
    <x v="0"/>
    <n v="0.8"/>
    <m/>
    <x v="18"/>
  </r>
  <r>
    <n v="113"/>
    <n v="875"/>
    <x v="7"/>
    <d v="2025-03-14T00:00:00"/>
    <d v="2025-03-16T00:00:00"/>
    <x v="0"/>
    <n v="2"/>
    <n v="185"/>
    <x v="0"/>
    <n v="12.333333333333334"/>
    <m/>
    <x v="18"/>
  </r>
  <r>
    <n v="114"/>
    <n v="831"/>
    <x v="8"/>
    <d v="2025-03-15T00:00:00"/>
    <d v="2025-03-20T00:00:00"/>
    <x v="1"/>
    <n v="5"/>
    <n v="23"/>
    <x v="0"/>
    <n v="3.8333333333333335"/>
    <m/>
    <x v="18"/>
  </r>
  <r>
    <n v="115"/>
    <n v="73"/>
    <x v="9"/>
    <d v="2025-03-15T00:00:00"/>
    <d v="2025-03-17T00:00:00"/>
    <x v="0"/>
    <n v="2"/>
    <n v="63"/>
    <x v="0"/>
    <n v="4.2"/>
    <m/>
    <x v="18"/>
  </r>
  <r>
    <n v="116"/>
    <n v="92"/>
    <x v="10"/>
    <d v="2025-03-16T00:00:00"/>
    <d v="2025-03-21T00:00:00"/>
    <x v="1"/>
    <n v="5"/>
    <n v="13"/>
    <x v="0"/>
    <n v="2.166666666666667"/>
    <m/>
    <x v="18"/>
  </r>
  <r>
    <n v="117"/>
    <n v="148"/>
    <x v="11"/>
    <d v="2025-03-17T00:00:00"/>
    <d v="2025-03-19T00:00:00"/>
    <x v="0"/>
    <n v="2"/>
    <n v="55"/>
    <x v="0"/>
    <n v="3.6666666666666665"/>
    <m/>
    <x v="18"/>
  </r>
  <r>
    <n v="118"/>
    <n v="542"/>
    <x v="12"/>
    <d v="2025-03-17T00:00:00"/>
    <d v="2025-03-23T00:00:00"/>
    <x v="1"/>
    <n v="6"/>
    <n v="16"/>
    <x v="0"/>
    <n v="3.2"/>
    <m/>
    <x v="18"/>
  </r>
  <r>
    <n v="119"/>
    <n v="742"/>
    <x v="3"/>
    <d v="2025-03-18T00:00:00"/>
    <d v="2025-03-20T00:00:00"/>
    <x v="0"/>
    <n v="2"/>
    <n v="30"/>
    <x v="0"/>
    <n v="2"/>
    <m/>
    <x v="18"/>
  </r>
  <r>
    <n v="120"/>
    <n v="443"/>
    <x v="1"/>
    <d v="2025-03-19T00:00:00"/>
    <d v="2025-03-24T00:00:00"/>
    <x v="1"/>
    <n v="5"/>
    <n v="14"/>
    <x v="0"/>
    <n v="2.3333333333333335"/>
    <m/>
    <x v="18"/>
  </r>
  <r>
    <n v="121"/>
    <n v="507"/>
    <x v="5"/>
    <d v="2025-03-19T00:00:00"/>
    <d v="2025-03-22T00:00:00"/>
    <x v="2"/>
    <n v="3"/>
    <n v="58"/>
    <x v="0"/>
    <n v="5.8"/>
    <m/>
    <x v="18"/>
  </r>
  <r>
    <n v="122"/>
    <n v="238"/>
    <x v="2"/>
    <d v="2025-03-20T00:00:00"/>
    <d v="2025-03-25T00:00:00"/>
    <x v="1"/>
    <n v="5"/>
    <n v="34"/>
    <x v="0"/>
    <n v="5.6666666666666661"/>
    <m/>
    <x v="18"/>
  </r>
  <r>
    <n v="123"/>
    <n v="989"/>
    <x v="0"/>
    <d v="2025-03-20T00:00:00"/>
    <d v="2025-03-21T00:00:00"/>
    <x v="0"/>
    <n v="1"/>
    <n v="146"/>
    <x v="0"/>
    <n v="4.8666666666666663"/>
    <m/>
    <x v="18"/>
  </r>
  <r>
    <n v="124"/>
    <n v="185"/>
    <x v="4"/>
    <d v="2025-03-21T00:00:00"/>
    <d v="2025-03-26T00:00:00"/>
    <x v="1"/>
    <n v="5"/>
    <n v="31"/>
    <x v="0"/>
    <n v="5.166666666666667"/>
    <m/>
    <x v="18"/>
  </r>
  <r>
    <n v="125"/>
    <n v="720"/>
    <x v="6"/>
    <d v="2025-03-22T00:00:00"/>
    <d v="2025-03-28T00:00:00"/>
    <x v="1"/>
    <n v="6"/>
    <n v="15"/>
    <x v="0"/>
    <n v="3"/>
    <m/>
    <x v="18"/>
  </r>
  <r>
    <n v="126"/>
    <n v="897"/>
    <x v="7"/>
    <d v="2025-03-22T00:00:00"/>
    <d v="2025-03-24T00:00:00"/>
    <x v="0"/>
    <n v="2"/>
    <n v="216"/>
    <x v="0"/>
    <n v="14.4"/>
    <m/>
    <x v="18"/>
  </r>
  <r>
    <n v="127"/>
    <n v="15"/>
    <x v="8"/>
    <d v="2025-03-23T00:00:00"/>
    <d v="2025-03-28T00:00:00"/>
    <x v="1"/>
    <n v="5"/>
    <n v="2"/>
    <x v="0"/>
    <n v="0.33333333333333331"/>
    <m/>
    <x v="18"/>
  </r>
  <r>
    <n v="128"/>
    <n v="162"/>
    <x v="9"/>
    <d v="2025-03-23T00:00:00"/>
    <d v="2025-03-25T00:00:00"/>
    <x v="0"/>
    <n v="2"/>
    <n v="175"/>
    <x v="0"/>
    <n v="11.666666666666666"/>
    <m/>
    <x v="18"/>
  </r>
  <r>
    <n v="129"/>
    <n v="564"/>
    <x v="10"/>
    <d v="2025-03-24T00:00:00"/>
    <d v="2025-03-29T00:00:00"/>
    <x v="1"/>
    <n v="5"/>
    <n v="44"/>
    <x v="0"/>
    <n v="7.333333333333333"/>
    <m/>
    <x v="18"/>
  </r>
  <r>
    <n v="130"/>
    <n v="766"/>
    <x v="11"/>
    <d v="2025-03-25T00:00:00"/>
    <d v="2025-03-27T00:00:00"/>
    <x v="0"/>
    <n v="2"/>
    <n v="110"/>
    <x v="0"/>
    <n v="7.333333333333333"/>
    <m/>
    <x v="18"/>
  </r>
  <r>
    <n v="131"/>
    <n v="88"/>
    <x v="12"/>
    <d v="2025-03-25T00:00:00"/>
    <d v="2025-03-31T00:00:00"/>
    <x v="1"/>
    <n v="6"/>
    <n v="20"/>
    <x v="0"/>
    <n v="4"/>
    <m/>
    <x v="18"/>
  </r>
  <r>
    <n v="132"/>
    <n v="605"/>
    <x v="3"/>
    <d v="2025-03-26T00:00:00"/>
    <d v="2025-03-28T00:00:00"/>
    <x v="0"/>
    <n v="2"/>
    <n v="226"/>
    <x v="0"/>
    <n v="15.066666666666666"/>
    <m/>
    <x v="18"/>
  </r>
  <r>
    <n v="133"/>
    <n v="398"/>
    <x v="1"/>
    <d v="2025-03-27T00:00:00"/>
    <d v="2025-04-01T00:00:00"/>
    <x v="1"/>
    <n v="5"/>
    <n v="39"/>
    <x v="0"/>
    <n v="6.5"/>
    <m/>
    <x v="18"/>
  </r>
  <r>
    <n v="134"/>
    <n v="136"/>
    <x v="5"/>
    <d v="2025-03-27T00:00:00"/>
    <d v="2025-03-30T00:00:00"/>
    <x v="2"/>
    <n v="3"/>
    <n v="58"/>
    <x v="0"/>
    <n v="5.8"/>
    <m/>
    <x v="18"/>
  </r>
  <r>
    <n v="135"/>
    <n v="16"/>
    <x v="2"/>
    <d v="2025-03-28T00:00:00"/>
    <d v="2025-04-02T00:00:00"/>
    <x v="1"/>
    <n v="5"/>
    <n v="16"/>
    <x v="0"/>
    <n v="2.6666666666666665"/>
    <m/>
    <x v="18"/>
  </r>
  <r>
    <n v="136"/>
    <n v="929"/>
    <x v="0"/>
    <d v="2025-03-28T00:00:00"/>
    <d v="2025-03-29T00:00:00"/>
    <x v="0"/>
    <n v="1"/>
    <n v="123"/>
    <x v="0"/>
    <n v="4.0999999999999996"/>
    <m/>
    <x v="18"/>
  </r>
  <r>
    <n v="137"/>
    <n v="846"/>
    <x v="4"/>
    <d v="2025-03-29T00:00:00"/>
    <d v="2025-04-03T00:00:00"/>
    <x v="1"/>
    <n v="5"/>
    <n v="36"/>
    <x v="0"/>
    <n v="6"/>
    <m/>
    <x v="18"/>
  </r>
  <r>
    <n v="138"/>
    <n v="591"/>
    <x v="6"/>
    <d v="2025-03-30T00:00:00"/>
    <d v="2025-04-05T00:00:00"/>
    <x v="1"/>
    <n v="6"/>
    <n v="10"/>
    <x v="0"/>
    <n v="2"/>
    <m/>
    <x v="18"/>
  </r>
  <r>
    <n v="139"/>
    <n v="949"/>
    <x v="7"/>
    <d v="2025-03-30T00:00:00"/>
    <d v="2025-04-01T00:00:00"/>
    <x v="0"/>
    <n v="2"/>
    <n v="36"/>
    <x v="0"/>
    <n v="2.4"/>
    <m/>
    <x v="18"/>
  </r>
  <r>
    <n v="140"/>
    <n v="891"/>
    <x v="8"/>
    <d v="2025-03-31T00:00:00"/>
    <d v="2025-04-05T00:00:00"/>
    <x v="1"/>
    <n v="5"/>
    <n v="31"/>
    <x v="0"/>
    <n v="5.166666666666667"/>
    <m/>
    <x v="18"/>
  </r>
  <r>
    <n v="141"/>
    <n v="641"/>
    <x v="9"/>
    <d v="2025-03-31T00:00:00"/>
    <d v="2025-04-02T00:00:00"/>
    <x v="0"/>
    <n v="2"/>
    <n v="160"/>
    <x v="0"/>
    <n v="10.666666666666666"/>
    <m/>
    <x v="18"/>
  </r>
  <r>
    <n v="142"/>
    <n v="658"/>
    <x v="10"/>
    <d v="2025-04-01T00:00:00"/>
    <d v="2025-04-06T00:00:00"/>
    <x v="1"/>
    <n v="5"/>
    <n v="28"/>
    <x v="0"/>
    <n v="4.666666666666667"/>
    <m/>
    <x v="18"/>
  </r>
  <r>
    <n v="143"/>
    <n v="153"/>
    <x v="11"/>
    <d v="2025-04-02T00:00:00"/>
    <d v="2025-04-04T00:00:00"/>
    <x v="0"/>
    <n v="2"/>
    <n v="216"/>
    <x v="0"/>
    <n v="14.4"/>
    <m/>
    <x v="18"/>
  </r>
  <r>
    <n v="144"/>
    <n v="306"/>
    <x v="12"/>
    <d v="2025-04-02T00:00:00"/>
    <d v="2025-04-08T00:00:00"/>
    <x v="1"/>
    <n v="6"/>
    <n v="12"/>
    <x v="0"/>
    <n v="2.4000000000000004"/>
    <m/>
    <x v="18"/>
  </r>
  <r>
    <n v="145"/>
    <n v="263"/>
    <x v="3"/>
    <d v="2025-04-03T00:00:00"/>
    <d v="2025-04-05T00:00:00"/>
    <x v="0"/>
    <n v="2"/>
    <n v="23"/>
    <x v="2"/>
    <n v="1.5333333333333334"/>
    <m/>
    <x v="18"/>
  </r>
  <r>
    <n v="146"/>
    <n v="813"/>
    <x v="1"/>
    <d v="2025-04-04T00:00:00"/>
    <d v="2025-04-09T00:00:00"/>
    <x v="1"/>
    <n v="5"/>
    <n v="21"/>
    <x v="0"/>
    <n v="3.5"/>
    <m/>
    <x v="18"/>
  </r>
  <r>
    <n v="147"/>
    <n v="758"/>
    <x v="5"/>
    <d v="2025-04-04T00:00:00"/>
    <d v="2025-04-07T00:00:00"/>
    <x v="2"/>
    <n v="3"/>
    <n v="44"/>
    <x v="0"/>
    <n v="4.3999999999999995"/>
    <m/>
    <x v="18"/>
  </r>
  <r>
    <n v="148"/>
    <n v="874"/>
    <x v="2"/>
    <d v="2025-04-05T00:00:00"/>
    <d v="2025-04-10T00:00:00"/>
    <x v="1"/>
    <n v="5"/>
    <n v="44"/>
    <x v="0"/>
    <n v="7.333333333333333"/>
    <m/>
    <x v="18"/>
  </r>
  <r>
    <n v="149"/>
    <n v="431"/>
    <x v="0"/>
    <d v="2025-04-05T00:00:00"/>
    <d v="2025-04-06T00:00:00"/>
    <x v="0"/>
    <n v="1"/>
    <n v="208"/>
    <x v="0"/>
    <n v="6.9333333333333336"/>
    <m/>
    <x v="18"/>
  </r>
  <r>
    <n v="150"/>
    <n v="111"/>
    <x v="4"/>
    <d v="2025-04-06T00:00:00"/>
    <d v="2025-04-11T00:00:00"/>
    <x v="1"/>
    <n v="5"/>
    <n v="31"/>
    <x v="0"/>
    <n v="5.166666666666667"/>
    <m/>
    <x v="18"/>
  </r>
  <r>
    <n v="151"/>
    <n v="19"/>
    <x v="6"/>
    <d v="2025-04-07T00:00:00"/>
    <d v="2025-04-13T00:00:00"/>
    <x v="1"/>
    <n v="6"/>
    <n v="27"/>
    <x v="0"/>
    <n v="5.4"/>
    <m/>
    <x v="18"/>
  </r>
  <r>
    <n v="152"/>
    <n v="708"/>
    <x v="7"/>
    <d v="2025-04-07T00:00:00"/>
    <d v="2025-04-09T00:00:00"/>
    <x v="0"/>
    <n v="2"/>
    <n v="232"/>
    <x v="0"/>
    <n v="15.466666666666667"/>
    <m/>
    <x v="18"/>
  </r>
  <r>
    <n v="153"/>
    <n v="371"/>
    <x v="8"/>
    <d v="2025-04-08T00:00:00"/>
    <d v="2025-04-13T00:00:00"/>
    <x v="1"/>
    <n v="5"/>
    <n v="4"/>
    <x v="0"/>
    <n v="0.66666666666666663"/>
    <m/>
    <x v="18"/>
  </r>
  <r>
    <n v="154"/>
    <n v="611"/>
    <x v="9"/>
    <d v="2025-04-08T00:00:00"/>
    <d v="2025-04-10T00:00:00"/>
    <x v="0"/>
    <n v="2"/>
    <n v="185"/>
    <x v="1"/>
    <n v="12.333333333333334"/>
    <m/>
    <x v="18"/>
  </r>
  <r>
    <n v="155"/>
    <n v="753"/>
    <x v="10"/>
    <d v="2025-04-09T00:00:00"/>
    <d v="2025-04-14T00:00:00"/>
    <x v="1"/>
    <n v="5"/>
    <n v="35"/>
    <x v="0"/>
    <n v="5.8333333333333339"/>
    <m/>
    <x v="18"/>
  </r>
  <r>
    <n v="156"/>
    <n v="922"/>
    <x v="11"/>
    <d v="2025-04-10T00:00:00"/>
    <d v="2025-04-12T00:00:00"/>
    <x v="0"/>
    <n v="2"/>
    <n v="40"/>
    <x v="0"/>
    <n v="2.6666666666666665"/>
    <m/>
    <x v="18"/>
  </r>
  <r>
    <n v="157"/>
    <n v="619"/>
    <x v="12"/>
    <d v="2025-04-10T00:00:00"/>
    <d v="2025-04-16T00:00:00"/>
    <x v="1"/>
    <n v="6"/>
    <n v="27"/>
    <x v="1"/>
    <n v="5.4"/>
    <m/>
    <x v="18"/>
  </r>
  <r>
    <n v="158"/>
    <n v="546"/>
    <x v="3"/>
    <d v="2025-04-11T00:00:00"/>
    <d v="2025-04-13T00:00:00"/>
    <x v="0"/>
    <n v="2"/>
    <n v="20"/>
    <x v="1"/>
    <n v="1.3333333333333333"/>
    <m/>
    <x v="18"/>
  </r>
  <r>
    <n v="159"/>
    <n v="483"/>
    <x v="1"/>
    <d v="2025-04-12T00:00:00"/>
    <d v="2025-04-17T00:00:00"/>
    <x v="1"/>
    <n v="5"/>
    <n v="42"/>
    <x v="0"/>
    <n v="7"/>
    <m/>
    <x v="18"/>
  </r>
  <r>
    <n v="160"/>
    <n v="865"/>
    <x v="5"/>
    <d v="2025-04-12T00:00:00"/>
    <d v="2025-04-15T00:00:00"/>
    <x v="2"/>
    <n v="3"/>
    <n v="17"/>
    <x v="0"/>
    <n v="1.7"/>
    <m/>
    <x v="18"/>
  </r>
  <r>
    <n v="161"/>
    <n v="223"/>
    <x v="2"/>
    <d v="2025-04-13T00:00:00"/>
    <d v="2025-04-18T00:00:00"/>
    <x v="1"/>
    <n v="5"/>
    <n v="3"/>
    <x v="0"/>
    <n v="0.5"/>
    <m/>
    <x v="18"/>
  </r>
  <r>
    <n v="162"/>
    <n v="118"/>
    <x v="0"/>
    <d v="2025-04-13T00:00:00"/>
    <d v="2025-04-14T00:00:00"/>
    <x v="0"/>
    <n v="1"/>
    <n v="200"/>
    <x v="0"/>
    <n v="6.666666666666667"/>
    <m/>
    <x v="18"/>
  </r>
  <r>
    <n v="163"/>
    <n v="553"/>
    <x v="4"/>
    <d v="2025-04-14T00:00:00"/>
    <d v="2025-04-19T00:00:00"/>
    <x v="1"/>
    <n v="5"/>
    <n v="22"/>
    <x v="0"/>
    <n v="3.6666666666666665"/>
    <m/>
    <x v="18"/>
  </r>
  <r>
    <n v="164"/>
    <n v="749"/>
    <x v="6"/>
    <d v="2025-04-15T00:00:00"/>
    <d v="2025-04-21T00:00:00"/>
    <x v="1"/>
    <n v="6"/>
    <n v="43"/>
    <x v="0"/>
    <n v="8.6"/>
    <m/>
    <x v="18"/>
  </r>
  <r>
    <n v="165"/>
    <n v="115"/>
    <x v="7"/>
    <d v="2025-04-15T00:00:00"/>
    <d v="2025-04-17T00:00:00"/>
    <x v="0"/>
    <n v="2"/>
    <n v="109"/>
    <x v="1"/>
    <n v="7.2666666666666666"/>
    <m/>
    <x v="18"/>
  </r>
  <r>
    <n v="166"/>
    <n v="456"/>
    <x v="8"/>
    <d v="2025-04-16T00:00:00"/>
    <d v="2025-04-21T00:00:00"/>
    <x v="1"/>
    <n v="5"/>
    <n v="12"/>
    <x v="0"/>
    <n v="2"/>
    <m/>
    <x v="18"/>
  </r>
  <r>
    <n v="167"/>
    <n v="495"/>
    <x v="9"/>
    <d v="2025-04-16T00:00:00"/>
    <d v="2025-04-18T00:00:00"/>
    <x v="0"/>
    <n v="2"/>
    <n v="36"/>
    <x v="0"/>
    <n v="2.4"/>
    <m/>
    <x v="18"/>
  </r>
  <r>
    <n v="168"/>
    <n v="137"/>
    <x v="10"/>
    <d v="2025-04-17T00:00:00"/>
    <d v="2025-04-22T00:00:00"/>
    <x v="1"/>
    <n v="5"/>
    <n v="0"/>
    <x v="0"/>
    <n v="0"/>
    <m/>
    <x v="18"/>
  </r>
  <r>
    <n v="169"/>
    <n v="307"/>
    <x v="11"/>
    <d v="2025-04-18T00:00:00"/>
    <d v="2025-04-20T00:00:00"/>
    <x v="0"/>
    <n v="2"/>
    <n v="40"/>
    <x v="0"/>
    <n v="2.6666666666666665"/>
    <m/>
    <x v="18"/>
  </r>
  <r>
    <n v="170"/>
    <n v="174"/>
    <x v="12"/>
    <d v="2025-04-18T00:00:00"/>
    <d v="2025-04-24T00:00:00"/>
    <x v="1"/>
    <n v="6"/>
    <n v="21"/>
    <x v="0"/>
    <n v="4.1999999999999993"/>
    <m/>
    <x v="18"/>
  </r>
  <r>
    <n v="171"/>
    <n v="154"/>
    <x v="3"/>
    <d v="2025-04-19T00:00:00"/>
    <d v="2025-04-21T00:00:00"/>
    <x v="0"/>
    <n v="2"/>
    <n v="143"/>
    <x v="0"/>
    <n v="9.5333333333333332"/>
    <m/>
    <x v="18"/>
  </r>
  <r>
    <n v="172"/>
    <n v="999"/>
    <x v="1"/>
    <d v="2025-04-20T00:00:00"/>
    <d v="2025-04-25T00:00:00"/>
    <x v="1"/>
    <n v="5"/>
    <n v="15"/>
    <x v="0"/>
    <n v="2.5"/>
    <m/>
    <x v="18"/>
  </r>
  <r>
    <n v="173"/>
    <n v="124"/>
    <x v="5"/>
    <d v="2025-04-20T00:00:00"/>
    <d v="2025-04-23T00:00:00"/>
    <x v="2"/>
    <n v="3"/>
    <n v="38"/>
    <x v="0"/>
    <n v="3.8"/>
    <m/>
    <x v="18"/>
  </r>
  <r>
    <n v="174"/>
    <n v="271"/>
    <x v="2"/>
    <d v="2025-04-21T00:00:00"/>
    <d v="2025-04-26T00:00:00"/>
    <x v="1"/>
    <n v="5"/>
    <n v="18"/>
    <x v="0"/>
    <n v="3"/>
    <m/>
    <x v="18"/>
  </r>
  <r>
    <n v="175"/>
    <n v="705"/>
    <x v="0"/>
    <d v="2025-04-21T00:00:00"/>
    <d v="2025-04-22T00:00:00"/>
    <x v="0"/>
    <n v="1"/>
    <n v="21"/>
    <x v="0"/>
    <n v="0.7"/>
    <m/>
    <x v="18"/>
  </r>
  <r>
    <n v="176"/>
    <n v="597"/>
    <x v="4"/>
    <d v="2025-04-22T00:00:00"/>
    <d v="2025-04-27T00:00:00"/>
    <x v="1"/>
    <n v="5"/>
    <n v="37"/>
    <x v="0"/>
    <n v="6.166666666666667"/>
    <m/>
    <x v="18"/>
  </r>
  <r>
    <n v="177"/>
    <n v="750"/>
    <x v="6"/>
    <d v="2025-04-23T00:00:00"/>
    <d v="2025-04-29T00:00:00"/>
    <x v="1"/>
    <n v="6"/>
    <n v="36"/>
    <x v="0"/>
    <n v="7.1999999999999993"/>
    <m/>
    <x v="18"/>
  </r>
  <r>
    <n v="178"/>
    <n v="574"/>
    <x v="7"/>
    <d v="2025-04-23T00:00:00"/>
    <d v="2025-04-25T00:00:00"/>
    <x v="0"/>
    <n v="2"/>
    <n v="152"/>
    <x v="0"/>
    <n v="10.133333333333333"/>
    <m/>
    <x v="18"/>
  </r>
  <r>
    <n v="179"/>
    <n v="335"/>
    <x v="8"/>
    <d v="2025-04-24T00:00:00"/>
    <d v="2025-04-29T00:00:00"/>
    <x v="1"/>
    <n v="5"/>
    <n v="37"/>
    <x v="0"/>
    <n v="6.166666666666667"/>
    <m/>
    <x v="18"/>
  </r>
  <r>
    <n v="180"/>
    <n v="69"/>
    <x v="9"/>
    <d v="2025-04-24T00:00:00"/>
    <d v="2025-04-26T00:00:00"/>
    <x v="0"/>
    <n v="2"/>
    <n v="55"/>
    <x v="0"/>
    <n v="3.6666666666666665"/>
    <m/>
    <x v="18"/>
  </r>
  <r>
    <n v="181"/>
    <n v="725"/>
    <x v="10"/>
    <d v="2025-04-25T00:00:00"/>
    <d v="2025-04-30T00:00:00"/>
    <x v="1"/>
    <n v="5"/>
    <n v="21"/>
    <x v="0"/>
    <n v="3.5"/>
    <m/>
    <x v="18"/>
  </r>
  <r>
    <n v="182"/>
    <n v="754"/>
    <x v="11"/>
    <d v="2025-04-26T00:00:00"/>
    <d v="2025-04-28T00:00:00"/>
    <x v="0"/>
    <n v="2"/>
    <n v="140"/>
    <x v="0"/>
    <n v="9.3333333333333339"/>
    <m/>
    <x v="18"/>
  </r>
  <r>
    <n v="183"/>
    <n v="869"/>
    <x v="12"/>
    <d v="2025-04-26T00:00:00"/>
    <d v="2025-05-02T00:00:00"/>
    <x v="1"/>
    <n v="6"/>
    <n v="11"/>
    <x v="0"/>
    <n v="2.1999999999999997"/>
    <m/>
    <x v="18"/>
  </r>
  <r>
    <n v="184"/>
    <n v="818"/>
    <x v="3"/>
    <d v="2025-04-27T00:00:00"/>
    <d v="2025-04-29T00:00:00"/>
    <x v="0"/>
    <n v="2"/>
    <n v="26"/>
    <x v="0"/>
    <n v="1.7333333333333334"/>
    <m/>
    <x v="18"/>
  </r>
  <r>
    <n v="185"/>
    <n v="558"/>
    <x v="1"/>
    <d v="2025-04-28T00:00:00"/>
    <d v="2025-05-03T00:00:00"/>
    <x v="1"/>
    <n v="5"/>
    <n v="15"/>
    <x v="0"/>
    <n v="2.5"/>
    <m/>
    <x v="18"/>
  </r>
  <r>
    <n v="186"/>
    <n v="634"/>
    <x v="5"/>
    <d v="2025-04-28T00:00:00"/>
    <d v="2025-05-01T00:00:00"/>
    <x v="2"/>
    <n v="3"/>
    <n v="38"/>
    <x v="0"/>
    <n v="3.8"/>
    <m/>
    <x v="18"/>
  </r>
  <r>
    <n v="187"/>
    <n v="975"/>
    <x v="2"/>
    <d v="2025-04-29T00:00:00"/>
    <d v="2025-05-04T00:00:00"/>
    <x v="1"/>
    <n v="5"/>
    <n v="33"/>
    <x v="0"/>
    <n v="5.5"/>
    <m/>
    <x v="18"/>
  </r>
  <r>
    <n v="188"/>
    <n v="409"/>
    <x v="0"/>
    <d v="2025-04-29T00:00:00"/>
    <d v="2025-04-30T00:00:00"/>
    <x v="0"/>
    <n v="1"/>
    <n v="101"/>
    <x v="0"/>
    <n v="3.3666666666666667"/>
    <m/>
    <x v="18"/>
  </r>
  <r>
    <n v="189"/>
    <n v="252"/>
    <x v="4"/>
    <d v="2025-04-30T00:00:00"/>
    <d v="2025-05-05T00:00:00"/>
    <x v="1"/>
    <n v="5"/>
    <n v="44"/>
    <x v="0"/>
    <n v="7.333333333333333"/>
    <m/>
    <x v="18"/>
  </r>
  <r>
    <n v="190"/>
    <n v="563"/>
    <x v="6"/>
    <d v="2025-05-01T00:00:00"/>
    <d v="2025-05-07T00:00:00"/>
    <x v="1"/>
    <n v="6"/>
    <n v="32"/>
    <x v="0"/>
    <n v="6.4"/>
    <m/>
    <x v="18"/>
  </r>
  <r>
    <n v="191"/>
    <n v="798"/>
    <x v="7"/>
    <d v="2025-05-01T00:00:00"/>
    <d v="2025-05-03T00:00:00"/>
    <x v="0"/>
    <n v="2"/>
    <n v="42"/>
    <x v="1"/>
    <n v="2.8"/>
    <m/>
    <x v="18"/>
  </r>
  <r>
    <n v="192"/>
    <n v="572"/>
    <x v="8"/>
    <d v="2025-05-02T00:00:00"/>
    <d v="2025-05-07T00:00:00"/>
    <x v="1"/>
    <n v="5"/>
    <n v="32"/>
    <x v="0"/>
    <n v="5.333333333333333"/>
    <m/>
    <x v="18"/>
  </r>
  <r>
    <n v="193"/>
    <n v="425"/>
    <x v="9"/>
    <d v="2025-05-02T00:00:00"/>
    <d v="2025-05-04T00:00:00"/>
    <x v="0"/>
    <n v="2"/>
    <n v="106"/>
    <x v="0"/>
    <n v="7.0666666666666664"/>
    <m/>
    <x v="18"/>
  </r>
  <r>
    <n v="194"/>
    <n v="594"/>
    <x v="10"/>
    <d v="2025-05-03T00:00:00"/>
    <d v="2025-05-08T00:00:00"/>
    <x v="1"/>
    <n v="5"/>
    <n v="12"/>
    <x v="0"/>
    <n v="2"/>
    <m/>
    <x v="18"/>
  </r>
  <r>
    <n v="195"/>
    <n v="500"/>
    <x v="11"/>
    <d v="2025-05-04T00:00:00"/>
    <d v="2025-05-06T00:00:00"/>
    <x v="0"/>
    <n v="2"/>
    <n v="140"/>
    <x v="0"/>
    <n v="9.3333333333333339"/>
    <m/>
    <x v="18"/>
  </r>
  <r>
    <n v="196"/>
    <n v="183"/>
    <x v="12"/>
    <d v="2025-05-04T00:00:00"/>
    <d v="2025-05-10T00:00:00"/>
    <x v="1"/>
    <n v="6"/>
    <n v="43"/>
    <x v="0"/>
    <n v="8.6"/>
    <m/>
    <x v="18"/>
  </r>
  <r>
    <n v="197"/>
    <n v="370"/>
    <x v="3"/>
    <d v="2025-05-05T00:00:00"/>
    <d v="2025-05-07T00:00:00"/>
    <x v="0"/>
    <n v="2"/>
    <n v="151"/>
    <x v="0"/>
    <n v="10.066666666666666"/>
    <m/>
    <x v="18"/>
  </r>
  <r>
    <n v="198"/>
    <n v="393"/>
    <x v="1"/>
    <d v="2025-05-06T00:00:00"/>
    <d v="2025-05-11T00:00:00"/>
    <x v="1"/>
    <n v="5"/>
    <n v="38"/>
    <x v="0"/>
    <n v="6.333333333333333"/>
    <m/>
    <x v="18"/>
  </r>
  <r>
    <n v="199"/>
    <n v="445"/>
    <x v="5"/>
    <d v="2025-05-06T00:00:00"/>
    <d v="2025-05-09T00:00:00"/>
    <x v="2"/>
    <n v="3"/>
    <n v="40"/>
    <x v="0"/>
    <n v="4"/>
    <m/>
    <x v="18"/>
  </r>
  <r>
    <n v="200"/>
    <n v="985"/>
    <x v="2"/>
    <d v="2025-05-07T00:00:00"/>
    <d v="2025-05-12T00:00:00"/>
    <x v="1"/>
    <n v="5"/>
    <n v="25"/>
    <x v="1"/>
    <n v="4.166666666666667"/>
    <m/>
    <x v="18"/>
  </r>
  <r>
    <n v="201"/>
    <n v="310"/>
    <x v="0"/>
    <d v="2025-05-07T00:00:00"/>
    <d v="2025-05-08T00:00:00"/>
    <x v="0"/>
    <n v="1"/>
    <n v="92"/>
    <x v="0"/>
    <n v="3.0666666666666669"/>
    <m/>
    <x v="18"/>
  </r>
  <r>
    <n v="202"/>
    <n v="301"/>
    <x v="4"/>
    <d v="2025-05-08T00:00:00"/>
    <d v="2025-05-13T00:00:00"/>
    <x v="1"/>
    <n v="5"/>
    <n v="35"/>
    <x v="0"/>
    <n v="5.8333333333333339"/>
    <m/>
    <x v="18"/>
  </r>
  <r>
    <n v="203"/>
    <n v="791"/>
    <x v="6"/>
    <d v="2025-05-09T00:00:00"/>
    <d v="2025-05-15T00:00:00"/>
    <x v="1"/>
    <n v="6"/>
    <n v="27"/>
    <x v="0"/>
    <n v="5.4"/>
    <m/>
    <x v="18"/>
  </r>
  <r>
    <n v="204"/>
    <n v="400"/>
    <x v="7"/>
    <d v="2025-05-09T00:00:00"/>
    <d v="2025-05-11T00:00:00"/>
    <x v="0"/>
    <n v="2"/>
    <n v="118"/>
    <x v="0"/>
    <n v="7.8666666666666663"/>
    <m/>
    <x v="18"/>
  </r>
  <r>
    <n v="205"/>
    <n v="36"/>
    <x v="8"/>
    <d v="2025-05-10T00:00:00"/>
    <d v="2025-05-15T00:00:00"/>
    <x v="1"/>
    <n v="5"/>
    <n v="44"/>
    <x v="0"/>
    <n v="7.333333333333333"/>
    <m/>
    <x v="18"/>
  </r>
  <r>
    <n v="206"/>
    <n v="193"/>
    <x v="9"/>
    <d v="2025-05-10T00:00:00"/>
    <d v="2025-05-12T00:00:00"/>
    <x v="0"/>
    <n v="2"/>
    <n v="99"/>
    <x v="1"/>
    <n v="6.6"/>
    <m/>
    <x v="18"/>
  </r>
  <r>
    <n v="207"/>
    <n v="630"/>
    <x v="10"/>
    <d v="2025-05-11T00:00:00"/>
    <d v="2025-05-16T00:00:00"/>
    <x v="1"/>
    <n v="5"/>
    <n v="20"/>
    <x v="0"/>
    <n v="3.333333333333333"/>
    <m/>
    <x v="18"/>
  </r>
  <r>
    <n v="208"/>
    <n v="31"/>
    <x v="11"/>
    <d v="2025-05-12T00:00:00"/>
    <d v="2025-05-14T00:00:00"/>
    <x v="0"/>
    <n v="2"/>
    <n v="54"/>
    <x v="0"/>
    <n v="3.6"/>
    <m/>
    <x v="18"/>
  </r>
  <r>
    <n v="209"/>
    <n v="292"/>
    <x v="12"/>
    <d v="2025-05-12T00:00:00"/>
    <d v="2025-05-18T00:00:00"/>
    <x v="1"/>
    <n v="6"/>
    <n v="15"/>
    <x v="0"/>
    <n v="3"/>
    <m/>
    <x v="18"/>
  </r>
  <r>
    <n v="210"/>
    <n v="131"/>
    <x v="3"/>
    <d v="2025-05-13T00:00:00"/>
    <d v="2025-05-15T00:00:00"/>
    <x v="0"/>
    <n v="2"/>
    <n v="143"/>
    <x v="0"/>
    <n v="9.5333333333333332"/>
    <m/>
    <x v="18"/>
  </r>
  <r>
    <n v="211"/>
    <n v="273"/>
    <x v="1"/>
    <d v="2025-05-14T00:00:00"/>
    <d v="2025-05-19T00:00:00"/>
    <x v="1"/>
    <n v="5"/>
    <n v="42"/>
    <x v="0"/>
    <n v="7"/>
    <m/>
    <x v="18"/>
  </r>
  <r>
    <n v="212"/>
    <n v="683"/>
    <x v="5"/>
    <d v="2025-05-14T00:00:00"/>
    <d v="2025-05-17T00:00:00"/>
    <x v="2"/>
    <n v="3"/>
    <n v="56"/>
    <x v="1"/>
    <n v="5.6"/>
    <m/>
    <x v="18"/>
  </r>
  <r>
    <n v="213"/>
    <n v="838"/>
    <x v="2"/>
    <d v="2025-05-15T00:00:00"/>
    <d v="2025-05-20T00:00:00"/>
    <x v="1"/>
    <n v="5"/>
    <n v="16"/>
    <x v="0"/>
    <n v="2.6666666666666665"/>
    <m/>
    <x v="18"/>
  </r>
  <r>
    <n v="214"/>
    <n v="213"/>
    <x v="0"/>
    <d v="2025-05-15T00:00:00"/>
    <d v="2025-05-16T00:00:00"/>
    <x v="0"/>
    <n v="1"/>
    <n v="213"/>
    <x v="0"/>
    <n v="7.1"/>
    <m/>
    <x v="18"/>
  </r>
  <r>
    <n v="215"/>
    <n v="316"/>
    <x v="4"/>
    <d v="2025-05-16T00:00:00"/>
    <d v="2025-05-21T00:00:00"/>
    <x v="1"/>
    <n v="5"/>
    <n v="19"/>
    <x v="0"/>
    <n v="3.1666666666666665"/>
    <m/>
    <x v="18"/>
  </r>
  <r>
    <n v="216"/>
    <n v="499"/>
    <x v="6"/>
    <d v="2025-05-17T00:00:00"/>
    <d v="2025-05-23T00:00:00"/>
    <x v="1"/>
    <n v="6"/>
    <n v="43"/>
    <x v="1"/>
    <n v="8.6"/>
    <m/>
    <x v="18"/>
  </r>
  <r>
    <n v="217"/>
    <n v="994"/>
    <x v="7"/>
    <d v="2025-05-17T00:00:00"/>
    <d v="2025-05-19T00:00:00"/>
    <x v="0"/>
    <n v="2"/>
    <n v="55"/>
    <x v="0"/>
    <n v="3.6666666666666665"/>
    <m/>
    <x v="18"/>
  </r>
  <r>
    <n v="218"/>
    <n v="653"/>
    <x v="8"/>
    <d v="2025-05-18T00:00:00"/>
    <d v="2025-05-23T00:00:00"/>
    <x v="1"/>
    <n v="5"/>
    <n v="4"/>
    <x v="0"/>
    <n v="0.66666666666666663"/>
    <m/>
    <x v="18"/>
  </r>
  <r>
    <n v="219"/>
    <n v="784"/>
    <x v="9"/>
    <d v="2025-05-18T00:00:00"/>
    <d v="2025-05-20T00:00:00"/>
    <x v="0"/>
    <n v="2"/>
    <n v="40"/>
    <x v="0"/>
    <n v="2.6666666666666665"/>
    <m/>
    <x v="18"/>
  </r>
  <r>
    <n v="220"/>
    <n v="165"/>
    <x v="10"/>
    <d v="2025-05-19T00:00:00"/>
    <d v="2025-05-24T00:00:00"/>
    <x v="1"/>
    <n v="5"/>
    <n v="11"/>
    <x v="0"/>
    <n v="1.8333333333333333"/>
    <m/>
    <x v="18"/>
  </r>
  <r>
    <n v="221"/>
    <n v="481"/>
    <x v="11"/>
    <d v="2025-05-20T00:00:00"/>
    <d v="2025-05-22T00:00:00"/>
    <x v="0"/>
    <n v="2"/>
    <n v="36"/>
    <x v="0"/>
    <n v="2.4"/>
    <m/>
    <x v="18"/>
  </r>
  <r>
    <n v="222"/>
    <n v="829"/>
    <x v="12"/>
    <d v="2025-05-20T00:00:00"/>
    <d v="2025-05-26T00:00:00"/>
    <x v="1"/>
    <n v="6"/>
    <n v="35"/>
    <x v="0"/>
    <n v="7"/>
    <m/>
    <x v="18"/>
  </r>
  <r>
    <n v="223"/>
    <n v="540"/>
    <x v="3"/>
    <d v="2025-05-21T00:00:00"/>
    <d v="2025-05-23T00:00:00"/>
    <x v="0"/>
    <n v="2"/>
    <n v="175"/>
    <x v="0"/>
    <n v="11.666666666666666"/>
    <m/>
    <x v="18"/>
  </r>
  <r>
    <n v="224"/>
    <n v="196"/>
    <x v="1"/>
    <d v="2025-05-22T00:00:00"/>
    <d v="2025-05-27T00:00:00"/>
    <x v="1"/>
    <n v="5"/>
    <n v="44"/>
    <x v="0"/>
    <n v="7.333333333333333"/>
    <m/>
    <x v="18"/>
  </r>
  <r>
    <n v="225"/>
    <n v="571"/>
    <x v="5"/>
    <d v="2025-05-22T00:00:00"/>
    <d v="2025-05-25T00:00:00"/>
    <x v="2"/>
    <n v="3"/>
    <n v="21"/>
    <x v="0"/>
    <n v="2.0999999999999996"/>
    <m/>
    <x v="18"/>
  </r>
  <r>
    <n v="226"/>
    <n v="389"/>
    <x v="2"/>
    <d v="2025-05-23T00:00:00"/>
    <d v="2025-05-28T00:00:00"/>
    <x v="1"/>
    <n v="5"/>
    <n v="15"/>
    <x v="0"/>
    <n v="2.5"/>
    <m/>
    <x v="18"/>
  </r>
  <r>
    <n v="227"/>
    <n v="155"/>
    <x v="0"/>
    <d v="2025-05-23T00:00:00"/>
    <d v="2025-05-24T00:00:00"/>
    <x v="0"/>
    <n v="1"/>
    <n v="230"/>
    <x v="0"/>
    <n v="7.666666666666667"/>
    <m/>
    <x v="18"/>
  </r>
  <r>
    <n v="228"/>
    <n v="881"/>
    <x v="4"/>
    <d v="2025-05-24T00:00:00"/>
    <d v="2025-05-29T00:00:00"/>
    <x v="1"/>
    <n v="5"/>
    <n v="35"/>
    <x v="0"/>
    <n v="5.8333333333333339"/>
    <m/>
    <x v="18"/>
  </r>
  <r>
    <n v="229"/>
    <n v="102"/>
    <x v="6"/>
    <d v="2025-05-25T00:00:00"/>
    <d v="2025-05-31T00:00:00"/>
    <x v="1"/>
    <n v="6"/>
    <n v="22"/>
    <x v="0"/>
    <n v="4.3999999999999995"/>
    <m/>
    <x v="18"/>
  </r>
  <r>
    <n v="230"/>
    <n v="342"/>
    <x v="7"/>
    <d v="2025-05-25T00:00:00"/>
    <d v="2025-05-27T00:00:00"/>
    <x v="0"/>
    <n v="2"/>
    <n v="63"/>
    <x v="0"/>
    <n v="4.2"/>
    <m/>
    <x v="18"/>
  </r>
  <r>
    <n v="231"/>
    <n v="189"/>
    <x v="8"/>
    <d v="2025-05-26T00:00:00"/>
    <d v="2025-05-31T00:00:00"/>
    <x v="1"/>
    <n v="5"/>
    <n v="24"/>
    <x v="0"/>
    <n v="4"/>
    <m/>
    <x v="18"/>
  </r>
  <r>
    <n v="232"/>
    <n v="836"/>
    <x v="9"/>
    <d v="2025-05-26T00:00:00"/>
    <d v="2025-05-28T00:00:00"/>
    <x v="0"/>
    <n v="2"/>
    <n v="120"/>
    <x v="0"/>
    <n v="8"/>
    <m/>
    <x v="18"/>
  </r>
  <r>
    <n v="233"/>
    <n v="14"/>
    <x v="10"/>
    <d v="2025-05-27T00:00:00"/>
    <d v="2025-06-01T00:00:00"/>
    <x v="1"/>
    <n v="5"/>
    <n v="34"/>
    <x v="0"/>
    <n v="5.6666666666666661"/>
    <m/>
    <x v="18"/>
  </r>
  <r>
    <n v="234"/>
    <n v="449"/>
    <x v="11"/>
    <d v="2025-05-28T00:00:00"/>
    <d v="2025-05-30T00:00:00"/>
    <x v="0"/>
    <n v="2"/>
    <n v="106"/>
    <x v="0"/>
    <n v="7.0666666666666664"/>
    <m/>
    <x v="18"/>
  </r>
  <r>
    <n v="235"/>
    <n v="93"/>
    <x v="12"/>
    <d v="2025-05-28T00:00:00"/>
    <d v="2025-06-03T00:00:00"/>
    <x v="1"/>
    <n v="6"/>
    <n v="43"/>
    <x v="0"/>
    <n v="8.6"/>
    <m/>
    <x v="18"/>
  </r>
  <r>
    <n v="236"/>
    <n v="738"/>
    <x v="3"/>
    <d v="2025-05-29T00:00:00"/>
    <d v="2025-05-31T00:00:00"/>
    <x v="0"/>
    <n v="2"/>
    <n v="185"/>
    <x v="0"/>
    <n v="12.333333333333334"/>
    <m/>
    <x v="18"/>
  </r>
  <r>
    <n v="237"/>
    <n v="390"/>
    <x v="1"/>
    <d v="2025-05-30T00:00:00"/>
    <d v="2025-06-04T00:00:00"/>
    <x v="1"/>
    <n v="5"/>
    <n v="20"/>
    <x v="0"/>
    <n v="3.333333333333333"/>
    <m/>
    <x v="18"/>
  </r>
  <r>
    <n v="238"/>
    <n v="582"/>
    <x v="5"/>
    <d v="2025-05-30T00:00:00"/>
    <d v="2025-06-02T00:00:00"/>
    <x v="2"/>
    <n v="3"/>
    <n v="56"/>
    <x v="0"/>
    <n v="5.6"/>
    <m/>
    <x v="18"/>
  </r>
  <r>
    <n v="239"/>
    <n v="944"/>
    <x v="2"/>
    <d v="2025-05-31T00:00:00"/>
    <d v="2025-06-05T00:00:00"/>
    <x v="1"/>
    <n v="5"/>
    <n v="20"/>
    <x v="0"/>
    <n v="3.333333333333333"/>
    <m/>
    <x v="18"/>
  </r>
  <r>
    <n v="240"/>
    <n v="659"/>
    <x v="0"/>
    <d v="2025-05-31T00:00:00"/>
    <d v="2025-06-01T00:00:00"/>
    <x v="0"/>
    <n v="1"/>
    <n v="148"/>
    <x v="0"/>
    <n v="4.9333333333333336"/>
    <m/>
    <x v="18"/>
  </r>
  <r>
    <n v="241"/>
    <n v="126"/>
    <x v="4"/>
    <d v="2025-06-01T00:00:00"/>
    <d v="2025-06-06T00:00:00"/>
    <x v="1"/>
    <n v="5"/>
    <n v="25"/>
    <x v="0"/>
    <n v="4.166666666666667"/>
    <m/>
    <x v="18"/>
  </r>
  <r>
    <n v="242"/>
    <n v="50"/>
    <x v="6"/>
    <d v="2025-06-02T00:00:00"/>
    <d v="2025-06-08T00:00:00"/>
    <x v="1"/>
    <n v="6"/>
    <n v="43"/>
    <x v="0"/>
    <n v="8.6"/>
    <m/>
    <x v="18"/>
  </r>
  <r>
    <n v="243"/>
    <n v="300"/>
    <x v="7"/>
    <d v="2025-06-02T00:00:00"/>
    <d v="2025-06-04T00:00:00"/>
    <x v="0"/>
    <n v="2"/>
    <n v="126"/>
    <x v="0"/>
    <n v="8.4"/>
    <m/>
    <x v="18"/>
  </r>
  <r>
    <n v="244"/>
    <n v="705"/>
    <x v="8"/>
    <d v="2025-06-03T00:00:00"/>
    <d v="2025-06-08T00:00:00"/>
    <x v="1"/>
    <n v="5"/>
    <n v="38"/>
    <x v="0"/>
    <n v="6.333333333333333"/>
    <m/>
    <x v="18"/>
  </r>
  <r>
    <n v="245"/>
    <n v="435"/>
    <x v="9"/>
    <d v="2025-06-03T00:00:00"/>
    <d v="2025-06-05T00:00:00"/>
    <x v="0"/>
    <n v="2"/>
    <n v="228"/>
    <x v="1"/>
    <n v="15.2"/>
    <m/>
    <x v="18"/>
  </r>
  <r>
    <n v="246"/>
    <n v="882"/>
    <x v="10"/>
    <d v="2025-06-04T00:00:00"/>
    <d v="2025-06-09T00:00:00"/>
    <x v="1"/>
    <n v="5"/>
    <n v="16"/>
    <x v="0"/>
    <n v="2.6666666666666665"/>
    <m/>
    <x v="18"/>
  </r>
  <r>
    <n v="247"/>
    <n v="564"/>
    <x v="11"/>
    <d v="2025-06-05T00:00:00"/>
    <d v="2025-06-07T00:00:00"/>
    <x v="0"/>
    <n v="2"/>
    <n v="238"/>
    <x v="0"/>
    <n v="15.866666666666667"/>
    <m/>
    <x v="18"/>
  </r>
  <r>
    <n v="248"/>
    <n v="306"/>
    <x v="12"/>
    <d v="2025-06-05T00:00:00"/>
    <d v="2025-06-11T00:00:00"/>
    <x v="1"/>
    <n v="6"/>
    <n v="27"/>
    <x v="0"/>
    <n v="5.4"/>
    <m/>
    <x v="18"/>
  </r>
  <r>
    <n v="249"/>
    <n v="263"/>
    <x v="3"/>
    <d v="2025-06-06T00:00:00"/>
    <d v="2025-06-08T00:00:00"/>
    <x v="0"/>
    <n v="2"/>
    <n v="120"/>
    <x v="0"/>
    <n v="8"/>
    <m/>
    <x v="18"/>
  </r>
  <r>
    <n v="250"/>
    <n v="813"/>
    <x v="1"/>
    <d v="2025-06-07T00:00:00"/>
    <d v="2025-06-12T00:00:00"/>
    <x v="1"/>
    <n v="5"/>
    <n v="2"/>
    <x v="0"/>
    <n v="0.33333333333333331"/>
    <m/>
    <x v="18"/>
  </r>
  <r>
    <n v="251"/>
    <n v="758"/>
    <x v="5"/>
    <d v="2025-06-07T00:00:00"/>
    <d v="2025-06-10T00:00:00"/>
    <x v="2"/>
    <n v="3"/>
    <n v="55"/>
    <x v="0"/>
    <n v="5.5"/>
    <m/>
    <x v="18"/>
  </r>
  <r>
    <n v="252"/>
    <n v="874"/>
    <x v="2"/>
    <d v="2025-06-08T00:00:00"/>
    <d v="2025-06-13T00:00:00"/>
    <x v="1"/>
    <n v="5"/>
    <n v="10"/>
    <x v="0"/>
    <n v="1.6666666666666665"/>
    <m/>
    <x v="18"/>
  </r>
  <r>
    <n v="253"/>
    <n v="431"/>
    <x v="0"/>
    <d v="2025-06-08T00:00:00"/>
    <d v="2025-06-09T00:00:00"/>
    <x v="0"/>
    <n v="1"/>
    <n v="216"/>
    <x v="0"/>
    <n v="7.2"/>
    <m/>
    <x v="18"/>
  </r>
  <r>
    <n v="254"/>
    <n v="111"/>
    <x v="4"/>
    <d v="2025-06-09T00:00:00"/>
    <d v="2025-06-14T00:00:00"/>
    <x v="1"/>
    <n v="5"/>
    <n v="14"/>
    <x v="0"/>
    <n v="2.3333333333333335"/>
    <m/>
    <x v="18"/>
  </r>
  <r>
    <n v="255"/>
    <n v="19"/>
    <x v="6"/>
    <d v="2025-06-10T00:00:00"/>
    <d v="2025-06-16T00:00:00"/>
    <x v="1"/>
    <n v="6"/>
    <n v="43"/>
    <x v="0"/>
    <n v="8.6"/>
    <m/>
    <x v="18"/>
  </r>
  <r>
    <n v="256"/>
    <n v="708"/>
    <x v="7"/>
    <d v="2025-06-10T00:00:00"/>
    <d v="2025-06-12T00:00:00"/>
    <x v="0"/>
    <n v="2"/>
    <n v="130"/>
    <x v="1"/>
    <n v="8.6666666666666661"/>
    <m/>
    <x v="18"/>
  </r>
  <r>
    <n v="257"/>
    <n v="371"/>
    <x v="8"/>
    <d v="2025-06-11T00:00:00"/>
    <d v="2025-06-16T00:00:00"/>
    <x v="1"/>
    <n v="5"/>
    <n v="24"/>
    <x v="0"/>
    <n v="4"/>
    <m/>
    <x v="18"/>
  </r>
  <r>
    <n v="258"/>
    <n v="611"/>
    <x v="9"/>
    <d v="2025-06-11T00:00:00"/>
    <d v="2025-06-13T00:00:00"/>
    <x v="0"/>
    <n v="2"/>
    <n v="226"/>
    <x v="0"/>
    <n v="15.066666666666666"/>
    <m/>
    <x v="18"/>
  </r>
  <r>
    <n v="259"/>
    <n v="753"/>
    <x v="10"/>
    <d v="2025-06-12T00:00:00"/>
    <d v="2025-06-17T00:00:00"/>
    <x v="1"/>
    <n v="5"/>
    <n v="43"/>
    <x v="0"/>
    <n v="7.166666666666667"/>
    <m/>
    <x v="18"/>
  </r>
  <r>
    <n v="260"/>
    <n v="922"/>
    <x v="11"/>
    <d v="2025-06-13T00:00:00"/>
    <d v="2025-06-15T00:00:00"/>
    <x v="0"/>
    <n v="2"/>
    <n v="23"/>
    <x v="0"/>
    <n v="1.5333333333333334"/>
    <m/>
    <x v="18"/>
  </r>
  <r>
    <n v="261"/>
    <n v="619"/>
    <x v="12"/>
    <d v="2025-06-13T00:00:00"/>
    <d v="2025-06-19T00:00:00"/>
    <x v="1"/>
    <n v="6"/>
    <n v="36"/>
    <x v="0"/>
    <n v="7.1999999999999993"/>
    <m/>
    <x v="18"/>
  </r>
  <r>
    <n v="262"/>
    <n v="546"/>
    <x v="3"/>
    <d v="2025-06-14T00:00:00"/>
    <d v="2025-06-16T00:00:00"/>
    <x v="0"/>
    <n v="2"/>
    <n v="175"/>
    <x v="0"/>
    <n v="11.666666666666666"/>
    <m/>
    <x v="18"/>
  </r>
  <r>
    <n v="263"/>
    <n v="483"/>
    <x v="1"/>
    <d v="2025-06-15T00:00:00"/>
    <d v="2025-06-20T00:00:00"/>
    <x v="1"/>
    <n v="5"/>
    <n v="3"/>
    <x v="1"/>
    <n v="0.5"/>
    <m/>
    <x v="18"/>
  </r>
  <r>
    <n v="264"/>
    <n v="865"/>
    <x v="5"/>
    <d v="2025-06-15T00:00:00"/>
    <d v="2025-06-18T00:00:00"/>
    <x v="2"/>
    <n v="3"/>
    <n v="32"/>
    <x v="0"/>
    <n v="3.2"/>
    <m/>
    <x v="18"/>
  </r>
  <r>
    <n v="265"/>
    <n v="223"/>
    <x v="2"/>
    <d v="2025-06-16T00:00:00"/>
    <d v="2025-06-21T00:00:00"/>
    <x v="1"/>
    <n v="5"/>
    <n v="34"/>
    <x v="0"/>
    <n v="5.6666666666666661"/>
    <m/>
    <x v="18"/>
  </r>
  <r>
    <n v="266"/>
    <n v="118"/>
    <x v="0"/>
    <d v="2025-06-16T00:00:00"/>
    <d v="2025-06-17T00:00:00"/>
    <x v="0"/>
    <n v="1"/>
    <n v="40"/>
    <x v="0"/>
    <n v="1.3333333333333333"/>
    <m/>
    <x v="18"/>
  </r>
  <r>
    <n v="267"/>
    <n v="553"/>
    <x v="4"/>
    <d v="2025-06-17T00:00:00"/>
    <d v="2025-06-22T00:00:00"/>
    <x v="1"/>
    <n v="5"/>
    <n v="13"/>
    <x v="0"/>
    <n v="2.166666666666667"/>
    <m/>
    <x v="18"/>
  </r>
  <r>
    <n v="268"/>
    <n v="749"/>
    <x v="6"/>
    <d v="2025-06-18T00:00:00"/>
    <d v="2025-06-24T00:00:00"/>
    <x v="1"/>
    <n v="6"/>
    <n v="11"/>
    <x v="0"/>
    <n v="2.1999999999999997"/>
    <m/>
    <x v="18"/>
  </r>
  <r>
    <n v="269"/>
    <n v="115"/>
    <x v="7"/>
    <d v="2025-06-18T00:00:00"/>
    <d v="2025-06-20T00:00:00"/>
    <x v="0"/>
    <n v="2"/>
    <n v="217"/>
    <x v="0"/>
    <n v="14.466666666666667"/>
    <m/>
    <x v="18"/>
  </r>
  <r>
    <n v="270"/>
    <n v="456"/>
    <x v="8"/>
    <d v="2025-06-19T00:00:00"/>
    <d v="2025-06-24T00:00:00"/>
    <x v="1"/>
    <n v="5"/>
    <n v="12"/>
    <x v="0"/>
    <n v="2"/>
    <m/>
    <x v="18"/>
  </r>
  <r>
    <n v="271"/>
    <n v="495"/>
    <x v="9"/>
    <d v="2025-06-19T00:00:00"/>
    <d v="2025-06-21T00:00:00"/>
    <x v="0"/>
    <n v="2"/>
    <n v="190"/>
    <x v="0"/>
    <n v="12.666666666666666"/>
    <m/>
    <x v="18"/>
  </r>
  <r>
    <n v="272"/>
    <n v="137"/>
    <x v="10"/>
    <d v="2025-06-20T00:00:00"/>
    <d v="2025-06-25T00:00:00"/>
    <x v="1"/>
    <n v="5"/>
    <n v="22"/>
    <x v="0"/>
    <n v="3.6666666666666665"/>
    <m/>
    <x v="18"/>
  </r>
  <r>
    <n v="273"/>
    <n v="307"/>
    <x v="11"/>
    <d v="2025-06-21T00:00:00"/>
    <d v="2025-06-23T00:00:00"/>
    <x v="0"/>
    <n v="2"/>
    <n v="55"/>
    <x v="0"/>
    <n v="3.6666666666666665"/>
    <m/>
    <x v="18"/>
  </r>
  <r>
    <n v="274"/>
    <n v="174"/>
    <x v="12"/>
    <d v="2025-06-21T00:00:00"/>
    <d v="2025-06-27T00:00:00"/>
    <x v="1"/>
    <n v="6"/>
    <n v="27"/>
    <x v="0"/>
    <n v="5.4"/>
    <m/>
    <x v="18"/>
  </r>
  <r>
    <n v="275"/>
    <n v="154"/>
    <x v="3"/>
    <d v="2025-06-22T00:00:00"/>
    <d v="2025-06-24T00:00:00"/>
    <x v="0"/>
    <n v="2"/>
    <n v="54"/>
    <x v="0"/>
    <n v="3.6"/>
    <m/>
    <x v="18"/>
  </r>
  <r>
    <n v="276"/>
    <n v="999"/>
    <x v="1"/>
    <d v="2025-06-23T00:00:00"/>
    <d v="2025-06-28T00:00:00"/>
    <x v="1"/>
    <n v="5"/>
    <n v="44"/>
    <x v="0"/>
    <n v="7.333333333333333"/>
    <m/>
    <x v="18"/>
  </r>
  <r>
    <n v="277"/>
    <n v="124"/>
    <x v="5"/>
    <d v="2025-06-23T00:00:00"/>
    <d v="2025-06-26T00:00:00"/>
    <x v="2"/>
    <n v="3"/>
    <n v="31"/>
    <x v="0"/>
    <n v="3.1000000000000005"/>
    <m/>
    <x v="18"/>
  </r>
  <r>
    <n v="278"/>
    <n v="271"/>
    <x v="2"/>
    <d v="2025-06-24T00:00:00"/>
    <d v="2025-06-29T00:00:00"/>
    <x v="1"/>
    <n v="5"/>
    <n v="36"/>
    <x v="0"/>
    <n v="6"/>
    <m/>
    <x v="18"/>
  </r>
  <r>
    <n v="279"/>
    <n v="705"/>
    <x v="0"/>
    <d v="2025-06-24T00:00:00"/>
    <d v="2025-06-25T00:00:00"/>
    <x v="0"/>
    <n v="1"/>
    <n v="228"/>
    <x v="1"/>
    <n v="7.6"/>
    <m/>
    <x v="18"/>
  </r>
  <r>
    <n v="280"/>
    <n v="597"/>
    <x v="4"/>
    <d v="2025-06-25T00:00:00"/>
    <d v="2025-06-30T00:00:00"/>
    <x v="1"/>
    <n v="5"/>
    <n v="1"/>
    <x v="0"/>
    <n v="0.16666666666666666"/>
    <m/>
    <x v="18"/>
  </r>
  <r>
    <n v="281"/>
    <n v="750"/>
    <x v="6"/>
    <d v="2025-06-26T00:00:00"/>
    <d v="2025-07-02T00:00:00"/>
    <x v="1"/>
    <n v="6"/>
    <n v="43"/>
    <x v="0"/>
    <n v="8.6"/>
    <m/>
    <x v="18"/>
  </r>
  <r>
    <n v="282"/>
    <n v="574"/>
    <x v="7"/>
    <d v="2025-06-26T00:00:00"/>
    <d v="2025-06-28T00:00:00"/>
    <x v="0"/>
    <n v="2"/>
    <n v="110"/>
    <x v="0"/>
    <n v="7.333333333333333"/>
    <m/>
    <x v="18"/>
  </r>
  <r>
    <n v="283"/>
    <n v="335"/>
    <x v="8"/>
    <d v="2025-06-27T00:00:00"/>
    <d v="2025-07-02T00:00:00"/>
    <x v="1"/>
    <n v="5"/>
    <n v="44"/>
    <x v="0"/>
    <n v="7.333333333333333"/>
    <m/>
    <x v="18"/>
  </r>
  <r>
    <n v="284"/>
    <n v="69"/>
    <x v="9"/>
    <d v="2025-06-27T00:00:00"/>
    <d v="2025-06-29T00:00:00"/>
    <x v="0"/>
    <n v="2"/>
    <n v="30"/>
    <x v="0"/>
    <n v="2"/>
    <m/>
    <x v="18"/>
  </r>
  <r>
    <n v="285"/>
    <n v="725"/>
    <x v="10"/>
    <d v="2025-06-28T00:00:00"/>
    <d v="2025-07-03T00:00:00"/>
    <x v="1"/>
    <n v="5"/>
    <n v="4"/>
    <x v="1"/>
    <n v="0.66666666666666663"/>
    <m/>
    <x v="18"/>
  </r>
  <r>
    <n v="286"/>
    <n v="754"/>
    <x v="11"/>
    <d v="2025-07-01T00:00:00"/>
    <d v="2025-07-03T00:00:00"/>
    <x v="0"/>
    <n v="2"/>
    <n v="63"/>
    <x v="0"/>
    <n v="4.2"/>
    <m/>
    <x v="18"/>
  </r>
  <r>
    <n v="287"/>
    <n v="869"/>
    <x v="12"/>
    <d v="2025-07-01T00:00:00"/>
    <d v="2025-07-07T00:00:00"/>
    <x v="1"/>
    <n v="6"/>
    <n v="21"/>
    <x v="0"/>
    <n v="4.1999999999999993"/>
    <m/>
    <x v="18"/>
  </r>
  <r>
    <n v="288"/>
    <n v="818"/>
    <x v="3"/>
    <d v="2025-07-02T00:00:00"/>
    <d v="2025-07-04T00:00:00"/>
    <x v="0"/>
    <n v="2"/>
    <n v="232"/>
    <x v="0"/>
    <n v="15.466666666666667"/>
    <m/>
    <x v="18"/>
  </r>
  <r>
    <n v="289"/>
    <n v="558"/>
    <x v="1"/>
    <d v="2025-07-03T00:00:00"/>
    <d v="2025-07-08T00:00:00"/>
    <x v="1"/>
    <n v="5"/>
    <n v="18"/>
    <x v="0"/>
    <n v="3"/>
    <m/>
    <x v="18"/>
  </r>
  <r>
    <n v="290"/>
    <n v="634"/>
    <x v="5"/>
    <d v="2025-07-03T00:00:00"/>
    <d v="2025-07-06T00:00:00"/>
    <x v="2"/>
    <n v="3"/>
    <n v="27"/>
    <x v="0"/>
    <n v="2.7"/>
    <m/>
    <x v="18"/>
  </r>
  <r>
    <n v="291"/>
    <n v="975"/>
    <x v="2"/>
    <d v="2025-07-04T00:00:00"/>
    <d v="2025-07-09T00:00:00"/>
    <x v="1"/>
    <n v="5"/>
    <n v="44"/>
    <x v="0"/>
    <n v="7.333333333333333"/>
    <m/>
    <x v="18"/>
  </r>
  <r>
    <n v="292"/>
    <n v="409"/>
    <x v="0"/>
    <d v="2025-07-04T00:00:00"/>
    <d v="2025-07-05T00:00:00"/>
    <x v="0"/>
    <n v="1"/>
    <n v="21"/>
    <x v="0"/>
    <n v="0.7"/>
    <m/>
    <x v="18"/>
  </r>
  <r>
    <n v="293"/>
    <n v="252"/>
    <x v="4"/>
    <d v="2025-07-05T00:00:00"/>
    <d v="2025-07-10T00:00:00"/>
    <x v="1"/>
    <n v="5"/>
    <n v="14"/>
    <x v="0"/>
    <n v="2.3333333333333335"/>
    <m/>
    <x v="18"/>
  </r>
  <r>
    <n v="294"/>
    <n v="563"/>
    <x v="6"/>
    <d v="2025-07-06T00:00:00"/>
    <d v="2025-07-12T00:00:00"/>
    <x v="1"/>
    <n v="6"/>
    <n v="44"/>
    <x v="0"/>
    <n v="8.7999999999999989"/>
    <m/>
    <x v="18"/>
  </r>
  <r>
    <n v="295"/>
    <n v="798"/>
    <x v="7"/>
    <d v="2025-07-06T00:00:00"/>
    <d v="2025-07-08T00:00:00"/>
    <x v="0"/>
    <n v="2"/>
    <n v="120"/>
    <x v="0"/>
    <n v="8"/>
    <m/>
    <x v="18"/>
  </r>
  <r>
    <n v="296"/>
    <n v="572"/>
    <x v="8"/>
    <d v="2025-07-07T00:00:00"/>
    <d v="2025-07-12T00:00:00"/>
    <x v="1"/>
    <n v="5"/>
    <n v="21"/>
    <x v="0"/>
    <n v="3.5"/>
    <m/>
    <x v="18"/>
  </r>
  <r>
    <n v="297"/>
    <n v="425"/>
    <x v="9"/>
    <d v="2025-07-07T00:00:00"/>
    <d v="2025-07-09T00:00:00"/>
    <x v="0"/>
    <n v="2"/>
    <n v="228"/>
    <x v="1"/>
    <n v="15.2"/>
    <m/>
    <x v="18"/>
  </r>
  <r>
    <n v="298"/>
    <n v="594"/>
    <x v="10"/>
    <d v="2025-07-08T00:00:00"/>
    <d v="2025-07-13T00:00:00"/>
    <x v="1"/>
    <n v="5"/>
    <n v="34"/>
    <x v="0"/>
    <n v="5.6666666666666661"/>
    <m/>
    <x v="18"/>
  </r>
  <r>
    <n v="299"/>
    <n v="500"/>
    <x v="11"/>
    <d v="2025-07-09T00:00:00"/>
    <d v="2025-07-11T00:00:00"/>
    <x v="0"/>
    <n v="2"/>
    <n v="148"/>
    <x v="0"/>
    <n v="9.8666666666666671"/>
    <m/>
    <x v="18"/>
  </r>
  <r>
    <n v="300"/>
    <n v="183"/>
    <x v="12"/>
    <d v="2025-07-09T00:00:00"/>
    <d v="2025-07-15T00:00:00"/>
    <x v="1"/>
    <n v="6"/>
    <n v="11"/>
    <x v="0"/>
    <n v="2.1999999999999997"/>
    <m/>
    <x v="18"/>
  </r>
  <r>
    <n v="301"/>
    <n v="370"/>
    <x v="3"/>
    <d v="2025-07-10T00:00:00"/>
    <d v="2025-07-12T00:00:00"/>
    <x v="0"/>
    <n v="2"/>
    <n v="24"/>
    <x v="0"/>
    <n v="1.6"/>
    <m/>
    <x v="18"/>
  </r>
  <r>
    <n v="302"/>
    <n v="393"/>
    <x v="1"/>
    <d v="2025-07-11T00:00:00"/>
    <d v="2025-07-16T00:00:00"/>
    <x v="1"/>
    <n v="5"/>
    <n v="27"/>
    <x v="0"/>
    <n v="4.5"/>
    <m/>
    <x v="18"/>
  </r>
  <r>
    <n v="303"/>
    <n v="445"/>
    <x v="5"/>
    <d v="2025-07-11T00:00:00"/>
    <d v="2025-07-14T00:00:00"/>
    <x v="2"/>
    <n v="3"/>
    <n v="58"/>
    <x v="0"/>
    <n v="5.8"/>
    <m/>
    <x v="18"/>
  </r>
  <r>
    <n v="304"/>
    <n v="985"/>
    <x v="2"/>
    <d v="2025-07-12T00:00:00"/>
    <d v="2025-07-17T00:00:00"/>
    <x v="1"/>
    <n v="5"/>
    <n v="3"/>
    <x v="1"/>
    <n v="0.5"/>
    <m/>
    <x v="18"/>
  </r>
  <r>
    <n v="305"/>
    <n v="310"/>
    <x v="0"/>
    <d v="2025-07-12T00:00:00"/>
    <d v="2025-07-13T00:00:00"/>
    <x v="0"/>
    <n v="1"/>
    <n v="55"/>
    <x v="0"/>
    <n v="1.8333333333333333"/>
    <m/>
    <x v="18"/>
  </r>
  <r>
    <n v="306"/>
    <n v="301"/>
    <x v="4"/>
    <d v="2025-07-13T00:00:00"/>
    <d v="2025-07-18T00:00:00"/>
    <x v="1"/>
    <n v="5"/>
    <n v="15"/>
    <x v="0"/>
    <n v="2.5"/>
    <m/>
    <x v="18"/>
  </r>
  <r>
    <n v="307"/>
    <n v="791"/>
    <x v="6"/>
    <d v="2025-07-14T00:00:00"/>
    <d v="2025-07-20T00:00:00"/>
    <x v="1"/>
    <n v="6"/>
    <n v="31"/>
    <x v="0"/>
    <n v="6.2000000000000011"/>
    <m/>
    <x v="18"/>
  </r>
  <r>
    <n v="308"/>
    <n v="400"/>
    <x v="7"/>
    <d v="2025-07-14T00:00:00"/>
    <d v="2025-07-16T00:00:00"/>
    <x v="0"/>
    <n v="2"/>
    <n v="131"/>
    <x v="0"/>
    <n v="8.7333333333333325"/>
    <m/>
    <x v="18"/>
  </r>
  <r>
    <n v="309"/>
    <n v="36"/>
    <x v="8"/>
    <d v="2025-07-15T00:00:00"/>
    <d v="2025-07-20T00:00:00"/>
    <x v="1"/>
    <n v="5"/>
    <n v="34"/>
    <x v="0"/>
    <n v="5.6666666666666661"/>
    <m/>
    <x v="18"/>
  </r>
  <r>
    <n v="310"/>
    <n v="193"/>
    <x v="9"/>
    <d v="2025-07-15T00:00:00"/>
    <d v="2025-07-17T00:00:00"/>
    <x v="0"/>
    <n v="2"/>
    <n v="192"/>
    <x v="1"/>
    <n v="12.8"/>
    <m/>
    <x v="18"/>
  </r>
  <r>
    <n v="311"/>
    <n v="630"/>
    <x v="10"/>
    <d v="2025-07-16T00:00:00"/>
    <d v="2025-07-21T00:00:00"/>
    <x v="1"/>
    <n v="5"/>
    <n v="44"/>
    <x v="0"/>
    <n v="7.333333333333333"/>
    <m/>
    <x v="18"/>
  </r>
  <r>
    <n v="312"/>
    <n v="31"/>
    <x v="11"/>
    <d v="2025-07-17T00:00:00"/>
    <d v="2025-07-19T00:00:00"/>
    <x v="0"/>
    <n v="2"/>
    <n v="238"/>
    <x v="0"/>
    <n v="15.866666666666667"/>
    <m/>
    <x v="18"/>
  </r>
  <r>
    <n v="313"/>
    <n v="292"/>
    <x v="12"/>
    <d v="2025-07-17T00:00:00"/>
    <d v="2025-07-23T00:00:00"/>
    <x v="1"/>
    <n v="6"/>
    <n v="34"/>
    <x v="0"/>
    <n v="6.8"/>
    <m/>
    <x v="18"/>
  </r>
  <r>
    <n v="314"/>
    <n v="131"/>
    <x v="3"/>
    <d v="2025-07-18T00:00:00"/>
    <d v="2025-07-20T00:00:00"/>
    <x v="0"/>
    <n v="2"/>
    <n v="143"/>
    <x v="0"/>
    <n v="9.5333333333333332"/>
    <m/>
    <x v="18"/>
  </r>
  <r>
    <n v="315"/>
    <n v="273"/>
    <x v="1"/>
    <d v="2025-07-19T00:00:00"/>
    <d v="2025-07-24T00:00:00"/>
    <x v="1"/>
    <n v="5"/>
    <n v="2"/>
    <x v="0"/>
    <n v="0.33333333333333331"/>
    <m/>
    <x v="18"/>
  </r>
  <r>
    <n v="316"/>
    <n v="683"/>
    <x v="5"/>
    <d v="2025-07-19T00:00:00"/>
    <d v="2025-07-22T00:00:00"/>
    <x v="2"/>
    <n v="3"/>
    <n v="56"/>
    <x v="1"/>
    <n v="5.6"/>
    <m/>
    <x v="18"/>
  </r>
  <r>
    <n v="317"/>
    <n v="838"/>
    <x v="2"/>
    <d v="2025-07-20T00:00:00"/>
    <d v="2025-07-25T00:00:00"/>
    <x v="1"/>
    <n v="5"/>
    <n v="32"/>
    <x v="0"/>
    <n v="5.333333333333333"/>
    <m/>
    <x v="18"/>
  </r>
  <r>
    <n v="318"/>
    <n v="213"/>
    <x v="0"/>
    <d v="2025-07-20T00:00:00"/>
    <d v="2025-07-21T00:00:00"/>
    <x v="0"/>
    <n v="1"/>
    <n v="207"/>
    <x v="0"/>
    <n v="6.9"/>
    <m/>
    <x v="18"/>
  </r>
  <r>
    <n v="319"/>
    <n v="316"/>
    <x v="4"/>
    <d v="2025-07-21T00:00:00"/>
    <d v="2025-07-26T00:00:00"/>
    <x v="1"/>
    <n v="5"/>
    <n v="38"/>
    <x v="0"/>
    <n v="6.333333333333333"/>
    <m/>
    <x v="18"/>
  </r>
  <r>
    <n v="320"/>
    <n v="499"/>
    <x v="6"/>
    <d v="2025-07-22T00:00:00"/>
    <d v="2025-07-28T00:00:00"/>
    <x v="1"/>
    <n v="6"/>
    <n v="43"/>
    <x v="0"/>
    <n v="8.6"/>
    <m/>
    <x v="18"/>
  </r>
  <r>
    <n v="321"/>
    <n v="994"/>
    <x v="7"/>
    <d v="2025-07-22T00:00:00"/>
    <d v="2025-07-24T00:00:00"/>
    <x v="0"/>
    <n v="2"/>
    <n v="40"/>
    <x v="0"/>
    <n v="2.6666666666666665"/>
    <m/>
    <x v="18"/>
  </r>
  <r>
    <n v="322"/>
    <n v="653"/>
    <x v="8"/>
    <d v="2025-07-23T00:00:00"/>
    <d v="2025-07-28T00:00:00"/>
    <x v="1"/>
    <n v="5"/>
    <n v="10"/>
    <x v="0"/>
    <n v="1.6666666666666665"/>
    <m/>
    <x v="18"/>
  </r>
  <r>
    <n v="323"/>
    <n v="784"/>
    <x v="9"/>
    <d v="2025-07-23T00:00:00"/>
    <d v="2025-07-25T00:00:00"/>
    <x v="0"/>
    <n v="2"/>
    <n v="175"/>
    <x v="0"/>
    <n v="11.666666666666666"/>
    <m/>
    <x v="18"/>
  </r>
  <r>
    <n v="324"/>
    <n v="165"/>
    <x v="10"/>
    <d v="2025-07-24T00:00:00"/>
    <d v="2025-07-29T00:00:00"/>
    <x v="1"/>
    <n v="5"/>
    <n v="44"/>
    <x v="0"/>
    <n v="7.333333333333333"/>
    <m/>
    <x v="18"/>
  </r>
  <r>
    <n v="325"/>
    <n v="481"/>
    <x v="11"/>
    <d v="2025-07-25T00:00:00"/>
    <d v="2025-07-27T00:00:00"/>
    <x v="0"/>
    <n v="2"/>
    <n v="26"/>
    <x v="0"/>
    <n v="1.7333333333333334"/>
    <m/>
    <x v="18"/>
  </r>
  <r>
    <n v="326"/>
    <n v="829"/>
    <x v="12"/>
    <d v="2025-07-25T00:00:00"/>
    <d v="2025-07-31T00:00:00"/>
    <x v="1"/>
    <n v="6"/>
    <n v="44"/>
    <x v="0"/>
    <n v="8.7999999999999989"/>
    <m/>
    <x v="18"/>
  </r>
  <r>
    <n v="327"/>
    <n v="540"/>
    <x v="3"/>
    <d v="2025-07-26T00:00:00"/>
    <d v="2025-07-28T00:00:00"/>
    <x v="0"/>
    <n v="2"/>
    <n v="111"/>
    <x v="0"/>
    <n v="7.4"/>
    <m/>
    <x v="18"/>
  </r>
  <r>
    <n v="328"/>
    <n v="196"/>
    <x v="1"/>
    <d v="2025-07-27T00:00:00"/>
    <d v="2025-08-01T00:00:00"/>
    <x v="1"/>
    <n v="5"/>
    <n v="36"/>
    <x v="0"/>
    <n v="6"/>
    <m/>
    <x v="18"/>
  </r>
  <r>
    <n v="329"/>
    <n v="571"/>
    <x v="5"/>
    <d v="2025-07-27T00:00:00"/>
    <d v="2025-07-30T00:00:00"/>
    <x v="2"/>
    <n v="3"/>
    <n v="17"/>
    <x v="0"/>
    <n v="1.7"/>
    <m/>
    <x v="18"/>
  </r>
  <r>
    <n v="330"/>
    <n v="389"/>
    <x v="2"/>
    <d v="2025-07-28T00:00:00"/>
    <d v="2025-08-02T00:00:00"/>
    <x v="1"/>
    <n v="5"/>
    <n v="20"/>
    <x v="0"/>
    <n v="3.333333333333333"/>
    <m/>
    <x v="18"/>
  </r>
  <r>
    <n v="331"/>
    <n v="155"/>
    <x v="0"/>
    <d v="2025-07-28T00:00:00"/>
    <d v="2025-07-29T00:00:00"/>
    <x v="0"/>
    <n v="1"/>
    <n v="38"/>
    <x v="0"/>
    <n v="1.2666666666666666"/>
    <m/>
    <x v="18"/>
  </r>
  <r>
    <n v="332"/>
    <n v="881"/>
    <x v="4"/>
    <d v="2025-07-29T00:00:00"/>
    <d v="2025-08-03T00:00:00"/>
    <x v="1"/>
    <n v="5"/>
    <n v="20"/>
    <x v="0"/>
    <n v="3.333333333333333"/>
    <m/>
    <x v="18"/>
  </r>
  <r>
    <n v="333"/>
    <n v="102"/>
    <x v="6"/>
    <d v="2025-07-30T00:00:00"/>
    <d v="2025-08-05T00:00:00"/>
    <x v="1"/>
    <n v="6"/>
    <n v="12"/>
    <x v="1"/>
    <n v="2.4000000000000004"/>
    <m/>
    <x v="18"/>
  </r>
  <r>
    <n v="334"/>
    <n v="342"/>
    <x v="7"/>
    <d v="2025-07-30T00:00:00"/>
    <d v="2025-08-01T00:00:00"/>
    <x v="0"/>
    <n v="2"/>
    <n v="36"/>
    <x v="1"/>
    <n v="2.4"/>
    <m/>
    <x v="18"/>
  </r>
  <r>
    <n v="335"/>
    <n v="189"/>
    <x v="8"/>
    <d v="2025-07-31T00:00:00"/>
    <d v="2025-08-05T00:00:00"/>
    <x v="1"/>
    <n v="5"/>
    <n v="15"/>
    <x v="0"/>
    <n v="2.5"/>
    <m/>
    <x v="18"/>
  </r>
  <r>
    <n v="336"/>
    <n v="836"/>
    <x v="9"/>
    <d v="2025-07-31T00:00:00"/>
    <d v="2025-08-02T00:00:00"/>
    <x v="0"/>
    <n v="2"/>
    <n v="228"/>
    <x v="1"/>
    <n v="15.2"/>
    <m/>
    <x v="18"/>
  </r>
  <r>
    <n v="337"/>
    <n v="14"/>
    <x v="10"/>
    <d v="2025-08-01T00:00:00"/>
    <d v="2025-08-06T00:00:00"/>
    <x v="1"/>
    <n v="5"/>
    <n v="27"/>
    <x v="0"/>
    <n v="4.5"/>
    <m/>
    <x v="18"/>
  </r>
  <r>
    <n v="338"/>
    <n v="449"/>
    <x v="11"/>
    <d v="2025-08-02T00:00:00"/>
    <d v="2025-08-04T00:00:00"/>
    <x v="0"/>
    <n v="2"/>
    <n v="232"/>
    <x v="0"/>
    <n v="15.466666666666667"/>
    <m/>
    <x v="18"/>
  </r>
  <r>
    <n v="339"/>
    <n v="93"/>
    <x v="12"/>
    <d v="2025-08-02T00:00:00"/>
    <d v="2025-08-08T00:00:00"/>
    <x v="1"/>
    <n v="6"/>
    <n v="27"/>
    <x v="0"/>
    <n v="5.4"/>
    <m/>
    <x v="18"/>
  </r>
  <r>
    <n v="401"/>
    <n v="310"/>
    <x v="0"/>
    <d v="2025-08-07T00:00:00"/>
    <d v="2025-08-08T00:00:00"/>
    <x v="0"/>
    <n v="1"/>
    <n v="186"/>
    <x v="0"/>
    <n v="6.2"/>
    <m/>
    <x v="18"/>
  </r>
  <r>
    <n v="402"/>
    <n v="301"/>
    <x v="4"/>
    <d v="2025-08-08T00:00:00"/>
    <d v="2025-08-13T00:00:00"/>
    <x v="1"/>
    <n v="5"/>
    <n v="16"/>
    <x v="0"/>
    <n v="2.6666666666666665"/>
    <m/>
    <x v="18"/>
  </r>
  <r>
    <n v="403"/>
    <n v="791"/>
    <x v="6"/>
    <d v="2025-08-09T00:00:00"/>
    <d v="2025-08-15T00:00:00"/>
    <x v="1"/>
    <n v="6"/>
    <n v="21"/>
    <x v="0"/>
    <n v="4.1999999999999993"/>
    <m/>
    <x v="18"/>
  </r>
  <r>
    <n v="404"/>
    <n v="400"/>
    <x v="7"/>
    <d v="2025-08-09T00:00:00"/>
    <d v="2025-08-11T00:00:00"/>
    <x v="0"/>
    <n v="2"/>
    <n v="143"/>
    <x v="0"/>
    <n v="9.5333333333333332"/>
    <m/>
    <x v="18"/>
  </r>
  <r>
    <n v="405"/>
    <n v="36"/>
    <x v="8"/>
    <d v="2025-08-10T00:00:00"/>
    <d v="2025-08-15T00:00:00"/>
    <x v="1"/>
    <n v="5"/>
    <n v="11"/>
    <x v="0"/>
    <n v="1.8333333333333333"/>
    <m/>
    <x v="18"/>
  </r>
  <r>
    <n v="406"/>
    <n v="193"/>
    <x v="9"/>
    <d v="2025-08-10T00:00:00"/>
    <d v="2025-08-12T00:00:00"/>
    <x v="0"/>
    <n v="2"/>
    <n v="20"/>
    <x v="0"/>
    <n v="1.3333333333333333"/>
    <m/>
    <x v="18"/>
  </r>
  <r>
    <n v="407"/>
    <n v="630"/>
    <x v="10"/>
    <d v="2025-08-11T00:00:00"/>
    <d v="2025-08-16T00:00:00"/>
    <x v="1"/>
    <n v="5"/>
    <n v="44"/>
    <x v="0"/>
    <n v="7.333333333333333"/>
    <m/>
    <x v="18"/>
  </r>
  <r>
    <n v="408"/>
    <n v="31"/>
    <x v="11"/>
    <d v="2025-08-12T00:00:00"/>
    <d v="2025-08-14T00:00:00"/>
    <x v="0"/>
    <n v="2"/>
    <n v="217"/>
    <x v="0"/>
    <n v="14.466666666666667"/>
    <m/>
    <x v="18"/>
  </r>
  <r>
    <n v="409"/>
    <n v="292"/>
    <x v="12"/>
    <d v="2025-08-12T00:00:00"/>
    <d v="2025-08-18T00:00:00"/>
    <x v="1"/>
    <n v="6"/>
    <n v="1"/>
    <x v="0"/>
    <n v="0.2"/>
    <m/>
    <x v="18"/>
  </r>
  <r>
    <n v="410"/>
    <n v="131"/>
    <x v="3"/>
    <d v="2025-08-13T00:00:00"/>
    <d v="2025-08-15T00:00:00"/>
    <x v="0"/>
    <n v="2"/>
    <n v="54"/>
    <x v="1"/>
    <n v="3.6"/>
    <m/>
    <x v="18"/>
  </r>
  <r>
    <n v="411"/>
    <n v="273"/>
    <x v="1"/>
    <d v="2025-08-14T00:00:00"/>
    <d v="2025-08-19T00:00:00"/>
    <x v="1"/>
    <n v="5"/>
    <n v="3"/>
    <x v="0"/>
    <n v="0.5"/>
    <m/>
    <x v="18"/>
  </r>
  <r>
    <n v="412"/>
    <n v="683"/>
    <x v="5"/>
    <d v="2025-08-14T00:00:00"/>
    <d v="2025-08-17T00:00:00"/>
    <x v="2"/>
    <n v="3"/>
    <n v="57"/>
    <x v="0"/>
    <n v="5.6999999999999993"/>
    <m/>
    <x v="18"/>
  </r>
  <r>
    <n v="413"/>
    <n v="838"/>
    <x v="2"/>
    <d v="2025-08-15T00:00:00"/>
    <d v="2025-08-20T00:00:00"/>
    <x v="1"/>
    <n v="5"/>
    <n v="43"/>
    <x v="0"/>
    <n v="7.166666666666667"/>
    <m/>
    <x v="18"/>
  </r>
  <r>
    <n v="414"/>
    <n v="213"/>
    <x v="0"/>
    <d v="2025-08-15T00:00:00"/>
    <d v="2025-08-16T00:00:00"/>
    <x v="0"/>
    <n v="1"/>
    <n v="55"/>
    <x v="0"/>
    <n v="1.8333333333333333"/>
    <m/>
    <x v="18"/>
  </r>
  <r>
    <n v="415"/>
    <n v="316"/>
    <x v="4"/>
    <d v="2025-08-16T00:00:00"/>
    <d v="2025-08-21T00:00:00"/>
    <x v="1"/>
    <n v="5"/>
    <n v="10"/>
    <x v="0"/>
    <n v="1.6666666666666665"/>
    <m/>
    <x v="18"/>
  </r>
  <r>
    <n v="416"/>
    <n v="499"/>
    <x v="6"/>
    <d v="2025-08-17T00:00:00"/>
    <d v="2025-08-23T00:00:00"/>
    <x v="1"/>
    <n v="6"/>
    <n v="27"/>
    <x v="0"/>
    <n v="5.4"/>
    <m/>
    <x v="18"/>
  </r>
  <r>
    <n v="417"/>
    <n v="994"/>
    <x v="7"/>
    <d v="2025-08-17T00:00:00"/>
    <d v="2025-08-19T00:00:00"/>
    <x v="0"/>
    <n v="2"/>
    <n v="110"/>
    <x v="0"/>
    <n v="7.333333333333333"/>
    <m/>
    <x v="18"/>
  </r>
  <r>
    <n v="418"/>
    <n v="653"/>
    <x v="8"/>
    <d v="2025-08-18T00:00:00"/>
    <d v="2025-08-23T00:00:00"/>
    <x v="1"/>
    <n v="5"/>
    <n v="3"/>
    <x v="0"/>
    <n v="0.5"/>
    <m/>
    <x v="18"/>
  </r>
  <r>
    <n v="419"/>
    <n v="784"/>
    <x v="9"/>
    <d v="2025-08-18T00:00:00"/>
    <d v="2025-08-20T00:00:00"/>
    <x v="0"/>
    <n v="2"/>
    <n v="130"/>
    <x v="0"/>
    <n v="8.6666666666666661"/>
    <m/>
    <x v="18"/>
  </r>
  <r>
    <n v="420"/>
    <n v="165"/>
    <x v="10"/>
    <d v="2025-08-19T00:00:00"/>
    <d v="2025-08-24T00:00:00"/>
    <x v="1"/>
    <n v="5"/>
    <n v="20"/>
    <x v="0"/>
    <n v="3.333333333333333"/>
    <m/>
    <x v="18"/>
  </r>
  <r>
    <n v="421"/>
    <n v="481"/>
    <x v="11"/>
    <d v="2025-08-20T00:00:00"/>
    <d v="2025-08-22T00:00:00"/>
    <x v="0"/>
    <n v="2"/>
    <n v="122"/>
    <x v="0"/>
    <n v="8.1333333333333329"/>
    <m/>
    <x v="18"/>
  </r>
  <r>
    <n v="422"/>
    <n v="829"/>
    <x v="12"/>
    <d v="2025-08-20T00:00:00"/>
    <d v="2025-08-26T00:00:00"/>
    <x v="1"/>
    <n v="6"/>
    <n v="35"/>
    <x v="0"/>
    <n v="7"/>
    <m/>
    <x v="18"/>
  </r>
  <r>
    <n v="423"/>
    <n v="540"/>
    <x v="3"/>
    <d v="2025-08-21T00:00:00"/>
    <d v="2025-08-23T00:00:00"/>
    <x v="0"/>
    <n v="2"/>
    <n v="148"/>
    <x v="0"/>
    <n v="9.8666666666666671"/>
    <m/>
    <x v="18"/>
  </r>
  <r>
    <n v="424"/>
    <n v="196"/>
    <x v="1"/>
    <d v="2025-08-22T00:00:00"/>
    <d v="2025-08-27T00:00:00"/>
    <x v="1"/>
    <n v="5"/>
    <n v="24"/>
    <x v="0"/>
    <n v="4"/>
    <m/>
    <x v="18"/>
  </r>
  <r>
    <n v="425"/>
    <n v="571"/>
    <x v="5"/>
    <d v="2025-08-22T00:00:00"/>
    <d v="2025-08-25T00:00:00"/>
    <x v="2"/>
    <n v="3"/>
    <n v="21"/>
    <x v="0"/>
    <n v="2.0999999999999996"/>
    <m/>
    <x v="18"/>
  </r>
  <r>
    <n v="426"/>
    <n v="389"/>
    <x v="2"/>
    <d v="2025-08-23T00:00:00"/>
    <d v="2025-08-28T00:00:00"/>
    <x v="1"/>
    <n v="5"/>
    <n v="22"/>
    <x v="0"/>
    <n v="3.6666666666666665"/>
    <m/>
    <x v="18"/>
  </r>
  <r>
    <n v="427"/>
    <n v="155"/>
    <x v="0"/>
    <d v="2025-08-23T00:00:00"/>
    <d v="2025-08-24T00:00:00"/>
    <x v="0"/>
    <n v="1"/>
    <n v="69"/>
    <x v="0"/>
    <n v="2.2999999999999998"/>
    <m/>
    <x v="18"/>
  </r>
  <r>
    <n v="428"/>
    <n v="881"/>
    <x v="4"/>
    <d v="2025-08-24T00:00:00"/>
    <d v="2025-08-29T00:00:00"/>
    <x v="1"/>
    <n v="5"/>
    <n v="27"/>
    <x v="0"/>
    <n v="4.5"/>
    <m/>
    <x v="18"/>
  </r>
  <r>
    <n v="429"/>
    <n v="102"/>
    <x v="6"/>
    <d v="2025-08-25T00:00:00"/>
    <d v="2025-08-31T00:00:00"/>
    <x v="1"/>
    <n v="6"/>
    <n v="36"/>
    <x v="0"/>
    <n v="7.1999999999999993"/>
    <m/>
    <x v="18"/>
  </r>
  <r>
    <n v="430"/>
    <n v="342"/>
    <x v="7"/>
    <d v="2025-08-25T00:00:00"/>
    <d v="2025-08-27T00:00:00"/>
    <x v="0"/>
    <n v="2"/>
    <n v="24"/>
    <x v="1"/>
    <n v="1.6"/>
    <m/>
    <x v="18"/>
  </r>
  <r>
    <n v="431"/>
    <n v="189"/>
    <x v="8"/>
    <d v="2025-08-26T00:00:00"/>
    <d v="2025-08-31T00:00:00"/>
    <x v="1"/>
    <n v="5"/>
    <n v="36"/>
    <x v="0"/>
    <n v="6"/>
    <m/>
    <x v="18"/>
  </r>
  <r>
    <n v="432"/>
    <n v="836"/>
    <x v="9"/>
    <d v="2025-08-26T00:00:00"/>
    <d v="2025-08-28T00:00:00"/>
    <x v="0"/>
    <n v="2"/>
    <n v="175"/>
    <x v="0"/>
    <n v="11.666666666666666"/>
    <m/>
    <x v="18"/>
  </r>
  <r>
    <n v="433"/>
    <n v="14"/>
    <x v="10"/>
    <d v="2025-08-27T00:00:00"/>
    <d v="2025-09-01T00:00:00"/>
    <x v="1"/>
    <n v="5"/>
    <n v="15"/>
    <x v="0"/>
    <n v="2.5"/>
    <m/>
    <x v="18"/>
  </r>
  <r>
    <n v="434"/>
    <n v="449"/>
    <x v="11"/>
    <d v="2025-08-28T00:00:00"/>
    <d v="2025-08-30T00:00:00"/>
    <x v="0"/>
    <n v="2"/>
    <n v="207"/>
    <x v="0"/>
    <n v="13.8"/>
    <m/>
    <x v="18"/>
  </r>
  <r>
    <n v="435"/>
    <n v="93"/>
    <x v="12"/>
    <d v="2025-08-28T00:00:00"/>
    <d v="2025-09-03T00:00:00"/>
    <x v="1"/>
    <n v="6"/>
    <n v="1"/>
    <x v="1"/>
    <n v="0.2"/>
    <m/>
    <x v="18"/>
  </r>
  <r>
    <n v="436"/>
    <n v="738"/>
    <x v="3"/>
    <d v="2025-08-29T00:00:00"/>
    <d v="2025-08-31T00:00:00"/>
    <x v="0"/>
    <n v="2"/>
    <n v="126"/>
    <x v="0"/>
    <n v="8.4"/>
    <m/>
    <x v="18"/>
  </r>
  <r>
    <n v="437"/>
    <n v="390"/>
    <x v="1"/>
    <d v="2025-08-30T00:00:00"/>
    <d v="2025-09-04T00:00:00"/>
    <x v="1"/>
    <n v="5"/>
    <n v="11"/>
    <x v="0"/>
    <n v="1.8333333333333333"/>
    <m/>
    <x v="18"/>
  </r>
  <r>
    <n v="438"/>
    <n v="582"/>
    <x v="5"/>
    <d v="2025-08-30T00:00:00"/>
    <d v="2025-09-02T00:00:00"/>
    <x v="2"/>
    <n v="3"/>
    <n v="20"/>
    <x v="0"/>
    <n v="2"/>
    <m/>
    <x v="18"/>
  </r>
  <r>
    <n v="439"/>
    <n v="944"/>
    <x v="2"/>
    <d v="2025-08-31T00:00:00"/>
    <d v="2025-09-05T00:00:00"/>
    <x v="1"/>
    <n v="5"/>
    <n v="31"/>
    <x v="0"/>
    <n v="5.166666666666667"/>
    <m/>
    <x v="18"/>
  </r>
  <r>
    <n v="440"/>
    <n v="659"/>
    <x v="0"/>
    <d v="2025-08-31T00:00:00"/>
    <d v="2025-09-01T00:00:00"/>
    <x v="0"/>
    <n v="1"/>
    <n v="99"/>
    <x v="0"/>
    <n v="3.3"/>
    <m/>
    <x v="18"/>
  </r>
  <r>
    <n v="441"/>
    <n v="126"/>
    <x v="4"/>
    <d v="2025-09-01T00:00:00"/>
    <d v="2025-09-06T00:00:00"/>
    <x v="1"/>
    <n v="5"/>
    <n v="16"/>
    <x v="0"/>
    <n v="2.6666666666666665"/>
    <m/>
    <x v="18"/>
  </r>
  <r>
    <n v="442"/>
    <n v="50"/>
    <x v="6"/>
    <d v="2025-09-02T00:00:00"/>
    <d v="2025-09-08T00:00:00"/>
    <x v="1"/>
    <n v="6"/>
    <n v="22"/>
    <x v="0"/>
    <n v="4.3999999999999995"/>
    <m/>
    <x v="18"/>
  </r>
  <r>
    <n v="443"/>
    <n v="300"/>
    <x v="7"/>
    <d v="2025-09-02T00:00:00"/>
    <d v="2025-09-04T00:00:00"/>
    <x v="0"/>
    <n v="2"/>
    <n v="118"/>
    <x v="0"/>
    <n v="7.8666666666666663"/>
    <m/>
    <x v="18"/>
  </r>
  <r>
    <n v="444"/>
    <n v="705"/>
    <x v="8"/>
    <d v="2025-09-03T00:00:00"/>
    <d v="2025-09-08T00:00:00"/>
    <x v="1"/>
    <n v="5"/>
    <n v="44"/>
    <x v="0"/>
    <n v="7.333333333333333"/>
    <m/>
    <x v="18"/>
  </r>
  <r>
    <n v="445"/>
    <n v="435"/>
    <x v="9"/>
    <d v="2025-09-03T00:00:00"/>
    <d v="2025-09-05T00:00:00"/>
    <x v="0"/>
    <n v="2"/>
    <n v="192"/>
    <x v="0"/>
    <n v="12.8"/>
    <m/>
    <x v="18"/>
  </r>
  <r>
    <n v="446"/>
    <n v="882"/>
    <x v="10"/>
    <d v="2025-09-04T00:00:00"/>
    <d v="2025-09-09T00:00:00"/>
    <x v="1"/>
    <n v="5"/>
    <n v="22"/>
    <x v="0"/>
    <n v="3.6666666666666665"/>
    <m/>
    <x v="18"/>
  </r>
  <r>
    <n v="447"/>
    <n v="564"/>
    <x v="11"/>
    <d v="2025-09-05T00:00:00"/>
    <d v="2025-09-07T00:00:00"/>
    <x v="0"/>
    <n v="2"/>
    <n v="42"/>
    <x v="0"/>
    <n v="2.8"/>
    <m/>
    <x v="18"/>
  </r>
  <r>
    <n v="448"/>
    <n v="306"/>
    <x v="12"/>
    <d v="2025-09-05T00:00:00"/>
    <d v="2025-09-11T00:00:00"/>
    <x v="1"/>
    <n v="6"/>
    <n v="38"/>
    <x v="0"/>
    <n v="7.6"/>
    <m/>
    <x v="18"/>
  </r>
  <r>
    <n v="449"/>
    <n v="263"/>
    <x v="3"/>
    <d v="2025-09-06T00:00:00"/>
    <d v="2025-09-08T00:00:00"/>
    <x v="0"/>
    <n v="2"/>
    <n v="109"/>
    <x v="0"/>
    <n v="7.2666666666666666"/>
    <m/>
    <x v="18"/>
  </r>
  <r>
    <n v="450"/>
    <n v="813"/>
    <x v="1"/>
    <d v="2025-09-07T00:00:00"/>
    <d v="2025-09-12T00:00:00"/>
    <x v="1"/>
    <n v="5"/>
    <n v="13"/>
    <x v="0"/>
    <n v="2.166666666666667"/>
    <m/>
    <x v="18"/>
  </r>
  <r>
    <n v="451"/>
    <n v="758"/>
    <x v="5"/>
    <d v="2025-09-07T00:00:00"/>
    <d v="2025-09-10T00:00:00"/>
    <x v="2"/>
    <n v="3"/>
    <n v="56"/>
    <x v="1"/>
    <n v="5.6"/>
    <m/>
    <x v="18"/>
  </r>
  <r>
    <n v="452"/>
    <n v="874"/>
    <x v="2"/>
    <d v="2025-09-08T00:00:00"/>
    <d v="2025-09-13T00:00:00"/>
    <x v="1"/>
    <n v="5"/>
    <n v="25"/>
    <x v="0"/>
    <n v="4.166666666666667"/>
    <m/>
    <x v="18"/>
  </r>
  <r>
    <n v="453"/>
    <n v="431"/>
    <x v="0"/>
    <d v="2025-09-08T00:00:00"/>
    <d v="2025-09-09T00:00:00"/>
    <x v="0"/>
    <n v="1"/>
    <n v="185"/>
    <x v="0"/>
    <n v="6.166666666666667"/>
    <m/>
    <x v="18"/>
  </r>
  <r>
    <n v="454"/>
    <n v="111"/>
    <x v="4"/>
    <d v="2025-09-09T00:00:00"/>
    <d v="2025-09-14T00:00:00"/>
    <x v="1"/>
    <n v="5"/>
    <n v="34"/>
    <x v="0"/>
    <n v="5.6666666666666661"/>
    <m/>
    <x v="18"/>
  </r>
  <r>
    <n v="455"/>
    <n v="19"/>
    <x v="6"/>
    <d v="2025-09-10T00:00:00"/>
    <d v="2025-09-16T00:00:00"/>
    <x v="1"/>
    <n v="6"/>
    <n v="16"/>
    <x v="0"/>
    <n v="3.2"/>
    <m/>
    <x v="18"/>
  </r>
  <r>
    <n v="456"/>
    <n v="708"/>
    <x v="7"/>
    <d v="2025-09-10T00:00:00"/>
    <d v="2025-09-12T00:00:00"/>
    <x v="0"/>
    <n v="2"/>
    <n v="54"/>
    <x v="0"/>
    <n v="3.6"/>
    <m/>
    <x v="18"/>
  </r>
  <r>
    <n v="457"/>
    <n v="371"/>
    <x v="8"/>
    <d v="2025-09-11T00:00:00"/>
    <d v="2025-09-16T00:00:00"/>
    <x v="1"/>
    <n v="5"/>
    <n v="42"/>
    <x v="0"/>
    <n v="7"/>
    <m/>
    <x v="18"/>
  </r>
  <r>
    <n v="458"/>
    <n v="611"/>
    <x v="9"/>
    <d v="2025-09-11T00:00:00"/>
    <d v="2025-09-13T00:00:00"/>
    <x v="0"/>
    <n v="2"/>
    <n v="30"/>
    <x v="0"/>
    <n v="2"/>
    <m/>
    <x v="18"/>
  </r>
  <r>
    <n v="459"/>
    <n v="753"/>
    <x v="10"/>
    <d v="2025-09-12T00:00:00"/>
    <d v="2025-09-17T00:00:00"/>
    <x v="1"/>
    <n v="5"/>
    <n v="38"/>
    <x v="0"/>
    <n v="6.333333333333333"/>
    <m/>
    <x v="18"/>
  </r>
  <r>
    <n v="460"/>
    <n v="922"/>
    <x v="11"/>
    <d v="2025-09-13T00:00:00"/>
    <d v="2025-09-15T00:00:00"/>
    <x v="0"/>
    <n v="2"/>
    <n v="111"/>
    <x v="0"/>
    <n v="7.4"/>
    <m/>
    <x v="18"/>
  </r>
  <r>
    <n v="461"/>
    <n v="619"/>
    <x v="12"/>
    <d v="2025-09-13T00:00:00"/>
    <d v="2025-09-19T00:00:00"/>
    <x v="1"/>
    <n v="6"/>
    <n v="24"/>
    <x v="0"/>
    <n v="4.8000000000000007"/>
    <m/>
    <x v="18"/>
  </r>
  <r>
    <n v="462"/>
    <n v="546"/>
    <x v="3"/>
    <d v="2025-09-14T00:00:00"/>
    <d v="2025-09-16T00:00:00"/>
    <x v="0"/>
    <n v="2"/>
    <n v="130"/>
    <x v="0"/>
    <n v="8.6666666666666661"/>
    <m/>
    <x v="18"/>
  </r>
  <r>
    <n v="463"/>
    <n v="483"/>
    <x v="1"/>
    <d v="2025-09-15T00:00:00"/>
    <d v="2025-09-20T00:00:00"/>
    <x v="1"/>
    <n v="5"/>
    <n v="20"/>
    <x v="0"/>
    <n v="3.333333333333333"/>
    <m/>
    <x v="18"/>
  </r>
  <r>
    <n v="464"/>
    <n v="865"/>
    <x v="5"/>
    <d v="2025-09-15T00:00:00"/>
    <d v="2025-09-18T00:00:00"/>
    <x v="2"/>
    <n v="3"/>
    <n v="25"/>
    <x v="0"/>
    <n v="2.5"/>
    <m/>
    <x v="18"/>
  </r>
  <r>
    <n v="465"/>
    <n v="223"/>
    <x v="2"/>
    <d v="2025-09-16T00:00:00"/>
    <d v="2025-09-21T00:00:00"/>
    <x v="1"/>
    <n v="5"/>
    <n v="19"/>
    <x v="0"/>
    <n v="3.1666666666666665"/>
    <m/>
    <x v="18"/>
  </r>
  <r>
    <n v="466"/>
    <n v="118"/>
    <x v="0"/>
    <d v="2025-09-16T00:00:00"/>
    <d v="2025-09-17T00:00:00"/>
    <x v="0"/>
    <n v="1"/>
    <n v="40"/>
    <x v="0"/>
    <n v="1.3333333333333333"/>
    <m/>
    <x v="18"/>
  </r>
  <r>
    <n v="467"/>
    <n v="553"/>
    <x v="4"/>
    <d v="2025-09-17T00:00:00"/>
    <d v="2025-09-22T00:00:00"/>
    <x v="1"/>
    <n v="5"/>
    <n v="29"/>
    <x v="0"/>
    <n v="4.833333333333333"/>
    <m/>
    <x v="18"/>
  </r>
  <r>
    <n v="468"/>
    <n v="749"/>
    <x v="6"/>
    <d v="2025-09-18T00:00:00"/>
    <d v="2025-09-24T00:00:00"/>
    <x v="1"/>
    <n v="6"/>
    <n v="6"/>
    <x v="0"/>
    <n v="1.2000000000000002"/>
    <m/>
    <x v="18"/>
  </r>
  <r>
    <n v="469"/>
    <n v="115"/>
    <x v="7"/>
    <d v="2025-09-18T00:00:00"/>
    <d v="2025-09-20T00:00:00"/>
    <x v="0"/>
    <n v="2"/>
    <n v="103"/>
    <x v="0"/>
    <n v="6.8666666666666663"/>
    <m/>
    <x v="18"/>
  </r>
  <r>
    <n v="470"/>
    <n v="456"/>
    <x v="8"/>
    <d v="2025-09-19T00:00:00"/>
    <d v="2025-09-24T00:00:00"/>
    <x v="1"/>
    <n v="5"/>
    <n v="34"/>
    <x v="0"/>
    <n v="5.6666666666666661"/>
    <m/>
    <x v="18"/>
  </r>
  <r>
    <n v="471"/>
    <n v="495"/>
    <x v="9"/>
    <d v="2025-09-19T00:00:00"/>
    <d v="2025-09-21T00:00:00"/>
    <x v="0"/>
    <n v="2"/>
    <n v="120"/>
    <x v="0"/>
    <n v="8"/>
    <m/>
    <x v="18"/>
  </r>
  <r>
    <n v="472"/>
    <n v="137"/>
    <x v="10"/>
    <d v="2025-09-20T00:00:00"/>
    <d v="2025-09-25T00:00:00"/>
    <x v="1"/>
    <n v="5"/>
    <n v="44"/>
    <x v="0"/>
    <n v="7.333333333333333"/>
    <m/>
    <x v="18"/>
  </r>
  <r>
    <n v="473"/>
    <n v="307"/>
    <x v="11"/>
    <d v="2025-09-21T00:00:00"/>
    <d v="2025-09-23T00:00:00"/>
    <x v="0"/>
    <n v="2"/>
    <n v="23"/>
    <x v="0"/>
    <n v="1.5333333333333334"/>
    <m/>
    <x v="18"/>
  </r>
  <r>
    <n v="474"/>
    <n v="174"/>
    <x v="12"/>
    <d v="2025-09-21T00:00:00"/>
    <d v="2025-09-27T00:00:00"/>
    <x v="1"/>
    <n v="6"/>
    <n v="44"/>
    <x v="0"/>
    <n v="8.7999999999999989"/>
    <m/>
    <x v="18"/>
  </r>
  <r>
    <n v="475"/>
    <n v="154"/>
    <x v="3"/>
    <d v="2025-09-22T00:00:00"/>
    <d v="2025-09-24T00:00:00"/>
    <x v="0"/>
    <n v="2"/>
    <n v="36"/>
    <x v="0"/>
    <n v="2.4"/>
    <m/>
    <x v="18"/>
  </r>
  <r>
    <n v="476"/>
    <n v="999"/>
    <x v="1"/>
    <d v="2025-09-23T00:00:00"/>
    <d v="2025-09-28T00:00:00"/>
    <x v="1"/>
    <n v="5"/>
    <n v="20"/>
    <x v="0"/>
    <n v="3.333333333333333"/>
    <m/>
    <x v="18"/>
  </r>
  <r>
    <n v="477"/>
    <n v="124"/>
    <x v="5"/>
    <d v="2025-09-23T00:00:00"/>
    <d v="2025-09-26T00:00:00"/>
    <x v="2"/>
    <n v="3"/>
    <n v="40"/>
    <x v="0"/>
    <n v="4"/>
    <m/>
    <x v="18"/>
  </r>
  <r>
    <n v="478"/>
    <n v="271"/>
    <x v="2"/>
    <d v="2025-09-24T00:00:00"/>
    <d v="2025-09-29T00:00:00"/>
    <x v="1"/>
    <n v="5"/>
    <n v="44"/>
    <x v="0"/>
    <n v="7.333333333333333"/>
    <m/>
    <x v="18"/>
  </r>
  <r>
    <n v="479"/>
    <n v="705"/>
    <x v="0"/>
    <d v="2025-09-24T00:00:00"/>
    <d v="2025-09-25T00:00:00"/>
    <x v="0"/>
    <n v="1"/>
    <n v="148"/>
    <x v="0"/>
    <n v="4.9333333333333336"/>
    <m/>
    <x v="18"/>
  </r>
  <r>
    <n v="480"/>
    <n v="597"/>
    <x v="4"/>
    <d v="2025-09-25T00:00:00"/>
    <d v="2025-09-30T00:00:00"/>
    <x v="1"/>
    <n v="5"/>
    <n v="43"/>
    <x v="0"/>
    <n v="7.166666666666667"/>
    <m/>
    <x v="18"/>
  </r>
  <r>
    <n v="481"/>
    <n v="750"/>
    <x v="6"/>
    <d v="2025-09-26T00:00:00"/>
    <d v="2025-10-02T00:00:00"/>
    <x v="1"/>
    <n v="6"/>
    <n v="15"/>
    <x v="0"/>
    <n v="3"/>
    <m/>
    <x v="18"/>
  </r>
  <r>
    <n v="482"/>
    <n v="574"/>
    <x v="7"/>
    <d v="2025-09-26T00:00:00"/>
    <d v="2025-09-28T00:00:00"/>
    <x v="0"/>
    <n v="2"/>
    <n v="63"/>
    <x v="0"/>
    <n v="4.2"/>
    <m/>
    <x v="18"/>
  </r>
  <r>
    <n v="483"/>
    <n v="335"/>
    <x v="8"/>
    <d v="2025-09-27T00:00:00"/>
    <d v="2025-10-02T00:00:00"/>
    <x v="1"/>
    <n v="5"/>
    <n v="36"/>
    <x v="0"/>
    <n v="6"/>
    <m/>
    <x v="18"/>
  </r>
  <r>
    <n v="484"/>
    <n v="69"/>
    <x v="9"/>
    <d v="2025-09-27T00:00:00"/>
    <d v="2025-09-29T00:00:00"/>
    <x v="0"/>
    <n v="2"/>
    <n v="111"/>
    <x v="0"/>
    <n v="7.4"/>
    <m/>
    <x v="18"/>
  </r>
  <r>
    <n v="485"/>
    <n v="725"/>
    <x v="10"/>
    <d v="2025-09-28T00:00:00"/>
    <d v="2025-10-03T00:00:00"/>
    <x v="1"/>
    <n v="5"/>
    <n v="15"/>
    <x v="0"/>
    <n v="2.5"/>
    <m/>
    <x v="18"/>
  </r>
  <r>
    <n v="486"/>
    <n v="754"/>
    <x v="11"/>
    <d v="2025-10-01T00:00:00"/>
    <d v="2025-10-03T00:00:00"/>
    <x v="0"/>
    <n v="2"/>
    <n v="228"/>
    <x v="1"/>
    <n v="15.2"/>
    <m/>
    <x v="18"/>
  </r>
  <r>
    <n v="487"/>
    <n v="869"/>
    <x v="12"/>
    <d v="2025-10-01T00:00:00"/>
    <d v="2025-10-07T00:00:00"/>
    <x v="1"/>
    <n v="6"/>
    <n v="25"/>
    <x v="0"/>
    <n v="5"/>
    <m/>
    <x v="18"/>
  </r>
  <r>
    <n v="488"/>
    <n v="818"/>
    <x v="3"/>
    <d v="2025-10-02T00:00:00"/>
    <d v="2025-10-04T00:00:00"/>
    <x v="0"/>
    <n v="2"/>
    <n v="230"/>
    <x v="0"/>
    <n v="15.333333333333334"/>
    <m/>
    <x v="18"/>
  </r>
  <r>
    <n v="489"/>
    <n v="558"/>
    <x v="1"/>
    <d v="2025-10-03T00:00:00"/>
    <d v="2025-10-08T00:00:00"/>
    <x v="1"/>
    <n v="5"/>
    <n v="39"/>
    <x v="0"/>
    <n v="6.5"/>
    <m/>
    <x v="18"/>
  </r>
  <r>
    <n v="490"/>
    <n v="634"/>
    <x v="5"/>
    <d v="2025-10-03T00:00:00"/>
    <d v="2025-10-06T00:00:00"/>
    <x v="2"/>
    <n v="3"/>
    <n v="58"/>
    <x v="1"/>
    <n v="5.8"/>
    <m/>
    <x v="18"/>
  </r>
  <r>
    <n v="491"/>
    <n v="975"/>
    <x v="2"/>
    <d v="2025-10-04T00:00:00"/>
    <d v="2025-10-09T00:00:00"/>
    <x v="1"/>
    <n v="5"/>
    <n v="27"/>
    <x v="0"/>
    <n v="4.5"/>
    <m/>
    <x v="18"/>
  </r>
  <r>
    <n v="492"/>
    <n v="409"/>
    <x v="0"/>
    <d v="2025-10-04T00:00:00"/>
    <d v="2025-10-05T00:00:00"/>
    <x v="0"/>
    <n v="1"/>
    <n v="38"/>
    <x v="0"/>
    <n v="1.2666666666666666"/>
    <m/>
    <x v="18"/>
  </r>
  <r>
    <n v="493"/>
    <n v="252"/>
    <x v="4"/>
    <d v="2025-10-05T00:00:00"/>
    <d v="2025-10-10T00:00:00"/>
    <x v="1"/>
    <n v="5"/>
    <n v="44"/>
    <x v="0"/>
    <n v="7.333333333333333"/>
    <m/>
    <x v="18"/>
  </r>
  <r>
    <n v="494"/>
    <n v="563"/>
    <x v="6"/>
    <d v="2025-10-06T00:00:00"/>
    <d v="2025-10-12T00:00:00"/>
    <x v="1"/>
    <n v="6"/>
    <n v="12"/>
    <x v="0"/>
    <n v="2.4000000000000004"/>
    <m/>
    <x v="18"/>
  </r>
  <r>
    <n v="495"/>
    <n v="798"/>
    <x v="7"/>
    <d v="2025-10-06T00:00:00"/>
    <d v="2025-10-08T00:00:00"/>
    <x v="0"/>
    <n v="2"/>
    <n v="146"/>
    <x v="0"/>
    <n v="9.7333333333333325"/>
    <m/>
    <x v="18"/>
  </r>
  <r>
    <n v="496"/>
    <n v="572"/>
    <x v="8"/>
    <d v="2025-10-07T00:00:00"/>
    <d v="2025-10-12T00:00:00"/>
    <x v="1"/>
    <n v="5"/>
    <n v="13"/>
    <x v="0"/>
    <n v="2.166666666666667"/>
    <m/>
    <x v="18"/>
  </r>
  <r>
    <n v="497"/>
    <n v="425"/>
    <x v="9"/>
    <d v="2025-10-07T00:00:00"/>
    <d v="2025-10-09T00:00:00"/>
    <x v="0"/>
    <n v="2"/>
    <n v="126"/>
    <x v="0"/>
    <n v="8.4"/>
    <m/>
    <x v="18"/>
  </r>
  <r>
    <n v="498"/>
    <n v="594"/>
    <x v="10"/>
    <d v="2025-10-08T00:00:00"/>
    <d v="2025-10-13T00:00:00"/>
    <x v="1"/>
    <n v="5"/>
    <n v="44"/>
    <x v="0"/>
    <n v="7.333333333333333"/>
    <m/>
    <x v="18"/>
  </r>
  <r>
    <n v="499"/>
    <n v="500"/>
    <x v="11"/>
    <d v="2025-10-09T00:00:00"/>
    <d v="2025-10-11T00:00:00"/>
    <x v="0"/>
    <n v="2"/>
    <n v="118"/>
    <x v="0"/>
    <n v="7.8666666666666663"/>
    <m/>
    <x v="18"/>
  </r>
  <r>
    <n v="500"/>
    <n v="183"/>
    <x v="12"/>
    <d v="2025-10-09T00:00:00"/>
    <d v="2025-10-15T00:00:00"/>
    <x v="1"/>
    <n v="6"/>
    <n v="43"/>
    <x v="0"/>
    <n v="8.6"/>
    <m/>
    <x v="18"/>
  </r>
  <r>
    <n v="501"/>
    <n v="370"/>
    <x v="3"/>
    <d v="2025-10-10T00:00:00"/>
    <d v="2025-10-12T00:00:00"/>
    <x v="0"/>
    <n v="2"/>
    <n v="21"/>
    <x v="0"/>
    <n v="1.4"/>
    <m/>
    <x v="18"/>
  </r>
  <r>
    <n v="502"/>
    <n v="393"/>
    <x v="1"/>
    <d v="2025-10-11T00:00:00"/>
    <d v="2025-10-16T00:00:00"/>
    <x v="1"/>
    <n v="5"/>
    <n v="42"/>
    <x v="0"/>
    <n v="7"/>
    <m/>
    <x v="18"/>
  </r>
  <r>
    <n v="503"/>
    <n v="445"/>
    <x v="5"/>
    <d v="2025-10-11T00:00:00"/>
    <d v="2025-10-14T00:00:00"/>
    <x v="2"/>
    <n v="3"/>
    <n v="31"/>
    <x v="0"/>
    <n v="3.1000000000000005"/>
    <m/>
    <x v="18"/>
  </r>
  <r>
    <n v="504"/>
    <n v="985"/>
    <x v="2"/>
    <d v="2025-10-12T00:00:00"/>
    <d v="2025-10-17T00:00:00"/>
    <x v="1"/>
    <n v="5"/>
    <n v="13"/>
    <x v="0"/>
    <n v="2.166666666666667"/>
    <m/>
    <x v="18"/>
  </r>
  <r>
    <n v="505"/>
    <n v="310"/>
    <x v="0"/>
    <d v="2025-10-12T00:00:00"/>
    <d v="2025-10-13T00:00:00"/>
    <x v="0"/>
    <n v="1"/>
    <n v="36"/>
    <x v="0"/>
    <n v="1.2"/>
    <m/>
    <x v="18"/>
  </r>
  <r>
    <n v="506"/>
    <n v="301"/>
    <x v="4"/>
    <d v="2025-10-13T00:00:00"/>
    <d v="2025-10-18T00:00:00"/>
    <x v="1"/>
    <n v="5"/>
    <n v="10"/>
    <x v="0"/>
    <n v="1.6666666666666665"/>
    <m/>
    <x v="18"/>
  </r>
  <r>
    <n v="507"/>
    <n v="791"/>
    <x v="6"/>
    <d v="2025-10-14T00:00:00"/>
    <d v="2025-10-20T00:00:00"/>
    <x v="1"/>
    <n v="6"/>
    <n v="41"/>
    <x v="0"/>
    <n v="8.1999999999999993"/>
    <m/>
    <x v="18"/>
  </r>
  <r>
    <n v="508"/>
    <n v="400"/>
    <x v="7"/>
    <d v="2025-10-14T00:00:00"/>
    <d v="2025-10-16T00:00:00"/>
    <x v="0"/>
    <n v="2"/>
    <n v="120"/>
    <x v="0"/>
    <n v="8"/>
    <m/>
    <x v="18"/>
  </r>
  <r>
    <n v="509"/>
    <n v="36"/>
    <x v="8"/>
    <d v="2025-10-15T00:00:00"/>
    <d v="2025-10-20T00:00:00"/>
    <x v="1"/>
    <n v="5"/>
    <n v="22"/>
    <x v="0"/>
    <n v="3.6666666666666665"/>
    <m/>
    <x v="18"/>
  </r>
  <r>
    <n v="510"/>
    <n v="193"/>
    <x v="9"/>
    <d v="2025-10-15T00:00:00"/>
    <d v="2025-10-17T00:00:00"/>
    <x v="0"/>
    <n v="2"/>
    <n v="226"/>
    <x v="0"/>
    <n v="15.066666666666666"/>
    <m/>
    <x v="18"/>
  </r>
  <r>
    <n v="511"/>
    <n v="630"/>
    <x v="10"/>
    <d v="2025-10-16T00:00:00"/>
    <d v="2025-10-21T00:00:00"/>
    <x v="1"/>
    <n v="5"/>
    <n v="22"/>
    <x v="1"/>
    <n v="3.6666666666666665"/>
    <m/>
    <x v="18"/>
  </r>
  <r>
    <n v="512"/>
    <n v="31"/>
    <x v="11"/>
    <d v="2025-10-17T00:00:00"/>
    <d v="2025-10-19T00:00:00"/>
    <x v="0"/>
    <n v="2"/>
    <n v="73"/>
    <x v="0"/>
    <n v="4.8666666666666663"/>
    <m/>
    <x v="18"/>
  </r>
  <r>
    <n v="513"/>
    <n v="292"/>
    <x v="12"/>
    <d v="2025-10-17T00:00:00"/>
    <d v="2025-10-23T00:00:00"/>
    <x v="1"/>
    <n v="6"/>
    <n v="34"/>
    <x v="0"/>
    <n v="6.8"/>
    <m/>
    <x v="18"/>
  </r>
  <r>
    <n v="514"/>
    <n v="131"/>
    <x v="3"/>
    <d v="2025-10-18T00:00:00"/>
    <d v="2025-10-20T00:00:00"/>
    <x v="0"/>
    <n v="2"/>
    <n v="110"/>
    <x v="0"/>
    <n v="7.333333333333333"/>
    <m/>
    <x v="18"/>
  </r>
  <r>
    <n v="515"/>
    <n v="273"/>
    <x v="1"/>
    <d v="2025-10-19T00:00:00"/>
    <d v="2025-10-24T00:00:00"/>
    <x v="1"/>
    <n v="5"/>
    <n v="2"/>
    <x v="1"/>
    <n v="0.33333333333333331"/>
    <m/>
    <x v="18"/>
  </r>
  <r>
    <n v="516"/>
    <n v="683"/>
    <x v="5"/>
    <d v="2025-10-19T00:00:00"/>
    <d v="2025-10-22T00:00:00"/>
    <x v="2"/>
    <n v="3"/>
    <n v="14"/>
    <x v="0"/>
    <n v="1.4"/>
    <m/>
    <x v="18"/>
  </r>
  <r>
    <n v="517"/>
    <n v="838"/>
    <x v="2"/>
    <d v="2025-10-20T00:00:00"/>
    <d v="2025-10-25T00:00:00"/>
    <x v="1"/>
    <n v="5"/>
    <n v="34"/>
    <x v="0"/>
    <n v="5.6666666666666661"/>
    <m/>
    <x v="18"/>
  </r>
  <r>
    <n v="518"/>
    <n v="213"/>
    <x v="0"/>
    <d v="2025-10-20T00:00:00"/>
    <d v="2025-10-21T00:00:00"/>
    <x v="0"/>
    <n v="1"/>
    <n v="63"/>
    <x v="0"/>
    <n v="2.1"/>
    <m/>
    <x v="18"/>
  </r>
  <r>
    <n v="519"/>
    <n v="316"/>
    <x v="4"/>
    <d v="2025-10-21T00:00:00"/>
    <d v="2025-10-26T00:00:00"/>
    <x v="1"/>
    <n v="5"/>
    <n v="1"/>
    <x v="0"/>
    <n v="0.16666666666666666"/>
    <m/>
    <x v="18"/>
  </r>
  <r>
    <n v="520"/>
    <n v="499"/>
    <x v="6"/>
    <d v="2025-10-22T00:00:00"/>
    <d v="2025-10-28T00:00:00"/>
    <x v="1"/>
    <n v="6"/>
    <n v="42"/>
    <x v="1"/>
    <n v="8.3999999999999986"/>
    <m/>
    <x v="18"/>
  </r>
  <r>
    <n v="521"/>
    <n v="994"/>
    <x v="7"/>
    <d v="2025-10-22T00:00:00"/>
    <d v="2025-10-24T00:00:00"/>
    <x v="0"/>
    <n v="2"/>
    <n v="238"/>
    <x v="0"/>
    <n v="15.866666666666667"/>
    <m/>
    <x v="18"/>
  </r>
  <r>
    <n v="522"/>
    <n v="653"/>
    <x v="8"/>
    <d v="2025-10-23T00:00:00"/>
    <d v="2025-10-28T00:00:00"/>
    <x v="1"/>
    <n v="5"/>
    <n v="27"/>
    <x v="0"/>
    <n v="4.5"/>
    <m/>
    <x v="18"/>
  </r>
  <r>
    <n v="523"/>
    <n v="784"/>
    <x v="9"/>
    <d v="2025-10-23T00:00:00"/>
    <d v="2025-10-25T00:00:00"/>
    <x v="0"/>
    <n v="2"/>
    <n v="69"/>
    <x v="0"/>
    <n v="4.5999999999999996"/>
    <m/>
    <x v="18"/>
  </r>
  <r>
    <n v="524"/>
    <n v="165"/>
    <x v="10"/>
    <d v="2025-10-24T00:00:00"/>
    <d v="2025-10-29T00:00:00"/>
    <x v="1"/>
    <n v="5"/>
    <n v="43"/>
    <x v="0"/>
    <n v="7.166666666666667"/>
    <m/>
    <x v="18"/>
  </r>
  <r>
    <n v="525"/>
    <n v="481"/>
    <x v="11"/>
    <d v="2025-10-25T00:00:00"/>
    <d v="2025-10-27T00:00:00"/>
    <x v="0"/>
    <n v="2"/>
    <n v="40"/>
    <x v="0"/>
    <n v="2.6666666666666665"/>
    <m/>
    <x v="18"/>
  </r>
  <r>
    <n v="526"/>
    <n v="829"/>
    <x v="12"/>
    <d v="2025-10-25T00:00:00"/>
    <d v="2025-10-31T00:00:00"/>
    <x v="1"/>
    <n v="6"/>
    <n v="11"/>
    <x v="0"/>
    <n v="2.1999999999999997"/>
    <m/>
    <x v="18"/>
  </r>
  <r>
    <n v="527"/>
    <n v="540"/>
    <x v="3"/>
    <d v="2025-10-26T00:00:00"/>
    <d v="2025-10-28T00:00:00"/>
    <x v="0"/>
    <n v="2"/>
    <n v="228"/>
    <x v="0"/>
    <n v="15.2"/>
    <m/>
    <x v="18"/>
  </r>
  <r>
    <n v="528"/>
    <n v="196"/>
    <x v="1"/>
    <d v="2025-10-27T00:00:00"/>
    <d v="2025-11-01T00:00:00"/>
    <x v="1"/>
    <n v="5"/>
    <n v="14"/>
    <x v="0"/>
    <n v="2.3333333333333335"/>
    <m/>
    <x v="18"/>
  </r>
  <r>
    <n v="529"/>
    <n v="571"/>
    <x v="5"/>
    <d v="2025-10-27T00:00:00"/>
    <d v="2025-10-30T00:00:00"/>
    <x v="2"/>
    <n v="3"/>
    <n v="18"/>
    <x v="0"/>
    <n v="1.7999999999999998"/>
    <m/>
    <x v="18"/>
  </r>
  <r>
    <n v="530"/>
    <n v="389"/>
    <x v="2"/>
    <d v="2025-10-28T00:00:00"/>
    <d v="2025-11-02T00:00:00"/>
    <x v="1"/>
    <n v="5"/>
    <n v="42"/>
    <x v="0"/>
    <n v="7"/>
    <m/>
    <x v="18"/>
  </r>
  <r>
    <n v="531"/>
    <n v="155"/>
    <x v="0"/>
    <d v="2025-10-28T00:00:00"/>
    <d v="2025-10-29T00:00:00"/>
    <x v="0"/>
    <n v="1"/>
    <n v="109"/>
    <x v="0"/>
    <n v="3.6333333333333333"/>
    <m/>
    <x v="18"/>
  </r>
  <r>
    <n v="532"/>
    <n v="881"/>
    <x v="4"/>
    <d v="2025-10-29T00:00:00"/>
    <d v="2025-11-03T00:00:00"/>
    <x v="1"/>
    <n v="5"/>
    <n v="42"/>
    <x v="0"/>
    <n v="7"/>
    <m/>
    <x v="18"/>
  </r>
  <r>
    <n v="533"/>
    <n v="102"/>
    <x v="6"/>
    <d v="2025-10-30T00:00:00"/>
    <d v="2025-11-05T00:00:00"/>
    <x v="1"/>
    <n v="6"/>
    <n v="10"/>
    <x v="0"/>
    <n v="2"/>
    <m/>
    <x v="18"/>
  </r>
  <r>
    <n v="534"/>
    <n v="342"/>
    <x v="7"/>
    <d v="2025-10-30T00:00:00"/>
    <d v="2025-11-01T00:00:00"/>
    <x v="0"/>
    <n v="2"/>
    <n v="119"/>
    <x v="0"/>
    <n v="7.9333333333333336"/>
    <m/>
    <x v="18"/>
  </r>
  <r>
    <n v="535"/>
    <n v="189"/>
    <x v="8"/>
    <d v="2025-10-31T00:00:00"/>
    <d v="2025-11-05T00:00:00"/>
    <x v="1"/>
    <n v="5"/>
    <n v="34"/>
    <x v="0"/>
    <n v="5.6666666666666661"/>
    <m/>
    <x v="18"/>
  </r>
  <r>
    <n v="536"/>
    <n v="836"/>
    <x v="9"/>
    <d v="2025-10-31T00:00:00"/>
    <d v="2025-11-02T00:00:00"/>
    <x v="0"/>
    <n v="2"/>
    <n v="232"/>
    <x v="0"/>
    <n v="15.466666666666667"/>
    <m/>
    <x v="18"/>
  </r>
  <r>
    <n v="537"/>
    <n v="14"/>
    <x v="10"/>
    <d v="2025-11-01T00:00:00"/>
    <d v="2025-11-06T00:00:00"/>
    <x v="1"/>
    <n v="5"/>
    <n v="41"/>
    <x v="0"/>
    <n v="6.8333333333333339"/>
    <m/>
    <x v="18"/>
  </r>
  <r>
    <n v="538"/>
    <n v="449"/>
    <x v="11"/>
    <d v="2025-11-02T00:00:00"/>
    <d v="2025-11-04T00:00:00"/>
    <x v="0"/>
    <n v="2"/>
    <n v="26"/>
    <x v="0"/>
    <n v="1.7333333333333334"/>
    <m/>
    <x v="18"/>
  </r>
  <r>
    <n v="539"/>
    <n v="93"/>
    <x v="12"/>
    <d v="2025-11-02T00:00:00"/>
    <d v="2025-11-08T00:00:00"/>
    <x v="1"/>
    <n v="6"/>
    <n v="31"/>
    <x v="0"/>
    <n v="6.2000000000000011"/>
    <m/>
    <x v="18"/>
  </r>
  <r>
    <n v="601"/>
    <n v="310"/>
    <x v="0"/>
    <d v="2025-11-07T00:00:00"/>
    <d v="2025-11-08T00:00:00"/>
    <x v="0"/>
    <n v="1"/>
    <n v="21"/>
    <x v="1"/>
    <n v="0.7"/>
    <m/>
    <x v="18"/>
  </r>
  <r>
    <n v="602"/>
    <n v="301"/>
    <x v="4"/>
    <d v="2025-11-08T00:00:00"/>
    <d v="2025-11-13T00:00:00"/>
    <x v="1"/>
    <n v="5"/>
    <n v="4"/>
    <x v="0"/>
    <n v="0.66666666666666663"/>
    <m/>
    <x v="18"/>
  </r>
  <r>
    <n v="603"/>
    <n v="791"/>
    <x v="6"/>
    <d v="2025-11-09T00:00:00"/>
    <d v="2025-11-15T00:00:00"/>
    <x v="1"/>
    <n v="6"/>
    <n v="13"/>
    <x v="0"/>
    <n v="2.6"/>
    <m/>
    <x v="18"/>
  </r>
  <r>
    <n v="604"/>
    <n v="400"/>
    <x v="7"/>
    <d v="2025-11-09T00:00:00"/>
    <d v="2025-11-11T00:00:00"/>
    <x v="0"/>
    <n v="2"/>
    <n v="130"/>
    <x v="0"/>
    <n v="8.6666666666666661"/>
    <m/>
    <x v="18"/>
  </r>
  <r>
    <n v="605"/>
    <n v="36"/>
    <x v="8"/>
    <d v="2025-11-10T00:00:00"/>
    <d v="2025-11-15T00:00:00"/>
    <x v="1"/>
    <n v="5"/>
    <n v="32"/>
    <x v="0"/>
    <n v="5.333333333333333"/>
    <m/>
    <x v="18"/>
  </r>
  <r>
    <n v="606"/>
    <n v="193"/>
    <x v="9"/>
    <d v="2025-11-10T00:00:00"/>
    <d v="2025-11-12T00:00:00"/>
    <x v="0"/>
    <n v="2"/>
    <n v="143"/>
    <x v="0"/>
    <n v="9.5333333333333332"/>
    <m/>
    <x v="18"/>
  </r>
  <r>
    <n v="607"/>
    <n v="630"/>
    <x v="10"/>
    <d v="2025-11-11T00:00:00"/>
    <d v="2025-11-16T00:00:00"/>
    <x v="1"/>
    <n v="5"/>
    <n v="37"/>
    <x v="0"/>
    <n v="6.166666666666667"/>
    <m/>
    <x v="18"/>
  </r>
  <r>
    <n v="608"/>
    <n v="31"/>
    <x v="11"/>
    <d v="2025-11-12T00:00:00"/>
    <d v="2025-11-14T00:00:00"/>
    <x v="0"/>
    <n v="2"/>
    <n v="216"/>
    <x v="0"/>
    <n v="14.4"/>
    <m/>
    <x v="18"/>
  </r>
  <r>
    <n v="609"/>
    <n v="292"/>
    <x v="12"/>
    <d v="2025-11-12T00:00:00"/>
    <d v="2025-11-18T00:00:00"/>
    <x v="1"/>
    <n v="6"/>
    <n v="38"/>
    <x v="0"/>
    <n v="7.6"/>
    <m/>
    <x v="18"/>
  </r>
  <r>
    <n v="610"/>
    <n v="131"/>
    <x v="3"/>
    <d v="2025-11-13T00:00:00"/>
    <d v="2025-11-15T00:00:00"/>
    <x v="0"/>
    <n v="2"/>
    <n v="228"/>
    <x v="0"/>
    <n v="15.2"/>
    <m/>
    <x v="18"/>
  </r>
  <r>
    <n v="611"/>
    <n v="273"/>
    <x v="1"/>
    <d v="2025-11-14T00:00:00"/>
    <d v="2025-11-19T00:00:00"/>
    <x v="1"/>
    <n v="5"/>
    <n v="20"/>
    <x v="0"/>
    <n v="3.333333333333333"/>
    <m/>
    <x v="18"/>
  </r>
  <r>
    <n v="612"/>
    <n v="683"/>
    <x v="5"/>
    <d v="2025-11-14T00:00:00"/>
    <d v="2025-11-17T00:00:00"/>
    <x v="2"/>
    <n v="3"/>
    <n v="27"/>
    <x v="0"/>
    <n v="2.7"/>
    <m/>
    <x v="18"/>
  </r>
  <r>
    <n v="613"/>
    <n v="838"/>
    <x v="2"/>
    <d v="2025-11-15T00:00:00"/>
    <d v="2025-11-20T00:00:00"/>
    <x v="1"/>
    <n v="5"/>
    <n v="35"/>
    <x v="0"/>
    <n v="5.8333333333333339"/>
    <m/>
    <x v="18"/>
  </r>
  <r>
    <n v="614"/>
    <n v="213"/>
    <x v="0"/>
    <d v="2025-11-15T00:00:00"/>
    <d v="2025-11-16T00:00:00"/>
    <x v="0"/>
    <n v="1"/>
    <n v="140"/>
    <x v="0"/>
    <n v="4.666666666666667"/>
    <m/>
    <x v="18"/>
  </r>
  <r>
    <n v="615"/>
    <n v="316"/>
    <x v="4"/>
    <d v="2025-11-16T00:00:00"/>
    <d v="2025-11-21T00:00:00"/>
    <x v="1"/>
    <n v="5"/>
    <n v="21"/>
    <x v="0"/>
    <n v="3.5"/>
    <m/>
    <x v="18"/>
  </r>
  <r>
    <n v="616"/>
    <n v="499"/>
    <x v="6"/>
    <d v="2025-11-17T00:00:00"/>
    <d v="2025-11-23T00:00:00"/>
    <x v="1"/>
    <n v="6"/>
    <n v="3"/>
    <x v="0"/>
    <n v="0.60000000000000009"/>
    <m/>
    <x v="18"/>
  </r>
  <r>
    <n v="617"/>
    <n v="994"/>
    <x v="7"/>
    <d v="2025-11-17T00:00:00"/>
    <d v="2025-11-19T00:00:00"/>
    <x v="0"/>
    <n v="2"/>
    <n v="131"/>
    <x v="0"/>
    <n v="8.7333333333333325"/>
    <m/>
    <x v="18"/>
  </r>
  <r>
    <n v="618"/>
    <n v="653"/>
    <x v="8"/>
    <d v="2025-11-18T00:00:00"/>
    <d v="2025-11-23T00:00:00"/>
    <x v="1"/>
    <n v="5"/>
    <n v="27"/>
    <x v="0"/>
    <n v="4.5"/>
    <m/>
    <x v="18"/>
  </r>
  <r>
    <n v="619"/>
    <n v="784"/>
    <x v="9"/>
    <d v="2025-11-18T00:00:00"/>
    <d v="2025-11-20T00:00:00"/>
    <x v="0"/>
    <n v="2"/>
    <n v="148"/>
    <x v="0"/>
    <n v="9.8666666666666671"/>
    <m/>
    <x v="18"/>
  </r>
  <r>
    <n v="620"/>
    <n v="165"/>
    <x v="10"/>
    <d v="2025-11-19T00:00:00"/>
    <d v="2025-11-24T00:00:00"/>
    <x v="1"/>
    <n v="5"/>
    <n v="43"/>
    <x v="0"/>
    <n v="7.166666666666667"/>
    <m/>
    <x v="18"/>
  </r>
  <r>
    <n v="621"/>
    <n v="481"/>
    <x v="11"/>
    <d v="2025-11-20T00:00:00"/>
    <d v="2025-11-22T00:00:00"/>
    <x v="0"/>
    <n v="2"/>
    <n v="101"/>
    <x v="0"/>
    <n v="6.7333333333333334"/>
    <m/>
    <x v="18"/>
  </r>
  <r>
    <n v="622"/>
    <n v="829"/>
    <x v="12"/>
    <d v="2025-11-20T00:00:00"/>
    <d v="2025-11-26T00:00:00"/>
    <x v="1"/>
    <n v="6"/>
    <n v="28"/>
    <x v="0"/>
    <n v="5.6"/>
    <m/>
    <x v="18"/>
  </r>
  <r>
    <n v="623"/>
    <n v="540"/>
    <x v="3"/>
    <d v="2025-11-21T00:00:00"/>
    <d v="2025-11-23T00:00:00"/>
    <x v="0"/>
    <n v="2"/>
    <n v="24"/>
    <x v="0"/>
    <n v="1.6"/>
    <m/>
    <x v="18"/>
  </r>
  <r>
    <n v="624"/>
    <n v="196"/>
    <x v="1"/>
    <d v="2025-11-22T00:00:00"/>
    <d v="2025-11-27T00:00:00"/>
    <x v="1"/>
    <n v="5"/>
    <n v="15"/>
    <x v="1"/>
    <n v="2.5"/>
    <m/>
    <x v="18"/>
  </r>
  <r>
    <n v="625"/>
    <n v="571"/>
    <x v="5"/>
    <d v="2025-11-22T00:00:00"/>
    <d v="2025-11-25T00:00:00"/>
    <x v="2"/>
    <n v="3"/>
    <n v="56"/>
    <x v="0"/>
    <n v="5.6"/>
    <m/>
    <x v="18"/>
  </r>
  <r>
    <n v="626"/>
    <n v="389"/>
    <x v="2"/>
    <d v="2025-11-23T00:00:00"/>
    <d v="2025-11-28T00:00:00"/>
    <x v="1"/>
    <n v="5"/>
    <n v="11"/>
    <x v="0"/>
    <n v="1.8333333333333333"/>
    <m/>
    <x v="18"/>
  </r>
  <r>
    <n v="627"/>
    <n v="155"/>
    <x v="0"/>
    <d v="2025-11-23T00:00:00"/>
    <d v="2025-11-24T00:00:00"/>
    <x v="0"/>
    <n v="1"/>
    <n v="185"/>
    <x v="0"/>
    <n v="6.166666666666667"/>
    <m/>
    <x v="18"/>
  </r>
  <r>
    <n v="628"/>
    <n v="881"/>
    <x v="4"/>
    <d v="2025-11-24T00:00:00"/>
    <d v="2025-11-29T00:00:00"/>
    <x v="1"/>
    <n v="5"/>
    <n v="44"/>
    <x v="0"/>
    <n v="7.333333333333333"/>
    <m/>
    <x v="18"/>
  </r>
  <r>
    <n v="629"/>
    <n v="102"/>
    <x v="6"/>
    <d v="2025-11-25T00:00:00"/>
    <s v="31/11/2025"/>
    <x v="1"/>
    <n v="6"/>
    <n v="31"/>
    <x v="0"/>
    <n v="6.2000000000000011"/>
    <m/>
    <x v="18"/>
  </r>
  <r>
    <n v="630"/>
    <n v="342"/>
    <x v="7"/>
    <d v="2025-11-25T00:00:00"/>
    <d v="2025-11-27T00:00:00"/>
    <x v="0"/>
    <n v="2"/>
    <n v="192"/>
    <x v="0"/>
    <n v="12.8"/>
    <m/>
    <x v="18"/>
  </r>
  <r>
    <n v="631"/>
    <n v="189"/>
    <x v="8"/>
    <d v="2025-11-26T00:00:00"/>
    <s v="31/11/2025"/>
    <x v="1"/>
    <n v="5"/>
    <n v="41"/>
    <x v="0"/>
    <n v="6.8333333333333339"/>
    <m/>
    <x v="18"/>
  </r>
  <r>
    <n v="632"/>
    <n v="836"/>
    <x v="9"/>
    <d v="2025-11-26T00:00:00"/>
    <d v="2025-11-28T00:00:00"/>
    <x v="0"/>
    <n v="2"/>
    <n v="238"/>
    <x v="0"/>
    <n v="15.866666666666667"/>
    <m/>
    <x v="18"/>
  </r>
  <r>
    <n v="633"/>
    <n v="14"/>
    <x v="10"/>
    <d v="2025-11-27T00:00:00"/>
    <d v="2025-12-01T00:00:00"/>
    <x v="1"/>
    <n v="5"/>
    <n v="12"/>
    <x v="0"/>
    <n v="2"/>
    <m/>
    <x v="18"/>
  </r>
  <r>
    <n v="634"/>
    <n v="449"/>
    <x v="11"/>
    <d v="2025-11-28T00:00:00"/>
    <d v="2025-11-30T00:00:00"/>
    <x v="0"/>
    <n v="2"/>
    <n v="120"/>
    <x v="0"/>
    <n v="8"/>
    <m/>
    <x v="18"/>
  </r>
  <r>
    <n v="635"/>
    <n v="93"/>
    <x v="12"/>
    <d v="2025-11-28T00:00:00"/>
    <d v="2025-12-03T00:00:00"/>
    <x v="1"/>
    <n v="6"/>
    <n v="32"/>
    <x v="0"/>
    <n v="6.4"/>
    <m/>
    <x v="18"/>
  </r>
  <r>
    <n v="636"/>
    <n v="738"/>
    <x v="3"/>
    <d v="2025-11-29T00:00:00"/>
    <s v="31/11/2025"/>
    <x v="0"/>
    <n v="2"/>
    <n v="111"/>
    <x v="0"/>
    <n v="7.4"/>
    <m/>
    <x v="18"/>
  </r>
  <r>
    <n v="637"/>
    <n v="390"/>
    <x v="1"/>
    <d v="2025-11-30T00:00:00"/>
    <d v="2025-12-04T00:00:00"/>
    <x v="1"/>
    <n v="5"/>
    <n v="25"/>
    <x v="0"/>
    <n v="4.166666666666667"/>
    <m/>
    <x v="18"/>
  </r>
  <r>
    <n v="638"/>
    <n v="582"/>
    <x v="5"/>
    <d v="2025-11-30T00:00:00"/>
    <d v="2025-12-02T00:00:00"/>
    <x v="2"/>
    <n v="3"/>
    <n v="17"/>
    <x v="1"/>
    <n v="1.7"/>
    <m/>
    <x v="18"/>
  </r>
  <r>
    <n v="639"/>
    <n v="944"/>
    <x v="2"/>
    <s v="31/11/2025"/>
    <d v="2025-12-05T00:00:00"/>
    <x v="1"/>
    <n v="5"/>
    <n v="42"/>
    <x v="0"/>
    <n v="7"/>
    <m/>
    <x v="18"/>
  </r>
  <r>
    <n v="640"/>
    <n v="659"/>
    <x v="0"/>
    <s v="31/11/2025"/>
    <d v="2025-12-01T00:00:00"/>
    <x v="0"/>
    <n v="1"/>
    <n v="21"/>
    <x v="0"/>
    <n v="0.7"/>
    <m/>
    <x v="18"/>
  </r>
  <r>
    <n v="641"/>
    <n v="126"/>
    <x v="4"/>
    <d v="2025-12-01T00:00:00"/>
    <d v="2025-12-06T00:00:00"/>
    <x v="1"/>
    <n v="5"/>
    <n v="15"/>
    <x v="0"/>
    <n v="2.5"/>
    <m/>
    <x v="18"/>
  </r>
  <r>
    <n v="642"/>
    <n v="50"/>
    <x v="6"/>
    <d v="2025-12-02T00:00:00"/>
    <d v="2025-12-08T00:00:00"/>
    <x v="1"/>
    <n v="6"/>
    <n v="10"/>
    <x v="0"/>
    <n v="2"/>
    <m/>
    <x v="18"/>
  </r>
  <r>
    <n v="643"/>
    <n v="300"/>
    <x v="7"/>
    <d v="2025-12-02T00:00:00"/>
    <d v="2025-12-04T00:00:00"/>
    <x v="0"/>
    <n v="2"/>
    <n v="185"/>
    <x v="0"/>
    <n v="12.333333333333334"/>
    <m/>
    <x v="18"/>
  </r>
  <r>
    <n v="644"/>
    <n v="705"/>
    <x v="8"/>
    <d v="2025-12-03T00:00:00"/>
    <d v="2025-12-08T00:00:00"/>
    <x v="1"/>
    <n v="5"/>
    <n v="16"/>
    <x v="0"/>
    <n v="2.6666666666666665"/>
    <m/>
    <x v="18"/>
  </r>
  <r>
    <n v="645"/>
    <n v="435"/>
    <x v="9"/>
    <d v="2025-12-03T00:00:00"/>
    <d v="2025-12-05T00:00:00"/>
    <x v="0"/>
    <n v="2"/>
    <n v="148"/>
    <x v="0"/>
    <n v="9.8666666666666671"/>
    <m/>
    <x v="18"/>
  </r>
  <r>
    <n v="646"/>
    <n v="882"/>
    <x v="10"/>
    <d v="2025-12-04T00:00:00"/>
    <d v="2025-12-09T00:00:00"/>
    <x v="1"/>
    <n v="5"/>
    <n v="4"/>
    <x v="0"/>
    <n v="0.66666666666666663"/>
    <m/>
    <x v="18"/>
  </r>
  <r>
    <n v="647"/>
    <n v="564"/>
    <x v="11"/>
    <d v="2025-12-05T00:00:00"/>
    <d v="2025-12-07T00:00:00"/>
    <x v="0"/>
    <n v="2"/>
    <n v="126"/>
    <x v="1"/>
    <n v="8.4"/>
    <m/>
    <x v="18"/>
  </r>
  <r>
    <n v="648"/>
    <n v="306"/>
    <x v="12"/>
    <d v="2025-12-05T00:00:00"/>
    <d v="2025-12-11T00:00:00"/>
    <x v="1"/>
    <n v="6"/>
    <n v="42"/>
    <x v="0"/>
    <n v="8.3999999999999986"/>
    <m/>
    <x v="18"/>
  </r>
  <r>
    <n v="649"/>
    <n v="263"/>
    <x v="3"/>
    <d v="2025-12-06T00:00:00"/>
    <d v="2025-12-08T00:00:00"/>
    <x v="0"/>
    <n v="2"/>
    <n v="40"/>
    <x v="0"/>
    <n v="2.6666666666666665"/>
    <m/>
    <x v="18"/>
  </r>
  <r>
    <n v="650"/>
    <n v="813"/>
    <x v="1"/>
    <d v="2025-12-07T00:00:00"/>
    <d v="2025-12-12T00:00:00"/>
    <x v="1"/>
    <n v="5"/>
    <n v="44"/>
    <x v="0"/>
    <n v="7.333333333333333"/>
    <m/>
    <x v="18"/>
  </r>
  <r>
    <n v="651"/>
    <n v="758"/>
    <x v="5"/>
    <d v="2025-12-07T00:00:00"/>
    <d v="2025-12-10T00:00:00"/>
    <x v="2"/>
    <n v="3"/>
    <n v="41"/>
    <x v="0"/>
    <n v="4.0999999999999996"/>
    <m/>
    <x v="18"/>
  </r>
  <r>
    <n v="652"/>
    <n v="874"/>
    <x v="2"/>
    <d v="2025-12-08T00:00:00"/>
    <d v="2025-12-13T00:00:00"/>
    <x v="1"/>
    <n v="5"/>
    <n v="20"/>
    <x v="1"/>
    <n v="3.333333333333333"/>
    <m/>
    <x v="18"/>
  </r>
  <r>
    <n v="653"/>
    <n v="431"/>
    <x v="0"/>
    <d v="2025-12-08T00:00:00"/>
    <d v="2025-12-09T00:00:00"/>
    <x v="0"/>
    <n v="1"/>
    <n v="109"/>
    <x v="0"/>
    <n v="3.6333333333333333"/>
    <m/>
    <x v="18"/>
  </r>
  <r>
    <n v="654"/>
    <n v="111"/>
    <x v="4"/>
    <d v="2025-12-09T00:00:00"/>
    <d v="2025-12-14T00:00:00"/>
    <x v="1"/>
    <n v="5"/>
    <n v="44"/>
    <x v="0"/>
    <n v="7.333333333333333"/>
    <m/>
    <x v="18"/>
  </r>
  <r>
    <n v="655"/>
    <n v="19"/>
    <x v="6"/>
    <d v="2025-12-10T00:00:00"/>
    <d v="2025-12-16T00:00:00"/>
    <x v="1"/>
    <n v="6"/>
    <n v="38"/>
    <x v="0"/>
    <n v="7.6"/>
    <m/>
    <x v="18"/>
  </r>
  <r>
    <n v="656"/>
    <n v="708"/>
    <x v="7"/>
    <d v="2025-12-10T00:00:00"/>
    <d v="2025-12-12T00:00:00"/>
    <x v="0"/>
    <n v="2"/>
    <n v="175"/>
    <x v="0"/>
    <n v="11.666666666666666"/>
    <m/>
    <x v="18"/>
  </r>
  <r>
    <n v="657"/>
    <n v="371"/>
    <x v="8"/>
    <d v="2025-12-11T00:00:00"/>
    <d v="2025-12-16T00:00:00"/>
    <x v="1"/>
    <n v="5"/>
    <n v="35"/>
    <x v="0"/>
    <n v="5.8333333333333339"/>
    <m/>
    <x v="18"/>
  </r>
  <r>
    <n v="658"/>
    <n v="611"/>
    <x v="9"/>
    <d v="2025-12-11T00:00:00"/>
    <d v="2025-12-13T00:00:00"/>
    <x v="0"/>
    <n v="2"/>
    <n v="238"/>
    <x v="0"/>
    <n v="15.866666666666667"/>
    <m/>
    <x v="18"/>
  </r>
  <r>
    <n v="659"/>
    <n v="753"/>
    <x v="10"/>
    <d v="2025-12-12T00:00:00"/>
    <d v="2025-12-17T00:00:00"/>
    <x v="1"/>
    <n v="5"/>
    <n v="2"/>
    <x v="0"/>
    <n v="0.33333333333333331"/>
    <m/>
    <x v="18"/>
  </r>
  <r>
    <n v="660"/>
    <n v="922"/>
    <x v="11"/>
    <d v="2025-12-13T00:00:00"/>
    <d v="2025-12-15T00:00:00"/>
    <x v="0"/>
    <n v="2"/>
    <n v="190"/>
    <x v="0"/>
    <n v="12.666666666666666"/>
    <m/>
    <x v="18"/>
  </r>
  <r>
    <n v="661"/>
    <n v="619"/>
    <x v="12"/>
    <d v="2025-12-13T00:00:00"/>
    <d v="2025-12-19T00:00:00"/>
    <x v="1"/>
    <n v="6"/>
    <n v="43"/>
    <x v="0"/>
    <n v="8.6"/>
    <m/>
    <x v="18"/>
  </r>
  <r>
    <n v="662"/>
    <n v="546"/>
    <x v="3"/>
    <d v="2025-12-14T00:00:00"/>
    <d v="2025-12-16T00:00:00"/>
    <x v="0"/>
    <n v="2"/>
    <n v="140"/>
    <x v="0"/>
    <n v="9.3333333333333339"/>
    <m/>
    <x v="18"/>
  </r>
  <r>
    <n v="663"/>
    <n v="483"/>
    <x v="1"/>
    <d v="2025-12-15T00:00:00"/>
    <d v="2025-12-20T00:00:00"/>
    <x v="1"/>
    <n v="5"/>
    <n v="34"/>
    <x v="0"/>
    <n v="5.6666666666666661"/>
    <m/>
    <x v="18"/>
  </r>
  <r>
    <n v="664"/>
    <n v="865"/>
    <x v="5"/>
    <d v="2025-12-15T00:00:00"/>
    <d v="2025-12-18T00:00:00"/>
    <x v="2"/>
    <n v="3"/>
    <n v="32"/>
    <x v="1"/>
    <n v="3.2"/>
    <m/>
    <x v="18"/>
  </r>
  <r>
    <n v="665"/>
    <n v="223"/>
    <x v="2"/>
    <d v="2025-12-16T00:00:00"/>
    <d v="2025-12-21T00:00:00"/>
    <x v="1"/>
    <n v="5"/>
    <n v="20"/>
    <x v="0"/>
    <n v="3.333333333333333"/>
    <m/>
    <x v="18"/>
  </r>
  <r>
    <n v="666"/>
    <n v="118"/>
    <x v="0"/>
    <d v="2025-12-16T00:00:00"/>
    <d v="2025-12-17T00:00:00"/>
    <x v="0"/>
    <n v="1"/>
    <n v="120"/>
    <x v="0"/>
    <n v="4"/>
    <m/>
    <x v="18"/>
  </r>
  <r>
    <n v="667"/>
    <n v="553"/>
    <x v="4"/>
    <d v="2025-12-17T00:00:00"/>
    <d v="2025-12-22T00:00:00"/>
    <x v="1"/>
    <n v="5"/>
    <n v="11"/>
    <x v="0"/>
    <n v="1.8333333333333333"/>
    <m/>
    <x v="18"/>
  </r>
  <r>
    <n v="668"/>
    <n v="749"/>
    <x v="6"/>
    <d v="2025-12-18T00:00:00"/>
    <d v="2025-12-24T00:00:00"/>
    <x v="1"/>
    <n v="6"/>
    <n v="27"/>
    <x v="0"/>
    <n v="5.4"/>
    <m/>
    <x v="18"/>
  </r>
  <r>
    <n v="669"/>
    <n v="115"/>
    <x v="7"/>
    <d v="2025-12-18T00:00:00"/>
    <d v="2025-12-20T00:00:00"/>
    <x v="0"/>
    <n v="2"/>
    <n v="110"/>
    <x v="0"/>
    <n v="7.333333333333333"/>
    <m/>
    <x v="18"/>
  </r>
  <r>
    <n v="670"/>
    <n v="456"/>
    <x v="8"/>
    <d v="2025-12-19T00:00:00"/>
    <d v="2025-12-24T00:00:00"/>
    <x v="1"/>
    <n v="5"/>
    <n v="1"/>
    <x v="0"/>
    <n v="0.16666666666666666"/>
    <m/>
    <x v="18"/>
  </r>
  <r>
    <n v="671"/>
    <n v="495"/>
    <x v="9"/>
    <d v="2025-12-19T00:00:00"/>
    <d v="2025-12-21T00:00:00"/>
    <x v="0"/>
    <n v="2"/>
    <n v="63"/>
    <x v="0"/>
    <n v="4.2"/>
    <m/>
    <x v="18"/>
  </r>
  <r>
    <n v="672"/>
    <n v="137"/>
    <x v="10"/>
    <d v="2025-12-20T00:00:00"/>
    <d v="2025-12-25T00:00:00"/>
    <x v="1"/>
    <n v="5"/>
    <n v="34"/>
    <x v="0"/>
    <n v="5.6666666666666661"/>
    <m/>
    <x v="18"/>
  </r>
  <r>
    <n v="673"/>
    <n v="307"/>
    <x v="11"/>
    <d v="2025-12-21T00:00:00"/>
    <d v="2025-12-23T00:00:00"/>
    <x v="0"/>
    <n v="2"/>
    <n v="232"/>
    <x v="0"/>
    <n v="15.466666666666667"/>
    <m/>
    <x v="18"/>
  </r>
  <r>
    <n v="674"/>
    <n v="174"/>
    <x v="12"/>
    <d v="2025-12-21T00:00:00"/>
    <d v="2025-12-27T00:00:00"/>
    <x v="1"/>
    <n v="6"/>
    <n v="21"/>
    <x v="0"/>
    <n v="4.1999999999999993"/>
    <m/>
    <x v="18"/>
  </r>
  <r>
    <n v="675"/>
    <n v="154"/>
    <x v="3"/>
    <d v="2025-12-22T00:00:00"/>
    <d v="2025-12-24T00:00:00"/>
    <x v="0"/>
    <n v="2"/>
    <n v="21"/>
    <x v="0"/>
    <n v="1.4"/>
    <m/>
    <x v="18"/>
  </r>
  <r>
    <n v="676"/>
    <n v="999"/>
    <x v="1"/>
    <d v="2025-12-23T00:00:00"/>
    <d v="2025-12-28T00:00:00"/>
    <x v="1"/>
    <n v="5"/>
    <n v="16"/>
    <x v="0"/>
    <n v="2.6666666666666665"/>
    <m/>
    <x v="18"/>
  </r>
  <r>
    <n v="677"/>
    <n v="124"/>
    <x v="5"/>
    <d v="2025-12-23T00:00:00"/>
    <d v="2025-12-26T00:00:00"/>
    <x v="2"/>
    <n v="3"/>
    <n v="56"/>
    <x v="1"/>
    <n v="5.6"/>
    <m/>
    <x v="18"/>
  </r>
  <r>
    <n v="678"/>
    <n v="271"/>
    <x v="2"/>
    <d v="2025-12-24T00:00:00"/>
    <d v="2025-12-29T00:00:00"/>
    <x v="1"/>
    <n v="5"/>
    <n v="10"/>
    <x v="0"/>
    <n v="1.6666666666666665"/>
    <m/>
    <x v="18"/>
  </r>
  <r>
    <n v="679"/>
    <n v="705"/>
    <x v="0"/>
    <d v="2025-12-24T00:00:00"/>
    <d v="2025-12-25T00:00:00"/>
    <x v="0"/>
    <n v="1"/>
    <n v="143"/>
    <x v="0"/>
    <n v="4.7666666666666666"/>
    <m/>
    <x v="18"/>
  </r>
  <r>
    <n v="680"/>
    <n v="597"/>
    <x v="4"/>
    <d v="2025-12-25T00:00:00"/>
    <d v="2025-12-30T00:00:00"/>
    <x v="1"/>
    <n v="5"/>
    <n v="12"/>
    <x v="0"/>
    <n v="2"/>
    <m/>
    <x v="18"/>
  </r>
  <r>
    <n v="681"/>
    <n v="750"/>
    <x v="6"/>
    <d v="2025-12-26T00:00:00"/>
    <d v="2026-01-01T00:00:00"/>
    <x v="1"/>
    <n v="6"/>
    <n v="36"/>
    <x v="0"/>
    <n v="7.1999999999999993"/>
    <m/>
    <x v="18"/>
  </r>
  <r>
    <n v="682"/>
    <n v="574"/>
    <x v="7"/>
    <d v="2025-12-26T00:00:00"/>
    <d v="2025-12-28T00:00:00"/>
    <x v="0"/>
    <n v="2"/>
    <n v="207"/>
    <x v="0"/>
    <n v="13.8"/>
    <m/>
    <x v="18"/>
  </r>
  <r>
    <n v="683"/>
    <n v="335"/>
    <x v="8"/>
    <d v="2025-12-27T00:00:00"/>
    <d v="2026-01-01T00:00:00"/>
    <x v="1"/>
    <n v="5"/>
    <n v="28"/>
    <x v="0"/>
    <n v="4.666666666666667"/>
    <m/>
    <x v="18"/>
  </r>
  <r>
    <n v="684"/>
    <n v="69"/>
    <x v="9"/>
    <d v="2025-12-27T00:00:00"/>
    <d v="2025-12-29T00:00:00"/>
    <x v="0"/>
    <n v="2"/>
    <n v="111"/>
    <x v="0"/>
    <n v="7.4"/>
    <m/>
    <x v="18"/>
  </r>
  <r>
    <n v="685"/>
    <n v="725"/>
    <x v="10"/>
    <d v="2025-12-28T00:00:00"/>
    <d v="2026-01-02T00:00:00"/>
    <x v="1"/>
    <n v="5"/>
    <n v="37"/>
    <x v="0"/>
    <n v="6.166666666666667"/>
    <m/>
    <x v="18"/>
  </r>
  <r>
    <n v="686"/>
    <n v="754"/>
    <x v="11"/>
    <d v="2026-01-01T00:00:00"/>
    <d v="2026-01-03T00:00:00"/>
    <x v="0"/>
    <n v="2"/>
    <n v="77"/>
    <x v="0"/>
    <n v="5.1333333333333337"/>
    <m/>
    <x v="18"/>
  </r>
  <r>
    <n v="687"/>
    <n v="869"/>
    <x v="12"/>
    <d v="2026-01-01T00:00:00"/>
    <d v="2026-01-07T00:00:00"/>
    <x v="1"/>
    <n v="6"/>
    <n v="43"/>
    <x v="0"/>
    <n v="8.6"/>
    <m/>
    <x v="18"/>
  </r>
  <r>
    <n v="688"/>
    <n v="818"/>
    <x v="3"/>
    <d v="2026-01-02T00:00:00"/>
    <d v="2026-01-04T00:00:00"/>
    <x v="0"/>
    <n v="2"/>
    <n v="238"/>
    <x v="0"/>
    <n v="15.866666666666667"/>
    <m/>
    <x v="18"/>
  </r>
  <r>
    <n v="689"/>
    <n v="558"/>
    <x v="1"/>
    <d v="2026-01-03T00:00:00"/>
    <d v="2026-01-08T00:00:00"/>
    <x v="1"/>
    <n v="5"/>
    <n v="41"/>
    <x v="0"/>
    <n v="6.8333333333333339"/>
    <m/>
    <x v="18"/>
  </r>
  <r>
    <n v="690"/>
    <n v="634"/>
    <x v="5"/>
    <d v="2026-01-03T00:00:00"/>
    <d v="2026-01-06T00:00:00"/>
    <x v="2"/>
    <n v="3"/>
    <n v="20"/>
    <x v="0"/>
    <n v="2"/>
    <m/>
    <x v="18"/>
  </r>
  <r>
    <n v="691"/>
    <n v="975"/>
    <x v="2"/>
    <d v="2026-01-04T00:00:00"/>
    <d v="2026-01-09T00:00:00"/>
    <x v="1"/>
    <n v="5"/>
    <n v="43"/>
    <x v="0"/>
    <n v="7.166666666666667"/>
    <m/>
    <x v="18"/>
  </r>
  <r>
    <n v="692"/>
    <n v="409"/>
    <x v="0"/>
    <d v="2026-01-04T00:00:00"/>
    <d v="2026-01-05T00:00:00"/>
    <x v="0"/>
    <n v="1"/>
    <n v="2"/>
    <x v="0"/>
    <n v="6.6666666666666666E-2"/>
    <m/>
    <x v="18"/>
  </r>
  <r>
    <n v="693"/>
    <n v="252"/>
    <x v="4"/>
    <d v="2026-01-05T00:00:00"/>
    <d v="2026-01-10T00:00:00"/>
    <x v="1"/>
    <n v="5"/>
    <n v="6"/>
    <x v="0"/>
    <n v="1"/>
    <m/>
    <x v="18"/>
  </r>
  <r>
    <n v="694"/>
    <n v="563"/>
    <x v="6"/>
    <d v="2026-01-06T00:00:00"/>
    <d v="2026-01-12T00:00:00"/>
    <x v="1"/>
    <n v="6"/>
    <n v="18"/>
    <x v="0"/>
    <n v="3.5999999999999996"/>
    <m/>
    <x v="18"/>
  </r>
  <r>
    <n v="695"/>
    <n v="798"/>
    <x v="7"/>
    <d v="2026-01-06T00:00:00"/>
    <d v="2026-01-08T00:00:00"/>
    <x v="0"/>
    <n v="2"/>
    <n v="186"/>
    <x v="0"/>
    <n v="12.4"/>
    <m/>
    <x v="18"/>
  </r>
  <r>
    <n v="696"/>
    <n v="572"/>
    <x v="8"/>
    <d v="2026-01-07T00:00:00"/>
    <d v="2026-01-12T00:00:00"/>
    <x v="1"/>
    <n v="5"/>
    <n v="24"/>
    <x v="1"/>
    <n v="4"/>
    <m/>
    <x v="18"/>
  </r>
  <r>
    <n v="697"/>
    <n v="425"/>
    <x v="9"/>
    <d v="2026-01-07T00:00:00"/>
    <d v="2026-01-09T00:00:00"/>
    <x v="0"/>
    <n v="2"/>
    <n v="8"/>
    <x v="0"/>
    <n v="0.53333333333333333"/>
    <m/>
    <x v="18"/>
  </r>
  <r>
    <n v="698"/>
    <n v="594"/>
    <x v="10"/>
    <d v="2026-01-08T00:00:00"/>
    <d v="2026-01-13T00:00:00"/>
    <x v="1"/>
    <n v="5"/>
    <n v="149"/>
    <x v="0"/>
    <n v="24.833333333333336"/>
    <m/>
    <x v="18"/>
  </r>
  <r>
    <n v="699"/>
    <n v="500"/>
    <x v="11"/>
    <d v="2026-01-09T00:00:00"/>
    <d v="2026-01-11T00:00:00"/>
    <x v="0"/>
    <n v="2"/>
    <n v="6"/>
    <x v="0"/>
    <n v="0.4"/>
    <m/>
    <x v="18"/>
  </r>
  <r>
    <n v="700"/>
    <n v="183"/>
    <x v="12"/>
    <d v="2026-01-09T00:00:00"/>
    <d v="2026-01-15T00:00:00"/>
    <x v="1"/>
    <n v="6"/>
    <n v="27"/>
    <x v="0"/>
    <n v="5.4"/>
    <m/>
    <x v="18"/>
  </r>
  <r>
    <n v="701"/>
    <n v="370"/>
    <x v="3"/>
    <d v="2026-01-10T00:00:00"/>
    <d v="2026-01-12T00:00:00"/>
    <x v="0"/>
    <n v="2"/>
    <n v="13"/>
    <x v="0"/>
    <n v="0.8666666666666667"/>
    <m/>
    <x v="18"/>
  </r>
  <r>
    <n v="702"/>
    <n v="393"/>
    <x v="1"/>
    <d v="2026-01-11T00:00:00"/>
    <d v="2026-01-16T00:00:00"/>
    <x v="1"/>
    <n v="5"/>
    <n v="69"/>
    <x v="0"/>
    <n v="11.5"/>
    <m/>
    <x v="18"/>
  </r>
  <r>
    <n v="703"/>
    <n v="445"/>
    <x v="5"/>
    <d v="2026-01-11T00:00:00"/>
    <d v="2026-01-14T00:00:00"/>
    <x v="2"/>
    <n v="3"/>
    <n v="1"/>
    <x v="0"/>
    <n v="0.1"/>
    <m/>
    <x v="18"/>
  </r>
  <r>
    <n v="704"/>
    <n v="985"/>
    <x v="2"/>
    <d v="2026-01-12T00:00:00"/>
    <d v="2026-01-17T00:00:00"/>
    <x v="1"/>
    <n v="5"/>
    <n v="73"/>
    <x v="0"/>
    <n v="12.166666666666666"/>
    <m/>
    <x v="18"/>
  </r>
  <r>
    <n v="705"/>
    <n v="310"/>
    <x v="0"/>
    <d v="2026-01-12T00:00:00"/>
    <d v="2026-01-13T00:00:00"/>
    <x v="0"/>
    <n v="1"/>
    <n v="28"/>
    <x v="1"/>
    <n v="0.93333333333333335"/>
    <m/>
    <x v="18"/>
  </r>
  <r>
    <n v="706"/>
    <n v="301"/>
    <x v="4"/>
    <d v="2026-01-13T00:00:00"/>
    <d v="2026-01-18T00:00:00"/>
    <x v="1"/>
    <n v="5"/>
    <n v="25"/>
    <x v="0"/>
    <n v="4.166666666666667"/>
    <m/>
    <x v="18"/>
  </r>
  <r>
    <n v="707"/>
    <n v="791"/>
    <x v="6"/>
    <d v="2026-01-14T00:00:00"/>
    <d v="2026-01-20T00:00:00"/>
    <x v="1"/>
    <n v="6"/>
    <n v="43"/>
    <x v="0"/>
    <n v="8.6"/>
    <m/>
    <x v="18"/>
  </r>
  <r>
    <n v="708"/>
    <n v="400"/>
    <x v="7"/>
    <d v="2026-01-14T00:00:00"/>
    <d v="2026-01-16T00:00:00"/>
    <x v="0"/>
    <n v="2"/>
    <n v="120"/>
    <x v="0"/>
    <n v="8"/>
    <m/>
    <x v="18"/>
  </r>
  <r>
    <n v="709"/>
    <n v="36"/>
    <x v="8"/>
    <d v="2026-01-15T00:00:00"/>
    <d v="2026-01-20T00:00:00"/>
    <x v="1"/>
    <n v="5"/>
    <n v="44"/>
    <x v="0"/>
    <n v="7.333333333333333"/>
    <m/>
    <x v="18"/>
  </r>
  <r>
    <n v="710"/>
    <n v="193"/>
    <x v="9"/>
    <d v="2026-01-15T00:00:00"/>
    <d v="2026-01-17T00:00:00"/>
    <x v="0"/>
    <n v="2"/>
    <n v="10"/>
    <x v="0"/>
    <n v="0.66666666666666663"/>
    <m/>
    <x v="18"/>
  </r>
  <r>
    <n v="711"/>
    <n v="630"/>
    <x v="10"/>
    <d v="2026-01-16T00:00:00"/>
    <d v="2026-01-21T00:00:00"/>
    <x v="1"/>
    <n v="5"/>
    <n v="12"/>
    <x v="0"/>
    <n v="2"/>
    <m/>
    <x v="18"/>
  </r>
  <r>
    <n v="712"/>
    <n v="31"/>
    <x v="11"/>
    <d v="2026-01-17T00:00:00"/>
    <d v="2026-01-19T00:00:00"/>
    <x v="0"/>
    <n v="2"/>
    <n v="36"/>
    <x v="0"/>
    <n v="2.4"/>
    <m/>
    <x v="18"/>
  </r>
  <r>
    <n v="713"/>
    <n v="292"/>
    <x v="12"/>
    <d v="2026-01-17T00:00:00"/>
    <d v="2026-01-23T00:00:00"/>
    <x v="1"/>
    <n v="6"/>
    <n v="118"/>
    <x v="0"/>
    <n v="23.599999999999998"/>
    <m/>
    <x v="18"/>
  </r>
  <r>
    <n v="714"/>
    <n v="131"/>
    <x v="3"/>
    <d v="2026-01-18T00:00:00"/>
    <d v="2026-01-20T00:00:00"/>
    <x v="0"/>
    <n v="2"/>
    <n v="22"/>
    <x v="0"/>
    <n v="1.4666666666666666"/>
    <m/>
    <x v="18"/>
  </r>
  <r>
    <n v="715"/>
    <n v="273"/>
    <x v="1"/>
    <d v="2026-01-19T00:00:00"/>
    <d v="2026-01-24T00:00:00"/>
    <x v="1"/>
    <n v="5"/>
    <n v="42"/>
    <x v="0"/>
    <n v="7"/>
    <m/>
    <x v="18"/>
  </r>
  <r>
    <n v="716"/>
    <n v="683"/>
    <x v="5"/>
    <d v="2026-01-19T00:00:00"/>
    <d v="2026-01-22T00:00:00"/>
    <x v="2"/>
    <n v="3"/>
    <n v="4"/>
    <x v="1"/>
    <n v="0.4"/>
    <m/>
    <x v="18"/>
  </r>
  <r>
    <n v="717"/>
    <n v="838"/>
    <x v="2"/>
    <d v="2026-01-20T00:00:00"/>
    <d v="2026-01-25T00:00:00"/>
    <x v="1"/>
    <n v="5"/>
    <n v="23"/>
    <x v="0"/>
    <n v="3.8333333333333335"/>
    <m/>
    <x v="18"/>
  </r>
  <r>
    <n v="718"/>
    <n v="213"/>
    <x v="0"/>
    <d v="2026-01-20T00:00:00"/>
    <d v="2026-01-21T00:00:00"/>
    <x v="0"/>
    <n v="1"/>
    <n v="13"/>
    <x v="0"/>
    <n v="0.43333333333333335"/>
    <m/>
    <x v="18"/>
  </r>
  <r>
    <n v="719"/>
    <n v="316"/>
    <x v="4"/>
    <d v="2026-01-21T00:00:00"/>
    <d v="2026-01-26T00:00:00"/>
    <x v="1"/>
    <n v="5"/>
    <n v="55"/>
    <x v="0"/>
    <n v="9.1666666666666661"/>
    <m/>
    <x v="18"/>
  </r>
  <r>
    <n v="720"/>
    <n v="499"/>
    <x v="6"/>
    <d v="2026-01-22T00:00:00"/>
    <d v="2026-01-28T00:00:00"/>
    <x v="1"/>
    <n v="6"/>
    <n v="16"/>
    <x v="0"/>
    <n v="3.2"/>
    <m/>
    <x v="18"/>
  </r>
  <r>
    <n v="721"/>
    <n v="994"/>
    <x v="7"/>
    <d v="2026-01-22T00:00:00"/>
    <d v="2026-01-24T00:00:00"/>
    <x v="0"/>
    <n v="2"/>
    <n v="30"/>
    <x v="0"/>
    <n v="2"/>
    <m/>
    <x v="18"/>
  </r>
  <r>
    <n v="722"/>
    <n v="653"/>
    <x v="8"/>
    <d v="2026-01-23T00:00:00"/>
    <d v="2026-01-28T00:00:00"/>
    <x v="1"/>
    <n v="5"/>
    <n v="14"/>
    <x v="0"/>
    <n v="2.3333333333333335"/>
    <m/>
    <x v="18"/>
  </r>
  <r>
    <n v="723"/>
    <n v="784"/>
    <x v="9"/>
    <d v="2026-01-23T00:00:00"/>
    <d v="2026-01-25T00:00:00"/>
    <x v="0"/>
    <n v="2"/>
    <n v="58"/>
    <x v="0"/>
    <n v="3.8666666666666667"/>
    <m/>
    <x v="18"/>
  </r>
  <r>
    <n v="724"/>
    <n v="165"/>
    <x v="10"/>
    <d v="2026-01-24T00:00:00"/>
    <d v="2026-01-29T00:00:00"/>
    <x v="1"/>
    <n v="5"/>
    <n v="34"/>
    <x v="0"/>
    <n v="5.6666666666666661"/>
    <m/>
    <x v="18"/>
  </r>
  <r>
    <n v="725"/>
    <n v="481"/>
    <x v="11"/>
    <d v="2026-01-25T00:00:00"/>
    <d v="2026-01-27T00:00:00"/>
    <x v="0"/>
    <n v="2"/>
    <n v="146"/>
    <x v="0"/>
    <n v="9.7333333333333325"/>
    <m/>
    <x v="18"/>
  </r>
  <r>
    <n v="726"/>
    <n v="829"/>
    <x v="12"/>
    <d v="2026-01-25T00:00:00"/>
    <d v="2026-01-31T00:00:00"/>
    <x v="1"/>
    <n v="6"/>
    <n v="31"/>
    <x v="0"/>
    <n v="6.2000000000000011"/>
    <m/>
    <x v="18"/>
  </r>
  <r>
    <n v="727"/>
    <n v="540"/>
    <x v="3"/>
    <d v="2026-01-26T00:00:00"/>
    <d v="2026-01-28T00:00:00"/>
    <x v="0"/>
    <n v="2"/>
    <n v="15"/>
    <x v="1"/>
    <n v="1"/>
    <m/>
    <x v="18"/>
  </r>
  <r>
    <n v="728"/>
    <n v="196"/>
    <x v="1"/>
    <d v="2026-01-27T00:00:00"/>
    <d v="2026-02-01T00:00:00"/>
    <x v="1"/>
    <n v="5"/>
    <n v="216"/>
    <x v="0"/>
    <n v="36"/>
    <m/>
    <x v="18"/>
  </r>
  <r>
    <n v="729"/>
    <n v="571"/>
    <x v="5"/>
    <d v="2026-01-27T00:00:00"/>
    <d v="2026-01-30T00:00:00"/>
    <x v="2"/>
    <n v="3"/>
    <n v="2"/>
    <x v="0"/>
    <n v="0.2"/>
    <m/>
    <x v="18"/>
  </r>
  <r>
    <n v="730"/>
    <n v="389"/>
    <x v="2"/>
    <d v="2026-01-28T00:00:00"/>
    <d v="2026-02-02T00:00:00"/>
    <x v="1"/>
    <n v="5"/>
    <n v="175"/>
    <x v="0"/>
    <n v="29.166666666666664"/>
    <m/>
    <x v="18"/>
  </r>
  <r>
    <n v="731"/>
    <n v="155"/>
    <x v="0"/>
    <d v="2026-01-28T00:00:00"/>
    <d v="2026-01-29T00:00:00"/>
    <x v="0"/>
    <n v="1"/>
    <n v="44"/>
    <x v="0"/>
    <n v="1.4666666666666666"/>
    <m/>
    <x v="18"/>
  </r>
  <r>
    <n v="732"/>
    <n v="881"/>
    <x v="4"/>
    <d v="2026-01-29T00:00:00"/>
    <d v="2026-02-03T00:00:00"/>
    <x v="1"/>
    <n v="5"/>
    <n v="110"/>
    <x v="0"/>
    <n v="18.333333333333332"/>
    <m/>
    <x v="18"/>
  </r>
  <r>
    <n v="733"/>
    <n v="102"/>
    <x v="6"/>
    <d v="2026-01-30T00:00:00"/>
    <d v="2026-02-05T00:00:00"/>
    <x v="1"/>
    <n v="6"/>
    <n v="20"/>
    <x v="0"/>
    <n v="4"/>
    <m/>
    <x v="18"/>
  </r>
  <r>
    <n v="734"/>
    <n v="342"/>
    <x v="7"/>
    <d v="2026-01-30T00:00:00"/>
    <d v="2026-02-01T00:00:00"/>
    <x v="0"/>
    <n v="2"/>
    <n v="226"/>
    <x v="0"/>
    <n v="15.066666666666666"/>
    <m/>
    <x v="18"/>
  </r>
  <r>
    <n v="735"/>
    <n v="189"/>
    <x v="8"/>
    <d v="2026-01-31T00:00:00"/>
    <d v="2026-02-05T00:00:00"/>
    <x v="1"/>
    <n v="5"/>
    <n v="39"/>
    <x v="0"/>
    <n v="6.5"/>
    <m/>
    <x v="18"/>
  </r>
  <r>
    <n v="736"/>
    <n v="836"/>
    <x v="9"/>
    <d v="2026-01-31T00:00:00"/>
    <d v="2026-02-02T00:00:00"/>
    <x v="0"/>
    <n v="2"/>
    <n v="58"/>
    <x v="0"/>
    <n v="3.8666666666666667"/>
    <m/>
    <x v="18"/>
  </r>
  <r>
    <n v="737"/>
    <n v="14"/>
    <x v="10"/>
    <d v="2026-02-01T00:00:00"/>
    <d v="2026-02-06T00:00:00"/>
    <x v="1"/>
    <n v="5"/>
    <n v="16"/>
    <x v="0"/>
    <n v="2.6666666666666665"/>
    <m/>
    <x v="18"/>
  </r>
  <r>
    <n v="738"/>
    <n v="449"/>
    <x v="11"/>
    <d v="2026-02-02T00:00:00"/>
    <d v="2026-02-04T00:00:00"/>
    <x v="0"/>
    <n v="2"/>
    <n v="123"/>
    <x v="0"/>
    <n v="8.1999999999999993"/>
    <m/>
    <x v="18"/>
  </r>
  <r>
    <n v="739"/>
    <n v="93"/>
    <x v="12"/>
    <d v="2026-02-02T00:00:00"/>
    <d v="2026-02-08T00:00:00"/>
    <x v="1"/>
    <n v="6"/>
    <n v="36"/>
    <x v="0"/>
    <n v="7.1999999999999993"/>
    <m/>
    <x v="18"/>
  </r>
  <r>
    <n v="801"/>
    <n v="310"/>
    <x v="0"/>
    <d v="2026-02-07T00:00:00"/>
    <d v="2026-02-08T00:00:00"/>
    <x v="0"/>
    <n v="1"/>
    <n v="10"/>
    <x v="0"/>
    <n v="0.33333333333333331"/>
    <m/>
    <x v="18"/>
  </r>
  <r>
    <n v="802"/>
    <n v="301"/>
    <x v="4"/>
    <d v="2026-02-08T00:00:00"/>
    <d v="2026-02-13T00:00:00"/>
    <x v="1"/>
    <n v="5"/>
    <n v="160"/>
    <x v="0"/>
    <n v="26.666666666666664"/>
    <m/>
    <x v="18"/>
  </r>
  <r>
    <n v="803"/>
    <n v="791"/>
    <x v="6"/>
    <d v="2026-02-09T00:00:00"/>
    <d v="2026-02-15T00:00:00"/>
    <x v="1"/>
    <n v="6"/>
    <n v="28"/>
    <x v="0"/>
    <n v="5.6"/>
    <m/>
    <x v="18"/>
  </r>
  <r>
    <n v="804"/>
    <n v="400"/>
    <x v="7"/>
    <d v="2026-02-09T00:00:00"/>
    <d v="2026-02-11T00:00:00"/>
    <x v="0"/>
    <n v="2"/>
    <n v="216"/>
    <x v="0"/>
    <n v="14.4"/>
    <m/>
    <x v="18"/>
  </r>
  <r>
    <n v="805"/>
    <n v="36"/>
    <x v="8"/>
    <d v="2026-02-10T00:00:00"/>
    <d v="2026-02-15T00:00:00"/>
    <x v="1"/>
    <n v="5"/>
    <n v="12"/>
    <x v="0"/>
    <n v="2"/>
    <m/>
    <x v="18"/>
  </r>
  <r>
    <n v="806"/>
    <n v="193"/>
    <x v="9"/>
    <d v="2026-02-10T00:00:00"/>
    <d v="2026-02-12T00:00:00"/>
    <x v="0"/>
    <n v="2"/>
    <n v="23"/>
    <x v="0"/>
    <n v="1.5333333333333334"/>
    <m/>
    <x v="18"/>
  </r>
  <r>
    <n v="807"/>
    <n v="630"/>
    <x v="10"/>
    <d v="2026-02-11T00:00:00"/>
    <d v="2026-02-16T00:00:00"/>
    <x v="1"/>
    <n v="5"/>
    <n v="21"/>
    <x v="0"/>
    <n v="3.5"/>
    <m/>
    <x v="18"/>
  </r>
  <r>
    <n v="808"/>
    <n v="31"/>
    <x v="11"/>
    <d v="2026-02-12T00:00:00"/>
    <d v="2026-02-14T00:00:00"/>
    <x v="0"/>
    <n v="2"/>
    <n v="44"/>
    <x v="0"/>
    <n v="2.9333333333333331"/>
    <m/>
    <x v="18"/>
  </r>
  <r>
    <n v="809"/>
    <n v="292"/>
    <x v="12"/>
    <d v="2026-02-12T00:00:00"/>
    <d v="2026-02-18T00:00:00"/>
    <x v="1"/>
    <n v="6"/>
    <n v="208"/>
    <x v="0"/>
    <n v="41.6"/>
    <m/>
    <x v="18"/>
  </r>
  <r>
    <n v="810"/>
    <n v="131"/>
    <x v="3"/>
    <d v="2026-02-13T00:00:00"/>
    <d v="2026-02-15T00:00:00"/>
    <x v="0"/>
    <n v="2"/>
    <n v="31"/>
    <x v="0"/>
    <n v="2.0666666666666669"/>
    <m/>
    <x v="18"/>
  </r>
  <r>
    <n v="811"/>
    <n v="273"/>
    <x v="1"/>
    <d v="2026-02-14T00:00:00"/>
    <d v="2026-02-19T00:00:00"/>
    <x v="1"/>
    <n v="5"/>
    <n v="27"/>
    <x v="0"/>
    <n v="4.5"/>
    <m/>
    <x v="18"/>
  </r>
  <r>
    <n v="812"/>
    <n v="683"/>
    <x v="5"/>
    <d v="2026-02-14T00:00:00"/>
    <d v="2026-02-17T00:00:00"/>
    <x v="2"/>
    <n v="3"/>
    <n v="232"/>
    <x v="0"/>
    <n v="23.2"/>
    <m/>
    <x v="18"/>
  </r>
  <r>
    <n v="813"/>
    <n v="838"/>
    <x v="2"/>
    <d v="2026-02-15T00:00:00"/>
    <d v="2026-02-20T00:00:00"/>
    <x v="1"/>
    <n v="5"/>
    <n v="4"/>
    <x v="0"/>
    <n v="0.66666666666666663"/>
    <m/>
    <x v="18"/>
  </r>
  <r>
    <n v="814"/>
    <n v="213"/>
    <x v="0"/>
    <d v="2026-02-15T00:00:00"/>
    <d v="2026-02-16T00:00:00"/>
    <x v="0"/>
    <n v="1"/>
    <n v="185"/>
    <x v="0"/>
    <n v="6.166666666666667"/>
    <m/>
    <x v="18"/>
  </r>
  <r>
    <n v="815"/>
    <n v="316"/>
    <x v="4"/>
    <d v="2026-02-16T00:00:00"/>
    <d v="2026-02-21T00:00:00"/>
    <x v="1"/>
    <n v="5"/>
    <n v="35"/>
    <x v="0"/>
    <n v="5.8333333333333339"/>
    <m/>
    <x v="18"/>
  </r>
  <r>
    <n v="816"/>
    <n v="499"/>
    <x v="6"/>
    <d v="2026-02-17T00:00:00"/>
    <d v="2026-02-23T00:00:00"/>
    <x v="1"/>
    <n v="6"/>
    <n v="40"/>
    <x v="0"/>
    <n v="8"/>
    <m/>
    <x v="18"/>
  </r>
  <r>
    <n v="817"/>
    <n v="994"/>
    <x v="7"/>
    <d v="2026-02-17T00:00:00"/>
    <d v="2026-02-19T00:00:00"/>
    <x v="0"/>
    <n v="2"/>
    <n v="27"/>
    <x v="0"/>
    <n v="1.8"/>
    <m/>
    <x v="18"/>
  </r>
  <r>
    <n v="818"/>
    <n v="653"/>
    <x v="8"/>
    <d v="2026-02-18T00:00:00"/>
    <d v="2026-02-23T00:00:00"/>
    <x v="1"/>
    <n v="5"/>
    <n v="20"/>
    <x v="0"/>
    <n v="3.333333333333333"/>
    <m/>
    <x v="18"/>
  </r>
  <r>
    <n v="819"/>
    <n v="784"/>
    <x v="9"/>
    <d v="2026-02-18T00:00:00"/>
    <d v="2026-02-20T00:00:00"/>
    <x v="0"/>
    <n v="2"/>
    <n v="42"/>
    <x v="0"/>
    <n v="2.8"/>
    <m/>
    <x v="18"/>
  </r>
  <r>
    <n v="820"/>
    <n v="165"/>
    <x v="10"/>
    <d v="2026-02-19T00:00:00"/>
    <d v="2026-02-24T00:00:00"/>
    <x v="1"/>
    <n v="5"/>
    <n v="17"/>
    <x v="1"/>
    <n v="2.833333333333333"/>
    <m/>
    <x v="18"/>
  </r>
  <r>
    <n v="821"/>
    <n v="481"/>
    <x v="11"/>
    <d v="2026-02-20T00:00:00"/>
    <d v="2026-02-22T00:00:00"/>
    <x v="0"/>
    <n v="2"/>
    <n v="3"/>
    <x v="0"/>
    <n v="0.2"/>
    <m/>
    <x v="18"/>
  </r>
  <r>
    <n v="822"/>
    <n v="829"/>
    <x v="12"/>
    <d v="2026-02-20T00:00:00"/>
    <d v="2026-02-26T00:00:00"/>
    <x v="1"/>
    <n v="6"/>
    <n v="200"/>
    <x v="0"/>
    <n v="40"/>
    <m/>
    <x v="18"/>
  </r>
  <r>
    <n v="823"/>
    <n v="540"/>
    <x v="3"/>
    <d v="2026-02-21T00:00:00"/>
    <d v="2026-02-23T00:00:00"/>
    <x v="0"/>
    <n v="2"/>
    <n v="22"/>
    <x v="0"/>
    <n v="1.4666666666666666"/>
    <m/>
    <x v="18"/>
  </r>
  <r>
    <n v="824"/>
    <n v="196"/>
    <x v="1"/>
    <d v="2026-02-22T00:00:00"/>
    <d v="2026-02-27T00:00:00"/>
    <x v="1"/>
    <n v="5"/>
    <n v="43"/>
    <x v="0"/>
    <n v="7.166666666666667"/>
    <m/>
    <x v="18"/>
  </r>
  <r>
    <n v="825"/>
    <n v="571"/>
    <x v="5"/>
    <d v="2026-02-22T00:00:00"/>
    <d v="2026-02-25T00:00:00"/>
    <x v="2"/>
    <n v="3"/>
    <n v="109"/>
    <x v="1"/>
    <n v="10.9"/>
    <m/>
    <x v="18"/>
  </r>
  <r>
    <n v="826"/>
    <n v="389"/>
    <x v="2"/>
    <d v="2026-02-23T00:00:00"/>
    <d v="2026-02-28T00:00:00"/>
    <x v="1"/>
    <n v="5"/>
    <n v="12"/>
    <x v="0"/>
    <n v="2"/>
    <m/>
    <x v="18"/>
  </r>
  <r>
    <n v="827"/>
    <n v="155"/>
    <x v="0"/>
    <d v="2026-02-23T00:00:00"/>
    <d v="2026-02-24T00:00:00"/>
    <x v="0"/>
    <n v="1"/>
    <n v="36"/>
    <x v="0"/>
    <n v="1.2"/>
    <m/>
    <x v="18"/>
  </r>
  <r>
    <n v="828"/>
    <n v="881"/>
    <x v="4"/>
    <d v="2026-02-24T00:00:00"/>
    <s v="29/02/2026"/>
    <x v="1"/>
    <n v="5"/>
    <n v="22"/>
    <x v="0"/>
    <n v="3.6666666666666665"/>
    <m/>
    <x v="18"/>
  </r>
  <r>
    <n v="829"/>
    <n v="102"/>
    <x v="6"/>
    <d v="2026-02-25T00:00:00"/>
    <d v="2026-03-03T00:00:00"/>
    <x v="1"/>
    <n v="6"/>
    <n v="55"/>
    <x v="0"/>
    <n v="11"/>
    <m/>
    <x v="18"/>
  </r>
  <r>
    <n v="830"/>
    <n v="342"/>
    <x v="7"/>
    <d v="2026-02-25T00:00:00"/>
    <d v="2026-02-27T00:00:00"/>
    <x v="0"/>
    <n v="2"/>
    <n v="27"/>
    <x v="0"/>
    <n v="1.8"/>
    <m/>
    <x v="18"/>
  </r>
  <r>
    <n v="831"/>
    <n v="189"/>
    <x v="8"/>
    <d v="2026-02-26T00:00:00"/>
    <d v="2026-03-03T00:00:00"/>
    <x v="1"/>
    <n v="5"/>
    <n v="54"/>
    <x v="0"/>
    <n v="9"/>
    <m/>
    <x v="18"/>
  </r>
  <r>
    <n v="832"/>
    <n v="836"/>
    <x v="9"/>
    <d v="2026-02-26T00:00:00"/>
    <d v="2026-02-28T00:00:00"/>
    <x v="0"/>
    <n v="2"/>
    <n v="44"/>
    <x v="0"/>
    <n v="2.9333333333333331"/>
    <m/>
    <x v="18"/>
  </r>
  <r>
    <n v="833"/>
    <n v="14"/>
    <x v="10"/>
    <d v="2026-02-27T00:00:00"/>
    <d v="2026-03-04T00:00:00"/>
    <x v="1"/>
    <n v="5"/>
    <n v="31"/>
    <x v="0"/>
    <n v="5.166666666666667"/>
    <m/>
    <x v="18"/>
  </r>
  <r>
    <n v="834"/>
    <n v="449"/>
    <x v="11"/>
    <d v="2026-02-28T00:00:00"/>
    <d v="2026-03-02T00:00:00"/>
    <x v="0"/>
    <n v="2"/>
    <n v="36"/>
    <x v="0"/>
    <n v="2.4"/>
    <m/>
    <x v="18"/>
  </r>
  <r>
    <n v="835"/>
    <n v="93"/>
    <x v="12"/>
    <d v="2026-02-28T00:00:00"/>
    <d v="2026-03-06T00:00:00"/>
    <x v="1"/>
    <n v="6"/>
    <n v="36"/>
    <x v="0"/>
    <n v="7.1999999999999993"/>
    <m/>
    <x v="18"/>
  </r>
  <r>
    <n v="836"/>
    <n v="738"/>
    <x v="3"/>
    <s v="29/02/2026"/>
    <d v="2026-03-02T00:00:00"/>
    <x v="0"/>
    <n v="2"/>
    <n v="148"/>
    <x v="0"/>
    <n v="9.8666666666666671"/>
    <m/>
    <x v="18"/>
  </r>
  <r>
    <n v="837"/>
    <n v="390"/>
    <x v="1"/>
    <d v="2026-03-01T00:00:00"/>
    <d v="2026-03-06T00:00:00"/>
    <x v="1"/>
    <n v="5"/>
    <n v="43"/>
    <x v="0"/>
    <n v="7.166666666666667"/>
    <m/>
    <x v="18"/>
  </r>
  <r>
    <n v="838"/>
    <n v="582"/>
    <x v="5"/>
    <d v="2026-03-01T00:00:00"/>
    <d v="2026-03-04T00:00:00"/>
    <x v="2"/>
    <n v="3"/>
    <n v="36"/>
    <x v="0"/>
    <n v="3.5999999999999996"/>
    <m/>
    <x v="18"/>
  </r>
  <r>
    <n v="839"/>
    <n v="944"/>
    <x v="2"/>
    <d v="2026-03-02T00:00:00"/>
    <d v="2026-03-07T00:00:00"/>
    <x v="1"/>
    <n v="5"/>
    <n v="111"/>
    <x v="0"/>
    <n v="18.5"/>
    <m/>
    <x v="18"/>
  </r>
  <r>
    <n v="840"/>
    <n v="659"/>
    <x v="0"/>
    <d v="2026-03-02T00:00:00"/>
    <d v="2026-03-03T00:00:00"/>
    <x v="0"/>
    <n v="1"/>
    <n v="15"/>
    <x v="1"/>
    <n v="0.5"/>
    <m/>
    <x v="18"/>
  </r>
  <r>
    <n v="841"/>
    <n v="126"/>
    <x v="4"/>
    <d v="2026-03-03T00:00:00"/>
    <d v="2026-03-08T00:00:00"/>
    <x v="1"/>
    <n v="5"/>
    <n v="4"/>
    <x v="0"/>
    <n v="0.66666666666666663"/>
    <m/>
    <x v="18"/>
  </r>
  <r>
    <n v="842"/>
    <n v="50"/>
    <x v="6"/>
    <d v="2026-03-04T00:00:00"/>
    <d v="2026-03-10T00:00:00"/>
    <x v="1"/>
    <n v="6"/>
    <n v="63"/>
    <x v="1"/>
    <n v="12.600000000000001"/>
    <m/>
    <x v="18"/>
  </r>
  <r>
    <n v="843"/>
    <n v="300"/>
    <x v="7"/>
    <d v="2026-03-04T00:00:00"/>
    <d v="2026-03-06T00:00:00"/>
    <x v="0"/>
    <n v="2"/>
    <n v="21"/>
    <x v="0"/>
    <n v="1.4"/>
    <m/>
    <x v="18"/>
  </r>
  <r>
    <n v="844"/>
    <n v="705"/>
    <x v="8"/>
    <d v="2026-03-05T00:00:00"/>
    <d v="2026-03-10T00:00:00"/>
    <x v="1"/>
    <n v="5"/>
    <n v="25"/>
    <x v="0"/>
    <n v="4.166666666666667"/>
    <m/>
    <x v="18"/>
  </r>
  <r>
    <n v="845"/>
    <n v="435"/>
    <x v="9"/>
    <d v="2026-03-05T00:00:00"/>
    <d v="2026-03-07T00:00:00"/>
    <x v="0"/>
    <n v="2"/>
    <n v="43"/>
    <x v="0"/>
    <n v="2.8666666666666667"/>
    <m/>
    <x v="18"/>
  </r>
  <r>
    <n v="846"/>
    <n v="882"/>
    <x v="10"/>
    <d v="2026-03-06T00:00:00"/>
    <d v="2026-03-11T00:00:00"/>
    <x v="1"/>
    <n v="5"/>
    <n v="110"/>
    <x v="0"/>
    <n v="18.333333333333332"/>
    <m/>
    <x v="18"/>
  </r>
  <r>
    <n v="847"/>
    <n v="564"/>
    <x v="11"/>
    <d v="2026-03-07T00:00:00"/>
    <d v="2026-03-09T00:00:00"/>
    <x v="0"/>
    <n v="2"/>
    <n v="44"/>
    <x v="0"/>
    <n v="2.9333333333333331"/>
    <m/>
    <x v="18"/>
  </r>
  <r>
    <n v="848"/>
    <n v="306"/>
    <x v="12"/>
    <d v="2026-03-07T00:00:00"/>
    <d v="2026-03-13T00:00:00"/>
    <x v="1"/>
    <n v="6"/>
    <n v="44"/>
    <x v="0"/>
    <n v="8.7999999999999989"/>
    <m/>
    <x v="18"/>
  </r>
  <r>
    <n v="849"/>
    <n v="263"/>
    <x v="3"/>
    <d v="2026-03-08T00:00:00"/>
    <d v="2026-03-10T00:00:00"/>
    <x v="0"/>
    <n v="2"/>
    <n v="39"/>
    <x v="0"/>
    <n v="2.6"/>
    <m/>
    <x v="18"/>
  </r>
  <r>
    <n v="850"/>
    <n v="813"/>
    <x v="1"/>
    <d v="2026-03-09T00:00:00"/>
    <d v="2026-03-14T00:00:00"/>
    <x v="1"/>
    <n v="5"/>
    <n v="58"/>
    <x v="0"/>
    <n v="9.6666666666666661"/>
    <m/>
    <x v="18"/>
  </r>
  <r>
    <n v="851"/>
    <n v="758"/>
    <x v="5"/>
    <d v="2026-03-09T00:00:00"/>
    <d v="2026-03-12T00:00:00"/>
    <x v="2"/>
    <n v="3"/>
    <n v="16"/>
    <x v="0"/>
    <n v="1.6"/>
    <m/>
    <x v="18"/>
  </r>
  <r>
    <n v="852"/>
    <n v="874"/>
    <x v="2"/>
    <d v="2026-03-10T00:00:00"/>
    <d v="2026-03-15T00:00:00"/>
    <x v="1"/>
    <n v="5"/>
    <n v="123"/>
    <x v="0"/>
    <n v="20.5"/>
    <m/>
    <x v="18"/>
  </r>
  <r>
    <n v="853"/>
    <n v="431"/>
    <x v="0"/>
    <d v="2026-03-10T00:00:00"/>
    <d v="2026-03-11T00:00:00"/>
    <x v="0"/>
    <n v="1"/>
    <n v="36"/>
    <x v="0"/>
    <n v="1.2"/>
    <m/>
    <x v="18"/>
  </r>
  <r>
    <n v="854"/>
    <n v="111"/>
    <x v="4"/>
    <d v="2026-03-11T00:00:00"/>
    <d v="2026-03-16T00:00:00"/>
    <x v="1"/>
    <n v="5"/>
    <n v="20"/>
    <x v="0"/>
    <n v="3.333333333333333"/>
    <m/>
    <x v="18"/>
  </r>
  <r>
    <n v="855"/>
    <n v="19"/>
    <x v="6"/>
    <d v="2026-03-12T00:00:00"/>
    <d v="2026-03-18T00:00:00"/>
    <x v="1"/>
    <n v="6"/>
    <n v="12"/>
    <x v="1"/>
    <n v="2.4000000000000004"/>
    <m/>
    <x v="18"/>
  </r>
  <r>
    <n v="856"/>
    <n v="708"/>
    <x v="7"/>
    <d v="2026-03-12T00:00:00"/>
    <d v="2026-03-14T00:00:00"/>
    <x v="0"/>
    <n v="2"/>
    <n v="216"/>
    <x v="0"/>
    <n v="14.4"/>
    <m/>
    <x v="18"/>
  </r>
  <r>
    <n v="857"/>
    <n v="371"/>
    <x v="8"/>
    <d v="2026-03-13T00:00:00"/>
    <d v="2026-03-18T00:00:00"/>
    <x v="1"/>
    <n v="5"/>
    <n v="21"/>
    <x v="0"/>
    <n v="3.5"/>
    <m/>
    <x v="18"/>
  </r>
  <r>
    <n v="858"/>
    <n v="611"/>
    <x v="9"/>
    <d v="2026-03-13T00:00:00"/>
    <d v="2026-03-15T00:00:00"/>
    <x v="0"/>
    <n v="2"/>
    <n v="44"/>
    <x v="0"/>
    <n v="2.9333333333333331"/>
    <m/>
    <x v="18"/>
  </r>
  <r>
    <n v="859"/>
    <n v="753"/>
    <x v="10"/>
    <d v="2026-03-14T00:00:00"/>
    <d v="2026-03-19T00:00:00"/>
    <x v="1"/>
    <n v="5"/>
    <n v="148"/>
    <x v="0"/>
    <n v="24.666666666666668"/>
    <m/>
    <x v="18"/>
  </r>
  <r>
    <n v="860"/>
    <n v="922"/>
    <x v="11"/>
    <d v="2026-03-15T00:00:00"/>
    <d v="2026-03-17T00:00:00"/>
    <x v="0"/>
    <n v="2"/>
    <n v="13"/>
    <x v="0"/>
    <n v="0.8666666666666667"/>
    <m/>
    <x v="18"/>
  </r>
  <r>
    <n v="861"/>
    <n v="619"/>
    <x v="12"/>
    <d v="2026-03-15T00:00:00"/>
    <d v="2026-03-21T00:00:00"/>
    <x v="1"/>
    <n v="6"/>
    <n v="126"/>
    <x v="0"/>
    <n v="25.200000000000003"/>
    <m/>
    <x v="18"/>
  </r>
  <r>
    <n v="862"/>
    <n v="546"/>
    <x v="3"/>
    <d v="2026-03-16T00:00:00"/>
    <d v="2026-03-18T00:00:00"/>
    <x v="0"/>
    <n v="2"/>
    <n v="44"/>
    <x v="0"/>
    <n v="2.9333333333333331"/>
    <m/>
    <x v="18"/>
  </r>
  <r>
    <n v="863"/>
    <n v="483"/>
    <x v="1"/>
    <d v="2026-03-17T00:00:00"/>
    <d v="2026-03-22T00:00:00"/>
    <x v="1"/>
    <n v="5"/>
    <n v="118"/>
    <x v="0"/>
    <n v="19.666666666666664"/>
    <m/>
    <x v="18"/>
  </r>
  <r>
    <n v="864"/>
    <n v="865"/>
    <x v="5"/>
    <d v="2026-03-17T00:00:00"/>
    <d v="2026-03-20T00:00:00"/>
    <x v="2"/>
    <n v="3"/>
    <n v="43"/>
    <x v="1"/>
    <n v="4.3"/>
    <m/>
    <x v="18"/>
  </r>
  <r>
    <n v="865"/>
    <n v="223"/>
    <x v="2"/>
    <d v="2026-03-18T00:00:00"/>
    <d v="2026-03-23T00:00:00"/>
    <x v="1"/>
    <n v="5"/>
    <n v="21"/>
    <x v="0"/>
    <n v="3.5"/>
    <m/>
    <x v="18"/>
  </r>
  <r>
    <n v="866"/>
    <n v="118"/>
    <x v="0"/>
    <d v="2026-03-18T00:00:00"/>
    <d v="2026-03-19T00:00:00"/>
    <x v="0"/>
    <n v="1"/>
    <n v="21"/>
    <x v="0"/>
    <n v="0.7"/>
    <m/>
    <x v="18"/>
  </r>
  <r>
    <n v="867"/>
    <n v="553"/>
    <x v="4"/>
    <d v="2026-03-19T00:00:00"/>
    <d v="2026-03-24T00:00:00"/>
    <x v="1"/>
    <n v="5"/>
    <n v="42"/>
    <x v="1"/>
    <n v="7"/>
    <m/>
    <x v="18"/>
  </r>
  <r>
    <n v="868"/>
    <n v="749"/>
    <x v="6"/>
    <d v="2026-03-20T00:00:00"/>
    <d v="2026-03-26T00:00:00"/>
    <x v="1"/>
    <n v="6"/>
    <n v="120"/>
    <x v="0"/>
    <n v="24"/>
    <m/>
    <x v="18"/>
  </r>
  <r>
    <n v="869"/>
    <n v="115"/>
    <x v="7"/>
    <d v="2026-03-20T00:00:00"/>
    <d v="2026-03-22T00:00:00"/>
    <x v="0"/>
    <n v="2"/>
    <n v="22"/>
    <x v="1"/>
    <n v="1.4666666666666666"/>
    <m/>
    <x v="18"/>
  </r>
  <r>
    <n v="870"/>
    <n v="456"/>
    <x v="8"/>
    <d v="2026-03-21T00:00:00"/>
    <d v="2026-03-26T00:00:00"/>
    <x v="1"/>
    <n v="5"/>
    <n v="226"/>
    <x v="0"/>
    <n v="37.666666666666664"/>
    <m/>
    <x v="18"/>
  </r>
  <r>
    <n v="871"/>
    <n v="495"/>
    <x v="9"/>
    <d v="2026-03-21T00:00:00"/>
    <d v="2026-03-23T00:00:00"/>
    <x v="0"/>
    <n v="2"/>
    <n v="22"/>
    <x v="0"/>
    <n v="1.4666666666666666"/>
    <m/>
    <x v="18"/>
  </r>
  <r>
    <n v="872"/>
    <n v="137"/>
    <x v="10"/>
    <d v="2026-03-22T00:00:00"/>
    <d v="2026-03-27T00:00:00"/>
    <x v="1"/>
    <n v="5"/>
    <n v="34"/>
    <x v="0"/>
    <n v="5.6666666666666661"/>
    <m/>
    <x v="18"/>
  </r>
  <r>
    <n v="873"/>
    <n v="307"/>
    <x v="11"/>
    <d v="2026-03-23T00:00:00"/>
    <d v="2026-03-25T00:00:00"/>
    <x v="0"/>
    <n v="2"/>
    <n v="4"/>
    <x v="0"/>
    <n v="0.26666666666666666"/>
    <m/>
    <x v="18"/>
  </r>
  <r>
    <n v="874"/>
    <n v="174"/>
    <x v="12"/>
    <d v="2026-03-23T00:00:00"/>
    <d v="2026-03-29T00:00:00"/>
    <x v="1"/>
    <n v="6"/>
    <n v="42"/>
    <x v="0"/>
    <n v="8.3999999999999986"/>
    <m/>
    <x v="18"/>
  </r>
  <r>
    <n v="875"/>
    <n v="154"/>
    <x v="3"/>
    <d v="2026-03-24T00:00:00"/>
    <d v="2026-03-26T00:00:00"/>
    <x v="0"/>
    <n v="2"/>
    <n v="1"/>
    <x v="0"/>
    <n v="6.6666666666666666E-2"/>
    <m/>
    <x v="18"/>
  </r>
  <r>
    <n v="876"/>
    <n v="999"/>
    <x v="1"/>
    <d v="2026-03-25T00:00:00"/>
    <d v="2026-03-30T00:00:00"/>
    <x v="1"/>
    <n v="5"/>
    <n v="42"/>
    <x v="0"/>
    <n v="7"/>
    <m/>
    <x v="18"/>
  </r>
  <r>
    <n v="877"/>
    <n v="124"/>
    <x v="5"/>
    <d v="2026-03-25T00:00:00"/>
    <d v="2026-03-28T00:00:00"/>
    <x v="2"/>
    <n v="3"/>
    <n v="238"/>
    <x v="0"/>
    <n v="23.8"/>
    <m/>
    <x v="18"/>
  </r>
  <r>
    <n v="878"/>
    <n v="271"/>
    <x v="2"/>
    <d v="2026-03-26T00:00:00"/>
    <d v="2026-03-31T00:00:00"/>
    <x v="1"/>
    <n v="5"/>
    <n v="27"/>
    <x v="0"/>
    <n v="4.5"/>
    <m/>
    <x v="18"/>
  </r>
  <r>
    <n v="879"/>
    <n v="705"/>
    <x v="0"/>
    <d v="2026-03-26T00:00:00"/>
    <d v="2026-03-27T00:00:00"/>
    <x v="0"/>
    <n v="1"/>
    <n v="69"/>
    <x v="0"/>
    <n v="2.2999999999999998"/>
    <m/>
    <x v="18"/>
  </r>
  <r>
    <n v="880"/>
    <n v="597"/>
    <x v="4"/>
    <d v="2026-03-27T00:00:00"/>
    <d v="2026-04-01T00:00:00"/>
    <x v="1"/>
    <n v="5"/>
    <n v="43"/>
    <x v="0"/>
    <n v="7.166666666666667"/>
    <m/>
    <x v="18"/>
  </r>
  <r>
    <n v="881"/>
    <n v="750"/>
    <x v="6"/>
    <d v="2026-03-28T00:00:00"/>
    <d v="2026-04-03T00:00:00"/>
    <x v="1"/>
    <n v="6"/>
    <n v="40"/>
    <x v="0"/>
    <n v="8"/>
    <m/>
    <x v="18"/>
  </r>
  <r>
    <n v="882"/>
    <n v="574"/>
    <x v="7"/>
    <d v="2026-03-28T00:00:00"/>
    <d v="2026-03-30T00:00:00"/>
    <x v="0"/>
    <n v="2"/>
    <n v="44"/>
    <x v="0"/>
    <n v="2.9333333333333331"/>
    <m/>
    <x v="18"/>
  </r>
  <r>
    <n v="883"/>
    <n v="335"/>
    <x v="8"/>
    <d v="2026-03-29T00:00:00"/>
    <d v="2026-04-03T00:00:00"/>
    <x v="1"/>
    <n v="5"/>
    <n v="228"/>
    <x v="1"/>
    <n v="38"/>
    <m/>
    <x v="18"/>
  </r>
  <r>
    <n v="884"/>
    <n v="69"/>
    <x v="9"/>
    <d v="2026-03-29T00:00:00"/>
    <d v="2026-03-31T00:00:00"/>
    <x v="0"/>
    <n v="2"/>
    <n v="14"/>
    <x v="0"/>
    <n v="0.93333333333333335"/>
    <m/>
    <x v="18"/>
  </r>
  <r>
    <n v="885"/>
    <n v="725"/>
    <x v="10"/>
    <d v="2026-03-30T00:00:00"/>
    <d v="2026-04-04T00:00:00"/>
    <x v="1"/>
    <n v="5"/>
    <n v="18"/>
    <x v="0"/>
    <n v="3"/>
    <m/>
    <x v="18"/>
  </r>
  <r>
    <n v="886"/>
    <n v="754"/>
    <x v="11"/>
    <d v="2026-04-01T00:00:00"/>
    <d v="2026-04-03T00:00:00"/>
    <x v="0"/>
    <n v="2"/>
    <n v="42"/>
    <x v="0"/>
    <n v="2.8"/>
    <m/>
    <x v="18"/>
  </r>
  <r>
    <n v="887"/>
    <n v="869"/>
    <x v="12"/>
    <d v="2026-04-01T00:00:00"/>
    <d v="2026-04-07T00:00:00"/>
    <x v="1"/>
    <n v="6"/>
    <n v="109"/>
    <x v="0"/>
    <n v="21.8"/>
    <m/>
    <x v="18"/>
  </r>
  <r>
    <n v="888"/>
    <n v="818"/>
    <x v="3"/>
    <d v="2026-04-02T00:00:00"/>
    <d v="2026-04-04T00:00:00"/>
    <x v="0"/>
    <n v="2"/>
    <n v="42"/>
    <x v="0"/>
    <n v="2.8"/>
    <m/>
    <x v="18"/>
  </r>
  <r>
    <n v="889"/>
    <n v="558"/>
    <x v="1"/>
    <d v="2026-04-03T00:00:00"/>
    <d v="2026-04-08T00:00:00"/>
    <x v="1"/>
    <n v="5"/>
    <n v="10"/>
    <x v="0"/>
    <n v="1.6666666666666665"/>
    <m/>
    <x v="18"/>
  </r>
  <r>
    <n v="890"/>
    <n v="634"/>
    <x v="5"/>
    <d v="2026-04-03T00:00:00"/>
    <d v="2026-04-06T00:00:00"/>
    <x v="2"/>
    <n v="3"/>
    <n v="119"/>
    <x v="0"/>
    <n v="11.9"/>
    <m/>
    <x v="18"/>
  </r>
  <r>
    <n v="891"/>
    <n v="975"/>
    <x v="2"/>
    <d v="2026-04-04T00:00:00"/>
    <d v="2026-04-09T00:00:00"/>
    <x v="1"/>
    <n v="5"/>
    <n v="34"/>
    <x v="0"/>
    <n v="5.6666666666666661"/>
    <m/>
    <x v="18"/>
  </r>
  <r>
    <n v="892"/>
    <n v="409"/>
    <x v="0"/>
    <d v="2026-04-04T00:00:00"/>
    <d v="2026-04-05T00:00:00"/>
    <x v="0"/>
    <n v="1"/>
    <n v="232"/>
    <x v="0"/>
    <n v="7.7333333333333334"/>
    <m/>
    <x v="18"/>
  </r>
  <r>
    <n v="893"/>
    <n v="252"/>
    <x v="4"/>
    <d v="2026-04-05T00:00:00"/>
    <d v="2026-04-10T00:00:00"/>
    <x v="1"/>
    <n v="5"/>
    <n v="41"/>
    <x v="0"/>
    <n v="6.8333333333333339"/>
    <m/>
    <x v="18"/>
  </r>
  <r>
    <n v="894"/>
    <n v="563"/>
    <x v="6"/>
    <d v="2026-04-06T00:00:00"/>
    <d v="2026-04-12T00:00:00"/>
    <x v="1"/>
    <n v="6"/>
    <n v="26"/>
    <x v="0"/>
    <n v="5.2"/>
    <m/>
    <x v="18"/>
  </r>
  <r>
    <n v="895"/>
    <n v="798"/>
    <x v="7"/>
    <d v="2026-04-06T00:00:00"/>
    <d v="2026-04-08T00:00:00"/>
    <x v="0"/>
    <n v="2"/>
    <n v="31"/>
    <x v="0"/>
    <n v="2.0666666666666669"/>
    <m/>
    <x v="18"/>
  </r>
  <r>
    <n v="896"/>
    <n v="572"/>
    <x v="8"/>
    <d v="2026-04-07T00:00:00"/>
    <d v="2026-04-12T00:00:00"/>
    <x v="1"/>
    <n v="5"/>
    <n v="21"/>
    <x v="0"/>
    <n v="3.5"/>
    <m/>
    <x v="18"/>
  </r>
  <r>
    <n v="897"/>
    <n v="425"/>
    <x v="9"/>
    <d v="2026-04-07T00:00:00"/>
    <d v="2026-04-09T00:00:00"/>
    <x v="0"/>
    <n v="2"/>
    <n v="4"/>
    <x v="0"/>
    <n v="0.26666666666666666"/>
    <m/>
    <x v="18"/>
  </r>
  <r>
    <n v="898"/>
    <n v="594"/>
    <x v="10"/>
    <d v="2026-04-08T00:00:00"/>
    <d v="2026-04-13T00:00:00"/>
    <x v="1"/>
    <n v="5"/>
    <n v="13"/>
    <x v="0"/>
    <n v="2.166666666666667"/>
    <m/>
    <x v="18"/>
  </r>
  <r>
    <n v="899"/>
    <n v="500"/>
    <x v="11"/>
    <d v="2026-04-09T00:00:00"/>
    <d v="2026-04-11T00:00:00"/>
    <x v="0"/>
    <n v="2"/>
    <n v="130"/>
    <x v="0"/>
    <n v="8.6666666666666661"/>
    <m/>
    <x v="18"/>
  </r>
  <r>
    <n v="900"/>
    <n v="183"/>
    <x v="12"/>
    <d v="2026-04-09T00:00:00"/>
    <d v="2026-04-15T00:00:00"/>
    <x v="1"/>
    <n v="6"/>
    <n v="32"/>
    <x v="0"/>
    <n v="6.4"/>
    <m/>
    <x v="18"/>
  </r>
  <r>
    <n v="901"/>
    <n v="370"/>
    <x v="3"/>
    <d v="2026-04-10T00:00:00"/>
    <d v="2026-04-12T00:00:00"/>
    <x v="0"/>
    <n v="2"/>
    <n v="143"/>
    <x v="0"/>
    <n v="9.5333333333333332"/>
    <m/>
    <x v="18"/>
  </r>
  <r>
    <n v="902"/>
    <n v="393"/>
    <x v="1"/>
    <d v="2026-04-11T00:00:00"/>
    <d v="2026-04-16T00:00:00"/>
    <x v="1"/>
    <n v="5"/>
    <n v="37"/>
    <x v="0"/>
    <n v="6.166666666666667"/>
    <m/>
    <x v="18"/>
  </r>
  <r>
    <n v="903"/>
    <n v="445"/>
    <x v="5"/>
    <d v="2026-04-11T00:00:00"/>
    <d v="2026-04-14T00:00:00"/>
    <x v="2"/>
    <n v="3"/>
    <n v="216"/>
    <x v="0"/>
    <n v="21.6"/>
    <m/>
    <x v="18"/>
  </r>
  <r>
    <n v="904"/>
    <n v="985"/>
    <x v="2"/>
    <d v="2026-04-12T00:00:00"/>
    <d v="2026-04-17T00:00:00"/>
    <x v="1"/>
    <n v="5"/>
    <n v="38"/>
    <x v="0"/>
    <n v="6.333333333333333"/>
    <m/>
    <x v="18"/>
  </r>
  <r>
    <n v="905"/>
    <n v="310"/>
    <x v="0"/>
    <d v="2026-04-12T00:00:00"/>
    <d v="2026-04-13T00:00:00"/>
    <x v="0"/>
    <n v="1"/>
    <n v="228"/>
    <x v="1"/>
    <n v="7.6"/>
    <m/>
    <x v="18"/>
  </r>
  <r>
    <n v="906"/>
    <n v="301"/>
    <x v="4"/>
    <d v="2026-04-13T00:00:00"/>
    <d v="2026-04-18T00:00:00"/>
    <x v="1"/>
    <n v="5"/>
    <n v="20"/>
    <x v="0"/>
    <n v="3.333333333333333"/>
    <m/>
    <x v="18"/>
  </r>
  <r>
    <n v="907"/>
    <n v="791"/>
    <x v="6"/>
    <d v="2026-04-14T00:00:00"/>
    <d v="2026-04-20T00:00:00"/>
    <x v="1"/>
    <n v="6"/>
    <n v="27"/>
    <x v="0"/>
    <n v="5.4"/>
    <m/>
    <x v="18"/>
  </r>
  <r>
    <n v="908"/>
    <n v="400"/>
    <x v="7"/>
    <d v="2026-04-14T00:00:00"/>
    <d v="2026-04-16T00:00:00"/>
    <x v="0"/>
    <n v="2"/>
    <n v="35"/>
    <x v="0"/>
    <n v="2.3333333333333335"/>
    <m/>
    <x v="18"/>
  </r>
  <r>
    <n v="909"/>
    <n v="36"/>
    <x v="8"/>
    <d v="2026-04-15T00:00:00"/>
    <d v="2026-04-20T00:00:00"/>
    <x v="1"/>
    <n v="5"/>
    <n v="140"/>
    <x v="0"/>
    <n v="23.333333333333336"/>
    <m/>
    <x v="18"/>
  </r>
  <r>
    <n v="910"/>
    <n v="193"/>
    <x v="9"/>
    <d v="2026-04-15T00:00:00"/>
    <d v="2026-04-17T00:00:00"/>
    <x v="0"/>
    <n v="2"/>
    <n v="21"/>
    <x v="0"/>
    <n v="1.4"/>
    <m/>
    <x v="18"/>
  </r>
  <r>
    <n v="911"/>
    <n v="630"/>
    <x v="10"/>
    <d v="2026-04-16T00:00:00"/>
    <d v="2026-04-21T00:00:00"/>
    <x v="1"/>
    <n v="5"/>
    <n v="3"/>
    <x v="1"/>
    <n v="0.5"/>
    <m/>
    <x v="18"/>
  </r>
  <r>
    <n v="912"/>
    <n v="31"/>
    <x v="11"/>
    <d v="2026-04-17T00:00:00"/>
    <d v="2026-04-19T00:00:00"/>
    <x v="0"/>
    <n v="2"/>
    <n v="131"/>
    <x v="0"/>
    <n v="8.7333333333333325"/>
    <m/>
    <x v="18"/>
  </r>
  <r>
    <n v="913"/>
    <n v="292"/>
    <x v="12"/>
    <d v="2026-04-17T00:00:00"/>
    <d v="2026-04-23T00:00:00"/>
    <x v="1"/>
    <n v="6"/>
    <n v="27"/>
    <x v="0"/>
    <n v="5.4"/>
    <m/>
    <x v="18"/>
  </r>
  <r>
    <n v="914"/>
    <n v="131"/>
    <x v="3"/>
    <d v="2026-04-18T00:00:00"/>
    <d v="2026-04-20T00:00:00"/>
    <x v="0"/>
    <n v="2"/>
    <n v="10"/>
    <x v="0"/>
    <n v="0.66666666666666663"/>
    <m/>
    <x v="18"/>
  </r>
  <r>
    <n v="915"/>
    <n v="273"/>
    <x v="1"/>
    <d v="2026-04-19T00:00:00"/>
    <d v="2026-04-24T00:00:00"/>
    <x v="1"/>
    <n v="5"/>
    <n v="175"/>
    <x v="0"/>
    <n v="29.166666666666664"/>
    <m/>
    <x v="18"/>
  </r>
  <r>
    <n v="916"/>
    <n v="683"/>
    <x v="5"/>
    <d v="2026-04-19T00:00:00"/>
    <d v="2026-04-22T00:00:00"/>
    <x v="2"/>
    <n v="3"/>
    <n v="44"/>
    <x v="0"/>
    <n v="4.3999999999999995"/>
    <m/>
    <x v="18"/>
  </r>
  <r>
    <n v="917"/>
    <n v="838"/>
    <x v="2"/>
    <d v="2026-04-20T00:00:00"/>
    <d v="2026-04-25T00:00:00"/>
    <x v="1"/>
    <n v="5"/>
    <n v="26"/>
    <x v="0"/>
    <n v="4.3333333333333339"/>
    <m/>
    <x v="18"/>
  </r>
  <r>
    <n v="918"/>
    <n v="213"/>
    <x v="0"/>
    <d v="2026-04-20T00:00:00"/>
    <d v="2026-04-21T00:00:00"/>
    <x v="0"/>
    <n v="1"/>
    <n v="44"/>
    <x v="0"/>
    <n v="1.4666666666666666"/>
    <m/>
    <x v="18"/>
  </r>
  <r>
    <n v="919"/>
    <n v="316"/>
    <x v="4"/>
    <d v="2026-04-21T00:00:00"/>
    <d v="2026-04-26T00:00:00"/>
    <x v="1"/>
    <n v="5"/>
    <n v="111"/>
    <x v="0"/>
    <n v="18.5"/>
    <m/>
    <x v="18"/>
  </r>
  <r>
    <n v="920"/>
    <n v="499"/>
    <x v="6"/>
    <d v="2026-04-22T00:00:00"/>
    <d v="2026-04-28T00:00:00"/>
    <x v="1"/>
    <n v="6"/>
    <n v="36"/>
    <x v="0"/>
    <n v="7.1999999999999993"/>
    <m/>
    <x v="18"/>
  </r>
  <r>
    <n v="921"/>
    <n v="994"/>
    <x v="7"/>
    <d v="2026-04-22T00:00:00"/>
    <d v="2026-04-24T00:00:00"/>
    <x v="0"/>
    <n v="2"/>
    <n v="20"/>
    <x v="0"/>
    <n v="1.3333333333333333"/>
    <m/>
    <x v="18"/>
  </r>
  <r>
    <n v="922"/>
    <n v="653"/>
    <x v="8"/>
    <d v="2026-04-23T00:00:00"/>
    <d v="2026-04-28T00:00:00"/>
    <x v="1"/>
    <n v="5"/>
    <n v="42"/>
    <x v="0"/>
    <n v="7"/>
    <m/>
    <x v="18"/>
  </r>
  <r>
    <n v="923"/>
    <n v="784"/>
    <x v="9"/>
    <d v="2026-04-23T00:00:00"/>
    <d v="2026-04-25T00:00:00"/>
    <x v="0"/>
    <n v="2"/>
    <n v="38"/>
    <x v="0"/>
    <n v="2.5333333333333332"/>
    <m/>
    <x v="18"/>
  </r>
  <r>
    <n v="924"/>
    <n v="165"/>
    <x v="10"/>
    <d v="2026-04-24T00:00:00"/>
    <d v="2026-04-29T00:00:00"/>
    <x v="1"/>
    <n v="5"/>
    <n v="20"/>
    <x v="0"/>
    <n v="3.333333333333333"/>
    <m/>
    <x v="18"/>
  </r>
  <r>
    <n v="925"/>
    <n v="481"/>
    <x v="11"/>
    <d v="2026-04-25T00:00:00"/>
    <d v="2026-04-27T00:00:00"/>
    <x v="0"/>
    <n v="2"/>
    <n v="12"/>
    <x v="0"/>
    <n v="0.8"/>
    <m/>
    <x v="18"/>
  </r>
  <r>
    <n v="926"/>
    <n v="829"/>
    <x v="12"/>
    <d v="2026-04-25T00:00:00"/>
    <s v="31/04/2026"/>
    <x v="1"/>
    <n v="6"/>
    <n v="36"/>
    <x v="0"/>
    <n v="7.1999999999999993"/>
    <m/>
    <x v="18"/>
  </r>
  <r>
    <n v="927"/>
    <n v="540"/>
    <x v="3"/>
    <d v="2026-04-26T00:00:00"/>
    <d v="2026-04-28T00:00:00"/>
    <x v="0"/>
    <n v="2"/>
    <n v="24"/>
    <x v="0"/>
    <n v="1.6"/>
    <m/>
    <x v="18"/>
  </r>
  <r>
    <n v="928"/>
    <n v="196"/>
    <x v="1"/>
    <d v="2026-04-27T00:00:00"/>
    <d v="2026-05-01T00:00:00"/>
    <x v="1"/>
    <n v="5"/>
    <n v="232"/>
    <x v="0"/>
    <n v="38.666666666666664"/>
    <m/>
    <x v="18"/>
  </r>
  <r>
    <n v="929"/>
    <n v="571"/>
    <x v="5"/>
    <d v="2026-04-27T00:00:00"/>
    <d v="2026-04-30T00:00:00"/>
    <x v="2"/>
    <n v="3"/>
    <n v="27"/>
    <x v="0"/>
    <n v="2.7"/>
    <m/>
    <x v="18"/>
  </r>
  <r>
    <n v="930"/>
    <n v="389"/>
    <x v="2"/>
    <d v="2026-04-28T00:00:00"/>
    <d v="2026-05-03T00:00:00"/>
    <x v="1"/>
    <n v="5"/>
    <n v="31"/>
    <x v="0"/>
    <n v="5.166666666666667"/>
    <m/>
    <x v="18"/>
  </r>
  <r>
    <n v="931"/>
    <n v="155"/>
    <x v="0"/>
    <d v="2026-04-28T00:00:00"/>
    <d v="2026-04-29T00:00:00"/>
    <x v="0"/>
    <n v="1"/>
    <n v="16"/>
    <x v="0"/>
    <n v="0.53333333333333333"/>
    <m/>
    <x v="18"/>
  </r>
  <r>
    <n v="932"/>
    <n v="881"/>
    <x v="4"/>
    <d v="2026-04-29T00:00:00"/>
    <d v="2026-05-04T00:00:00"/>
    <x v="1"/>
    <n v="5"/>
    <n v="22"/>
    <x v="0"/>
    <n v="3.6666666666666665"/>
    <m/>
    <x v="18"/>
  </r>
  <r>
    <n v="933"/>
    <n v="102"/>
    <x v="6"/>
    <d v="2026-04-30T00:00:00"/>
    <d v="2026-05-06T00:00:00"/>
    <x v="1"/>
    <n v="6"/>
    <n v="118"/>
    <x v="0"/>
    <n v="23.599999999999998"/>
    <m/>
    <x v="18"/>
  </r>
  <r>
    <n v="934"/>
    <n v="342"/>
    <x v="7"/>
    <d v="2026-04-30T00:00:00"/>
    <d v="2026-05-02T00:00:00"/>
    <x v="0"/>
    <n v="2"/>
    <n v="44"/>
    <x v="0"/>
    <n v="2.9333333333333331"/>
    <m/>
    <x v="18"/>
  </r>
  <r>
    <n v="935"/>
    <n v="189"/>
    <x v="8"/>
    <s v="31/04/2026"/>
    <d v="2026-05-05T00:00:00"/>
    <x v="1"/>
    <n v="5"/>
    <n v="4"/>
    <x v="1"/>
    <n v="0.66666666666666663"/>
    <m/>
    <x v="18"/>
  </r>
  <r>
    <n v="936"/>
    <n v="836"/>
    <x v="9"/>
    <s v="31/04/2026"/>
    <d v="2026-05-02T00:00:00"/>
    <x v="0"/>
    <n v="2"/>
    <n v="190"/>
    <x v="0"/>
    <n v="12.666666666666666"/>
    <m/>
    <x v="18"/>
  </r>
  <r>
    <n v="937"/>
    <n v="14"/>
    <x v="10"/>
    <d v="2026-05-01T00:00:00"/>
    <d v="2026-05-06T00:00:00"/>
    <x v="1"/>
    <n v="5"/>
    <n v="13"/>
    <x v="0"/>
    <n v="2.166666666666667"/>
    <m/>
    <x v="18"/>
  </r>
  <r>
    <n v="938"/>
    <n v="449"/>
    <x v="11"/>
    <d v="2026-05-02T00:00:00"/>
    <d v="2026-05-04T00:00:00"/>
    <x v="0"/>
    <n v="2"/>
    <n v="126"/>
    <x v="0"/>
    <n v="8.4"/>
    <m/>
    <x v="18"/>
  </r>
  <r>
    <n v="939"/>
    <n v="93"/>
    <x v="12"/>
    <d v="2026-05-02T00:00:00"/>
    <d v="2026-05-08T00:00:00"/>
    <x v="1"/>
    <n v="6"/>
    <n v="44"/>
    <x v="0"/>
    <n v="8.7999999999999989"/>
    <m/>
    <x v="18"/>
  </r>
  <r>
    <n v="940"/>
    <n v="738"/>
    <x v="3"/>
    <d v="2026-05-03T00:00:00"/>
    <d v="2026-05-05T00:00:00"/>
    <x v="0"/>
    <n v="2"/>
    <n v="118"/>
    <x v="0"/>
    <n v="7.8666666666666663"/>
    <m/>
    <x v="18"/>
  </r>
  <r>
    <n v="941"/>
    <n v="390"/>
    <x v="1"/>
    <d v="2026-05-04T00:00:00"/>
    <d v="2026-05-09T00:00:00"/>
    <x v="1"/>
    <n v="5"/>
    <n v="22"/>
    <x v="0"/>
    <n v="3.6666666666666665"/>
    <m/>
    <x v="18"/>
  </r>
  <r>
    <n v="942"/>
    <n v="582"/>
    <x v="5"/>
    <d v="2026-05-04T00:00:00"/>
    <d v="2026-05-07T00:00:00"/>
    <x v="2"/>
    <n v="3"/>
    <n v="42"/>
    <x v="1"/>
    <n v="4.1999999999999993"/>
    <m/>
    <x v="18"/>
  </r>
  <r>
    <n v="943"/>
    <n v="944"/>
    <x v="2"/>
    <d v="2026-05-05T00:00:00"/>
    <d v="2026-05-10T00:00:00"/>
    <x v="1"/>
    <n v="5"/>
    <n v="42"/>
    <x v="1"/>
    <n v="7"/>
    <m/>
    <x v="18"/>
  </r>
  <r>
    <n v="944"/>
    <n v="659"/>
    <x v="0"/>
    <d v="2026-05-05T00:00:00"/>
    <d v="2026-05-06T00:00:00"/>
    <x v="0"/>
    <n v="1"/>
    <n v="111"/>
    <x v="0"/>
    <n v="3.7"/>
    <m/>
    <x v="18"/>
  </r>
  <r>
    <n v="945"/>
    <n v="126"/>
    <x v="4"/>
    <d v="2026-05-06T00:00:00"/>
    <d v="2026-05-11T00:00:00"/>
    <x v="1"/>
    <n v="5"/>
    <n v="42"/>
    <x v="0"/>
    <n v="7"/>
    <m/>
    <x v="18"/>
  </r>
  <r>
    <n v="946"/>
    <n v="50"/>
    <x v="6"/>
    <d v="2026-05-07T00:00:00"/>
    <d v="2026-05-13T00:00:00"/>
    <x v="1"/>
    <n v="6"/>
    <n v="1"/>
    <x v="1"/>
    <n v="0.2"/>
    <m/>
    <x v="18"/>
  </r>
  <r>
    <n v="947"/>
    <n v="300"/>
    <x v="7"/>
    <d v="2026-05-07T00:00:00"/>
    <d v="2026-05-09T00:00:00"/>
    <x v="0"/>
    <n v="2"/>
    <n v="10"/>
    <x v="0"/>
    <n v="0.66666666666666663"/>
    <m/>
    <x v="18"/>
  </r>
  <r>
    <n v="948"/>
    <n v="705"/>
    <x v="8"/>
    <d v="2026-05-08T00:00:00"/>
    <d v="2026-05-13T00:00:00"/>
    <x v="1"/>
    <n v="5"/>
    <n v="41"/>
    <x v="0"/>
    <n v="6.8333333333333339"/>
    <m/>
    <x v="18"/>
  </r>
  <r>
    <n v="949"/>
    <n v="435"/>
    <x v="9"/>
    <d v="2026-05-08T00:00:00"/>
    <d v="2026-05-10T00:00:00"/>
    <x v="0"/>
    <n v="2"/>
    <n v="120"/>
    <x v="0"/>
    <n v="8"/>
    <m/>
    <x v="18"/>
  </r>
  <r>
    <n v="950"/>
    <n v="882"/>
    <x v="10"/>
    <d v="2026-05-09T00:00:00"/>
    <d v="2026-05-14T00:00:00"/>
    <x v="1"/>
    <n v="5"/>
    <n v="22"/>
    <x v="0"/>
    <n v="3.6666666666666665"/>
    <m/>
    <x v="18"/>
  </r>
  <r>
    <n v="951"/>
    <n v="564"/>
    <x v="11"/>
    <d v="2026-05-10T00:00:00"/>
    <d v="2026-05-12T00:00:00"/>
    <x v="0"/>
    <n v="2"/>
    <n v="226"/>
    <x v="0"/>
    <n v="15.066666666666666"/>
    <m/>
    <x v="18"/>
  </r>
  <r>
    <n v="952"/>
    <n v="306"/>
    <x v="12"/>
    <d v="2026-05-10T00:00:00"/>
    <d v="2026-05-16T00:00:00"/>
    <x v="1"/>
    <n v="6"/>
    <n v="22"/>
    <x v="0"/>
    <n v="4.3999999999999995"/>
    <m/>
    <x v="18"/>
  </r>
  <r>
    <n v="953"/>
    <n v="263"/>
    <x v="3"/>
    <d v="2026-05-11T00:00:00"/>
    <d v="2026-05-13T00:00:00"/>
    <x v="0"/>
    <n v="2"/>
    <n v="73"/>
    <x v="0"/>
    <n v="4.8666666666666663"/>
    <m/>
    <x v="18"/>
  </r>
  <r>
    <n v="954"/>
    <n v="813"/>
    <x v="1"/>
    <d v="2026-05-12T00:00:00"/>
    <d v="2026-05-17T00:00:00"/>
    <x v="1"/>
    <n v="5"/>
    <n v="34"/>
    <x v="0"/>
    <n v="5.6666666666666661"/>
    <m/>
    <x v="18"/>
  </r>
  <r>
    <n v="955"/>
    <n v="758"/>
    <x v="5"/>
    <d v="2026-05-12T00:00:00"/>
    <d v="2026-05-15T00:00:00"/>
    <x v="2"/>
    <n v="3"/>
    <n v="110"/>
    <x v="0"/>
    <n v="11"/>
    <m/>
    <x v="18"/>
  </r>
  <r>
    <n v="956"/>
    <n v="874"/>
    <x v="2"/>
    <d v="2026-05-13T00:00:00"/>
    <d v="2026-05-18T00:00:00"/>
    <x v="1"/>
    <n v="5"/>
    <n v="2"/>
    <x v="0"/>
    <n v="0.33333333333333331"/>
    <m/>
    <x v="18"/>
  </r>
  <r>
    <n v="957"/>
    <n v="431"/>
    <x v="0"/>
    <d v="2026-05-13T00:00:00"/>
    <d v="2026-05-14T00:00:00"/>
    <x v="0"/>
    <n v="1"/>
    <n v="14"/>
    <x v="0"/>
    <n v="0.46666666666666667"/>
    <m/>
    <x v="18"/>
  </r>
  <r>
    <n v="958"/>
    <n v="111"/>
    <x v="4"/>
    <d v="2026-05-14T00:00:00"/>
    <d v="2026-05-19T00:00:00"/>
    <x v="1"/>
    <n v="5"/>
    <n v="34"/>
    <x v="0"/>
    <n v="5.6666666666666661"/>
    <m/>
    <x v="18"/>
  </r>
  <r>
    <n v="959"/>
    <n v="19"/>
    <x v="6"/>
    <d v="2026-05-15T00:00:00"/>
    <d v="2026-05-21T00:00:00"/>
    <x v="1"/>
    <n v="6"/>
    <n v="63"/>
    <x v="0"/>
    <n v="12.600000000000001"/>
    <m/>
    <x v="18"/>
  </r>
  <r>
    <n v="960"/>
    <n v="708"/>
    <x v="7"/>
    <d v="2026-05-15T00:00:00"/>
    <d v="2026-05-17T00:00:00"/>
    <x v="0"/>
    <n v="2"/>
    <n v="1"/>
    <x v="0"/>
    <n v="6.6666666666666666E-2"/>
    <m/>
    <x v="18"/>
  </r>
  <r>
    <n v="961"/>
    <n v="371"/>
    <x v="8"/>
    <d v="2026-05-16T00:00:00"/>
    <d v="2026-05-21T00:00:00"/>
    <x v="1"/>
    <n v="5"/>
    <n v="42"/>
    <x v="0"/>
    <n v="7"/>
    <m/>
    <x v="18"/>
  </r>
  <r>
    <n v="962"/>
    <n v="611"/>
    <x v="9"/>
    <d v="2026-05-16T00:00:00"/>
    <d v="2026-05-18T00:00:00"/>
    <x v="0"/>
    <n v="2"/>
    <n v="43"/>
    <x v="0"/>
    <n v="2.8666666666666667"/>
    <m/>
    <x v="18"/>
  </r>
  <r>
    <n v="963"/>
    <n v="753"/>
    <x v="10"/>
    <d v="2026-05-17T00:00:00"/>
    <d v="2026-05-22T00:00:00"/>
    <x v="1"/>
    <n v="5"/>
    <n v="40"/>
    <x v="0"/>
    <n v="6.6666666666666661"/>
    <m/>
    <x v="18"/>
  </r>
  <r>
    <n v="964"/>
    <n v="922"/>
    <x v="11"/>
    <d v="2026-05-18T00:00:00"/>
    <d v="2026-05-20T00:00:00"/>
    <x v="0"/>
    <n v="2"/>
    <n v="44"/>
    <x v="0"/>
    <n v="2.9333333333333331"/>
    <m/>
    <x v="18"/>
  </r>
  <r>
    <n v="965"/>
    <n v="619"/>
    <x v="12"/>
    <d v="2026-05-18T00:00:00"/>
    <d v="2026-05-24T00:00:00"/>
    <x v="1"/>
    <n v="6"/>
    <n v="228"/>
    <x v="0"/>
    <n v="45.599999999999994"/>
    <m/>
    <x v="18"/>
  </r>
  <r>
    <n v="966"/>
    <n v="546"/>
    <x v="3"/>
    <d v="2026-05-19T00:00:00"/>
    <d v="2026-05-21T00:00:00"/>
    <x v="0"/>
    <n v="2"/>
    <n v="14"/>
    <x v="0"/>
    <n v="0.93333333333333335"/>
    <m/>
    <x v="18"/>
  </r>
  <r>
    <n v="967"/>
    <n v="483"/>
    <x v="1"/>
    <d v="2026-05-20T00:00:00"/>
    <d v="2026-05-25T00:00:00"/>
    <x v="1"/>
    <n v="5"/>
    <n v="18"/>
    <x v="0"/>
    <n v="3"/>
    <m/>
    <x v="18"/>
  </r>
  <r>
    <n v="968"/>
    <n v="312"/>
    <x v="5"/>
    <d v="2026-08-16T00:00:00"/>
    <d v="2026-08-19T00:00:00"/>
    <x v="2"/>
    <n v="3"/>
    <n v="56"/>
    <x v="0"/>
    <n v="5.6"/>
    <m/>
    <x v="18"/>
  </r>
  <r>
    <n v="969"/>
    <n v="770"/>
    <x v="2"/>
    <d v="2026-08-17T00:00:00"/>
    <d v="2026-08-22T00:00:00"/>
    <x v="1"/>
    <n v="5"/>
    <n v="42"/>
    <x v="0"/>
    <n v="7"/>
    <m/>
    <x v="18"/>
  </r>
  <r>
    <n v="970"/>
    <n v="49"/>
    <x v="0"/>
    <d v="2026-08-17T00:00:00"/>
    <d v="2026-08-18T00:00:00"/>
    <x v="0"/>
    <n v="1"/>
    <n v="109"/>
    <x v="0"/>
    <n v="3.6333333333333333"/>
    <m/>
    <x v="18"/>
  </r>
  <r>
    <n v="971"/>
    <n v="622"/>
    <x v="4"/>
    <d v="2026-08-18T00:00:00"/>
    <d v="2026-08-23T00:00:00"/>
    <x v="1"/>
    <n v="5"/>
    <n v="42"/>
    <x v="0"/>
    <n v="7"/>
    <m/>
    <x v="18"/>
  </r>
  <r>
    <n v="972"/>
    <n v="359"/>
    <x v="6"/>
    <d v="2026-08-19T00:00:00"/>
    <d v="2026-08-25T00:00:00"/>
    <x v="1"/>
    <n v="6"/>
    <n v="10"/>
    <x v="0"/>
    <n v="2"/>
    <m/>
    <x v="18"/>
  </r>
  <r>
    <n v="973"/>
    <n v="927"/>
    <x v="7"/>
    <d v="2026-08-19T00:00:00"/>
    <d v="2026-08-21T00:00:00"/>
    <x v="0"/>
    <n v="2"/>
    <n v="119"/>
    <x v="0"/>
    <n v="7.9333333333333336"/>
    <m/>
    <x v="18"/>
  </r>
  <r>
    <n v="974"/>
    <n v="201"/>
    <x v="8"/>
    <d v="2026-08-20T00:00:00"/>
    <d v="2026-08-25T00:00:00"/>
    <x v="1"/>
    <n v="5"/>
    <n v="34"/>
    <x v="0"/>
    <n v="5.6666666666666661"/>
    <m/>
    <x v="18"/>
  </r>
  <r>
    <n v="975"/>
    <n v="744"/>
    <x v="9"/>
    <d v="2026-08-20T00:00:00"/>
    <d v="2026-08-22T00:00:00"/>
    <x v="0"/>
    <n v="2"/>
    <n v="232"/>
    <x v="0"/>
    <n v="15.466666666666667"/>
    <m/>
    <x v="18"/>
  </r>
  <r>
    <n v="976"/>
    <n v="410"/>
    <x v="10"/>
    <d v="2026-08-21T00:00:00"/>
    <d v="2026-08-26T00:00:00"/>
    <x v="1"/>
    <n v="5"/>
    <n v="41"/>
    <x v="0"/>
    <n v="6.8333333333333339"/>
    <m/>
    <x v="18"/>
  </r>
  <r>
    <n v="977"/>
    <n v="132"/>
    <x v="11"/>
    <d v="2026-08-22T00:00:00"/>
    <d v="2026-08-24T00:00:00"/>
    <x v="0"/>
    <n v="2"/>
    <n v="26"/>
    <x v="0"/>
    <n v="1.7333333333333334"/>
    <m/>
    <x v="18"/>
  </r>
  <r>
    <n v="978"/>
    <n v="40"/>
    <x v="12"/>
    <d v="2026-08-22T00:00:00"/>
    <d v="2026-08-28T00:00:00"/>
    <x v="1"/>
    <n v="6"/>
    <n v="31"/>
    <x v="0"/>
    <n v="6.2000000000000011"/>
    <m/>
    <x v="18"/>
  </r>
  <r>
    <n v="979"/>
    <n v="531"/>
    <x v="3"/>
    <d v="2026-08-23T00:00:00"/>
    <d v="2026-08-25T00:00:00"/>
    <x v="0"/>
    <n v="2"/>
    <n v="31"/>
    <x v="1"/>
    <n v="2.0666666666666669"/>
    <m/>
    <x v="18"/>
  </r>
  <r>
    <n v="980"/>
    <n v="422"/>
    <x v="1"/>
    <d v="2026-08-24T00:00:00"/>
    <d v="2026-08-29T00:00:00"/>
    <x v="1"/>
    <n v="5"/>
    <n v="21"/>
    <x v="0"/>
    <n v="3.5"/>
    <m/>
    <x v="18"/>
  </r>
  <r>
    <n v="981"/>
    <n v="42"/>
    <x v="5"/>
    <d v="2026-08-24T00:00:00"/>
    <d v="2026-08-27T00:00:00"/>
    <x v="2"/>
    <n v="3"/>
    <n v="4"/>
    <x v="0"/>
    <n v="0.4"/>
    <m/>
    <x v="18"/>
  </r>
  <r>
    <n v="982"/>
    <n v="53"/>
    <x v="2"/>
    <d v="2026-08-25T00:00:00"/>
    <d v="2026-08-30T00:00:00"/>
    <x v="1"/>
    <n v="5"/>
    <n v="13"/>
    <x v="0"/>
    <n v="2.166666666666667"/>
    <m/>
    <x v="18"/>
  </r>
  <r>
    <n v="983"/>
    <n v="184"/>
    <x v="0"/>
    <d v="2026-08-25T00:00:00"/>
    <d v="2026-08-26T00:00:00"/>
    <x v="0"/>
    <n v="1"/>
    <n v="130"/>
    <x v="0"/>
    <n v="4.333333333333333"/>
    <m/>
    <x v="18"/>
  </r>
  <r>
    <n v="984"/>
    <n v="241"/>
    <x v="4"/>
    <d v="2026-08-26T00:00:00"/>
    <d v="2026-08-31T00:00:00"/>
    <x v="1"/>
    <n v="5"/>
    <n v="32"/>
    <x v="0"/>
    <n v="5.333333333333333"/>
    <m/>
    <x v="18"/>
  </r>
  <r>
    <n v="985"/>
    <n v="803"/>
    <x v="6"/>
    <d v="2026-08-27T00:00:00"/>
    <d v="2026-09-02T00:00:00"/>
    <x v="1"/>
    <n v="6"/>
    <n v="143"/>
    <x v="0"/>
    <n v="28.6"/>
    <m/>
    <x v="18"/>
  </r>
  <r>
    <n v="986"/>
    <n v="528"/>
    <x v="7"/>
    <d v="2026-08-27T00:00:00"/>
    <d v="2026-08-29T00:00:00"/>
    <x v="0"/>
    <n v="2"/>
    <n v="37"/>
    <x v="0"/>
    <n v="2.4666666666666668"/>
    <m/>
    <x v="18"/>
  </r>
  <r>
    <n v="987"/>
    <n v="835"/>
    <x v="8"/>
    <d v="2026-08-28T00:00:00"/>
    <d v="2026-09-02T00:00:00"/>
    <x v="1"/>
    <n v="5"/>
    <n v="216"/>
    <x v="0"/>
    <n v="36"/>
    <m/>
    <x v="18"/>
  </r>
  <r>
    <n v="988"/>
    <n v="608"/>
    <x v="9"/>
    <d v="2026-08-28T00:00:00"/>
    <d v="2026-08-30T00:00:00"/>
    <x v="0"/>
    <n v="2"/>
    <n v="38"/>
    <x v="0"/>
    <n v="2.5333333333333332"/>
    <m/>
    <x v="18"/>
  </r>
  <r>
    <n v="989"/>
    <n v="451"/>
    <x v="10"/>
    <d v="2026-08-29T00:00:00"/>
    <d v="2026-09-03T00:00:00"/>
    <x v="1"/>
    <n v="5"/>
    <n v="27"/>
    <x v="0"/>
    <n v="4.5"/>
    <m/>
    <x v="18"/>
  </r>
  <r>
    <n v="990"/>
    <n v="328"/>
    <x v="11"/>
    <d v="2026-08-30T00:00:00"/>
    <d v="2026-09-01T00:00:00"/>
    <x v="0"/>
    <n v="2"/>
    <n v="35"/>
    <x v="0"/>
    <n v="2.3333333333333335"/>
    <m/>
    <x v="18"/>
  </r>
  <r>
    <n v="991"/>
    <n v="62"/>
    <x v="12"/>
    <d v="2026-08-30T00:00:00"/>
    <d v="2026-09-05T00:00:00"/>
    <x v="1"/>
    <n v="6"/>
    <n v="140"/>
    <x v="0"/>
    <n v="28"/>
    <m/>
    <x v="18"/>
  </r>
  <r>
    <n v="992"/>
    <n v="308"/>
    <x v="3"/>
    <d v="2026-08-31T00:00:00"/>
    <d v="2026-09-02T00:00:00"/>
    <x v="0"/>
    <n v="2"/>
    <n v="21"/>
    <x v="0"/>
    <n v="1.4"/>
    <m/>
    <x v="18"/>
  </r>
  <r>
    <n v="993"/>
    <n v="429"/>
    <x v="1"/>
    <d v="2026-09-01T00:00:00"/>
    <d v="2026-09-06T00:00:00"/>
    <x v="1"/>
    <n v="5"/>
    <n v="3"/>
    <x v="1"/>
    <n v="0.5"/>
    <m/>
    <x v="18"/>
  </r>
  <r>
    <n v="994"/>
    <n v="158"/>
    <x v="5"/>
    <d v="2026-09-01T00:00:00"/>
    <d v="2026-09-04T00:00:00"/>
    <x v="2"/>
    <n v="3"/>
    <n v="131"/>
    <x v="0"/>
    <n v="13.099999999999998"/>
    <m/>
    <x v="18"/>
  </r>
  <r>
    <n v="995"/>
    <n v="74"/>
    <x v="2"/>
    <d v="2026-09-02T00:00:00"/>
    <d v="2026-09-07T00:00:00"/>
    <x v="1"/>
    <n v="5"/>
    <n v="27"/>
    <x v="0"/>
    <n v="4.5"/>
    <m/>
    <x v="18"/>
  </r>
  <r>
    <n v="996"/>
    <n v="151"/>
    <x v="0"/>
    <d v="2026-09-02T00:00:00"/>
    <d v="2026-09-03T00:00:00"/>
    <x v="0"/>
    <n v="1"/>
    <n v="10"/>
    <x v="0"/>
    <n v="0.33333333333333331"/>
    <m/>
    <x v="18"/>
  </r>
  <r>
    <n v="997"/>
    <n v="294"/>
    <x v="4"/>
    <d v="2026-09-03T00:00:00"/>
    <d v="2026-09-08T00:00:00"/>
    <x v="1"/>
    <n v="5"/>
    <n v="175"/>
    <x v="0"/>
    <n v="29.166666666666664"/>
    <m/>
    <x v="18"/>
  </r>
  <r>
    <n v="998"/>
    <n v="401"/>
    <x v="6"/>
    <d v="2026-09-04T00:00:00"/>
    <d v="2026-09-10T00:00:00"/>
    <x v="1"/>
    <n v="6"/>
    <n v="44"/>
    <x v="0"/>
    <n v="8.7999999999999989"/>
    <m/>
    <x v="18"/>
  </r>
  <r>
    <n v="999"/>
    <n v="562"/>
    <x v="7"/>
    <d v="2026-09-04T00:00:00"/>
    <d v="2026-09-06T00:00:00"/>
    <x v="0"/>
    <n v="2"/>
    <n v="26"/>
    <x v="0"/>
    <n v="1.7333333333333334"/>
    <m/>
    <x v="18"/>
  </r>
  <r>
    <n v="1000"/>
    <n v="129"/>
    <x v="8"/>
    <d v="2026-09-05T00:00:00"/>
    <d v="2026-09-10T00:00:00"/>
    <x v="1"/>
    <n v="5"/>
    <n v="44"/>
    <x v="0"/>
    <n v="7.333333333333333"/>
    <m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n v="1"/>
    <n v="482"/>
    <x v="0"/>
    <d v="2025-01-03T00:00:00"/>
    <m/>
    <s v="Emergency"/>
    <n v="2"/>
    <n v="122"/>
    <s v="Discharged"/>
    <n v="8.1333333333333329"/>
    <s v="03/01/2025A&amp;E (Emergency)"/>
    <n v="22"/>
    <n v="42"/>
  </r>
  <r>
    <n v="2"/>
    <n v="119"/>
    <x v="1"/>
    <d v="2025-01-04T00:00:00"/>
    <d v="2025-01-09T00:00:00"/>
    <s v="Elective"/>
    <n v="5"/>
    <n v="14"/>
    <s v="Discharged"/>
    <n v="2.3333333333333335"/>
    <s v="04/01/2025General Surgery"/>
    <n v="15"/>
    <n v="44"/>
  </r>
  <r>
    <n v="3"/>
    <n v="877"/>
    <x v="2"/>
    <d v="2025-01-05T00:00:00"/>
    <d v="2025-01-12T00:00:00"/>
    <s v="Elective"/>
    <n v="7"/>
    <n v="20"/>
    <s v="Discharged"/>
    <n v="4.6666666666666661"/>
    <s v="05/01/2025Oncology"/>
    <n v="12"/>
    <n v="28"/>
  </r>
  <r>
    <n v="4"/>
    <n v="54"/>
    <x v="3"/>
    <d v="2025-01-06T00:00:00"/>
    <d v="2025-01-08T00:00:00"/>
    <s v="Emergency"/>
    <n v="2"/>
    <n v="230"/>
    <s v="Discharged"/>
    <n v="15.333333333333334"/>
    <s v="06/01/2025Respiratory"/>
    <n v="15"/>
    <n v="36"/>
  </r>
  <r>
    <n v="5"/>
    <n v="691"/>
    <x v="4"/>
    <d v="2025-01-06T00:00:00"/>
    <d v="2025-01-11T00:00:00"/>
    <s v="Elective"/>
    <n v="5"/>
    <n v="10"/>
    <s v="Transferred"/>
    <n v="1.6666666666666665"/>
    <s v="06/01/2025Renal Medicine"/>
    <n v="21"/>
    <n v="26"/>
  </r>
  <r>
    <n v="6"/>
    <n v="305"/>
    <x v="5"/>
    <d v="2025-01-07T00:00:00"/>
    <d v="2025-01-10T00:00:00"/>
    <s v="Transfer"/>
    <n v="3"/>
    <n v="35"/>
    <s v="Discharged"/>
    <n v="3.5"/>
    <s v="07/01/2025Cardiology"/>
    <n v="17"/>
    <n v="38"/>
  </r>
  <r>
    <n v="7"/>
    <n v="812"/>
    <x v="6"/>
    <d v="2025-01-08T00:00:00"/>
    <d v="2025-01-14T00:00:00"/>
    <s v="Elective"/>
    <n v="6"/>
    <n v="2"/>
    <s v="Discharged"/>
    <n v="0.4"/>
    <s v="08/01/2025Neurology"/>
    <n v="12"/>
    <n v="32"/>
  </r>
  <r>
    <n v="8"/>
    <n v="147"/>
    <x v="0"/>
    <d v="2025-01-08T00:00:00"/>
    <d v="2025-01-09T00:00:00"/>
    <s v="Emergency"/>
    <n v="1"/>
    <n v="21"/>
    <s v="Discharged"/>
    <n v="0.7"/>
    <s v="08/01/2025A&amp;E (Emergency)"/>
    <n v="24"/>
    <n v="42"/>
  </r>
  <r>
    <n v="9"/>
    <n v="529"/>
    <x v="7"/>
    <d v="2025-01-09T00:00:00"/>
    <d v="2025-01-13T00:00:00"/>
    <s v="Elective"/>
    <n v="4"/>
    <n v="29"/>
    <s v="Discharged"/>
    <n v="3.8666666666666667"/>
    <s v="09/01/2025Maternity"/>
    <n v="12"/>
    <n v="34"/>
  </r>
  <r>
    <n v="10"/>
    <n v="63"/>
    <x v="8"/>
    <d v="2025-01-10T00:00:00"/>
    <d v="2025-01-15T00:00:00"/>
    <s v="Elective"/>
    <n v="5"/>
    <n v="20"/>
    <s v="Discharged"/>
    <n v="3.333333333333333"/>
    <s v="10/01/2025Orthopaedics"/>
    <n v="13"/>
    <n v="40"/>
  </r>
  <r>
    <n v="11"/>
    <n v="914"/>
    <x v="9"/>
    <d v="2025-01-10T00:00:00"/>
    <d v="2025-01-12T00:00:00"/>
    <s v="Emergency"/>
    <n v="2"/>
    <n v="77"/>
    <s v="Discharged"/>
    <n v="5.1333333333333337"/>
    <s v="10/01/2025Paediatrics"/>
    <n v="10"/>
    <n v="30"/>
  </r>
  <r>
    <n v="12"/>
    <n v="372"/>
    <x v="10"/>
    <d v="2025-01-11T00:00:00"/>
    <d v="2025-01-16T00:00:00"/>
    <s v="Elective"/>
    <n v="5"/>
    <n v="43"/>
    <s v="Discharged"/>
    <n v="7.166666666666667"/>
    <s v="11/01/2025Gastroenterology"/>
    <n v="7"/>
    <n v="29"/>
  </r>
  <r>
    <n v="13"/>
    <n v="250"/>
    <x v="11"/>
    <d v="2025-01-12T00:00:00"/>
    <d v="2025-01-14T00:00:00"/>
    <s v="Emergency"/>
    <n v="2"/>
    <n v="238"/>
    <s v="Discharged"/>
    <n v="15.866666666666667"/>
    <s v="12/01/2025ENT"/>
    <n v="10"/>
    <n v="20"/>
  </r>
  <r>
    <n v="14"/>
    <n v="701"/>
    <x v="12"/>
    <d v="2025-01-12T00:00:00"/>
    <d v="2025-01-18T00:00:00"/>
    <s v="Elective"/>
    <n v="6"/>
    <n v="41"/>
    <s v="Discharged"/>
    <n v="8.1999999999999993"/>
    <s v="12/01/2025Geriatrics"/>
    <n v="12"/>
    <n v="46"/>
  </r>
  <r>
    <n v="15"/>
    <n v="84"/>
    <x v="3"/>
    <d v="2025-01-13T00:00:00"/>
    <d v="2025-01-15T00:00:00"/>
    <s v="Emergency"/>
    <n v="2"/>
    <n v="207"/>
    <s v="Discharged"/>
    <n v="13.8"/>
    <s v="13/01/2025Respiratory"/>
    <n v="15"/>
    <n v="36"/>
  </r>
  <r>
    <n v="16"/>
    <n v="560"/>
    <x v="1"/>
    <d v="2025-01-14T00:00:00"/>
    <d v="2025-01-19T00:00:00"/>
    <s v="Elective"/>
    <n v="5"/>
    <n v="43"/>
    <s v="Discharged"/>
    <n v="7.166666666666667"/>
    <s v="14/01/2025General Surgery"/>
    <n v="20"/>
    <n v="44"/>
  </r>
  <r>
    <n v="17"/>
    <n v="933"/>
    <x v="5"/>
    <d v="2025-01-14T00:00:00"/>
    <d v="2025-01-17T00:00:00"/>
    <s v="Transfer"/>
    <n v="3"/>
    <n v="2"/>
    <s v="Transferred"/>
    <n v="0.2"/>
    <s v="14/01/2025Cardiology"/>
    <n v="17"/>
    <n v="38"/>
  </r>
  <r>
    <n v="18"/>
    <n v="318"/>
    <x v="2"/>
    <d v="2025-01-15T00:00:00"/>
    <d v="2025-01-20T00:00:00"/>
    <s v="Elective"/>
    <n v="5"/>
    <n v="6"/>
    <s v="Discharged"/>
    <n v="1"/>
    <s v="15/01/2025Oncology"/>
    <n v="16"/>
    <n v="28"/>
  </r>
  <r>
    <n v="19"/>
    <n v="41"/>
    <x v="0"/>
    <d v="2025-01-15T00:00:00"/>
    <d v="2025-01-16T00:00:00"/>
    <s v="Emergency"/>
    <n v="1"/>
    <n v="186"/>
    <s v="Discharged"/>
    <n v="6.2"/>
    <s v="15/01/2025A&amp;E (Emergency)"/>
    <n v="24"/>
    <n v="42"/>
  </r>
  <r>
    <n v="20"/>
    <n v="688"/>
    <x v="4"/>
    <d v="2025-01-16T00:00:00"/>
    <d v="2025-01-21T00:00:00"/>
    <s v="Elective"/>
    <n v="5"/>
    <n v="24"/>
    <s v="Transferred"/>
    <n v="4"/>
    <s v="16/01/2025Renal Medicine"/>
    <n v="19"/>
    <n v="26"/>
  </r>
  <r>
    <n v="21"/>
    <n v="502"/>
    <x v="6"/>
    <d v="2025-01-17T00:00:00"/>
    <d v="2025-01-23T00:00:00"/>
    <s v="Elective"/>
    <n v="6"/>
    <n v="8"/>
    <s v="Discharged"/>
    <n v="1.6"/>
    <s v="17/01/2025Neurology"/>
    <n v="11"/>
    <n v="32"/>
  </r>
  <r>
    <n v="22"/>
    <n v="159"/>
    <x v="7"/>
    <d v="2025-01-17T00:00:00"/>
    <d v="2025-01-19T00:00:00"/>
    <s v="Emergency"/>
    <n v="2"/>
    <n v="149"/>
    <s v="Discharged"/>
    <n v="9.9333333333333336"/>
    <s v="17/01/2025Maternity"/>
    <n v="11"/>
    <n v="34"/>
  </r>
  <r>
    <n v="23"/>
    <n v="847"/>
    <x v="8"/>
    <d v="2025-01-18T00:00:00"/>
    <d v="2025-01-23T00:00:00"/>
    <s v="Elective"/>
    <n v="5"/>
    <n v="6"/>
    <s v="Discharged"/>
    <n v="1"/>
    <s v="18/01/2025Orthopaedics"/>
    <n v="11"/>
    <n v="40"/>
  </r>
  <r>
    <n v="24"/>
    <n v="294"/>
    <x v="9"/>
    <d v="2025-01-18T00:00:00"/>
    <d v="2025-01-20T00:00:00"/>
    <s v="Emergency"/>
    <n v="2"/>
    <n v="27"/>
    <s v="Discharged"/>
    <n v="1.8"/>
    <s v="18/01/2025Paediatrics"/>
    <n v="9"/>
    <n v="30"/>
  </r>
  <r>
    <n v="25"/>
    <n v="763"/>
    <x v="10"/>
    <d v="2025-01-19T00:00:00"/>
    <d v="2025-01-24T00:00:00"/>
    <s v="Elective"/>
    <n v="5"/>
    <n v="13"/>
    <s v="Discharged"/>
    <n v="2.166666666666667"/>
    <s v="19/01/2025Gastroenterology"/>
    <n v="7"/>
    <n v="29"/>
  </r>
  <r>
    <n v="26"/>
    <n v="37"/>
    <x v="11"/>
    <d v="2025-01-20T00:00:00"/>
    <d v="2025-01-22T00:00:00"/>
    <s v="Emergency"/>
    <n v="2"/>
    <n v="69"/>
    <s v="Discharged"/>
    <n v="4.5999999999999996"/>
    <s v="20/01/2025ENT"/>
    <n v="13"/>
    <n v="20"/>
  </r>
  <r>
    <n v="27"/>
    <n v="580"/>
    <x v="12"/>
    <d v="2025-01-20T00:00:00"/>
    <d v="2025-01-26T00:00:00"/>
    <s v="Elective"/>
    <n v="6"/>
    <n v="1"/>
    <s v="Discharged"/>
    <n v="0.2"/>
    <s v="20/01/2025Geriatrics"/>
    <n v="16"/>
    <n v="46"/>
  </r>
  <r>
    <n v="28"/>
    <n v="421"/>
    <x v="3"/>
    <d v="2025-01-21T00:00:00"/>
    <d v="2025-01-23T00:00:00"/>
    <s v="Emergency"/>
    <n v="2"/>
    <n v="73"/>
    <s v="Discharged"/>
    <n v="4.8666666666666663"/>
    <s v="21/01/2025Respiratory"/>
    <n v="14"/>
    <n v="36"/>
  </r>
  <r>
    <n v="29"/>
    <n v="906"/>
    <x v="1"/>
    <d v="2025-01-22T00:00:00"/>
    <d v="2025-01-27T00:00:00"/>
    <s v="Elective"/>
    <n v="5"/>
    <n v="28"/>
    <s v="Transferred"/>
    <n v="4.666666666666667"/>
    <s v="22/01/2025General Surgery"/>
    <n v="19"/>
    <n v="44"/>
  </r>
  <r>
    <n v="30"/>
    <n v="178"/>
    <x v="5"/>
    <d v="2025-01-22T00:00:00"/>
    <d v="2025-01-25T00:00:00"/>
    <s v="Transfer"/>
    <n v="3"/>
    <n v="25"/>
    <s v="Discharged"/>
    <n v="2.5"/>
    <s v="22/01/2025Cardiology"/>
    <n v="16"/>
    <n v="38"/>
  </r>
  <r>
    <n v="31"/>
    <n v="664"/>
    <x v="2"/>
    <d v="2025-01-23T00:00:00"/>
    <d v="2025-01-28T00:00:00"/>
    <s v="Elective"/>
    <n v="5"/>
    <n v="43"/>
    <s v="Discharged"/>
    <n v="7.166666666666667"/>
    <s v="23/01/2025Oncology"/>
    <n v="16"/>
    <n v="28"/>
  </r>
  <r>
    <n v="32"/>
    <n v="323"/>
    <x v="0"/>
    <d v="2025-01-23T00:00:00"/>
    <d v="2025-01-24T00:00:00"/>
    <s v="Emergency"/>
    <n v="1"/>
    <n v="120"/>
    <s v="Transferred"/>
    <n v="4"/>
    <s v="23/01/2025A&amp;E (Emergency)"/>
    <n v="23"/>
    <n v="42"/>
  </r>
  <r>
    <n v="33"/>
    <n v="391"/>
    <x v="4"/>
    <d v="2025-01-24T00:00:00"/>
    <d v="2025-01-29T00:00:00"/>
    <s v="Elective"/>
    <n v="5"/>
    <n v="44"/>
    <s v="Discharged"/>
    <n v="7.333333333333333"/>
    <s v="24/01/2025Renal Medicine"/>
    <n v="18"/>
    <n v="26"/>
  </r>
  <r>
    <n v="34"/>
    <n v="606"/>
    <x v="6"/>
    <d v="2025-01-25T00:00:00"/>
    <d v="2025-01-31T00:00:00"/>
    <s v="Elective"/>
    <n v="6"/>
    <n v="27"/>
    <s v="Discharged"/>
    <n v="5.4"/>
    <s v="25/01/2025Neurology"/>
    <n v="9"/>
    <n v="32"/>
  </r>
  <r>
    <n v="35"/>
    <n v="394"/>
    <x v="7"/>
    <d v="2025-01-25T00:00:00"/>
    <d v="2025-01-27T00:00:00"/>
    <s v="Emergency"/>
    <n v="2"/>
    <n v="55"/>
    <s v="Discharged"/>
    <n v="3.6666666666666665"/>
    <s v="25/01/2025Maternity"/>
    <n v="10"/>
    <n v="34"/>
  </r>
  <r>
    <n v="36"/>
    <n v="654"/>
    <x v="8"/>
    <d v="2025-01-26T00:00:00"/>
    <d v="2025-01-31T00:00:00"/>
    <s v="Elective"/>
    <n v="5"/>
    <n v="13"/>
    <s v="Discharged"/>
    <n v="2.166666666666667"/>
    <s v="26/01/2025Orthopaedics"/>
    <n v="10"/>
    <n v="40"/>
  </r>
  <r>
    <n v="37"/>
    <n v="639"/>
    <x v="9"/>
    <d v="2025-01-26T00:00:00"/>
    <d v="2025-01-28T00:00:00"/>
    <s v="Emergency"/>
    <n v="2"/>
    <n v="119"/>
    <s v="Discharged"/>
    <n v="7.9333333333333336"/>
    <s v="26/01/2025Paediatrics"/>
    <n v="8"/>
    <n v="30"/>
  </r>
  <r>
    <n v="38"/>
    <n v="459"/>
    <x v="10"/>
    <d v="2025-01-27T00:00:00"/>
    <d v="2025-02-01T00:00:00"/>
    <s v="Elective"/>
    <n v="5"/>
    <n v="17"/>
    <s v="Discharged"/>
    <n v="2.833333333333333"/>
    <s v="27/01/2025Gastroenterology"/>
    <n v="12"/>
    <n v="29"/>
  </r>
  <r>
    <n v="39"/>
    <n v="53"/>
    <x v="11"/>
    <d v="2025-01-28T00:00:00"/>
    <d v="2025-01-30T00:00:00"/>
    <s v="Emergency"/>
    <n v="2"/>
    <n v="42"/>
    <s v="Discharged"/>
    <n v="2.8"/>
    <s v="28/01/2025ENT"/>
    <n v="12"/>
    <n v="20"/>
  </r>
  <r>
    <n v="40"/>
    <n v="551"/>
    <x v="12"/>
    <d v="2025-01-28T00:00:00"/>
    <d v="2025-02-03T00:00:00"/>
    <s v="Elective"/>
    <n v="6"/>
    <n v="38"/>
    <s v="Discharged"/>
    <n v="7.6"/>
    <s v="28/01/2025Geriatrics"/>
    <n v="15"/>
    <n v="46"/>
  </r>
  <r>
    <n v="41"/>
    <n v="402"/>
    <x v="3"/>
    <d v="2025-01-29T00:00:00"/>
    <d v="2025-01-31T00:00:00"/>
    <s v="Emergency"/>
    <n v="2"/>
    <n v="216"/>
    <s v="Discharged"/>
    <n v="14.4"/>
    <s v="29/01/2025Respiratory"/>
    <n v="13"/>
    <n v="36"/>
  </r>
  <r>
    <n v="42"/>
    <n v="883"/>
    <x v="1"/>
    <d v="2025-01-30T00:00:00"/>
    <d v="2025-02-04T00:00:00"/>
    <s v="Elective"/>
    <n v="5"/>
    <n v="5"/>
    <s v="Discharged"/>
    <n v="0.83333333333333326"/>
    <s v="30/01/2025General Surgery"/>
    <n v="19"/>
    <n v="44"/>
  </r>
  <r>
    <n v="43"/>
    <n v="842"/>
    <x v="5"/>
    <d v="2025-01-30T00:00:00"/>
    <d v="2025-02-02T00:00:00"/>
    <s v="Transfer"/>
    <n v="3"/>
    <n v="32"/>
    <s v="Discharged"/>
    <n v="3.2"/>
    <s v="30/01/2025Cardiology"/>
    <n v="16"/>
    <n v="38"/>
  </r>
  <r>
    <n v="44"/>
    <n v="557"/>
    <x v="2"/>
    <d v="2025-01-31T00:00:00"/>
    <d v="2025-02-05T00:00:00"/>
    <s v="Elective"/>
    <n v="5"/>
    <n v="41"/>
    <s v="Discharged"/>
    <n v="6.8333333333333339"/>
    <s v="31/01/2025Oncology"/>
    <n v="15"/>
    <n v="28"/>
  </r>
  <r>
    <n v="45"/>
    <n v="618"/>
    <x v="0"/>
    <d v="2025-01-31T00:00:00"/>
    <d v="2025-02-01T00:00:00"/>
    <s v="Emergency"/>
    <n v="1"/>
    <n v="148"/>
    <s v="Discharged"/>
    <n v="4.9333333333333336"/>
    <s v="31/01/2025A&amp;E (Emergency)"/>
    <n v="22"/>
    <n v="42"/>
  </r>
  <r>
    <n v="46"/>
    <n v="675"/>
    <x v="4"/>
    <d v="2025-02-01T00:00:00"/>
    <d v="2025-02-06T00:00:00"/>
    <s v="Elective"/>
    <n v="5"/>
    <n v="23"/>
    <s v="Discharged"/>
    <n v="3.8333333333333335"/>
    <s v="01/02/2025Renal Medicine"/>
    <n v="17"/>
    <n v="26"/>
  </r>
  <r>
    <n v="47"/>
    <n v="56"/>
    <x v="6"/>
    <d v="2025-02-02T00:00:00"/>
    <d v="2025-02-08T00:00:00"/>
    <s v="Elective"/>
    <n v="6"/>
    <n v="28"/>
    <s v="Discharged"/>
    <n v="5.6"/>
    <s v="02/02/2025Neurology"/>
    <n v="9"/>
    <n v="32"/>
  </r>
  <r>
    <n v="48"/>
    <n v="779"/>
    <x v="7"/>
    <d v="2025-02-02T00:00:00"/>
    <d v="2025-02-04T00:00:00"/>
    <s v="Emergency"/>
    <n v="2"/>
    <n v="143"/>
    <s v="Discharged"/>
    <n v="9.5333333333333332"/>
    <s v="02/02/2025Maternity"/>
    <n v="9"/>
    <n v="34"/>
  </r>
  <r>
    <n v="49"/>
    <n v="602"/>
    <x v="8"/>
    <d v="2025-02-03T00:00:00"/>
    <d v="2025-02-08T00:00:00"/>
    <s v="Elective"/>
    <n v="5"/>
    <n v="1"/>
    <s v="Discharged"/>
    <n v="0.16666666666666666"/>
    <s v="03/02/2025Orthopaedics"/>
    <n v="16"/>
    <n v="40"/>
  </r>
  <r>
    <n v="50"/>
    <n v="919"/>
    <x v="9"/>
    <d v="2025-02-03T00:00:00"/>
    <d v="2025-02-05T00:00:00"/>
    <s v="Emergency"/>
    <n v="2"/>
    <n v="187"/>
    <s v="Discharged"/>
    <n v="12.466666666666667"/>
    <s v="03/02/2025Paediatrics"/>
    <n v="13"/>
    <n v="30"/>
  </r>
  <r>
    <n v="51"/>
    <n v="964"/>
    <x v="10"/>
    <d v="2025-02-04T00:00:00"/>
    <d v="2025-02-09T00:00:00"/>
    <s v="Elective"/>
    <n v="5"/>
    <n v="4"/>
    <s v="Discharged"/>
    <n v="0.66666666666666663"/>
    <s v="04/02/2025Gastroenterology"/>
    <n v="11"/>
    <n v="29"/>
  </r>
  <r>
    <n v="52"/>
    <n v="569"/>
    <x v="11"/>
    <d v="2025-02-05T00:00:00"/>
    <d v="2025-02-07T00:00:00"/>
    <s v="Emergency"/>
    <n v="2"/>
    <n v="131"/>
    <s v="Discharged"/>
    <n v="8.7333333333333325"/>
    <s v="05/02/2025ENT"/>
    <n v="12"/>
    <n v="20"/>
  </r>
  <r>
    <n v="53"/>
    <n v="191"/>
    <x v="12"/>
    <d v="2025-02-05T00:00:00"/>
    <d v="2025-02-11T00:00:00"/>
    <s v="Elective"/>
    <n v="6"/>
    <n v="27"/>
    <s v="Discharged"/>
    <n v="5.4"/>
    <s v="05/02/2025Geriatrics"/>
    <n v="14"/>
    <n v="46"/>
  </r>
  <r>
    <n v="54"/>
    <n v="166"/>
    <x v="3"/>
    <d v="2025-02-06T00:00:00"/>
    <d v="2025-02-08T00:00:00"/>
    <s v="Emergency"/>
    <n v="2"/>
    <n v="111"/>
    <s v="Discharged"/>
    <n v="7.4"/>
    <s v="06/02/2025Respiratory"/>
    <n v="13"/>
    <n v="36"/>
  </r>
  <r>
    <n v="55"/>
    <n v="873"/>
    <x v="1"/>
    <d v="2025-02-07T00:00:00"/>
    <d v="2025-02-12T00:00:00"/>
    <s v="Elective"/>
    <n v="5"/>
    <n v="19"/>
    <s v="Discharged"/>
    <n v="3.1666666666666665"/>
    <s v="07/02/2025General Surgery"/>
    <n v="18"/>
    <n v="44"/>
  </r>
  <r>
    <n v="56"/>
    <n v="926"/>
    <x v="5"/>
    <d v="2025-02-07T00:00:00"/>
    <d v="2025-02-10T00:00:00"/>
    <s v="Transfer"/>
    <n v="3"/>
    <n v="40"/>
    <s v="Discharged"/>
    <n v="4"/>
    <s v="07/02/2025Cardiology"/>
    <n v="15"/>
    <n v="38"/>
  </r>
  <r>
    <n v="57"/>
    <n v="329"/>
    <x v="2"/>
    <d v="2025-02-08T00:00:00"/>
    <d v="2025-02-13T00:00:00"/>
    <s v="Elective"/>
    <n v="5"/>
    <n v="11"/>
    <s v="Discharged"/>
    <n v="1.8333333333333333"/>
    <s v="08/02/2025Oncology"/>
    <n v="13"/>
    <n v="28"/>
  </r>
  <r>
    <n v="58"/>
    <n v="401"/>
    <x v="0"/>
    <d v="2025-02-08T00:00:00"/>
    <d v="2025-02-09T00:00:00"/>
    <s v="Emergency"/>
    <n v="1"/>
    <n v="192"/>
    <s v="Discharged"/>
    <n v="6.4"/>
    <s v="08/02/2025A&amp;E (Emergency)"/>
    <n v="20"/>
    <n v="42"/>
  </r>
  <r>
    <n v="59"/>
    <n v="325"/>
    <x v="4"/>
    <d v="2025-02-09T00:00:00"/>
    <d v="2025-02-14T00:00:00"/>
    <s v="Elective"/>
    <n v="5"/>
    <n v="22"/>
    <s v="Transferred"/>
    <n v="3.6666666666666665"/>
    <s v="09/02/2025Renal Medicine"/>
    <n v="17"/>
    <n v="26"/>
  </r>
  <r>
    <n v="60"/>
    <n v="910"/>
    <x v="6"/>
    <d v="2025-02-10T00:00:00"/>
    <d v="2025-02-16T00:00:00"/>
    <s v="Elective"/>
    <n v="6"/>
    <n v="43"/>
    <s v="Discharged"/>
    <n v="8.6"/>
    <s v="10/02/2025Neurology"/>
    <n v="14"/>
    <n v="32"/>
  </r>
  <r>
    <n v="61"/>
    <n v="844"/>
    <x v="7"/>
    <d v="2025-02-10T00:00:00"/>
    <d v="2025-02-12T00:00:00"/>
    <s v="Emergency"/>
    <n v="2"/>
    <n v="126"/>
    <s v="Discharged"/>
    <n v="8.4"/>
    <s v="10/02/2025Maternity"/>
    <n v="13"/>
    <n v="34"/>
  </r>
  <r>
    <n v="62"/>
    <n v="568"/>
    <x v="8"/>
    <d v="2025-02-11T00:00:00"/>
    <d v="2025-02-16T00:00:00"/>
    <s v="Elective"/>
    <n v="5"/>
    <n v="22"/>
    <s v="Discharged"/>
    <n v="3.6666666666666665"/>
    <s v="11/02/2025Orthopaedics"/>
    <n v="15"/>
    <n v="40"/>
  </r>
  <r>
    <n v="63"/>
    <n v="702"/>
    <x v="9"/>
    <d v="2025-02-11T00:00:00"/>
    <d v="2025-02-13T00:00:00"/>
    <s v="Emergency"/>
    <n v="2"/>
    <n v="120"/>
    <s v="Discharged"/>
    <n v="8"/>
    <s v="11/02/2025Paediatrics"/>
    <n v="12"/>
    <n v="30"/>
  </r>
  <r>
    <n v="64"/>
    <n v="577"/>
    <x v="10"/>
    <d v="2025-02-12T00:00:00"/>
    <d v="2025-02-17T00:00:00"/>
    <s v="Elective"/>
    <n v="5"/>
    <n v="44"/>
    <s v="Discharged"/>
    <n v="7.333333333333333"/>
    <s v="12/02/2025Gastroenterology"/>
    <n v="10"/>
    <n v="29"/>
  </r>
  <r>
    <n v="65"/>
    <n v="58"/>
    <x v="11"/>
    <d v="2025-02-13T00:00:00"/>
    <d v="2025-02-15T00:00:00"/>
    <s v="Emergency"/>
    <n v="2"/>
    <n v="130"/>
    <s v="Discharged"/>
    <n v="8.6666666666666661"/>
    <s v="13/02/2025ENT"/>
    <n v="12"/>
    <n v="20"/>
  </r>
  <r>
    <n v="66"/>
    <n v="547"/>
    <x v="12"/>
    <d v="2025-02-13T00:00:00"/>
    <d v="2025-02-19T00:00:00"/>
    <s v="Elective"/>
    <n v="6"/>
    <n v="35"/>
    <s v="Discharged"/>
    <n v="7"/>
    <s v="13/02/2025Geriatrics"/>
    <n v="14"/>
    <n v="46"/>
  </r>
  <r>
    <n v="67"/>
    <n v="617"/>
    <x v="3"/>
    <d v="2025-02-14T00:00:00"/>
    <d v="2025-02-16T00:00:00"/>
    <s v="Emergency"/>
    <n v="2"/>
    <n v="228"/>
    <s v="Transferred"/>
    <n v="15.2"/>
    <s v="14/02/2025Respiratory"/>
    <n v="12"/>
    <n v="36"/>
  </r>
  <r>
    <n v="68"/>
    <n v="555"/>
    <x v="1"/>
    <d v="2025-02-15T00:00:00"/>
    <d v="2025-02-20T00:00:00"/>
    <s v="Elective"/>
    <n v="5"/>
    <n v="11"/>
    <s v="Discharged"/>
    <n v="1.8333333333333333"/>
    <s v="15/02/2025General Surgery"/>
    <n v="15"/>
    <n v="44"/>
  </r>
  <r>
    <n v="69"/>
    <n v="762"/>
    <x v="5"/>
    <d v="2025-02-15T00:00:00"/>
    <d v="2025-02-18T00:00:00"/>
    <s v="Transfer"/>
    <n v="3"/>
    <n v="56"/>
    <s v="Transferred"/>
    <n v="5.6"/>
    <s v="15/02/2025Cardiology"/>
    <n v="12"/>
    <n v="38"/>
  </r>
  <r>
    <n v="70"/>
    <n v="724"/>
    <x v="2"/>
    <d v="2025-02-16T00:00:00"/>
    <d v="2025-02-21T00:00:00"/>
    <s v="Elective"/>
    <n v="5"/>
    <n v="41"/>
    <s v="Discharged"/>
    <n v="6.8333333333333339"/>
    <s v="16/02/2025Oncology"/>
    <n v="12"/>
    <n v="28"/>
  </r>
  <r>
    <n v="71"/>
    <n v="833"/>
    <x v="0"/>
    <d v="2025-02-16T00:00:00"/>
    <d v="2025-02-17T00:00:00"/>
    <s v="Emergency"/>
    <n v="1"/>
    <n v="34"/>
    <s v="Discharged"/>
    <n v="1.1333333333333333"/>
    <s v="16/02/2025A&amp;E (Emergency)"/>
    <n v="19"/>
    <n v="42"/>
  </r>
  <r>
    <n v="72"/>
    <n v="408"/>
    <x v="4"/>
    <d v="2025-02-17T00:00:00"/>
    <d v="2025-02-22T00:00:00"/>
    <s v="Elective"/>
    <n v="5"/>
    <n v="42"/>
    <s v="Discharged"/>
    <n v="7"/>
    <s v="17/02/2025Renal Medicine"/>
    <n v="21"/>
    <n v="26"/>
  </r>
  <r>
    <n v="73"/>
    <n v="61"/>
    <x v="6"/>
    <d v="2025-02-18T00:00:00"/>
    <d v="2025-02-24T00:00:00"/>
    <s v="Elective"/>
    <n v="6"/>
    <n v="27"/>
    <s v="Discharged"/>
    <n v="5.4"/>
    <s v="18/02/2025Neurology"/>
    <n v="13"/>
    <n v="32"/>
  </r>
  <r>
    <n v="74"/>
    <n v="68"/>
    <x v="7"/>
    <d v="2025-02-18T00:00:00"/>
    <d v="2025-02-20T00:00:00"/>
    <s v="Emergency"/>
    <n v="2"/>
    <n v="103"/>
    <s v="Discharged"/>
    <n v="6.8666666666666663"/>
    <s v="18/02/2025Maternity"/>
    <n v="12"/>
    <n v="34"/>
  </r>
  <r>
    <n v="75"/>
    <n v="992"/>
    <x v="8"/>
    <d v="2025-02-19T00:00:00"/>
    <d v="2025-02-24T00:00:00"/>
    <s v="Elective"/>
    <n v="5"/>
    <n v="44"/>
    <s v="Discharged"/>
    <n v="7.333333333333333"/>
    <s v="19/02/2025Orthopaedics"/>
    <n v="14"/>
    <n v="40"/>
  </r>
  <r>
    <n v="76"/>
    <n v="734"/>
    <x v="9"/>
    <d v="2025-02-19T00:00:00"/>
    <d v="2025-02-21T00:00:00"/>
    <s v="Emergency"/>
    <n v="2"/>
    <n v="207"/>
    <s v="Discharged"/>
    <n v="13.8"/>
    <s v="19/02/2025Paediatrics"/>
    <n v="11"/>
    <n v="30"/>
  </r>
  <r>
    <n v="77"/>
    <n v="651"/>
    <x v="10"/>
    <d v="2025-02-20T00:00:00"/>
    <d v="2025-02-25T00:00:00"/>
    <s v="Elective"/>
    <n v="5"/>
    <n v="42"/>
    <s v="Discharged"/>
    <n v="7"/>
    <s v="20/02/2025Gastroenterology"/>
    <n v="10"/>
    <n v="29"/>
  </r>
  <r>
    <n v="78"/>
    <n v="442"/>
    <x v="11"/>
    <d v="2025-02-21T00:00:00"/>
    <d v="2025-02-23T00:00:00"/>
    <s v="Emergency"/>
    <n v="2"/>
    <n v="38"/>
    <s v="Discharged"/>
    <n v="2.5333333333333332"/>
    <s v="21/02/2025ENT"/>
    <n v="11"/>
    <n v="20"/>
  </r>
  <r>
    <n v="79"/>
    <n v="646"/>
    <x v="12"/>
    <d v="2025-02-21T00:00:00"/>
    <d v="2025-02-27T00:00:00"/>
    <s v="Elective"/>
    <n v="6"/>
    <n v="43"/>
    <s v="Discharged"/>
    <n v="8.6"/>
    <s v="21/02/2025Geriatrics"/>
    <n v="13"/>
    <n v="46"/>
  </r>
  <r>
    <n v="80"/>
    <n v="214"/>
    <x v="3"/>
    <d v="2025-02-22T00:00:00"/>
    <d v="2025-02-24T00:00:00"/>
    <s v="Emergency"/>
    <n v="2"/>
    <n v="228"/>
    <s v="Discharged"/>
    <n v="15.2"/>
    <s v="22/02/2025Respiratory"/>
    <n v="9"/>
    <n v="36"/>
  </r>
  <r>
    <n v="81"/>
    <n v="209"/>
    <x v="1"/>
    <d v="2025-02-23T00:00:00"/>
    <d v="2025-02-28T00:00:00"/>
    <s v="Elective"/>
    <n v="5"/>
    <n v="45"/>
    <s v="Discharged"/>
    <n v="7.5"/>
    <s v="23/02/2025General Surgery"/>
    <n v="14"/>
    <n v="44"/>
  </r>
  <r>
    <n v="82"/>
    <n v="752"/>
    <x v="5"/>
    <d v="2025-02-23T00:00:00"/>
    <d v="2025-02-26T00:00:00"/>
    <s v="Transfer"/>
    <n v="3"/>
    <n v="34"/>
    <s v="Discharged"/>
    <n v="3.4"/>
    <s v="23/02/2025Cardiology"/>
    <n v="11"/>
    <n v="38"/>
  </r>
  <r>
    <n v="83"/>
    <n v="439"/>
    <x v="2"/>
    <d v="2025-02-24T00:00:00"/>
    <d v="2025-03-01T00:00:00"/>
    <s v="Elective"/>
    <n v="5"/>
    <n v="28"/>
    <s v="Discharged"/>
    <n v="4.666666666666667"/>
    <s v="24/02/2025Oncology"/>
    <n v="18"/>
    <n v="28"/>
  </r>
  <r>
    <n v="84"/>
    <n v="815"/>
    <x v="0"/>
    <d v="2025-02-24T00:00:00"/>
    <d v="2025-02-25T00:00:00"/>
    <s v="Emergency"/>
    <n v="1"/>
    <n v="154"/>
    <s v="Discharged"/>
    <n v="5.1333333333333337"/>
    <s v="24/02/2025A&amp;E (Emergency)"/>
    <n v="27"/>
    <n v="42"/>
  </r>
  <r>
    <n v="85"/>
    <n v="861"/>
    <x v="4"/>
    <d v="2025-02-25T00:00:00"/>
    <d v="2025-03-02T00:00:00"/>
    <s v="Elective"/>
    <n v="5"/>
    <n v="20"/>
    <s v="Discharged"/>
    <n v="3.333333333333333"/>
    <s v="25/02/2025Renal Medicine"/>
    <n v="20"/>
    <n v="26"/>
  </r>
  <r>
    <n v="86"/>
    <n v="220"/>
    <x v="6"/>
    <d v="2025-02-26T00:00:00"/>
    <d v="2025-03-04T00:00:00"/>
    <s v="Elective"/>
    <n v="6"/>
    <n v="32"/>
    <s v="Discharged"/>
    <n v="6.4"/>
    <s v="26/02/2025Neurology"/>
    <n v="12"/>
    <n v="32"/>
  </r>
  <r>
    <n v="87"/>
    <n v="83"/>
    <x v="7"/>
    <d v="2025-02-26T00:00:00"/>
    <d v="2025-02-28T00:00:00"/>
    <s v="Emergency"/>
    <n v="2"/>
    <n v="185"/>
    <s v="Discharged"/>
    <n v="12.333333333333334"/>
    <s v="26/02/2025Maternity"/>
    <n v="12"/>
    <n v="34"/>
  </r>
  <r>
    <n v="88"/>
    <n v="380"/>
    <x v="8"/>
    <d v="2025-02-27T00:00:00"/>
    <d v="2025-03-04T00:00:00"/>
    <s v="Elective"/>
    <n v="5"/>
    <n v="6"/>
    <s v="Transferred"/>
    <n v="1"/>
    <s v="27/02/2025Orthopaedics"/>
    <n v="14"/>
    <n v="40"/>
  </r>
  <r>
    <n v="89"/>
    <n v="686"/>
    <x v="9"/>
    <d v="2025-02-27T00:00:00"/>
    <d v="2025-03-01T00:00:00"/>
    <s v="Emergency"/>
    <n v="2"/>
    <n v="99"/>
    <s v="Transferred"/>
    <n v="6.6"/>
    <s v="27/02/2025Paediatrics"/>
    <n v="11"/>
    <n v="30"/>
  </r>
  <r>
    <n v="90"/>
    <n v="344"/>
    <x v="10"/>
    <d v="2025-02-28T00:00:00"/>
    <d v="2025-03-05T00:00:00"/>
    <s v="Elective"/>
    <n v="5"/>
    <n v="38"/>
    <s v="Discharged"/>
    <n v="6.333333333333333"/>
    <s v="28/02/2025Gastroenterology"/>
    <n v="9"/>
    <n v="29"/>
  </r>
  <r>
    <n v="91"/>
    <n v="489"/>
    <x v="11"/>
    <d v="2025-03-01T00:00:00"/>
    <d v="2025-03-03T00:00:00"/>
    <s v="Emergency"/>
    <n v="2"/>
    <n v="189"/>
    <s v="Discharged"/>
    <n v="12.6"/>
    <s v="01/03/2025ENT"/>
    <n v="10"/>
    <n v="20"/>
  </r>
  <r>
    <n v="92"/>
    <n v="604"/>
    <x v="12"/>
    <d v="2025-03-01T00:00:00"/>
    <d v="2025-03-07T00:00:00"/>
    <s v="Elective"/>
    <n v="6"/>
    <n v="12"/>
    <s v="Discharged"/>
    <n v="2.4000000000000004"/>
    <s v="01/03/2025Geriatrics"/>
    <n v="12"/>
    <n v="46"/>
  </r>
  <r>
    <n v="93"/>
    <n v="313"/>
    <x v="3"/>
    <d v="2025-03-02T00:00:00"/>
    <d v="2025-03-04T00:00:00"/>
    <s v="Emergency"/>
    <n v="2"/>
    <n v="175"/>
    <s v="Discharged"/>
    <n v="11.666666666666666"/>
    <s v="02/03/2025Respiratory"/>
    <n v="9"/>
    <n v="36"/>
  </r>
  <r>
    <n v="94"/>
    <n v="360"/>
    <x v="1"/>
    <d v="2025-03-03T00:00:00"/>
    <d v="2025-03-08T00:00:00"/>
    <s v="Elective"/>
    <n v="5"/>
    <n v="27"/>
    <s v="Discharged"/>
    <n v="4.5"/>
    <s v="03/03/2025General Surgery"/>
    <n v="22"/>
    <n v="44"/>
  </r>
  <r>
    <n v="95"/>
    <n v="504"/>
    <x v="5"/>
    <d v="2025-03-03T00:00:00"/>
    <d v="2025-03-06T00:00:00"/>
    <s v="Transfer"/>
    <n v="3"/>
    <n v="27"/>
    <s v="Discharged"/>
    <n v="2.7"/>
    <s v="03/03/2025Cardiology"/>
    <n v="18"/>
    <n v="38"/>
  </r>
  <r>
    <n v="96"/>
    <n v="819"/>
    <x v="2"/>
    <d v="2025-03-04T00:00:00"/>
    <d v="2025-03-09T00:00:00"/>
    <s v="Elective"/>
    <n v="5"/>
    <n v="44"/>
    <s v="Discharged"/>
    <n v="7.333333333333333"/>
    <s v="04/03/2025Oncology"/>
    <n v="17"/>
    <n v="28"/>
  </r>
  <r>
    <n v="97"/>
    <n v="552"/>
    <x v="0"/>
    <d v="2025-03-04T00:00:00"/>
    <d v="2025-03-05T00:00:00"/>
    <s v="Emergency"/>
    <n v="1"/>
    <n v="24"/>
    <s v="Discharged"/>
    <n v="0.8"/>
    <s v="04/03/2025A&amp;E (Emergency)"/>
    <n v="25"/>
    <n v="42"/>
  </r>
  <r>
    <n v="98"/>
    <n v="71"/>
    <x v="4"/>
    <d v="2025-03-05T00:00:00"/>
    <d v="2025-03-10T00:00:00"/>
    <s v="Elective"/>
    <n v="5"/>
    <n v="37"/>
    <s v="Discharged"/>
    <n v="6.166666666666667"/>
    <s v="05/03/2025Renal Medicine"/>
    <n v="19"/>
    <n v="26"/>
  </r>
  <r>
    <n v="99"/>
    <n v="709"/>
    <x v="6"/>
    <d v="2025-03-06T00:00:00"/>
    <d v="2025-03-12T00:00:00"/>
    <s v="Elective"/>
    <n v="6"/>
    <n v="43"/>
    <s v="Discharged"/>
    <n v="8.6"/>
    <s v="06/03/2025Neurology"/>
    <n v="12"/>
    <n v="32"/>
  </r>
  <r>
    <n v="100"/>
    <n v="534"/>
    <x v="7"/>
    <d v="2025-03-06T00:00:00"/>
    <d v="2025-03-08T00:00:00"/>
    <s v="Emergency"/>
    <n v="2"/>
    <n v="148"/>
    <s v="Discharged"/>
    <n v="9.8666666666666671"/>
    <s v="06/03/2025Maternity"/>
    <n v="12"/>
    <n v="34"/>
  </r>
  <r>
    <n v="101"/>
    <n v="624"/>
    <x v="8"/>
    <d v="2025-03-07T00:00:00"/>
    <d v="2025-03-12T00:00:00"/>
    <s v="Elective"/>
    <n v="5"/>
    <n v="34"/>
    <s v="Discharged"/>
    <n v="5.6666666666666661"/>
    <s v="07/03/2025Orthopaedics"/>
    <n v="13"/>
    <n v="40"/>
  </r>
  <r>
    <n v="102"/>
    <n v="689"/>
    <x v="9"/>
    <d v="2025-03-07T00:00:00"/>
    <d v="2025-03-09T00:00:00"/>
    <s v="Emergency"/>
    <n v="2"/>
    <n v="238"/>
    <s v="Discharged"/>
    <n v="15.866666666666667"/>
    <s v="07/03/2025Paediatrics"/>
    <n v="10"/>
    <n v="30"/>
  </r>
  <r>
    <n v="103"/>
    <n v="556"/>
    <x v="10"/>
    <d v="2025-03-08T00:00:00"/>
    <d v="2025-03-13T00:00:00"/>
    <s v="Elective"/>
    <n v="5"/>
    <n v="15"/>
    <s v="Discharged"/>
    <n v="2.5"/>
    <s v="08/03/2025Gastroenterology"/>
    <n v="7"/>
    <n v="29"/>
  </r>
  <r>
    <n v="104"/>
    <n v="152"/>
    <x v="11"/>
    <d v="2025-03-09T00:00:00"/>
    <d v="2025-03-11T00:00:00"/>
    <s v="Emergency"/>
    <n v="2"/>
    <n v="190"/>
    <s v="Discharged"/>
    <n v="12.666666666666666"/>
    <s v="09/03/2025ENT"/>
    <n v="10"/>
    <n v="20"/>
  </r>
  <r>
    <n v="105"/>
    <n v="745"/>
    <x v="12"/>
    <d v="2025-03-09T00:00:00"/>
    <d v="2025-03-15T00:00:00"/>
    <s v="Elective"/>
    <n v="6"/>
    <n v="1"/>
    <s v="Transferred"/>
    <n v="0.2"/>
    <s v="09/03/2025Geriatrics"/>
    <n v="12"/>
    <n v="46"/>
  </r>
  <r>
    <n v="106"/>
    <n v="423"/>
    <x v="3"/>
    <d v="2025-03-10T00:00:00"/>
    <d v="2025-03-12T00:00:00"/>
    <s v="Emergency"/>
    <n v="2"/>
    <n v="217"/>
    <s v="Discharged"/>
    <n v="14.466666666666667"/>
    <s v="10/03/2025Respiratory"/>
    <n v="15"/>
    <n v="36"/>
  </r>
  <r>
    <n v="107"/>
    <n v="314"/>
    <x v="1"/>
    <d v="2025-03-11T00:00:00"/>
    <d v="2025-03-16T00:00:00"/>
    <s v="Elective"/>
    <n v="5"/>
    <n v="34"/>
    <s v="Discharged"/>
    <n v="5.6666666666666661"/>
    <s v="11/03/2025General Surgery"/>
    <n v="20"/>
    <n v="44"/>
  </r>
  <r>
    <n v="108"/>
    <n v="18"/>
    <x v="5"/>
    <d v="2025-03-11T00:00:00"/>
    <d v="2025-03-14T00:00:00"/>
    <s v="Transfer"/>
    <n v="3"/>
    <n v="56"/>
    <s v="Transferred"/>
    <n v="5.6"/>
    <s v="11/03/2025Cardiology"/>
    <n v="17"/>
    <n v="38"/>
  </r>
  <r>
    <n v="109"/>
    <n v="24"/>
    <x v="2"/>
    <d v="2025-03-12T00:00:00"/>
    <d v="2025-03-17T00:00:00"/>
    <s v="Elective"/>
    <n v="5"/>
    <n v="14"/>
    <s v="Discharged"/>
    <n v="2.3333333333333335"/>
    <s v="12/03/2025Oncology"/>
    <n v="16"/>
    <n v="28"/>
  </r>
  <r>
    <n v="110"/>
    <n v="695"/>
    <x v="0"/>
    <d v="2025-03-12T00:00:00"/>
    <d v="2025-03-13T00:00:00"/>
    <s v="Emergency"/>
    <n v="1"/>
    <n v="38"/>
    <s v="Discharged"/>
    <n v="1.2666666666666666"/>
    <s v="12/03/2025A&amp;E (Emergency)"/>
    <n v="24"/>
    <n v="42"/>
  </r>
  <r>
    <n v="111"/>
    <n v="268"/>
    <x v="4"/>
    <d v="2025-03-13T00:00:00"/>
    <d v="2025-03-18T00:00:00"/>
    <s v="Elective"/>
    <n v="5"/>
    <n v="25"/>
    <s v="Discharged"/>
    <n v="4.166666666666667"/>
    <s v="13/03/2025Renal Medicine"/>
    <n v="19"/>
    <n v="26"/>
  </r>
  <r>
    <n v="112"/>
    <n v="854"/>
    <x v="6"/>
    <d v="2025-03-14T00:00:00"/>
    <d v="2025-03-20T00:00:00"/>
    <s v="Elective"/>
    <n v="6"/>
    <n v="4"/>
    <s v="Discharged"/>
    <n v="0.8"/>
    <s v="14/03/2025Neurology"/>
    <n v="11"/>
    <n v="32"/>
  </r>
  <r>
    <n v="113"/>
    <n v="875"/>
    <x v="7"/>
    <d v="2025-03-14T00:00:00"/>
    <d v="2025-03-16T00:00:00"/>
    <s v="Emergency"/>
    <n v="2"/>
    <n v="185"/>
    <s v="Discharged"/>
    <n v="12.333333333333334"/>
    <s v="14/03/2025Maternity"/>
    <n v="11"/>
    <n v="34"/>
  </r>
  <r>
    <n v="114"/>
    <n v="831"/>
    <x v="8"/>
    <d v="2025-03-15T00:00:00"/>
    <d v="2025-03-20T00:00:00"/>
    <s v="Elective"/>
    <n v="5"/>
    <n v="23"/>
    <s v="Discharged"/>
    <n v="3.8333333333333335"/>
    <s v="15/03/2025Orthopaedics"/>
    <n v="11"/>
    <n v="40"/>
  </r>
  <r>
    <n v="115"/>
    <n v="73"/>
    <x v="9"/>
    <d v="2025-03-15T00:00:00"/>
    <d v="2025-03-17T00:00:00"/>
    <s v="Emergency"/>
    <n v="2"/>
    <n v="63"/>
    <s v="Discharged"/>
    <n v="4.2"/>
    <s v="15/03/2025Paediatrics"/>
    <n v="9"/>
    <n v="30"/>
  </r>
  <r>
    <n v="116"/>
    <n v="92"/>
    <x v="10"/>
    <d v="2025-03-16T00:00:00"/>
    <d v="2025-03-21T00:00:00"/>
    <s v="Elective"/>
    <n v="5"/>
    <n v="13"/>
    <s v="Discharged"/>
    <n v="2.166666666666667"/>
    <s v="16/03/2025Gastroenterology"/>
    <n v="7"/>
    <n v="29"/>
  </r>
  <r>
    <n v="117"/>
    <n v="148"/>
    <x v="11"/>
    <d v="2025-03-17T00:00:00"/>
    <d v="2025-03-19T00:00:00"/>
    <s v="Emergency"/>
    <n v="2"/>
    <n v="55"/>
    <s v="Discharged"/>
    <n v="3.6666666666666665"/>
    <s v="17/03/2025ENT"/>
    <n v="13"/>
    <n v="20"/>
  </r>
  <r>
    <n v="118"/>
    <n v="542"/>
    <x v="12"/>
    <d v="2025-03-17T00:00:00"/>
    <d v="2025-03-23T00:00:00"/>
    <s v="Elective"/>
    <n v="6"/>
    <n v="16"/>
    <s v="Discharged"/>
    <n v="3.2"/>
    <s v="17/03/2025Geriatrics"/>
    <n v="16"/>
    <n v="46"/>
  </r>
  <r>
    <n v="119"/>
    <n v="742"/>
    <x v="3"/>
    <d v="2025-03-18T00:00:00"/>
    <d v="2025-03-20T00:00:00"/>
    <s v="Emergency"/>
    <n v="2"/>
    <n v="30"/>
    <s v="Discharged"/>
    <n v="2"/>
    <s v="18/03/2025Respiratory"/>
    <n v="14"/>
    <n v="36"/>
  </r>
  <r>
    <n v="120"/>
    <n v="443"/>
    <x v="1"/>
    <d v="2025-03-19T00:00:00"/>
    <d v="2025-03-24T00:00:00"/>
    <s v="Elective"/>
    <n v="5"/>
    <n v="14"/>
    <s v="Discharged"/>
    <n v="2.3333333333333335"/>
    <s v="19/03/2025General Surgery"/>
    <n v="19"/>
    <n v="44"/>
  </r>
  <r>
    <n v="121"/>
    <n v="507"/>
    <x v="5"/>
    <d v="2025-03-19T00:00:00"/>
    <d v="2025-03-22T00:00:00"/>
    <s v="Transfer"/>
    <n v="3"/>
    <n v="58"/>
    <s v="Discharged"/>
    <n v="5.8"/>
    <s v="19/03/2025Cardiology"/>
    <n v="16"/>
    <n v="38"/>
  </r>
  <r>
    <n v="122"/>
    <n v="238"/>
    <x v="2"/>
    <d v="2025-03-20T00:00:00"/>
    <d v="2025-03-25T00:00:00"/>
    <s v="Elective"/>
    <n v="5"/>
    <n v="34"/>
    <s v="Discharged"/>
    <n v="5.6666666666666661"/>
    <s v="20/03/2025Oncology"/>
    <n v="16"/>
    <n v="28"/>
  </r>
  <r>
    <n v="123"/>
    <n v="989"/>
    <x v="0"/>
    <d v="2025-03-20T00:00:00"/>
    <d v="2025-03-21T00:00:00"/>
    <s v="Emergency"/>
    <n v="1"/>
    <n v="146"/>
    <s v="Discharged"/>
    <n v="4.8666666666666663"/>
    <s v="20/03/2025A&amp;E (Emergency)"/>
    <n v="23"/>
    <n v="42"/>
  </r>
  <r>
    <n v="124"/>
    <n v="185"/>
    <x v="4"/>
    <d v="2025-03-21T00:00:00"/>
    <d v="2025-03-26T00:00:00"/>
    <s v="Elective"/>
    <n v="5"/>
    <n v="31"/>
    <s v="Discharged"/>
    <n v="5.166666666666667"/>
    <s v="21/03/2025Renal Medicine"/>
    <n v="18"/>
    <n v="26"/>
  </r>
  <r>
    <n v="125"/>
    <n v="720"/>
    <x v="6"/>
    <d v="2025-03-22T00:00:00"/>
    <d v="2025-03-28T00:00:00"/>
    <s v="Elective"/>
    <n v="6"/>
    <n v="15"/>
    <s v="Discharged"/>
    <n v="3"/>
    <s v="22/03/2025Neurology"/>
    <n v="9"/>
    <n v="32"/>
  </r>
  <r>
    <n v="126"/>
    <n v="897"/>
    <x v="7"/>
    <d v="2025-03-22T00:00:00"/>
    <d v="2025-03-24T00:00:00"/>
    <s v="Emergency"/>
    <n v="2"/>
    <n v="216"/>
    <s v="Discharged"/>
    <n v="14.4"/>
    <s v="22/03/2025Maternity"/>
    <n v="10"/>
    <n v="34"/>
  </r>
  <r>
    <n v="127"/>
    <n v="15"/>
    <x v="8"/>
    <d v="2025-03-23T00:00:00"/>
    <d v="2025-03-28T00:00:00"/>
    <s v="Elective"/>
    <n v="5"/>
    <n v="2"/>
    <s v="Discharged"/>
    <n v="0.33333333333333331"/>
    <s v="23/03/2025Orthopaedics"/>
    <n v="10"/>
    <n v="40"/>
  </r>
  <r>
    <n v="128"/>
    <n v="162"/>
    <x v="9"/>
    <d v="2025-03-23T00:00:00"/>
    <d v="2025-03-25T00:00:00"/>
    <s v="Emergency"/>
    <n v="2"/>
    <n v="175"/>
    <s v="Discharged"/>
    <n v="11.666666666666666"/>
    <s v="23/03/2025Paediatrics"/>
    <n v="8"/>
    <n v="30"/>
  </r>
  <r>
    <n v="129"/>
    <n v="564"/>
    <x v="10"/>
    <d v="2025-03-24T00:00:00"/>
    <d v="2025-03-29T00:00:00"/>
    <s v="Elective"/>
    <n v="5"/>
    <n v="44"/>
    <s v="Discharged"/>
    <n v="7.333333333333333"/>
    <s v="24/03/2025Gastroenterology"/>
    <n v="12"/>
    <n v="29"/>
  </r>
  <r>
    <n v="130"/>
    <n v="766"/>
    <x v="11"/>
    <d v="2025-03-25T00:00:00"/>
    <d v="2025-03-27T00:00:00"/>
    <s v="Emergency"/>
    <n v="2"/>
    <n v="110"/>
    <s v="Discharged"/>
    <n v="7.333333333333333"/>
    <s v="25/03/2025ENT"/>
    <n v="12"/>
    <n v="20"/>
  </r>
  <r>
    <n v="131"/>
    <n v="88"/>
    <x v="12"/>
    <d v="2025-03-25T00:00:00"/>
    <d v="2025-03-31T00:00:00"/>
    <s v="Elective"/>
    <n v="6"/>
    <n v="20"/>
    <s v="Discharged"/>
    <n v="4"/>
    <s v="25/03/2025Geriatrics"/>
    <n v="15"/>
    <n v="46"/>
  </r>
  <r>
    <n v="132"/>
    <n v="605"/>
    <x v="3"/>
    <d v="2025-03-26T00:00:00"/>
    <d v="2025-03-28T00:00:00"/>
    <s v="Emergency"/>
    <n v="2"/>
    <n v="226"/>
    <s v="Discharged"/>
    <n v="15.066666666666666"/>
    <s v="26/03/2025Respiratory"/>
    <n v="13"/>
    <n v="36"/>
  </r>
  <r>
    <n v="133"/>
    <n v="398"/>
    <x v="1"/>
    <d v="2025-03-27T00:00:00"/>
    <d v="2025-04-01T00:00:00"/>
    <s v="Elective"/>
    <n v="5"/>
    <n v="39"/>
    <s v="Discharged"/>
    <n v="6.5"/>
    <s v="27/03/2025General Surgery"/>
    <n v="19"/>
    <n v="44"/>
  </r>
  <r>
    <n v="134"/>
    <n v="136"/>
    <x v="5"/>
    <d v="2025-03-27T00:00:00"/>
    <d v="2025-03-30T00:00:00"/>
    <s v="Transfer"/>
    <n v="3"/>
    <n v="58"/>
    <s v="Discharged"/>
    <n v="5.8"/>
    <s v="27/03/2025Cardiology"/>
    <n v="16"/>
    <n v="38"/>
  </r>
  <r>
    <n v="135"/>
    <n v="16"/>
    <x v="2"/>
    <d v="2025-03-28T00:00:00"/>
    <d v="2025-04-02T00:00:00"/>
    <s v="Elective"/>
    <n v="5"/>
    <n v="16"/>
    <s v="Discharged"/>
    <n v="2.6666666666666665"/>
    <s v="28/03/2025Oncology"/>
    <n v="15"/>
    <n v="28"/>
  </r>
  <r>
    <n v="136"/>
    <n v="929"/>
    <x v="0"/>
    <d v="2025-03-28T00:00:00"/>
    <d v="2025-03-29T00:00:00"/>
    <s v="Emergency"/>
    <n v="1"/>
    <n v="123"/>
    <s v="Discharged"/>
    <n v="4.0999999999999996"/>
    <s v="28/03/2025A&amp;E (Emergency)"/>
    <n v="22"/>
    <n v="42"/>
  </r>
  <r>
    <n v="137"/>
    <n v="846"/>
    <x v="4"/>
    <d v="2025-03-29T00:00:00"/>
    <d v="2025-04-03T00:00:00"/>
    <s v="Elective"/>
    <n v="5"/>
    <n v="36"/>
    <s v="Discharged"/>
    <n v="6"/>
    <s v="29/03/2025Renal Medicine"/>
    <n v="17"/>
    <n v="26"/>
  </r>
  <r>
    <n v="138"/>
    <n v="591"/>
    <x v="6"/>
    <d v="2025-03-30T00:00:00"/>
    <d v="2025-04-05T00:00:00"/>
    <s v="Elective"/>
    <n v="6"/>
    <n v="10"/>
    <s v="Discharged"/>
    <n v="2"/>
    <s v="30/03/2025Neurology"/>
    <n v="9"/>
    <n v="32"/>
  </r>
  <r>
    <n v="139"/>
    <n v="949"/>
    <x v="7"/>
    <d v="2025-03-30T00:00:00"/>
    <d v="2025-04-01T00:00:00"/>
    <s v="Emergency"/>
    <n v="2"/>
    <n v="36"/>
    <s v="Discharged"/>
    <n v="2.4"/>
    <s v="30/03/2025Maternity"/>
    <n v="9"/>
    <n v="34"/>
  </r>
  <r>
    <n v="140"/>
    <n v="891"/>
    <x v="8"/>
    <d v="2025-03-31T00:00:00"/>
    <d v="2025-04-05T00:00:00"/>
    <s v="Elective"/>
    <n v="5"/>
    <n v="31"/>
    <s v="Discharged"/>
    <n v="5.166666666666667"/>
    <s v="31/03/2025Orthopaedics"/>
    <n v="16"/>
    <n v="40"/>
  </r>
  <r>
    <n v="141"/>
    <n v="641"/>
    <x v="9"/>
    <d v="2025-03-31T00:00:00"/>
    <d v="2025-04-02T00:00:00"/>
    <s v="Emergency"/>
    <n v="2"/>
    <n v="160"/>
    <s v="Discharged"/>
    <n v="10.666666666666666"/>
    <s v="31/03/2025Paediatrics"/>
    <n v="13"/>
    <n v="30"/>
  </r>
  <r>
    <n v="142"/>
    <n v="658"/>
    <x v="10"/>
    <d v="2025-04-01T00:00:00"/>
    <d v="2025-04-06T00:00:00"/>
    <s v="Elective"/>
    <n v="5"/>
    <n v="28"/>
    <s v="Discharged"/>
    <n v="4.666666666666667"/>
    <s v="01/04/2025Gastroenterology"/>
    <n v="11"/>
    <n v="29"/>
  </r>
  <r>
    <n v="143"/>
    <n v="153"/>
    <x v="11"/>
    <d v="2025-04-02T00:00:00"/>
    <d v="2025-04-04T00:00:00"/>
    <s v="Emergency"/>
    <n v="2"/>
    <n v="216"/>
    <s v="Discharged"/>
    <n v="14.4"/>
    <s v="02/04/2025ENT"/>
    <n v="12"/>
    <n v="20"/>
  </r>
  <r>
    <n v="144"/>
    <n v="306"/>
    <x v="12"/>
    <d v="2025-04-02T00:00:00"/>
    <d v="2025-04-08T00:00:00"/>
    <s v="Elective"/>
    <n v="6"/>
    <n v="12"/>
    <s v="Discharged"/>
    <n v="2.4000000000000004"/>
    <s v="02/04/2025Geriatrics"/>
    <n v="14"/>
    <n v="46"/>
  </r>
  <r>
    <n v="145"/>
    <n v="263"/>
    <x v="3"/>
    <d v="2025-04-03T00:00:00"/>
    <d v="2025-04-05T00:00:00"/>
    <s v="Emergency"/>
    <n v="2"/>
    <n v="23"/>
    <s v="Deceased"/>
    <n v="1.5333333333333334"/>
    <s v="03/04/2025Respiratory"/>
    <n v="13"/>
    <n v="36"/>
  </r>
  <r>
    <n v="146"/>
    <n v="813"/>
    <x v="1"/>
    <d v="2025-04-04T00:00:00"/>
    <d v="2025-04-09T00:00:00"/>
    <s v="Elective"/>
    <n v="5"/>
    <n v="21"/>
    <s v="Discharged"/>
    <n v="3.5"/>
    <s v="04/04/2025General Surgery"/>
    <n v="18"/>
    <n v="44"/>
  </r>
  <r>
    <n v="147"/>
    <n v="758"/>
    <x v="5"/>
    <d v="2025-04-04T00:00:00"/>
    <d v="2025-04-07T00:00:00"/>
    <s v="Transfer"/>
    <n v="3"/>
    <n v="44"/>
    <s v="Discharged"/>
    <n v="4.3999999999999995"/>
    <s v="04/04/2025Cardiology"/>
    <n v="15"/>
    <n v="38"/>
  </r>
  <r>
    <n v="148"/>
    <n v="874"/>
    <x v="2"/>
    <d v="2025-04-05T00:00:00"/>
    <d v="2025-04-10T00:00:00"/>
    <s v="Elective"/>
    <n v="5"/>
    <n v="44"/>
    <s v="Discharged"/>
    <n v="7.333333333333333"/>
    <s v="05/04/2025Oncology"/>
    <n v="13"/>
    <n v="28"/>
  </r>
  <r>
    <n v="149"/>
    <n v="431"/>
    <x v="0"/>
    <d v="2025-04-05T00:00:00"/>
    <d v="2025-04-06T00:00:00"/>
    <s v="Emergency"/>
    <n v="1"/>
    <n v="208"/>
    <s v="Discharged"/>
    <n v="6.9333333333333336"/>
    <s v="05/04/2025A&amp;E (Emergency)"/>
    <n v="20"/>
    <n v="42"/>
  </r>
  <r>
    <n v="150"/>
    <n v="111"/>
    <x v="4"/>
    <d v="2025-04-06T00:00:00"/>
    <d v="2025-04-11T00:00:00"/>
    <s v="Elective"/>
    <n v="5"/>
    <n v="31"/>
    <s v="Discharged"/>
    <n v="5.166666666666667"/>
    <s v="06/04/2025Renal Medicine"/>
    <n v="17"/>
    <n v="26"/>
  </r>
  <r>
    <n v="151"/>
    <n v="19"/>
    <x v="6"/>
    <d v="2025-04-07T00:00:00"/>
    <d v="2025-04-13T00:00:00"/>
    <s v="Elective"/>
    <n v="6"/>
    <n v="27"/>
    <s v="Discharged"/>
    <n v="5.4"/>
    <s v="07/04/2025Neurology"/>
    <n v="14"/>
    <n v="32"/>
  </r>
  <r>
    <n v="152"/>
    <n v="708"/>
    <x v="7"/>
    <d v="2025-04-07T00:00:00"/>
    <d v="2025-04-09T00:00:00"/>
    <s v="Emergency"/>
    <n v="2"/>
    <n v="232"/>
    <s v="Discharged"/>
    <n v="15.466666666666667"/>
    <s v="07/04/2025Maternity"/>
    <n v="13"/>
    <n v="34"/>
  </r>
  <r>
    <n v="153"/>
    <n v="371"/>
    <x v="8"/>
    <d v="2025-04-08T00:00:00"/>
    <d v="2025-04-13T00:00:00"/>
    <s v="Elective"/>
    <n v="5"/>
    <n v="4"/>
    <s v="Discharged"/>
    <n v="0.66666666666666663"/>
    <s v="08/04/2025Orthopaedics"/>
    <n v="15"/>
    <n v="40"/>
  </r>
  <r>
    <n v="154"/>
    <n v="611"/>
    <x v="9"/>
    <d v="2025-04-08T00:00:00"/>
    <d v="2025-04-10T00:00:00"/>
    <s v="Emergency"/>
    <n v="2"/>
    <n v="185"/>
    <s v="Transferred"/>
    <n v="12.333333333333334"/>
    <s v="08/04/2025Paediatrics"/>
    <n v="12"/>
    <n v="30"/>
  </r>
  <r>
    <n v="155"/>
    <n v="753"/>
    <x v="10"/>
    <d v="2025-04-09T00:00:00"/>
    <d v="2025-04-14T00:00:00"/>
    <s v="Elective"/>
    <n v="5"/>
    <n v="35"/>
    <s v="Discharged"/>
    <n v="5.8333333333333339"/>
    <s v="09/04/2025Gastroenterology"/>
    <n v="10"/>
    <n v="29"/>
  </r>
  <r>
    <n v="156"/>
    <n v="922"/>
    <x v="11"/>
    <d v="2025-04-10T00:00:00"/>
    <d v="2025-04-12T00:00:00"/>
    <s v="Emergency"/>
    <n v="2"/>
    <n v="40"/>
    <s v="Discharged"/>
    <n v="2.6666666666666665"/>
    <s v="10/04/2025ENT"/>
    <n v="12"/>
    <n v="20"/>
  </r>
  <r>
    <n v="157"/>
    <n v="619"/>
    <x v="12"/>
    <d v="2025-04-10T00:00:00"/>
    <d v="2025-04-16T00:00:00"/>
    <s v="Elective"/>
    <n v="6"/>
    <n v="27"/>
    <s v="Transferred"/>
    <n v="5.4"/>
    <s v="10/04/2025Geriatrics"/>
    <n v="14"/>
    <n v="46"/>
  </r>
  <r>
    <n v="158"/>
    <n v="546"/>
    <x v="3"/>
    <d v="2025-04-11T00:00:00"/>
    <d v="2025-04-13T00:00:00"/>
    <s v="Emergency"/>
    <n v="2"/>
    <n v="20"/>
    <s v="Transferred"/>
    <n v="1.3333333333333333"/>
    <s v="11/04/2025Respiratory"/>
    <n v="12"/>
    <n v="36"/>
  </r>
  <r>
    <n v="159"/>
    <n v="483"/>
    <x v="1"/>
    <d v="2025-04-12T00:00:00"/>
    <d v="2025-04-17T00:00:00"/>
    <s v="Elective"/>
    <n v="5"/>
    <n v="42"/>
    <s v="Discharged"/>
    <n v="7"/>
    <s v="12/04/2025General Surgery"/>
    <n v="15"/>
    <n v="44"/>
  </r>
  <r>
    <n v="160"/>
    <n v="865"/>
    <x v="5"/>
    <d v="2025-04-12T00:00:00"/>
    <d v="2025-04-15T00:00:00"/>
    <s v="Transfer"/>
    <n v="3"/>
    <n v="17"/>
    <s v="Discharged"/>
    <n v="1.7"/>
    <s v="12/04/2025Cardiology"/>
    <n v="12"/>
    <n v="38"/>
  </r>
  <r>
    <n v="161"/>
    <n v="223"/>
    <x v="2"/>
    <d v="2025-04-13T00:00:00"/>
    <d v="2025-04-18T00:00:00"/>
    <s v="Elective"/>
    <n v="5"/>
    <n v="3"/>
    <s v="Discharged"/>
    <n v="0.5"/>
    <s v="13/04/2025Oncology"/>
    <n v="12"/>
    <n v="28"/>
  </r>
  <r>
    <n v="162"/>
    <n v="118"/>
    <x v="0"/>
    <d v="2025-04-13T00:00:00"/>
    <d v="2025-04-14T00:00:00"/>
    <s v="Emergency"/>
    <n v="1"/>
    <n v="200"/>
    <s v="Discharged"/>
    <n v="6.666666666666667"/>
    <s v="13/04/2025A&amp;E (Emergency)"/>
    <n v="19"/>
    <n v="42"/>
  </r>
  <r>
    <n v="163"/>
    <n v="553"/>
    <x v="4"/>
    <d v="2025-04-14T00:00:00"/>
    <d v="2025-04-19T00:00:00"/>
    <s v="Elective"/>
    <n v="5"/>
    <n v="22"/>
    <s v="Discharged"/>
    <n v="3.6666666666666665"/>
    <s v="14/04/2025Renal Medicine"/>
    <n v="21"/>
    <n v="26"/>
  </r>
  <r>
    <n v="164"/>
    <n v="749"/>
    <x v="6"/>
    <d v="2025-04-15T00:00:00"/>
    <d v="2025-04-21T00:00:00"/>
    <s v="Elective"/>
    <n v="6"/>
    <n v="43"/>
    <s v="Discharged"/>
    <n v="8.6"/>
    <s v="15/04/2025Neurology"/>
    <n v="13"/>
    <n v="32"/>
  </r>
  <r>
    <n v="165"/>
    <n v="115"/>
    <x v="7"/>
    <d v="2025-04-15T00:00:00"/>
    <d v="2025-04-17T00:00:00"/>
    <s v="Emergency"/>
    <n v="2"/>
    <n v="109"/>
    <s v="Transferred"/>
    <n v="7.2666666666666666"/>
    <s v="15/04/2025Maternity"/>
    <n v="12"/>
    <n v="34"/>
  </r>
  <r>
    <n v="166"/>
    <n v="456"/>
    <x v="8"/>
    <d v="2025-04-16T00:00:00"/>
    <d v="2025-04-21T00:00:00"/>
    <s v="Elective"/>
    <n v="5"/>
    <n v="12"/>
    <s v="Discharged"/>
    <n v="2"/>
    <s v="16/04/2025Orthopaedics"/>
    <n v="14"/>
    <n v="40"/>
  </r>
  <r>
    <n v="167"/>
    <n v="495"/>
    <x v="9"/>
    <d v="2025-04-16T00:00:00"/>
    <d v="2025-04-18T00:00:00"/>
    <s v="Emergency"/>
    <n v="2"/>
    <n v="36"/>
    <s v="Discharged"/>
    <n v="2.4"/>
    <s v="16/04/2025Paediatrics"/>
    <n v="11"/>
    <n v="30"/>
  </r>
  <r>
    <n v="168"/>
    <n v="137"/>
    <x v="10"/>
    <d v="2025-04-17T00:00:00"/>
    <d v="2025-04-22T00:00:00"/>
    <s v="Elective"/>
    <n v="5"/>
    <n v="0"/>
    <s v="Discharged"/>
    <n v="0"/>
    <s v="17/04/2025Gastroenterology"/>
    <n v="10"/>
    <n v="29"/>
  </r>
  <r>
    <n v="169"/>
    <n v="307"/>
    <x v="11"/>
    <d v="2025-04-18T00:00:00"/>
    <d v="2025-04-20T00:00:00"/>
    <s v="Emergency"/>
    <n v="2"/>
    <n v="40"/>
    <s v="Discharged"/>
    <n v="2.6666666666666665"/>
    <s v="18/04/2025ENT"/>
    <n v="11"/>
    <n v="20"/>
  </r>
  <r>
    <n v="170"/>
    <n v="174"/>
    <x v="12"/>
    <d v="2025-04-18T00:00:00"/>
    <d v="2025-04-24T00:00:00"/>
    <s v="Elective"/>
    <n v="6"/>
    <n v="21"/>
    <s v="Discharged"/>
    <n v="4.1999999999999993"/>
    <s v="18/04/2025Geriatrics"/>
    <n v="13"/>
    <n v="46"/>
  </r>
  <r>
    <n v="171"/>
    <n v="154"/>
    <x v="3"/>
    <d v="2025-04-19T00:00:00"/>
    <d v="2025-04-21T00:00:00"/>
    <s v="Emergency"/>
    <n v="2"/>
    <n v="143"/>
    <s v="Discharged"/>
    <n v="9.5333333333333332"/>
    <s v="19/04/2025Respiratory"/>
    <n v="9"/>
    <n v="36"/>
  </r>
  <r>
    <n v="172"/>
    <n v="999"/>
    <x v="1"/>
    <d v="2025-04-20T00:00:00"/>
    <d v="2025-04-25T00:00:00"/>
    <s v="Elective"/>
    <n v="5"/>
    <n v="15"/>
    <s v="Discharged"/>
    <n v="2.5"/>
    <s v="20/04/2025General Surgery"/>
    <n v="14"/>
    <n v="44"/>
  </r>
  <r>
    <n v="173"/>
    <n v="124"/>
    <x v="5"/>
    <d v="2025-04-20T00:00:00"/>
    <d v="2025-04-23T00:00:00"/>
    <s v="Transfer"/>
    <n v="3"/>
    <n v="38"/>
    <s v="Discharged"/>
    <n v="3.8"/>
    <s v="20/04/2025Cardiology"/>
    <n v="11"/>
    <n v="38"/>
  </r>
  <r>
    <n v="174"/>
    <n v="271"/>
    <x v="2"/>
    <d v="2025-04-21T00:00:00"/>
    <d v="2025-04-26T00:00:00"/>
    <s v="Elective"/>
    <n v="5"/>
    <n v="18"/>
    <s v="Discharged"/>
    <n v="3"/>
    <s v="21/04/2025Oncology"/>
    <n v="18"/>
    <n v="28"/>
  </r>
  <r>
    <n v="175"/>
    <n v="705"/>
    <x v="0"/>
    <d v="2025-04-21T00:00:00"/>
    <d v="2025-04-22T00:00:00"/>
    <s v="Emergency"/>
    <n v="1"/>
    <n v="21"/>
    <s v="Discharged"/>
    <n v="0.7"/>
    <s v="21/04/2025A&amp;E (Emergency)"/>
    <n v="28"/>
    <n v="42"/>
  </r>
  <r>
    <n v="176"/>
    <n v="597"/>
    <x v="4"/>
    <d v="2025-04-22T00:00:00"/>
    <d v="2025-04-27T00:00:00"/>
    <s v="Elective"/>
    <n v="5"/>
    <n v="37"/>
    <s v="Discharged"/>
    <n v="6.166666666666667"/>
    <s v="22/04/2025Renal Medicine"/>
    <n v="20"/>
    <n v="26"/>
  </r>
  <r>
    <n v="177"/>
    <n v="750"/>
    <x v="6"/>
    <d v="2025-04-23T00:00:00"/>
    <d v="2025-04-29T00:00:00"/>
    <s v="Elective"/>
    <n v="6"/>
    <n v="36"/>
    <s v="Discharged"/>
    <n v="7.1999999999999993"/>
    <s v="23/04/2025Neurology"/>
    <n v="12"/>
    <n v="32"/>
  </r>
  <r>
    <n v="178"/>
    <n v="574"/>
    <x v="7"/>
    <d v="2025-04-23T00:00:00"/>
    <d v="2025-04-25T00:00:00"/>
    <s v="Emergency"/>
    <n v="2"/>
    <n v="152"/>
    <s v="Discharged"/>
    <n v="10.133333333333333"/>
    <s v="23/04/2025Maternity"/>
    <n v="12"/>
    <n v="34"/>
  </r>
  <r>
    <n v="179"/>
    <n v="335"/>
    <x v="8"/>
    <d v="2025-04-24T00:00:00"/>
    <d v="2025-04-29T00:00:00"/>
    <s v="Elective"/>
    <n v="5"/>
    <n v="37"/>
    <s v="Discharged"/>
    <n v="6.166666666666667"/>
    <s v="24/04/2025Orthopaedics"/>
    <n v="14"/>
    <n v="40"/>
  </r>
  <r>
    <n v="180"/>
    <n v="69"/>
    <x v="9"/>
    <d v="2025-04-24T00:00:00"/>
    <d v="2025-04-26T00:00:00"/>
    <s v="Emergency"/>
    <n v="2"/>
    <n v="55"/>
    <s v="Discharged"/>
    <n v="3.6666666666666665"/>
    <s v="24/04/2025Paediatrics"/>
    <n v="11"/>
    <n v="30"/>
  </r>
  <r>
    <n v="181"/>
    <n v="725"/>
    <x v="10"/>
    <d v="2025-04-25T00:00:00"/>
    <d v="2025-04-30T00:00:00"/>
    <s v="Elective"/>
    <n v="5"/>
    <n v="21"/>
    <s v="Discharged"/>
    <n v="3.5"/>
    <s v="25/04/2025Gastroenterology"/>
    <n v="9"/>
    <n v="29"/>
  </r>
  <r>
    <n v="182"/>
    <n v="754"/>
    <x v="11"/>
    <d v="2025-04-26T00:00:00"/>
    <d v="2025-04-28T00:00:00"/>
    <s v="Emergency"/>
    <n v="2"/>
    <n v="140"/>
    <s v="Discharged"/>
    <n v="9.3333333333333339"/>
    <s v="26/04/2025ENT"/>
    <n v="10"/>
    <n v="20"/>
  </r>
  <r>
    <n v="183"/>
    <n v="869"/>
    <x v="12"/>
    <d v="2025-04-26T00:00:00"/>
    <d v="2025-05-02T00:00:00"/>
    <s v="Elective"/>
    <n v="6"/>
    <n v="11"/>
    <s v="Discharged"/>
    <n v="2.1999999999999997"/>
    <s v="26/04/2025Geriatrics"/>
    <n v="12"/>
    <n v="46"/>
  </r>
  <r>
    <n v="184"/>
    <n v="818"/>
    <x v="3"/>
    <d v="2025-04-27T00:00:00"/>
    <d v="2025-04-29T00:00:00"/>
    <s v="Emergency"/>
    <n v="2"/>
    <n v="26"/>
    <s v="Discharged"/>
    <n v="1.7333333333333334"/>
    <s v="27/04/2025Respiratory"/>
    <n v="9"/>
    <n v="36"/>
  </r>
  <r>
    <n v="185"/>
    <n v="558"/>
    <x v="1"/>
    <d v="2025-04-28T00:00:00"/>
    <d v="2025-05-03T00:00:00"/>
    <s v="Elective"/>
    <n v="5"/>
    <n v="15"/>
    <s v="Discharged"/>
    <n v="2.5"/>
    <s v="28/04/2025General Surgery"/>
    <n v="22"/>
    <n v="44"/>
  </r>
  <r>
    <n v="186"/>
    <n v="634"/>
    <x v="5"/>
    <d v="2025-04-28T00:00:00"/>
    <d v="2025-05-01T00:00:00"/>
    <s v="Transfer"/>
    <n v="3"/>
    <n v="38"/>
    <s v="Discharged"/>
    <n v="3.8"/>
    <s v="28/04/2025Cardiology"/>
    <n v="18"/>
    <n v="38"/>
  </r>
  <r>
    <n v="187"/>
    <n v="975"/>
    <x v="2"/>
    <d v="2025-04-29T00:00:00"/>
    <d v="2025-05-04T00:00:00"/>
    <s v="Elective"/>
    <n v="5"/>
    <n v="33"/>
    <s v="Discharged"/>
    <n v="5.5"/>
    <s v="29/04/2025Oncology"/>
    <n v="17"/>
    <n v="28"/>
  </r>
  <r>
    <n v="188"/>
    <n v="409"/>
    <x v="0"/>
    <d v="2025-04-29T00:00:00"/>
    <d v="2025-04-30T00:00:00"/>
    <s v="Emergency"/>
    <n v="1"/>
    <n v="101"/>
    <s v="Discharged"/>
    <n v="3.3666666666666667"/>
    <s v="29/04/2025A&amp;E (Emergency)"/>
    <n v="25"/>
    <n v="42"/>
  </r>
  <r>
    <n v="189"/>
    <n v="252"/>
    <x v="4"/>
    <d v="2025-04-30T00:00:00"/>
    <d v="2025-05-05T00:00:00"/>
    <s v="Elective"/>
    <n v="5"/>
    <n v="44"/>
    <s v="Discharged"/>
    <n v="7.333333333333333"/>
    <s v="30/04/2025Renal Medicine"/>
    <n v="19"/>
    <n v="26"/>
  </r>
  <r>
    <n v="190"/>
    <n v="563"/>
    <x v="6"/>
    <d v="2025-05-01T00:00:00"/>
    <d v="2025-05-07T00:00:00"/>
    <s v="Elective"/>
    <n v="6"/>
    <n v="32"/>
    <s v="Discharged"/>
    <n v="6.4"/>
    <s v="01/05/2025Neurology"/>
    <n v="12"/>
    <n v="32"/>
  </r>
  <r>
    <n v="191"/>
    <n v="798"/>
    <x v="7"/>
    <d v="2025-05-01T00:00:00"/>
    <d v="2025-05-03T00:00:00"/>
    <s v="Emergency"/>
    <n v="2"/>
    <n v="42"/>
    <s v="Transferred"/>
    <n v="2.8"/>
    <s v="01/05/2025Maternity"/>
    <n v="12"/>
    <n v="34"/>
  </r>
  <r>
    <n v="192"/>
    <n v="572"/>
    <x v="8"/>
    <d v="2025-05-02T00:00:00"/>
    <d v="2025-05-07T00:00:00"/>
    <s v="Elective"/>
    <n v="5"/>
    <n v="32"/>
    <s v="Discharged"/>
    <n v="5.333333333333333"/>
    <s v="02/05/2025Orthopaedics"/>
    <n v="13"/>
    <n v="40"/>
  </r>
  <r>
    <n v="193"/>
    <n v="425"/>
    <x v="9"/>
    <d v="2025-05-02T00:00:00"/>
    <d v="2025-05-04T00:00:00"/>
    <s v="Emergency"/>
    <n v="2"/>
    <n v="106"/>
    <s v="Discharged"/>
    <n v="7.0666666666666664"/>
    <s v="02/05/2025Paediatrics"/>
    <n v="10"/>
    <n v="30"/>
  </r>
  <r>
    <n v="194"/>
    <n v="594"/>
    <x v="10"/>
    <d v="2025-05-03T00:00:00"/>
    <d v="2025-05-08T00:00:00"/>
    <s v="Elective"/>
    <n v="5"/>
    <n v="12"/>
    <s v="Discharged"/>
    <n v="2"/>
    <s v="03/05/2025Gastroenterology"/>
    <n v="7"/>
    <n v="29"/>
  </r>
  <r>
    <n v="195"/>
    <n v="500"/>
    <x v="11"/>
    <d v="2025-05-04T00:00:00"/>
    <d v="2025-05-06T00:00:00"/>
    <s v="Emergency"/>
    <n v="2"/>
    <n v="140"/>
    <s v="Discharged"/>
    <n v="9.3333333333333339"/>
    <s v="04/05/2025ENT"/>
    <n v="10"/>
    <n v="20"/>
  </r>
  <r>
    <n v="196"/>
    <n v="183"/>
    <x v="12"/>
    <d v="2025-05-04T00:00:00"/>
    <d v="2025-05-10T00:00:00"/>
    <s v="Elective"/>
    <n v="6"/>
    <n v="43"/>
    <s v="Discharged"/>
    <n v="8.6"/>
    <s v="04/05/2025Geriatrics"/>
    <n v="12"/>
    <n v="46"/>
  </r>
  <r>
    <n v="197"/>
    <n v="370"/>
    <x v="3"/>
    <d v="2025-05-05T00:00:00"/>
    <d v="2025-05-07T00:00:00"/>
    <s v="Emergency"/>
    <n v="2"/>
    <n v="151"/>
    <s v="Discharged"/>
    <n v="10.066666666666666"/>
    <s v="05/05/2025Respiratory"/>
    <n v="15"/>
    <n v="36"/>
  </r>
  <r>
    <n v="198"/>
    <n v="393"/>
    <x v="1"/>
    <d v="2025-05-06T00:00:00"/>
    <d v="2025-05-11T00:00:00"/>
    <s v="Elective"/>
    <n v="5"/>
    <n v="38"/>
    <s v="Discharged"/>
    <n v="6.333333333333333"/>
    <s v="06/05/2025General Surgery"/>
    <n v="20"/>
    <n v="44"/>
  </r>
  <r>
    <n v="199"/>
    <n v="445"/>
    <x v="5"/>
    <d v="2025-05-06T00:00:00"/>
    <d v="2025-05-09T00:00:00"/>
    <s v="Transfer"/>
    <n v="3"/>
    <n v="40"/>
    <s v="Discharged"/>
    <n v="4"/>
    <s v="06/05/2025Cardiology"/>
    <n v="17"/>
    <n v="38"/>
  </r>
  <r>
    <n v="200"/>
    <n v="985"/>
    <x v="2"/>
    <d v="2025-05-07T00:00:00"/>
    <d v="2025-05-12T00:00:00"/>
    <s v="Elective"/>
    <n v="5"/>
    <n v="25"/>
    <s v="Transferred"/>
    <n v="4.166666666666667"/>
    <s v="07/05/2025Oncology"/>
    <n v="16"/>
    <n v="28"/>
  </r>
  <r>
    <n v="201"/>
    <n v="310"/>
    <x v="0"/>
    <d v="2025-05-07T00:00:00"/>
    <d v="2025-05-08T00:00:00"/>
    <s v="Emergency"/>
    <n v="1"/>
    <n v="92"/>
    <s v="Discharged"/>
    <n v="3.0666666666666669"/>
    <s v="07/05/2025A&amp;E (Emergency)"/>
    <n v="24"/>
    <n v="42"/>
  </r>
  <r>
    <n v="202"/>
    <n v="301"/>
    <x v="4"/>
    <d v="2025-05-08T00:00:00"/>
    <d v="2025-05-13T00:00:00"/>
    <s v="Elective"/>
    <n v="5"/>
    <n v="35"/>
    <s v="Discharged"/>
    <n v="5.8333333333333339"/>
    <s v="08/05/2025Renal Medicine"/>
    <n v="19"/>
    <n v="26"/>
  </r>
  <r>
    <n v="203"/>
    <n v="791"/>
    <x v="6"/>
    <d v="2025-05-09T00:00:00"/>
    <d v="2025-05-15T00:00:00"/>
    <s v="Elective"/>
    <n v="6"/>
    <n v="27"/>
    <s v="Discharged"/>
    <n v="5.4"/>
    <s v="09/05/2025Neurology"/>
    <n v="11"/>
    <n v="32"/>
  </r>
  <r>
    <n v="204"/>
    <n v="400"/>
    <x v="7"/>
    <d v="2025-05-09T00:00:00"/>
    <d v="2025-05-11T00:00:00"/>
    <s v="Emergency"/>
    <n v="2"/>
    <n v="118"/>
    <s v="Discharged"/>
    <n v="7.8666666666666663"/>
    <s v="09/05/2025Maternity"/>
    <n v="11"/>
    <n v="34"/>
  </r>
  <r>
    <n v="205"/>
    <n v="36"/>
    <x v="8"/>
    <d v="2025-05-10T00:00:00"/>
    <d v="2025-05-15T00:00:00"/>
    <s v="Elective"/>
    <n v="5"/>
    <n v="44"/>
    <s v="Discharged"/>
    <n v="7.333333333333333"/>
    <s v="10/05/2025Orthopaedics"/>
    <n v="11"/>
    <n v="40"/>
  </r>
  <r>
    <n v="206"/>
    <n v="193"/>
    <x v="9"/>
    <d v="2025-05-10T00:00:00"/>
    <d v="2025-05-12T00:00:00"/>
    <s v="Emergency"/>
    <n v="2"/>
    <n v="99"/>
    <s v="Transferred"/>
    <n v="6.6"/>
    <s v="10/05/2025Paediatrics"/>
    <n v="9"/>
    <n v="30"/>
  </r>
  <r>
    <n v="207"/>
    <n v="630"/>
    <x v="10"/>
    <d v="2025-05-11T00:00:00"/>
    <d v="2025-05-16T00:00:00"/>
    <s v="Elective"/>
    <n v="5"/>
    <n v="20"/>
    <s v="Discharged"/>
    <n v="3.333333333333333"/>
    <s v="11/05/2025Gastroenterology"/>
    <n v="7"/>
    <n v="29"/>
  </r>
  <r>
    <n v="208"/>
    <n v="31"/>
    <x v="11"/>
    <d v="2025-05-12T00:00:00"/>
    <d v="2025-05-14T00:00:00"/>
    <s v="Emergency"/>
    <n v="2"/>
    <n v="54"/>
    <s v="Discharged"/>
    <n v="3.6"/>
    <s v="12/05/2025ENT"/>
    <n v="13"/>
    <n v="20"/>
  </r>
  <r>
    <n v="209"/>
    <n v="292"/>
    <x v="12"/>
    <d v="2025-05-12T00:00:00"/>
    <d v="2025-05-18T00:00:00"/>
    <s v="Elective"/>
    <n v="6"/>
    <n v="15"/>
    <s v="Discharged"/>
    <n v="3"/>
    <s v="12/05/2025Geriatrics"/>
    <n v="16"/>
    <n v="46"/>
  </r>
  <r>
    <n v="210"/>
    <n v="131"/>
    <x v="3"/>
    <d v="2025-05-13T00:00:00"/>
    <d v="2025-05-15T00:00:00"/>
    <s v="Emergency"/>
    <n v="2"/>
    <n v="143"/>
    <s v="Discharged"/>
    <n v="9.5333333333333332"/>
    <s v="13/05/2025Respiratory"/>
    <n v="14"/>
    <n v="36"/>
  </r>
  <r>
    <n v="211"/>
    <n v="273"/>
    <x v="1"/>
    <d v="2025-05-14T00:00:00"/>
    <d v="2025-05-19T00:00:00"/>
    <s v="Elective"/>
    <n v="5"/>
    <n v="42"/>
    <s v="Discharged"/>
    <n v="7"/>
    <s v="14/05/2025General Surgery"/>
    <n v="19"/>
    <n v="44"/>
  </r>
  <r>
    <n v="212"/>
    <n v="683"/>
    <x v="5"/>
    <d v="2025-05-14T00:00:00"/>
    <d v="2025-05-17T00:00:00"/>
    <s v="Transfer"/>
    <n v="3"/>
    <n v="56"/>
    <s v="Transferred"/>
    <n v="5.6"/>
    <s v="14/05/2025Cardiology"/>
    <n v="16"/>
    <n v="38"/>
  </r>
  <r>
    <n v="213"/>
    <n v="838"/>
    <x v="2"/>
    <d v="2025-05-15T00:00:00"/>
    <d v="2025-05-20T00:00:00"/>
    <s v="Elective"/>
    <n v="5"/>
    <n v="16"/>
    <s v="Discharged"/>
    <n v="2.6666666666666665"/>
    <s v="15/05/2025Oncology"/>
    <n v="16"/>
    <n v="28"/>
  </r>
  <r>
    <n v="214"/>
    <n v="213"/>
    <x v="0"/>
    <d v="2025-05-15T00:00:00"/>
    <d v="2025-05-16T00:00:00"/>
    <s v="Emergency"/>
    <n v="1"/>
    <n v="213"/>
    <s v="Discharged"/>
    <n v="7.1"/>
    <s v="15/05/2025A&amp;E (Emergency)"/>
    <n v="23"/>
    <n v="42"/>
  </r>
  <r>
    <n v="215"/>
    <n v="316"/>
    <x v="4"/>
    <d v="2025-05-16T00:00:00"/>
    <d v="2025-05-21T00:00:00"/>
    <s v="Elective"/>
    <n v="5"/>
    <n v="19"/>
    <s v="Discharged"/>
    <n v="3.1666666666666665"/>
    <s v="16/05/2025Renal Medicine"/>
    <n v="18"/>
    <n v="26"/>
  </r>
  <r>
    <n v="216"/>
    <n v="499"/>
    <x v="6"/>
    <d v="2025-05-17T00:00:00"/>
    <d v="2025-05-23T00:00:00"/>
    <s v="Elective"/>
    <n v="6"/>
    <n v="43"/>
    <s v="Transferred"/>
    <n v="8.6"/>
    <s v="17/05/2025Neurology"/>
    <n v="9"/>
    <n v="32"/>
  </r>
  <r>
    <n v="217"/>
    <n v="994"/>
    <x v="7"/>
    <d v="2025-05-17T00:00:00"/>
    <d v="2025-05-19T00:00:00"/>
    <s v="Emergency"/>
    <n v="2"/>
    <n v="55"/>
    <s v="Discharged"/>
    <n v="3.6666666666666665"/>
    <s v="17/05/2025Maternity"/>
    <n v="10"/>
    <n v="34"/>
  </r>
  <r>
    <n v="218"/>
    <n v="653"/>
    <x v="8"/>
    <d v="2025-05-18T00:00:00"/>
    <d v="2025-05-23T00:00:00"/>
    <s v="Elective"/>
    <n v="5"/>
    <n v="4"/>
    <s v="Discharged"/>
    <n v="0.66666666666666663"/>
    <s v="18/05/2025Orthopaedics"/>
    <n v="10"/>
    <n v="40"/>
  </r>
  <r>
    <n v="219"/>
    <n v="784"/>
    <x v="9"/>
    <d v="2025-05-18T00:00:00"/>
    <d v="2025-05-20T00:00:00"/>
    <s v="Emergency"/>
    <n v="2"/>
    <n v="40"/>
    <s v="Discharged"/>
    <n v="2.6666666666666665"/>
    <s v="18/05/2025Paediatrics"/>
    <n v="8"/>
    <n v="30"/>
  </r>
  <r>
    <n v="220"/>
    <n v="165"/>
    <x v="10"/>
    <d v="2025-05-19T00:00:00"/>
    <d v="2025-05-24T00:00:00"/>
    <s v="Elective"/>
    <n v="5"/>
    <n v="11"/>
    <s v="Discharged"/>
    <n v="1.8333333333333333"/>
    <s v="19/05/2025Gastroenterology"/>
    <n v="12"/>
    <n v="29"/>
  </r>
  <r>
    <n v="221"/>
    <n v="481"/>
    <x v="11"/>
    <d v="2025-05-20T00:00:00"/>
    <d v="2025-05-22T00:00:00"/>
    <s v="Emergency"/>
    <n v="2"/>
    <n v="36"/>
    <s v="Discharged"/>
    <n v="2.4"/>
    <s v="20/05/2025ENT"/>
    <n v="12"/>
    <n v="20"/>
  </r>
  <r>
    <n v="222"/>
    <n v="829"/>
    <x v="12"/>
    <d v="2025-05-20T00:00:00"/>
    <d v="2025-05-26T00:00:00"/>
    <s v="Elective"/>
    <n v="6"/>
    <n v="35"/>
    <s v="Discharged"/>
    <n v="7"/>
    <s v="20/05/2025Geriatrics"/>
    <n v="15"/>
    <n v="46"/>
  </r>
  <r>
    <n v="223"/>
    <n v="540"/>
    <x v="3"/>
    <d v="2025-05-21T00:00:00"/>
    <d v="2025-05-23T00:00:00"/>
    <s v="Emergency"/>
    <n v="2"/>
    <n v="175"/>
    <s v="Discharged"/>
    <n v="11.666666666666666"/>
    <s v="21/05/2025Respiratory"/>
    <n v="13"/>
    <n v="36"/>
  </r>
  <r>
    <n v="224"/>
    <n v="196"/>
    <x v="1"/>
    <d v="2025-05-22T00:00:00"/>
    <d v="2025-05-27T00:00:00"/>
    <s v="Elective"/>
    <n v="5"/>
    <n v="44"/>
    <s v="Discharged"/>
    <n v="7.333333333333333"/>
    <s v="22/05/2025General Surgery"/>
    <n v="19"/>
    <n v="44"/>
  </r>
  <r>
    <n v="225"/>
    <n v="571"/>
    <x v="5"/>
    <d v="2025-05-22T00:00:00"/>
    <d v="2025-05-25T00:00:00"/>
    <s v="Transfer"/>
    <n v="3"/>
    <n v="21"/>
    <s v="Discharged"/>
    <n v="2.0999999999999996"/>
    <s v="22/05/2025Cardiology"/>
    <n v="16"/>
    <n v="38"/>
  </r>
  <r>
    <n v="226"/>
    <n v="389"/>
    <x v="2"/>
    <d v="2025-05-23T00:00:00"/>
    <d v="2025-05-28T00:00:00"/>
    <s v="Elective"/>
    <n v="5"/>
    <n v="15"/>
    <s v="Discharged"/>
    <n v="2.5"/>
    <s v="23/05/2025Oncology"/>
    <n v="15"/>
    <n v="28"/>
  </r>
  <r>
    <n v="227"/>
    <n v="155"/>
    <x v="0"/>
    <d v="2025-05-23T00:00:00"/>
    <d v="2025-05-24T00:00:00"/>
    <s v="Emergency"/>
    <n v="1"/>
    <n v="230"/>
    <s v="Discharged"/>
    <n v="7.666666666666667"/>
    <s v="23/05/2025A&amp;E (Emergency)"/>
    <n v="22"/>
    <n v="42"/>
  </r>
  <r>
    <n v="228"/>
    <n v="881"/>
    <x v="4"/>
    <d v="2025-05-24T00:00:00"/>
    <d v="2025-05-29T00:00:00"/>
    <s v="Elective"/>
    <n v="5"/>
    <n v="35"/>
    <s v="Discharged"/>
    <n v="5.8333333333333339"/>
    <s v="24/05/2025Renal Medicine"/>
    <n v="17"/>
    <n v="26"/>
  </r>
  <r>
    <n v="229"/>
    <n v="102"/>
    <x v="6"/>
    <d v="2025-05-25T00:00:00"/>
    <d v="2025-05-31T00:00:00"/>
    <s v="Elective"/>
    <n v="6"/>
    <n v="22"/>
    <s v="Discharged"/>
    <n v="4.3999999999999995"/>
    <s v="25/05/2025Neurology"/>
    <n v="9"/>
    <n v="32"/>
  </r>
  <r>
    <n v="230"/>
    <n v="342"/>
    <x v="7"/>
    <d v="2025-05-25T00:00:00"/>
    <d v="2025-05-27T00:00:00"/>
    <s v="Emergency"/>
    <n v="2"/>
    <n v="63"/>
    <s v="Discharged"/>
    <n v="4.2"/>
    <s v="25/05/2025Maternity"/>
    <n v="9"/>
    <n v="34"/>
  </r>
  <r>
    <n v="231"/>
    <n v="189"/>
    <x v="8"/>
    <d v="2025-05-26T00:00:00"/>
    <d v="2025-05-31T00:00:00"/>
    <s v="Elective"/>
    <n v="5"/>
    <n v="24"/>
    <s v="Discharged"/>
    <n v="4"/>
    <s v="26/05/2025Orthopaedics"/>
    <n v="16"/>
    <n v="40"/>
  </r>
  <r>
    <n v="232"/>
    <n v="836"/>
    <x v="9"/>
    <d v="2025-05-26T00:00:00"/>
    <d v="2025-05-28T00:00:00"/>
    <s v="Emergency"/>
    <n v="2"/>
    <n v="120"/>
    <s v="Discharged"/>
    <n v="8"/>
    <s v="26/05/2025Paediatrics"/>
    <n v="13"/>
    <n v="30"/>
  </r>
  <r>
    <n v="233"/>
    <n v="14"/>
    <x v="10"/>
    <d v="2025-05-27T00:00:00"/>
    <d v="2025-06-01T00:00:00"/>
    <s v="Elective"/>
    <n v="5"/>
    <n v="34"/>
    <s v="Discharged"/>
    <n v="5.6666666666666661"/>
    <s v="27/05/2025Gastroenterology"/>
    <n v="11"/>
    <n v="29"/>
  </r>
  <r>
    <n v="234"/>
    <n v="449"/>
    <x v="11"/>
    <d v="2025-05-28T00:00:00"/>
    <d v="2025-05-30T00:00:00"/>
    <s v="Emergency"/>
    <n v="2"/>
    <n v="106"/>
    <s v="Discharged"/>
    <n v="7.0666666666666664"/>
    <s v="28/05/2025ENT"/>
    <n v="12"/>
    <n v="20"/>
  </r>
  <r>
    <n v="235"/>
    <n v="93"/>
    <x v="12"/>
    <d v="2025-05-28T00:00:00"/>
    <d v="2025-06-03T00:00:00"/>
    <s v="Elective"/>
    <n v="6"/>
    <n v="43"/>
    <s v="Discharged"/>
    <n v="8.6"/>
    <s v="28/05/2025Geriatrics"/>
    <n v="14"/>
    <n v="46"/>
  </r>
  <r>
    <n v="236"/>
    <n v="738"/>
    <x v="3"/>
    <d v="2025-05-29T00:00:00"/>
    <d v="2025-05-31T00:00:00"/>
    <s v="Emergency"/>
    <n v="2"/>
    <n v="185"/>
    <s v="Discharged"/>
    <n v="12.333333333333334"/>
    <s v="29/05/2025Respiratory"/>
    <n v="13"/>
    <n v="36"/>
  </r>
  <r>
    <n v="237"/>
    <n v="390"/>
    <x v="1"/>
    <d v="2025-05-30T00:00:00"/>
    <d v="2025-06-04T00:00:00"/>
    <s v="Elective"/>
    <n v="5"/>
    <n v="20"/>
    <s v="Discharged"/>
    <n v="3.333333333333333"/>
    <s v="30/05/2025General Surgery"/>
    <n v="18"/>
    <n v="44"/>
  </r>
  <r>
    <n v="238"/>
    <n v="582"/>
    <x v="5"/>
    <d v="2025-05-30T00:00:00"/>
    <d v="2025-06-02T00:00:00"/>
    <s v="Transfer"/>
    <n v="3"/>
    <n v="56"/>
    <s v="Discharged"/>
    <n v="5.6"/>
    <s v="30/05/2025Cardiology"/>
    <n v="15"/>
    <n v="38"/>
  </r>
  <r>
    <n v="239"/>
    <n v="944"/>
    <x v="2"/>
    <d v="2025-05-31T00:00:00"/>
    <d v="2025-06-05T00:00:00"/>
    <s v="Elective"/>
    <n v="5"/>
    <n v="20"/>
    <s v="Discharged"/>
    <n v="3.333333333333333"/>
    <s v="31/05/2025Oncology"/>
    <n v="13"/>
    <n v="28"/>
  </r>
  <r>
    <n v="240"/>
    <n v="659"/>
    <x v="0"/>
    <d v="2025-05-31T00:00:00"/>
    <d v="2025-06-01T00:00:00"/>
    <s v="Emergency"/>
    <n v="1"/>
    <n v="148"/>
    <s v="Discharged"/>
    <n v="4.9333333333333336"/>
    <s v="31/05/2025A&amp;E (Emergency)"/>
    <n v="20"/>
    <n v="42"/>
  </r>
  <r>
    <n v="241"/>
    <n v="126"/>
    <x v="4"/>
    <d v="2025-06-01T00:00:00"/>
    <d v="2025-06-06T00:00:00"/>
    <s v="Elective"/>
    <n v="5"/>
    <n v="25"/>
    <s v="Discharged"/>
    <n v="4.166666666666667"/>
    <s v="01/06/2025Renal Medicine"/>
    <n v="17"/>
    <n v="26"/>
  </r>
  <r>
    <n v="242"/>
    <n v="50"/>
    <x v="6"/>
    <d v="2025-06-02T00:00:00"/>
    <d v="2025-06-08T00:00:00"/>
    <s v="Elective"/>
    <n v="6"/>
    <n v="43"/>
    <s v="Discharged"/>
    <n v="8.6"/>
    <s v="02/06/2025Neurology"/>
    <n v="14"/>
    <n v="32"/>
  </r>
  <r>
    <n v="243"/>
    <n v="300"/>
    <x v="7"/>
    <d v="2025-06-02T00:00:00"/>
    <d v="2025-06-04T00:00:00"/>
    <s v="Emergency"/>
    <n v="2"/>
    <n v="126"/>
    <s v="Discharged"/>
    <n v="8.4"/>
    <s v="02/06/2025Maternity"/>
    <n v="13"/>
    <n v="34"/>
  </r>
  <r>
    <n v="244"/>
    <n v="705"/>
    <x v="8"/>
    <d v="2025-06-03T00:00:00"/>
    <d v="2025-06-08T00:00:00"/>
    <s v="Elective"/>
    <n v="5"/>
    <n v="38"/>
    <s v="Discharged"/>
    <n v="6.333333333333333"/>
    <s v="03/06/2025Orthopaedics"/>
    <n v="15"/>
    <n v="40"/>
  </r>
  <r>
    <n v="245"/>
    <n v="435"/>
    <x v="9"/>
    <d v="2025-06-03T00:00:00"/>
    <d v="2025-06-05T00:00:00"/>
    <s v="Emergency"/>
    <n v="2"/>
    <n v="228"/>
    <s v="Transferred"/>
    <n v="15.2"/>
    <s v="03/06/2025Paediatrics"/>
    <n v="12"/>
    <n v="30"/>
  </r>
  <r>
    <n v="246"/>
    <n v="882"/>
    <x v="10"/>
    <d v="2025-06-04T00:00:00"/>
    <d v="2025-06-09T00:00:00"/>
    <s v="Elective"/>
    <n v="5"/>
    <n v="16"/>
    <s v="Discharged"/>
    <n v="2.6666666666666665"/>
    <s v="04/06/2025Gastroenterology"/>
    <n v="10"/>
    <n v="29"/>
  </r>
  <r>
    <n v="247"/>
    <n v="564"/>
    <x v="11"/>
    <d v="2025-06-05T00:00:00"/>
    <d v="2025-06-07T00:00:00"/>
    <s v="Emergency"/>
    <n v="2"/>
    <n v="238"/>
    <s v="Discharged"/>
    <n v="15.866666666666667"/>
    <s v="05/06/2025ENT"/>
    <n v="12"/>
    <n v="20"/>
  </r>
  <r>
    <n v="248"/>
    <n v="306"/>
    <x v="12"/>
    <d v="2025-06-05T00:00:00"/>
    <d v="2025-06-11T00:00:00"/>
    <s v="Elective"/>
    <n v="6"/>
    <n v="27"/>
    <s v="Discharged"/>
    <n v="5.4"/>
    <s v="05/06/2025Geriatrics"/>
    <n v="14"/>
    <n v="46"/>
  </r>
  <r>
    <n v="249"/>
    <n v="263"/>
    <x v="3"/>
    <d v="2025-06-06T00:00:00"/>
    <d v="2025-06-08T00:00:00"/>
    <s v="Emergency"/>
    <n v="2"/>
    <n v="120"/>
    <s v="Discharged"/>
    <n v="8"/>
    <s v="06/06/2025Respiratory"/>
    <n v="12"/>
    <n v="36"/>
  </r>
  <r>
    <n v="250"/>
    <n v="813"/>
    <x v="1"/>
    <d v="2025-06-07T00:00:00"/>
    <d v="2025-06-12T00:00:00"/>
    <s v="Elective"/>
    <n v="5"/>
    <n v="2"/>
    <s v="Discharged"/>
    <n v="0.33333333333333331"/>
    <s v="07/06/2025General Surgery"/>
    <n v="15"/>
    <n v="44"/>
  </r>
  <r>
    <n v="251"/>
    <n v="758"/>
    <x v="5"/>
    <d v="2025-06-07T00:00:00"/>
    <d v="2025-06-10T00:00:00"/>
    <s v="Transfer"/>
    <n v="3"/>
    <n v="55"/>
    <s v="Discharged"/>
    <n v="5.5"/>
    <s v="07/06/2025Cardiology"/>
    <n v="12"/>
    <n v="38"/>
  </r>
  <r>
    <n v="252"/>
    <n v="874"/>
    <x v="2"/>
    <d v="2025-06-08T00:00:00"/>
    <d v="2025-06-13T00:00:00"/>
    <s v="Elective"/>
    <n v="5"/>
    <n v="10"/>
    <s v="Discharged"/>
    <n v="1.6666666666666665"/>
    <s v="08/06/2025Oncology"/>
    <n v="12"/>
    <n v="28"/>
  </r>
  <r>
    <n v="253"/>
    <n v="431"/>
    <x v="0"/>
    <d v="2025-06-08T00:00:00"/>
    <d v="2025-06-09T00:00:00"/>
    <s v="Emergency"/>
    <n v="1"/>
    <n v="216"/>
    <s v="Discharged"/>
    <n v="7.2"/>
    <s v="08/06/2025A&amp;E (Emergency)"/>
    <n v="19"/>
    <n v="42"/>
  </r>
  <r>
    <n v="254"/>
    <n v="111"/>
    <x v="4"/>
    <d v="2025-06-09T00:00:00"/>
    <d v="2025-06-14T00:00:00"/>
    <s v="Elective"/>
    <n v="5"/>
    <n v="14"/>
    <s v="Discharged"/>
    <n v="2.3333333333333335"/>
    <s v="09/06/2025Renal Medicine"/>
    <n v="21"/>
    <n v="26"/>
  </r>
  <r>
    <n v="255"/>
    <n v="19"/>
    <x v="6"/>
    <d v="2025-06-10T00:00:00"/>
    <d v="2025-06-16T00:00:00"/>
    <s v="Elective"/>
    <n v="6"/>
    <n v="43"/>
    <s v="Discharged"/>
    <n v="8.6"/>
    <s v="10/06/2025Neurology"/>
    <n v="13"/>
    <n v="32"/>
  </r>
  <r>
    <n v="256"/>
    <n v="708"/>
    <x v="7"/>
    <d v="2025-06-10T00:00:00"/>
    <d v="2025-06-12T00:00:00"/>
    <s v="Emergency"/>
    <n v="2"/>
    <n v="130"/>
    <s v="Transferred"/>
    <n v="8.6666666666666661"/>
    <s v="10/06/2025Maternity"/>
    <n v="12"/>
    <n v="34"/>
  </r>
  <r>
    <n v="257"/>
    <n v="371"/>
    <x v="8"/>
    <d v="2025-06-11T00:00:00"/>
    <d v="2025-06-16T00:00:00"/>
    <s v="Elective"/>
    <n v="5"/>
    <n v="24"/>
    <s v="Discharged"/>
    <n v="4"/>
    <s v="11/06/2025Orthopaedics"/>
    <n v="14"/>
    <n v="40"/>
  </r>
  <r>
    <n v="258"/>
    <n v="611"/>
    <x v="9"/>
    <d v="2025-06-11T00:00:00"/>
    <d v="2025-06-13T00:00:00"/>
    <s v="Emergency"/>
    <n v="2"/>
    <n v="226"/>
    <s v="Discharged"/>
    <n v="15.066666666666666"/>
    <s v="11/06/2025Paediatrics"/>
    <n v="11"/>
    <n v="30"/>
  </r>
  <r>
    <n v="259"/>
    <n v="753"/>
    <x v="10"/>
    <d v="2025-06-12T00:00:00"/>
    <d v="2025-06-17T00:00:00"/>
    <s v="Elective"/>
    <n v="5"/>
    <n v="43"/>
    <s v="Discharged"/>
    <n v="7.166666666666667"/>
    <s v="12/06/2025Gastroenterology"/>
    <n v="10"/>
    <n v="29"/>
  </r>
  <r>
    <n v="260"/>
    <n v="922"/>
    <x v="11"/>
    <d v="2025-06-13T00:00:00"/>
    <d v="2025-06-15T00:00:00"/>
    <s v="Emergency"/>
    <n v="2"/>
    <n v="23"/>
    <s v="Discharged"/>
    <n v="1.5333333333333334"/>
    <s v="13/06/2025ENT"/>
    <n v="11"/>
    <n v="20"/>
  </r>
  <r>
    <n v="261"/>
    <n v="619"/>
    <x v="12"/>
    <d v="2025-06-13T00:00:00"/>
    <d v="2025-06-19T00:00:00"/>
    <s v="Elective"/>
    <n v="6"/>
    <n v="36"/>
    <s v="Discharged"/>
    <n v="7.1999999999999993"/>
    <s v="13/06/2025Geriatrics"/>
    <n v="13"/>
    <n v="46"/>
  </r>
  <r>
    <n v="262"/>
    <n v="546"/>
    <x v="3"/>
    <d v="2025-06-14T00:00:00"/>
    <d v="2025-06-16T00:00:00"/>
    <s v="Emergency"/>
    <n v="2"/>
    <n v="175"/>
    <s v="Discharged"/>
    <n v="11.666666666666666"/>
    <s v="14/06/2025Respiratory"/>
    <n v="9"/>
    <n v="36"/>
  </r>
  <r>
    <n v="263"/>
    <n v="483"/>
    <x v="1"/>
    <d v="2025-06-15T00:00:00"/>
    <d v="2025-06-20T00:00:00"/>
    <s v="Elective"/>
    <n v="5"/>
    <n v="3"/>
    <s v="Transferred"/>
    <n v="0.5"/>
    <s v="15/06/2025General Surgery"/>
    <n v="14"/>
    <n v="44"/>
  </r>
  <r>
    <n v="264"/>
    <n v="865"/>
    <x v="5"/>
    <d v="2025-06-15T00:00:00"/>
    <d v="2025-06-18T00:00:00"/>
    <s v="Transfer"/>
    <n v="3"/>
    <n v="32"/>
    <s v="Discharged"/>
    <n v="3.2"/>
    <s v="15/06/2025Cardiology"/>
    <n v="11"/>
    <n v="38"/>
  </r>
  <r>
    <n v="265"/>
    <n v="223"/>
    <x v="2"/>
    <d v="2025-06-16T00:00:00"/>
    <d v="2025-06-21T00:00:00"/>
    <s v="Elective"/>
    <n v="5"/>
    <n v="34"/>
    <s v="Discharged"/>
    <n v="5.6666666666666661"/>
    <s v="16/06/2025Oncology"/>
    <n v="18"/>
    <n v="28"/>
  </r>
  <r>
    <n v="266"/>
    <n v="118"/>
    <x v="0"/>
    <d v="2025-06-16T00:00:00"/>
    <d v="2025-06-17T00:00:00"/>
    <s v="Emergency"/>
    <n v="1"/>
    <n v="40"/>
    <s v="Discharged"/>
    <n v="1.3333333333333333"/>
    <s v="16/06/2025A&amp;E (Emergency)"/>
    <n v="28"/>
    <n v="42"/>
  </r>
  <r>
    <n v="267"/>
    <n v="553"/>
    <x v="4"/>
    <d v="2025-06-17T00:00:00"/>
    <d v="2025-06-22T00:00:00"/>
    <s v="Elective"/>
    <n v="5"/>
    <n v="13"/>
    <s v="Discharged"/>
    <n v="2.166666666666667"/>
    <s v="17/06/2025Renal Medicine"/>
    <n v="20"/>
    <n v="26"/>
  </r>
  <r>
    <n v="268"/>
    <n v="749"/>
    <x v="6"/>
    <d v="2025-06-18T00:00:00"/>
    <d v="2025-06-24T00:00:00"/>
    <s v="Elective"/>
    <n v="6"/>
    <n v="11"/>
    <s v="Discharged"/>
    <n v="2.1999999999999997"/>
    <s v="18/06/2025Neurology"/>
    <n v="12"/>
    <n v="32"/>
  </r>
  <r>
    <n v="269"/>
    <n v="115"/>
    <x v="7"/>
    <d v="2025-06-18T00:00:00"/>
    <d v="2025-06-20T00:00:00"/>
    <s v="Emergency"/>
    <n v="2"/>
    <n v="217"/>
    <s v="Discharged"/>
    <n v="14.466666666666667"/>
    <s v="18/06/2025Maternity"/>
    <n v="12"/>
    <n v="34"/>
  </r>
  <r>
    <n v="270"/>
    <n v="456"/>
    <x v="8"/>
    <d v="2025-06-19T00:00:00"/>
    <d v="2025-06-24T00:00:00"/>
    <s v="Elective"/>
    <n v="5"/>
    <n v="12"/>
    <s v="Discharged"/>
    <n v="2"/>
    <s v="19/06/2025Orthopaedics"/>
    <n v="14"/>
    <n v="40"/>
  </r>
  <r>
    <n v="271"/>
    <n v="495"/>
    <x v="9"/>
    <d v="2025-06-19T00:00:00"/>
    <d v="2025-06-21T00:00:00"/>
    <s v="Emergency"/>
    <n v="2"/>
    <n v="190"/>
    <s v="Discharged"/>
    <n v="12.666666666666666"/>
    <s v="19/06/2025Paediatrics"/>
    <n v="11"/>
    <n v="30"/>
  </r>
  <r>
    <n v="272"/>
    <n v="137"/>
    <x v="10"/>
    <d v="2025-06-20T00:00:00"/>
    <d v="2025-06-25T00:00:00"/>
    <s v="Elective"/>
    <n v="5"/>
    <n v="22"/>
    <s v="Discharged"/>
    <n v="3.6666666666666665"/>
    <s v="20/06/2025Gastroenterology"/>
    <n v="9"/>
    <n v="29"/>
  </r>
  <r>
    <n v="273"/>
    <n v="307"/>
    <x v="11"/>
    <d v="2025-06-21T00:00:00"/>
    <d v="2025-06-23T00:00:00"/>
    <s v="Emergency"/>
    <n v="2"/>
    <n v="55"/>
    <s v="Discharged"/>
    <n v="3.6666666666666665"/>
    <s v="21/06/2025ENT"/>
    <n v="10"/>
    <n v="20"/>
  </r>
  <r>
    <n v="274"/>
    <n v="174"/>
    <x v="12"/>
    <d v="2025-06-21T00:00:00"/>
    <d v="2025-06-27T00:00:00"/>
    <s v="Elective"/>
    <n v="6"/>
    <n v="27"/>
    <s v="Discharged"/>
    <n v="5.4"/>
    <s v="21/06/2025Geriatrics"/>
    <n v="12"/>
    <n v="46"/>
  </r>
  <r>
    <n v="275"/>
    <n v="154"/>
    <x v="3"/>
    <d v="2025-06-22T00:00:00"/>
    <d v="2025-06-24T00:00:00"/>
    <s v="Emergency"/>
    <n v="2"/>
    <n v="54"/>
    <s v="Discharged"/>
    <n v="3.6"/>
    <s v="22/06/2025Respiratory"/>
    <n v="9"/>
    <n v="36"/>
  </r>
  <r>
    <n v="276"/>
    <n v="999"/>
    <x v="1"/>
    <d v="2025-06-23T00:00:00"/>
    <d v="2025-06-28T00:00:00"/>
    <s v="Elective"/>
    <n v="5"/>
    <n v="44"/>
    <s v="Discharged"/>
    <n v="7.333333333333333"/>
    <s v="23/06/2025General Surgery"/>
    <n v="22"/>
    <n v="44"/>
  </r>
  <r>
    <n v="277"/>
    <n v="124"/>
    <x v="5"/>
    <d v="2025-06-23T00:00:00"/>
    <d v="2025-06-26T00:00:00"/>
    <s v="Transfer"/>
    <n v="3"/>
    <n v="31"/>
    <s v="Discharged"/>
    <n v="3.1000000000000005"/>
    <s v="23/06/2025Cardiology"/>
    <n v="18"/>
    <n v="38"/>
  </r>
  <r>
    <n v="278"/>
    <n v="271"/>
    <x v="2"/>
    <d v="2025-06-24T00:00:00"/>
    <d v="2025-06-29T00:00:00"/>
    <s v="Elective"/>
    <n v="5"/>
    <n v="36"/>
    <s v="Discharged"/>
    <n v="6"/>
    <s v="24/06/2025Oncology"/>
    <n v="17"/>
    <n v="28"/>
  </r>
  <r>
    <n v="279"/>
    <n v="705"/>
    <x v="0"/>
    <d v="2025-06-24T00:00:00"/>
    <d v="2025-06-25T00:00:00"/>
    <s v="Emergency"/>
    <n v="1"/>
    <n v="228"/>
    <s v="Transferred"/>
    <n v="7.6"/>
    <s v="24/06/2025A&amp;E (Emergency)"/>
    <n v="25"/>
    <n v="42"/>
  </r>
  <r>
    <n v="280"/>
    <n v="597"/>
    <x v="4"/>
    <d v="2025-06-25T00:00:00"/>
    <d v="2025-06-30T00:00:00"/>
    <s v="Elective"/>
    <n v="5"/>
    <n v="1"/>
    <s v="Discharged"/>
    <n v="0.16666666666666666"/>
    <s v="25/06/2025Renal Medicine"/>
    <n v="19"/>
    <n v="26"/>
  </r>
  <r>
    <n v="281"/>
    <n v="750"/>
    <x v="6"/>
    <d v="2025-06-26T00:00:00"/>
    <d v="2025-07-02T00:00:00"/>
    <s v="Elective"/>
    <n v="6"/>
    <n v="43"/>
    <s v="Discharged"/>
    <n v="8.6"/>
    <s v="26/06/2025Neurology"/>
    <n v="12"/>
    <n v="32"/>
  </r>
  <r>
    <n v="282"/>
    <n v="574"/>
    <x v="7"/>
    <d v="2025-06-26T00:00:00"/>
    <d v="2025-06-28T00:00:00"/>
    <s v="Emergency"/>
    <n v="2"/>
    <n v="110"/>
    <s v="Discharged"/>
    <n v="7.333333333333333"/>
    <s v="26/06/2025Maternity"/>
    <n v="12"/>
    <n v="34"/>
  </r>
  <r>
    <n v="283"/>
    <n v="335"/>
    <x v="8"/>
    <d v="2025-06-27T00:00:00"/>
    <d v="2025-07-02T00:00:00"/>
    <s v="Elective"/>
    <n v="5"/>
    <n v="44"/>
    <s v="Discharged"/>
    <n v="7.333333333333333"/>
    <s v="27/06/2025Orthopaedics"/>
    <n v="13"/>
    <n v="40"/>
  </r>
  <r>
    <n v="284"/>
    <n v="69"/>
    <x v="9"/>
    <d v="2025-06-27T00:00:00"/>
    <d v="2025-06-29T00:00:00"/>
    <s v="Emergency"/>
    <n v="2"/>
    <n v="30"/>
    <s v="Discharged"/>
    <n v="2"/>
    <s v="27/06/2025Paediatrics"/>
    <n v="10"/>
    <n v="30"/>
  </r>
  <r>
    <n v="285"/>
    <n v="725"/>
    <x v="10"/>
    <d v="2025-06-28T00:00:00"/>
    <d v="2025-07-03T00:00:00"/>
    <s v="Elective"/>
    <n v="5"/>
    <n v="4"/>
    <s v="Transferred"/>
    <n v="0.66666666666666663"/>
    <s v="28/06/2025Gastroenterology"/>
    <n v="7"/>
    <n v="29"/>
  </r>
  <r>
    <n v="286"/>
    <n v="754"/>
    <x v="11"/>
    <d v="2025-07-01T00:00:00"/>
    <d v="2025-07-03T00:00:00"/>
    <s v="Emergency"/>
    <n v="2"/>
    <n v="63"/>
    <s v="Discharged"/>
    <n v="4.2"/>
    <s v="01/07/2025ENT"/>
    <n v="12"/>
    <n v="20"/>
  </r>
  <r>
    <n v="287"/>
    <n v="869"/>
    <x v="12"/>
    <d v="2025-07-01T00:00:00"/>
    <d v="2025-07-07T00:00:00"/>
    <s v="Elective"/>
    <n v="6"/>
    <n v="21"/>
    <s v="Discharged"/>
    <n v="4.1999999999999993"/>
    <s v="01/07/2025Geriatrics"/>
    <n v="15"/>
    <n v="46"/>
  </r>
  <r>
    <n v="288"/>
    <n v="818"/>
    <x v="3"/>
    <d v="2025-07-02T00:00:00"/>
    <d v="2025-07-04T00:00:00"/>
    <s v="Emergency"/>
    <n v="2"/>
    <n v="232"/>
    <s v="Discharged"/>
    <n v="15.466666666666667"/>
    <s v="02/07/2025Respiratory"/>
    <n v="13"/>
    <n v="36"/>
  </r>
  <r>
    <n v="289"/>
    <n v="558"/>
    <x v="1"/>
    <d v="2025-07-03T00:00:00"/>
    <d v="2025-07-08T00:00:00"/>
    <s v="Elective"/>
    <n v="5"/>
    <n v="18"/>
    <s v="Discharged"/>
    <n v="3"/>
    <s v="03/07/2025General Surgery"/>
    <n v="19"/>
    <n v="44"/>
  </r>
  <r>
    <n v="290"/>
    <n v="634"/>
    <x v="5"/>
    <d v="2025-07-03T00:00:00"/>
    <d v="2025-07-06T00:00:00"/>
    <s v="Transfer"/>
    <n v="3"/>
    <n v="27"/>
    <s v="Discharged"/>
    <n v="2.7"/>
    <s v="03/07/2025Cardiology"/>
    <n v="16"/>
    <n v="38"/>
  </r>
  <r>
    <n v="291"/>
    <n v="975"/>
    <x v="2"/>
    <d v="2025-07-04T00:00:00"/>
    <d v="2025-07-09T00:00:00"/>
    <s v="Elective"/>
    <n v="5"/>
    <n v="44"/>
    <s v="Discharged"/>
    <n v="7.333333333333333"/>
    <s v="04/07/2025Oncology"/>
    <n v="15"/>
    <n v="28"/>
  </r>
  <r>
    <n v="292"/>
    <n v="409"/>
    <x v="0"/>
    <d v="2025-07-04T00:00:00"/>
    <d v="2025-07-05T00:00:00"/>
    <s v="Emergency"/>
    <n v="1"/>
    <n v="21"/>
    <s v="Discharged"/>
    <n v="0.7"/>
    <s v="04/07/2025A&amp;E (Emergency)"/>
    <n v="22"/>
    <n v="42"/>
  </r>
  <r>
    <n v="293"/>
    <n v="252"/>
    <x v="4"/>
    <d v="2025-07-05T00:00:00"/>
    <d v="2025-07-10T00:00:00"/>
    <s v="Elective"/>
    <n v="5"/>
    <n v="14"/>
    <s v="Discharged"/>
    <n v="2.3333333333333335"/>
    <s v="05/07/2025Renal Medicine"/>
    <n v="17"/>
    <n v="26"/>
  </r>
  <r>
    <n v="294"/>
    <n v="563"/>
    <x v="6"/>
    <d v="2025-07-06T00:00:00"/>
    <d v="2025-07-12T00:00:00"/>
    <s v="Elective"/>
    <n v="6"/>
    <n v="44"/>
    <s v="Discharged"/>
    <n v="8.7999999999999989"/>
    <s v="06/07/2025Neurology"/>
    <n v="9"/>
    <n v="32"/>
  </r>
  <r>
    <n v="295"/>
    <n v="798"/>
    <x v="7"/>
    <d v="2025-07-06T00:00:00"/>
    <d v="2025-07-08T00:00:00"/>
    <s v="Emergency"/>
    <n v="2"/>
    <n v="120"/>
    <s v="Discharged"/>
    <n v="8"/>
    <s v="06/07/2025Maternity"/>
    <n v="9"/>
    <n v="34"/>
  </r>
  <r>
    <n v="296"/>
    <n v="572"/>
    <x v="8"/>
    <d v="2025-07-07T00:00:00"/>
    <d v="2025-07-12T00:00:00"/>
    <s v="Elective"/>
    <n v="5"/>
    <n v="21"/>
    <s v="Discharged"/>
    <n v="3.5"/>
    <s v="07/07/2025Orthopaedics"/>
    <n v="16"/>
    <n v="40"/>
  </r>
  <r>
    <n v="297"/>
    <n v="425"/>
    <x v="9"/>
    <d v="2025-07-07T00:00:00"/>
    <d v="2025-07-09T00:00:00"/>
    <s v="Emergency"/>
    <n v="2"/>
    <n v="228"/>
    <s v="Transferred"/>
    <n v="15.2"/>
    <s v="07/07/2025Paediatrics"/>
    <n v="13"/>
    <n v="30"/>
  </r>
  <r>
    <n v="298"/>
    <n v="594"/>
    <x v="10"/>
    <d v="2025-07-08T00:00:00"/>
    <d v="2025-07-13T00:00:00"/>
    <s v="Elective"/>
    <n v="5"/>
    <n v="34"/>
    <s v="Discharged"/>
    <n v="5.6666666666666661"/>
    <s v="08/07/2025Gastroenterology"/>
    <n v="11"/>
    <n v="29"/>
  </r>
  <r>
    <n v="299"/>
    <n v="500"/>
    <x v="11"/>
    <d v="2025-07-09T00:00:00"/>
    <d v="2025-07-11T00:00:00"/>
    <s v="Emergency"/>
    <n v="2"/>
    <n v="148"/>
    <s v="Discharged"/>
    <n v="9.8666666666666671"/>
    <s v="09/07/2025ENT"/>
    <n v="12"/>
    <n v="20"/>
  </r>
  <r>
    <n v="300"/>
    <n v="183"/>
    <x v="12"/>
    <d v="2025-07-09T00:00:00"/>
    <d v="2025-07-15T00:00:00"/>
    <s v="Elective"/>
    <n v="6"/>
    <n v="11"/>
    <s v="Discharged"/>
    <n v="2.1999999999999997"/>
    <s v="09/07/2025Geriatrics"/>
    <n v="14"/>
    <n v="46"/>
  </r>
  <r>
    <n v="301"/>
    <n v="370"/>
    <x v="3"/>
    <d v="2025-07-10T00:00:00"/>
    <d v="2025-07-12T00:00:00"/>
    <s v="Emergency"/>
    <n v="2"/>
    <n v="24"/>
    <s v="Discharged"/>
    <n v="1.6"/>
    <s v="10/07/2025Respiratory"/>
    <n v="13"/>
    <n v="36"/>
  </r>
  <r>
    <n v="302"/>
    <n v="393"/>
    <x v="1"/>
    <d v="2025-07-11T00:00:00"/>
    <d v="2025-07-16T00:00:00"/>
    <s v="Elective"/>
    <n v="5"/>
    <n v="27"/>
    <s v="Discharged"/>
    <n v="4.5"/>
    <s v="11/07/2025General Surgery"/>
    <n v="18"/>
    <n v="44"/>
  </r>
  <r>
    <n v="303"/>
    <n v="445"/>
    <x v="5"/>
    <d v="2025-07-11T00:00:00"/>
    <d v="2025-07-14T00:00:00"/>
    <s v="Transfer"/>
    <n v="3"/>
    <n v="58"/>
    <s v="Discharged"/>
    <n v="5.8"/>
    <s v="11/07/2025Cardiology"/>
    <n v="15"/>
    <n v="38"/>
  </r>
  <r>
    <n v="304"/>
    <n v="985"/>
    <x v="2"/>
    <d v="2025-07-12T00:00:00"/>
    <d v="2025-07-17T00:00:00"/>
    <s v="Elective"/>
    <n v="5"/>
    <n v="3"/>
    <s v="Transferred"/>
    <n v="0.5"/>
    <s v="12/07/2025Oncology"/>
    <n v="13"/>
    <n v="28"/>
  </r>
  <r>
    <n v="305"/>
    <n v="310"/>
    <x v="0"/>
    <d v="2025-07-12T00:00:00"/>
    <d v="2025-07-13T00:00:00"/>
    <s v="Emergency"/>
    <n v="1"/>
    <n v="55"/>
    <s v="Discharged"/>
    <n v="1.8333333333333333"/>
    <s v="12/07/2025A&amp;E (Emergency)"/>
    <n v="20"/>
    <n v="42"/>
  </r>
  <r>
    <n v="306"/>
    <n v="301"/>
    <x v="4"/>
    <d v="2025-07-13T00:00:00"/>
    <d v="2025-07-18T00:00:00"/>
    <s v="Elective"/>
    <n v="5"/>
    <n v="15"/>
    <s v="Discharged"/>
    <n v="2.5"/>
    <s v="13/07/2025Renal Medicine"/>
    <n v="17"/>
    <n v="26"/>
  </r>
  <r>
    <n v="307"/>
    <n v="791"/>
    <x v="6"/>
    <d v="2025-07-14T00:00:00"/>
    <d v="2025-07-20T00:00:00"/>
    <s v="Elective"/>
    <n v="6"/>
    <n v="31"/>
    <s v="Discharged"/>
    <n v="6.2000000000000011"/>
    <s v="14/07/2025Neurology"/>
    <n v="14"/>
    <n v="32"/>
  </r>
  <r>
    <n v="308"/>
    <n v="400"/>
    <x v="7"/>
    <d v="2025-07-14T00:00:00"/>
    <d v="2025-07-16T00:00:00"/>
    <s v="Emergency"/>
    <n v="2"/>
    <n v="131"/>
    <s v="Discharged"/>
    <n v="8.7333333333333325"/>
    <s v="14/07/2025Maternity"/>
    <n v="13"/>
    <n v="34"/>
  </r>
  <r>
    <n v="309"/>
    <n v="36"/>
    <x v="8"/>
    <d v="2025-07-15T00:00:00"/>
    <d v="2025-07-20T00:00:00"/>
    <s v="Elective"/>
    <n v="5"/>
    <n v="34"/>
    <s v="Discharged"/>
    <n v="5.6666666666666661"/>
    <s v="15/07/2025Orthopaedics"/>
    <n v="15"/>
    <n v="40"/>
  </r>
  <r>
    <n v="310"/>
    <n v="193"/>
    <x v="9"/>
    <d v="2025-07-15T00:00:00"/>
    <d v="2025-07-17T00:00:00"/>
    <s v="Emergency"/>
    <n v="2"/>
    <n v="192"/>
    <s v="Transferred"/>
    <n v="12.8"/>
    <s v="15/07/2025Paediatrics"/>
    <n v="12"/>
    <n v="30"/>
  </r>
  <r>
    <n v="311"/>
    <n v="630"/>
    <x v="10"/>
    <d v="2025-07-16T00:00:00"/>
    <d v="2025-07-21T00:00:00"/>
    <s v="Elective"/>
    <n v="5"/>
    <n v="44"/>
    <s v="Discharged"/>
    <n v="7.333333333333333"/>
    <s v="16/07/2025Gastroenterology"/>
    <n v="10"/>
    <n v="29"/>
  </r>
  <r>
    <n v="312"/>
    <n v="31"/>
    <x v="11"/>
    <d v="2025-07-17T00:00:00"/>
    <d v="2025-07-19T00:00:00"/>
    <s v="Emergency"/>
    <n v="2"/>
    <n v="238"/>
    <s v="Discharged"/>
    <n v="15.866666666666667"/>
    <s v="17/07/2025ENT"/>
    <n v="12"/>
    <n v="20"/>
  </r>
  <r>
    <n v="313"/>
    <n v="292"/>
    <x v="12"/>
    <d v="2025-07-17T00:00:00"/>
    <d v="2025-07-23T00:00:00"/>
    <s v="Elective"/>
    <n v="6"/>
    <n v="34"/>
    <s v="Discharged"/>
    <n v="6.8"/>
    <s v="17/07/2025Geriatrics"/>
    <n v="14"/>
    <n v="46"/>
  </r>
  <r>
    <n v="314"/>
    <n v="131"/>
    <x v="3"/>
    <d v="2025-07-18T00:00:00"/>
    <d v="2025-07-20T00:00:00"/>
    <s v="Emergency"/>
    <n v="2"/>
    <n v="143"/>
    <s v="Discharged"/>
    <n v="9.5333333333333332"/>
    <s v="18/07/2025Respiratory"/>
    <n v="12"/>
    <n v="36"/>
  </r>
  <r>
    <n v="315"/>
    <n v="273"/>
    <x v="1"/>
    <d v="2025-07-19T00:00:00"/>
    <d v="2025-07-24T00:00:00"/>
    <s v="Elective"/>
    <n v="5"/>
    <n v="2"/>
    <s v="Discharged"/>
    <n v="0.33333333333333331"/>
    <s v="19/07/2025General Surgery"/>
    <n v="15"/>
    <n v="44"/>
  </r>
  <r>
    <n v="316"/>
    <n v="683"/>
    <x v="5"/>
    <d v="2025-07-19T00:00:00"/>
    <d v="2025-07-22T00:00:00"/>
    <s v="Transfer"/>
    <n v="3"/>
    <n v="56"/>
    <s v="Transferred"/>
    <n v="5.6"/>
    <s v="19/07/2025Cardiology"/>
    <n v="12"/>
    <n v="38"/>
  </r>
  <r>
    <n v="317"/>
    <n v="838"/>
    <x v="2"/>
    <d v="2025-07-20T00:00:00"/>
    <d v="2025-07-25T00:00:00"/>
    <s v="Elective"/>
    <n v="5"/>
    <n v="32"/>
    <s v="Discharged"/>
    <n v="5.333333333333333"/>
    <s v="20/07/2025Oncology"/>
    <n v="12"/>
    <n v="28"/>
  </r>
  <r>
    <n v="318"/>
    <n v="213"/>
    <x v="0"/>
    <d v="2025-07-20T00:00:00"/>
    <d v="2025-07-21T00:00:00"/>
    <s v="Emergency"/>
    <n v="1"/>
    <n v="207"/>
    <s v="Discharged"/>
    <n v="6.9"/>
    <s v="20/07/2025A&amp;E (Emergency)"/>
    <n v="19"/>
    <n v="42"/>
  </r>
  <r>
    <n v="319"/>
    <n v="316"/>
    <x v="4"/>
    <d v="2025-07-21T00:00:00"/>
    <d v="2025-07-26T00:00:00"/>
    <s v="Elective"/>
    <n v="5"/>
    <n v="38"/>
    <s v="Discharged"/>
    <n v="6.333333333333333"/>
    <s v="21/07/2025Renal Medicine"/>
    <n v="21"/>
    <n v="26"/>
  </r>
  <r>
    <n v="320"/>
    <n v="499"/>
    <x v="6"/>
    <d v="2025-07-22T00:00:00"/>
    <d v="2025-07-28T00:00:00"/>
    <s v="Elective"/>
    <n v="6"/>
    <n v="43"/>
    <s v="Discharged"/>
    <n v="8.6"/>
    <s v="22/07/2025Neurology"/>
    <n v="13"/>
    <n v="32"/>
  </r>
  <r>
    <n v="321"/>
    <n v="994"/>
    <x v="7"/>
    <d v="2025-07-22T00:00:00"/>
    <d v="2025-07-24T00:00:00"/>
    <s v="Emergency"/>
    <n v="2"/>
    <n v="40"/>
    <s v="Discharged"/>
    <n v="2.6666666666666665"/>
    <s v="22/07/2025Maternity"/>
    <n v="12"/>
    <n v="34"/>
  </r>
  <r>
    <n v="322"/>
    <n v="653"/>
    <x v="8"/>
    <d v="2025-07-23T00:00:00"/>
    <d v="2025-07-28T00:00:00"/>
    <s v="Elective"/>
    <n v="5"/>
    <n v="10"/>
    <s v="Discharged"/>
    <n v="1.6666666666666665"/>
    <s v="23/07/2025Orthopaedics"/>
    <n v="14"/>
    <n v="40"/>
  </r>
  <r>
    <n v="323"/>
    <n v="784"/>
    <x v="9"/>
    <d v="2025-07-23T00:00:00"/>
    <d v="2025-07-25T00:00:00"/>
    <s v="Emergency"/>
    <n v="2"/>
    <n v="175"/>
    <s v="Discharged"/>
    <n v="11.666666666666666"/>
    <s v="23/07/2025Paediatrics"/>
    <n v="11"/>
    <n v="30"/>
  </r>
  <r>
    <n v="324"/>
    <n v="165"/>
    <x v="10"/>
    <d v="2025-07-24T00:00:00"/>
    <d v="2025-07-29T00:00:00"/>
    <s v="Elective"/>
    <n v="5"/>
    <n v="44"/>
    <s v="Discharged"/>
    <n v="7.333333333333333"/>
    <s v="24/07/2025Gastroenterology"/>
    <n v="10"/>
    <n v="29"/>
  </r>
  <r>
    <n v="325"/>
    <n v="481"/>
    <x v="11"/>
    <d v="2025-07-25T00:00:00"/>
    <d v="2025-07-27T00:00:00"/>
    <s v="Emergency"/>
    <n v="2"/>
    <n v="26"/>
    <s v="Discharged"/>
    <n v="1.7333333333333334"/>
    <s v="25/07/2025ENT"/>
    <n v="11"/>
    <n v="20"/>
  </r>
  <r>
    <n v="326"/>
    <n v="829"/>
    <x v="12"/>
    <d v="2025-07-25T00:00:00"/>
    <d v="2025-07-31T00:00:00"/>
    <s v="Elective"/>
    <n v="6"/>
    <n v="44"/>
    <s v="Discharged"/>
    <n v="8.7999999999999989"/>
    <s v="25/07/2025Geriatrics"/>
    <n v="13"/>
    <n v="46"/>
  </r>
  <r>
    <n v="327"/>
    <n v="540"/>
    <x v="3"/>
    <d v="2025-07-26T00:00:00"/>
    <d v="2025-07-28T00:00:00"/>
    <s v="Emergency"/>
    <n v="2"/>
    <n v="111"/>
    <s v="Discharged"/>
    <n v="7.4"/>
    <s v="26/07/2025Respiratory"/>
    <n v="9"/>
    <n v="36"/>
  </r>
  <r>
    <n v="328"/>
    <n v="196"/>
    <x v="1"/>
    <d v="2025-07-27T00:00:00"/>
    <d v="2025-08-01T00:00:00"/>
    <s v="Elective"/>
    <n v="5"/>
    <n v="36"/>
    <s v="Discharged"/>
    <n v="6"/>
    <s v="27/07/2025General Surgery"/>
    <n v="14"/>
    <n v="44"/>
  </r>
  <r>
    <n v="329"/>
    <n v="571"/>
    <x v="5"/>
    <d v="2025-07-27T00:00:00"/>
    <d v="2025-07-30T00:00:00"/>
    <s v="Transfer"/>
    <n v="3"/>
    <n v="17"/>
    <s v="Discharged"/>
    <n v="1.7"/>
    <s v="27/07/2025Cardiology"/>
    <n v="11"/>
    <n v="38"/>
  </r>
  <r>
    <n v="330"/>
    <n v="389"/>
    <x v="2"/>
    <d v="2025-07-28T00:00:00"/>
    <d v="2025-08-02T00:00:00"/>
    <s v="Elective"/>
    <n v="5"/>
    <n v="20"/>
    <s v="Discharged"/>
    <n v="3.333333333333333"/>
    <s v="28/07/2025Oncology"/>
    <n v="18"/>
    <n v="28"/>
  </r>
  <r>
    <n v="331"/>
    <n v="155"/>
    <x v="0"/>
    <d v="2025-07-28T00:00:00"/>
    <d v="2025-07-29T00:00:00"/>
    <s v="Emergency"/>
    <n v="1"/>
    <n v="38"/>
    <s v="Discharged"/>
    <n v="1.2666666666666666"/>
    <s v="28/07/2025A&amp;E (Emergency)"/>
    <n v="28"/>
    <n v="42"/>
  </r>
  <r>
    <n v="332"/>
    <n v="881"/>
    <x v="4"/>
    <d v="2025-07-29T00:00:00"/>
    <d v="2025-08-03T00:00:00"/>
    <s v="Elective"/>
    <n v="5"/>
    <n v="20"/>
    <s v="Discharged"/>
    <n v="3.333333333333333"/>
    <s v="29/07/2025Renal Medicine"/>
    <n v="20"/>
    <n v="26"/>
  </r>
  <r>
    <n v="333"/>
    <n v="102"/>
    <x v="6"/>
    <d v="2025-07-30T00:00:00"/>
    <d v="2025-08-05T00:00:00"/>
    <s v="Elective"/>
    <n v="6"/>
    <n v="12"/>
    <s v="Transferred"/>
    <n v="2.4000000000000004"/>
    <s v="30/07/2025Neurology"/>
    <n v="12"/>
    <n v="32"/>
  </r>
  <r>
    <n v="334"/>
    <n v="342"/>
    <x v="7"/>
    <d v="2025-07-30T00:00:00"/>
    <d v="2025-08-01T00:00:00"/>
    <s v="Emergency"/>
    <n v="2"/>
    <n v="36"/>
    <s v="Transferred"/>
    <n v="2.4"/>
    <s v="30/07/2025Maternity"/>
    <n v="12"/>
    <n v="34"/>
  </r>
  <r>
    <n v="335"/>
    <n v="189"/>
    <x v="8"/>
    <d v="2025-07-31T00:00:00"/>
    <d v="2025-08-05T00:00:00"/>
    <s v="Elective"/>
    <n v="5"/>
    <n v="15"/>
    <s v="Discharged"/>
    <n v="2.5"/>
    <s v="31/07/2025Orthopaedics"/>
    <n v="14"/>
    <n v="40"/>
  </r>
  <r>
    <n v="336"/>
    <n v="836"/>
    <x v="9"/>
    <d v="2025-07-31T00:00:00"/>
    <d v="2025-08-02T00:00:00"/>
    <s v="Emergency"/>
    <n v="2"/>
    <n v="228"/>
    <s v="Transferred"/>
    <n v="15.2"/>
    <s v="31/07/2025Paediatrics"/>
    <n v="11"/>
    <n v="30"/>
  </r>
  <r>
    <n v="337"/>
    <n v="14"/>
    <x v="10"/>
    <d v="2025-08-01T00:00:00"/>
    <d v="2025-08-06T00:00:00"/>
    <s v="Elective"/>
    <n v="5"/>
    <n v="27"/>
    <s v="Discharged"/>
    <n v="4.5"/>
    <s v="01/08/2025Gastroenterology"/>
    <n v="9"/>
    <n v="29"/>
  </r>
  <r>
    <n v="338"/>
    <n v="449"/>
    <x v="11"/>
    <d v="2025-08-02T00:00:00"/>
    <d v="2025-08-04T00:00:00"/>
    <s v="Emergency"/>
    <n v="2"/>
    <n v="232"/>
    <s v="Discharged"/>
    <n v="15.466666666666667"/>
    <s v="02/08/2025ENT"/>
    <n v="10"/>
    <n v="20"/>
  </r>
  <r>
    <n v="339"/>
    <n v="93"/>
    <x v="12"/>
    <d v="2025-08-02T00:00:00"/>
    <d v="2025-08-08T00:00:00"/>
    <s v="Elective"/>
    <n v="6"/>
    <n v="27"/>
    <s v="Discharged"/>
    <n v="5.4"/>
    <s v="02/08/2025Geriatrics"/>
    <n v="12"/>
    <n v="46"/>
  </r>
  <r>
    <n v="401"/>
    <n v="310"/>
    <x v="0"/>
    <d v="2025-08-07T00:00:00"/>
    <d v="2025-08-08T00:00:00"/>
    <s v="Emergency"/>
    <n v="1"/>
    <n v="186"/>
    <s v="Discharged"/>
    <n v="6.2"/>
    <s v="07/08/2025A&amp;E (Emergency)"/>
    <n v="23"/>
    <n v="42"/>
  </r>
  <r>
    <n v="402"/>
    <n v="301"/>
    <x v="4"/>
    <d v="2025-08-08T00:00:00"/>
    <d v="2025-08-13T00:00:00"/>
    <s v="Elective"/>
    <n v="5"/>
    <n v="16"/>
    <s v="Discharged"/>
    <n v="2.6666666666666665"/>
    <s v="08/08/2025Renal Medicine"/>
    <n v="18"/>
    <n v="26"/>
  </r>
  <r>
    <n v="403"/>
    <n v="791"/>
    <x v="6"/>
    <d v="2025-08-09T00:00:00"/>
    <d v="2025-08-15T00:00:00"/>
    <s v="Elective"/>
    <n v="6"/>
    <n v="21"/>
    <s v="Discharged"/>
    <n v="4.1999999999999993"/>
    <s v="09/08/2025Neurology"/>
    <n v="9"/>
    <n v="32"/>
  </r>
  <r>
    <n v="404"/>
    <n v="400"/>
    <x v="7"/>
    <d v="2025-08-09T00:00:00"/>
    <d v="2025-08-11T00:00:00"/>
    <s v="Emergency"/>
    <n v="2"/>
    <n v="143"/>
    <s v="Discharged"/>
    <n v="9.5333333333333332"/>
    <s v="09/08/2025Maternity"/>
    <n v="10"/>
    <n v="34"/>
  </r>
  <r>
    <n v="405"/>
    <n v="36"/>
    <x v="8"/>
    <d v="2025-08-10T00:00:00"/>
    <d v="2025-08-15T00:00:00"/>
    <s v="Elective"/>
    <n v="5"/>
    <n v="11"/>
    <s v="Discharged"/>
    <n v="1.8333333333333333"/>
    <s v="10/08/2025Orthopaedics"/>
    <n v="10"/>
    <n v="40"/>
  </r>
  <r>
    <n v="406"/>
    <n v="193"/>
    <x v="9"/>
    <d v="2025-08-10T00:00:00"/>
    <d v="2025-08-12T00:00:00"/>
    <s v="Emergency"/>
    <n v="2"/>
    <n v="20"/>
    <s v="Discharged"/>
    <n v="1.3333333333333333"/>
    <s v="10/08/2025Paediatrics"/>
    <n v="8"/>
    <n v="30"/>
  </r>
  <r>
    <n v="407"/>
    <n v="630"/>
    <x v="10"/>
    <d v="2025-08-11T00:00:00"/>
    <d v="2025-08-16T00:00:00"/>
    <s v="Elective"/>
    <n v="5"/>
    <n v="44"/>
    <s v="Discharged"/>
    <n v="7.333333333333333"/>
    <s v="11/08/2025Gastroenterology"/>
    <n v="12"/>
    <n v="29"/>
  </r>
  <r>
    <n v="408"/>
    <n v="31"/>
    <x v="11"/>
    <d v="2025-08-12T00:00:00"/>
    <d v="2025-08-14T00:00:00"/>
    <s v="Emergency"/>
    <n v="2"/>
    <n v="217"/>
    <s v="Discharged"/>
    <n v="14.466666666666667"/>
    <s v="12/08/2025ENT"/>
    <n v="12"/>
    <n v="20"/>
  </r>
  <r>
    <n v="409"/>
    <n v="292"/>
    <x v="12"/>
    <d v="2025-08-12T00:00:00"/>
    <d v="2025-08-18T00:00:00"/>
    <s v="Elective"/>
    <n v="6"/>
    <n v="1"/>
    <s v="Discharged"/>
    <n v="0.2"/>
    <s v="12/08/2025Geriatrics"/>
    <n v="15"/>
    <n v="46"/>
  </r>
  <r>
    <n v="410"/>
    <n v="131"/>
    <x v="3"/>
    <d v="2025-08-13T00:00:00"/>
    <d v="2025-08-15T00:00:00"/>
    <s v="Emergency"/>
    <n v="2"/>
    <n v="54"/>
    <s v="Transferred"/>
    <n v="3.6"/>
    <s v="13/08/2025Respiratory"/>
    <n v="13"/>
    <n v="36"/>
  </r>
  <r>
    <n v="411"/>
    <n v="273"/>
    <x v="1"/>
    <d v="2025-08-14T00:00:00"/>
    <d v="2025-08-19T00:00:00"/>
    <s v="Elective"/>
    <n v="5"/>
    <n v="3"/>
    <s v="Discharged"/>
    <n v="0.5"/>
    <s v="14/08/2025General Surgery"/>
    <n v="19"/>
    <n v="44"/>
  </r>
  <r>
    <n v="412"/>
    <n v="683"/>
    <x v="5"/>
    <d v="2025-08-14T00:00:00"/>
    <d v="2025-08-17T00:00:00"/>
    <s v="Transfer"/>
    <n v="3"/>
    <n v="57"/>
    <s v="Discharged"/>
    <n v="5.6999999999999993"/>
    <s v="14/08/2025Cardiology"/>
    <n v="16"/>
    <n v="38"/>
  </r>
  <r>
    <n v="413"/>
    <n v="838"/>
    <x v="2"/>
    <d v="2025-08-15T00:00:00"/>
    <d v="2025-08-20T00:00:00"/>
    <s v="Elective"/>
    <n v="5"/>
    <n v="43"/>
    <s v="Discharged"/>
    <n v="7.166666666666667"/>
    <s v="15/08/2025Oncology"/>
    <n v="15"/>
    <n v="28"/>
  </r>
  <r>
    <n v="414"/>
    <n v="213"/>
    <x v="0"/>
    <d v="2025-08-15T00:00:00"/>
    <d v="2025-08-16T00:00:00"/>
    <s v="Emergency"/>
    <n v="1"/>
    <n v="55"/>
    <s v="Discharged"/>
    <n v="1.8333333333333333"/>
    <s v="15/08/2025A&amp;E (Emergency)"/>
    <n v="22"/>
    <n v="42"/>
  </r>
  <r>
    <n v="415"/>
    <n v="316"/>
    <x v="4"/>
    <d v="2025-08-16T00:00:00"/>
    <d v="2025-08-21T00:00:00"/>
    <s v="Elective"/>
    <n v="5"/>
    <n v="10"/>
    <s v="Discharged"/>
    <n v="1.6666666666666665"/>
    <s v="16/08/2025Renal Medicine"/>
    <n v="17"/>
    <n v="26"/>
  </r>
  <r>
    <n v="416"/>
    <n v="499"/>
    <x v="6"/>
    <d v="2025-08-17T00:00:00"/>
    <d v="2025-08-23T00:00:00"/>
    <s v="Elective"/>
    <n v="6"/>
    <n v="27"/>
    <s v="Discharged"/>
    <n v="5.4"/>
    <s v="17/08/2025Neurology"/>
    <n v="9"/>
    <n v="32"/>
  </r>
  <r>
    <n v="417"/>
    <n v="994"/>
    <x v="7"/>
    <d v="2025-08-17T00:00:00"/>
    <d v="2025-08-19T00:00:00"/>
    <s v="Emergency"/>
    <n v="2"/>
    <n v="110"/>
    <s v="Discharged"/>
    <n v="7.333333333333333"/>
    <s v="17/08/2025Maternity"/>
    <n v="9"/>
    <n v="34"/>
  </r>
  <r>
    <n v="418"/>
    <n v="653"/>
    <x v="8"/>
    <d v="2025-08-18T00:00:00"/>
    <d v="2025-08-23T00:00:00"/>
    <s v="Elective"/>
    <n v="5"/>
    <n v="3"/>
    <s v="Discharged"/>
    <n v="0.5"/>
    <s v="18/08/2025Orthopaedics"/>
    <n v="16"/>
    <n v="40"/>
  </r>
  <r>
    <n v="419"/>
    <n v="784"/>
    <x v="9"/>
    <d v="2025-08-18T00:00:00"/>
    <d v="2025-08-20T00:00:00"/>
    <s v="Emergency"/>
    <n v="2"/>
    <n v="130"/>
    <s v="Discharged"/>
    <n v="8.6666666666666661"/>
    <s v="18/08/2025Paediatrics"/>
    <n v="13"/>
    <n v="30"/>
  </r>
  <r>
    <n v="420"/>
    <n v="165"/>
    <x v="10"/>
    <d v="2025-08-19T00:00:00"/>
    <d v="2025-08-24T00:00:00"/>
    <s v="Elective"/>
    <n v="5"/>
    <n v="20"/>
    <s v="Discharged"/>
    <n v="3.333333333333333"/>
    <s v="19/08/2025Gastroenterology"/>
    <n v="11"/>
    <n v="29"/>
  </r>
  <r>
    <n v="421"/>
    <n v="481"/>
    <x v="11"/>
    <d v="2025-08-20T00:00:00"/>
    <d v="2025-08-22T00:00:00"/>
    <s v="Emergency"/>
    <n v="2"/>
    <n v="122"/>
    <s v="Discharged"/>
    <n v="8.1333333333333329"/>
    <s v="20/08/2025ENT"/>
    <n v="12"/>
    <n v="20"/>
  </r>
  <r>
    <n v="422"/>
    <n v="829"/>
    <x v="12"/>
    <d v="2025-08-20T00:00:00"/>
    <d v="2025-08-26T00:00:00"/>
    <s v="Elective"/>
    <n v="6"/>
    <n v="35"/>
    <s v="Discharged"/>
    <n v="7"/>
    <s v="20/08/2025Geriatrics"/>
    <n v="14"/>
    <n v="46"/>
  </r>
  <r>
    <n v="423"/>
    <n v="540"/>
    <x v="3"/>
    <d v="2025-08-21T00:00:00"/>
    <d v="2025-08-23T00:00:00"/>
    <s v="Emergency"/>
    <n v="2"/>
    <n v="148"/>
    <s v="Discharged"/>
    <n v="9.8666666666666671"/>
    <s v="21/08/2025Respiratory"/>
    <n v="13"/>
    <n v="36"/>
  </r>
  <r>
    <n v="424"/>
    <n v="196"/>
    <x v="1"/>
    <d v="2025-08-22T00:00:00"/>
    <d v="2025-08-27T00:00:00"/>
    <s v="Elective"/>
    <n v="5"/>
    <n v="24"/>
    <s v="Discharged"/>
    <n v="4"/>
    <s v="22/08/2025General Surgery"/>
    <n v="18"/>
    <n v="44"/>
  </r>
  <r>
    <n v="425"/>
    <n v="571"/>
    <x v="5"/>
    <d v="2025-08-22T00:00:00"/>
    <d v="2025-08-25T00:00:00"/>
    <s v="Transfer"/>
    <n v="3"/>
    <n v="21"/>
    <s v="Discharged"/>
    <n v="2.0999999999999996"/>
    <s v="22/08/2025Cardiology"/>
    <n v="15"/>
    <n v="38"/>
  </r>
  <r>
    <n v="426"/>
    <n v="389"/>
    <x v="2"/>
    <d v="2025-08-23T00:00:00"/>
    <d v="2025-08-28T00:00:00"/>
    <s v="Elective"/>
    <n v="5"/>
    <n v="22"/>
    <s v="Discharged"/>
    <n v="3.6666666666666665"/>
    <s v="23/08/2025Oncology"/>
    <n v="13"/>
    <n v="28"/>
  </r>
  <r>
    <n v="427"/>
    <n v="155"/>
    <x v="0"/>
    <d v="2025-08-23T00:00:00"/>
    <d v="2025-08-24T00:00:00"/>
    <s v="Emergency"/>
    <n v="1"/>
    <n v="69"/>
    <s v="Discharged"/>
    <n v="2.2999999999999998"/>
    <s v="23/08/2025A&amp;E (Emergency)"/>
    <n v="20"/>
    <n v="42"/>
  </r>
  <r>
    <n v="428"/>
    <n v="881"/>
    <x v="4"/>
    <d v="2025-08-24T00:00:00"/>
    <d v="2025-08-29T00:00:00"/>
    <s v="Elective"/>
    <n v="5"/>
    <n v="27"/>
    <s v="Discharged"/>
    <n v="4.5"/>
    <s v="24/08/2025Renal Medicine"/>
    <n v="17"/>
    <n v="26"/>
  </r>
  <r>
    <n v="429"/>
    <n v="102"/>
    <x v="6"/>
    <d v="2025-08-25T00:00:00"/>
    <d v="2025-08-31T00:00:00"/>
    <s v="Elective"/>
    <n v="6"/>
    <n v="36"/>
    <s v="Discharged"/>
    <n v="7.1999999999999993"/>
    <s v="25/08/2025Neurology"/>
    <n v="14"/>
    <n v="32"/>
  </r>
  <r>
    <n v="430"/>
    <n v="342"/>
    <x v="7"/>
    <d v="2025-08-25T00:00:00"/>
    <d v="2025-08-27T00:00:00"/>
    <s v="Emergency"/>
    <n v="2"/>
    <n v="24"/>
    <s v="Transferred"/>
    <n v="1.6"/>
    <s v="25/08/2025Maternity"/>
    <n v="13"/>
    <n v="34"/>
  </r>
  <r>
    <n v="431"/>
    <n v="189"/>
    <x v="8"/>
    <d v="2025-08-26T00:00:00"/>
    <d v="2025-08-31T00:00:00"/>
    <s v="Elective"/>
    <n v="5"/>
    <n v="36"/>
    <s v="Discharged"/>
    <n v="6"/>
    <s v="26/08/2025Orthopaedics"/>
    <n v="15"/>
    <n v="40"/>
  </r>
  <r>
    <n v="432"/>
    <n v="836"/>
    <x v="9"/>
    <d v="2025-08-26T00:00:00"/>
    <d v="2025-08-28T00:00:00"/>
    <s v="Emergency"/>
    <n v="2"/>
    <n v="175"/>
    <s v="Discharged"/>
    <n v="11.666666666666666"/>
    <s v="26/08/2025Paediatrics"/>
    <n v="12"/>
    <n v="30"/>
  </r>
  <r>
    <n v="433"/>
    <n v="14"/>
    <x v="10"/>
    <d v="2025-08-27T00:00:00"/>
    <d v="2025-09-01T00:00:00"/>
    <s v="Elective"/>
    <n v="5"/>
    <n v="15"/>
    <s v="Discharged"/>
    <n v="2.5"/>
    <s v="27/08/2025Gastroenterology"/>
    <n v="10"/>
    <n v="29"/>
  </r>
  <r>
    <n v="434"/>
    <n v="449"/>
    <x v="11"/>
    <d v="2025-08-28T00:00:00"/>
    <d v="2025-08-30T00:00:00"/>
    <s v="Emergency"/>
    <n v="2"/>
    <n v="207"/>
    <s v="Discharged"/>
    <n v="13.8"/>
    <s v="28/08/2025ENT"/>
    <n v="12"/>
    <n v="20"/>
  </r>
  <r>
    <n v="435"/>
    <n v="93"/>
    <x v="12"/>
    <d v="2025-08-28T00:00:00"/>
    <d v="2025-09-03T00:00:00"/>
    <s v="Elective"/>
    <n v="6"/>
    <n v="1"/>
    <s v="Transferred"/>
    <n v="0.2"/>
    <s v="28/08/2025Geriatrics"/>
    <n v="14"/>
    <n v="46"/>
  </r>
  <r>
    <n v="436"/>
    <n v="738"/>
    <x v="3"/>
    <d v="2025-08-29T00:00:00"/>
    <d v="2025-08-31T00:00:00"/>
    <s v="Emergency"/>
    <n v="2"/>
    <n v="126"/>
    <s v="Discharged"/>
    <n v="8.4"/>
    <s v="29/08/2025Respiratory"/>
    <n v="12"/>
    <n v="36"/>
  </r>
  <r>
    <n v="437"/>
    <n v="390"/>
    <x v="1"/>
    <d v="2025-08-30T00:00:00"/>
    <d v="2025-09-04T00:00:00"/>
    <s v="Elective"/>
    <n v="5"/>
    <n v="11"/>
    <s v="Discharged"/>
    <n v="1.8333333333333333"/>
    <s v="30/08/2025General Surgery"/>
    <n v="15"/>
    <n v="44"/>
  </r>
  <r>
    <n v="438"/>
    <n v="582"/>
    <x v="5"/>
    <d v="2025-08-30T00:00:00"/>
    <d v="2025-09-02T00:00:00"/>
    <s v="Transfer"/>
    <n v="3"/>
    <n v="20"/>
    <s v="Discharged"/>
    <n v="2"/>
    <s v="30/08/2025Cardiology"/>
    <n v="12"/>
    <n v="38"/>
  </r>
  <r>
    <n v="439"/>
    <n v="944"/>
    <x v="2"/>
    <d v="2025-08-31T00:00:00"/>
    <d v="2025-09-05T00:00:00"/>
    <s v="Elective"/>
    <n v="5"/>
    <n v="31"/>
    <s v="Discharged"/>
    <n v="5.166666666666667"/>
    <s v="31/08/2025Oncology"/>
    <n v="12"/>
    <n v="28"/>
  </r>
  <r>
    <n v="440"/>
    <n v="659"/>
    <x v="0"/>
    <d v="2025-08-31T00:00:00"/>
    <d v="2025-09-01T00:00:00"/>
    <s v="Emergency"/>
    <n v="1"/>
    <n v="99"/>
    <s v="Discharged"/>
    <n v="3.3"/>
    <s v="31/08/2025A&amp;E (Emergency)"/>
    <n v="19"/>
    <n v="42"/>
  </r>
  <r>
    <n v="441"/>
    <n v="126"/>
    <x v="4"/>
    <d v="2025-09-01T00:00:00"/>
    <d v="2025-09-06T00:00:00"/>
    <s v="Elective"/>
    <n v="5"/>
    <n v="16"/>
    <s v="Discharged"/>
    <n v="2.6666666666666665"/>
    <s v="01/09/2025Renal Medicine"/>
    <n v="21"/>
    <n v="26"/>
  </r>
  <r>
    <n v="442"/>
    <n v="50"/>
    <x v="6"/>
    <d v="2025-09-02T00:00:00"/>
    <d v="2025-09-08T00:00:00"/>
    <s v="Elective"/>
    <n v="6"/>
    <n v="22"/>
    <s v="Discharged"/>
    <n v="4.3999999999999995"/>
    <s v="02/09/2025Neurology"/>
    <n v="13"/>
    <n v="32"/>
  </r>
  <r>
    <n v="443"/>
    <n v="300"/>
    <x v="7"/>
    <d v="2025-09-02T00:00:00"/>
    <d v="2025-09-04T00:00:00"/>
    <s v="Emergency"/>
    <n v="2"/>
    <n v="118"/>
    <s v="Discharged"/>
    <n v="7.8666666666666663"/>
    <s v="02/09/2025Maternity"/>
    <n v="12"/>
    <n v="34"/>
  </r>
  <r>
    <n v="444"/>
    <n v="705"/>
    <x v="8"/>
    <d v="2025-09-03T00:00:00"/>
    <d v="2025-09-08T00:00:00"/>
    <s v="Elective"/>
    <n v="5"/>
    <n v="44"/>
    <s v="Discharged"/>
    <n v="7.333333333333333"/>
    <s v="03/09/2025Orthopaedics"/>
    <n v="14"/>
    <n v="40"/>
  </r>
  <r>
    <n v="445"/>
    <n v="435"/>
    <x v="9"/>
    <d v="2025-09-03T00:00:00"/>
    <d v="2025-09-05T00:00:00"/>
    <s v="Emergency"/>
    <n v="2"/>
    <n v="192"/>
    <s v="Discharged"/>
    <n v="12.8"/>
    <s v="03/09/2025Paediatrics"/>
    <n v="11"/>
    <n v="30"/>
  </r>
  <r>
    <n v="446"/>
    <n v="882"/>
    <x v="10"/>
    <d v="2025-09-04T00:00:00"/>
    <d v="2025-09-09T00:00:00"/>
    <s v="Elective"/>
    <n v="5"/>
    <n v="22"/>
    <s v="Discharged"/>
    <n v="3.6666666666666665"/>
    <s v="04/09/2025Gastroenterology"/>
    <n v="10"/>
    <n v="29"/>
  </r>
  <r>
    <n v="447"/>
    <n v="564"/>
    <x v="11"/>
    <d v="2025-09-05T00:00:00"/>
    <d v="2025-09-07T00:00:00"/>
    <s v="Emergency"/>
    <n v="2"/>
    <n v="42"/>
    <s v="Discharged"/>
    <n v="2.8"/>
    <s v="05/09/2025ENT"/>
    <n v="11"/>
    <n v="20"/>
  </r>
  <r>
    <n v="448"/>
    <n v="306"/>
    <x v="12"/>
    <d v="2025-09-05T00:00:00"/>
    <d v="2025-09-11T00:00:00"/>
    <s v="Elective"/>
    <n v="6"/>
    <n v="38"/>
    <s v="Discharged"/>
    <n v="7.6"/>
    <s v="05/09/2025Geriatrics"/>
    <n v="13"/>
    <n v="46"/>
  </r>
  <r>
    <n v="449"/>
    <n v="263"/>
    <x v="3"/>
    <d v="2025-09-06T00:00:00"/>
    <d v="2025-09-08T00:00:00"/>
    <s v="Emergency"/>
    <n v="2"/>
    <n v="109"/>
    <s v="Discharged"/>
    <n v="7.2666666666666666"/>
    <s v="06/09/2025Respiratory"/>
    <n v="9"/>
    <n v="36"/>
  </r>
  <r>
    <n v="450"/>
    <n v="813"/>
    <x v="1"/>
    <d v="2025-09-07T00:00:00"/>
    <d v="2025-09-12T00:00:00"/>
    <s v="Elective"/>
    <n v="5"/>
    <n v="13"/>
    <s v="Discharged"/>
    <n v="2.166666666666667"/>
    <s v="07/09/2025General Surgery"/>
    <n v="14"/>
    <n v="44"/>
  </r>
  <r>
    <n v="451"/>
    <n v="758"/>
    <x v="5"/>
    <d v="2025-09-07T00:00:00"/>
    <d v="2025-09-10T00:00:00"/>
    <s v="Transfer"/>
    <n v="3"/>
    <n v="56"/>
    <s v="Transferred"/>
    <n v="5.6"/>
    <s v="07/09/2025Cardiology"/>
    <n v="11"/>
    <n v="38"/>
  </r>
  <r>
    <n v="452"/>
    <n v="874"/>
    <x v="2"/>
    <d v="2025-09-08T00:00:00"/>
    <d v="2025-09-13T00:00:00"/>
    <s v="Elective"/>
    <n v="5"/>
    <n v="25"/>
    <s v="Discharged"/>
    <n v="4.166666666666667"/>
    <s v="08/09/2025Oncology"/>
    <n v="18"/>
    <n v="28"/>
  </r>
  <r>
    <n v="453"/>
    <n v="431"/>
    <x v="0"/>
    <d v="2025-09-08T00:00:00"/>
    <d v="2025-09-09T00:00:00"/>
    <s v="Emergency"/>
    <n v="1"/>
    <n v="185"/>
    <s v="Discharged"/>
    <n v="6.166666666666667"/>
    <s v="08/09/2025A&amp;E (Emergency)"/>
    <n v="28"/>
    <n v="42"/>
  </r>
  <r>
    <n v="454"/>
    <n v="111"/>
    <x v="4"/>
    <d v="2025-09-09T00:00:00"/>
    <d v="2025-09-14T00:00:00"/>
    <s v="Elective"/>
    <n v="5"/>
    <n v="34"/>
    <s v="Discharged"/>
    <n v="5.6666666666666661"/>
    <s v="09/09/2025Renal Medicine"/>
    <n v="20"/>
    <n v="26"/>
  </r>
  <r>
    <n v="455"/>
    <n v="19"/>
    <x v="6"/>
    <d v="2025-09-10T00:00:00"/>
    <d v="2025-09-16T00:00:00"/>
    <s v="Elective"/>
    <n v="6"/>
    <n v="16"/>
    <s v="Discharged"/>
    <n v="3.2"/>
    <s v="10/09/2025Neurology"/>
    <n v="12"/>
    <n v="32"/>
  </r>
  <r>
    <n v="456"/>
    <n v="708"/>
    <x v="7"/>
    <d v="2025-09-10T00:00:00"/>
    <d v="2025-09-12T00:00:00"/>
    <s v="Emergency"/>
    <n v="2"/>
    <n v="54"/>
    <s v="Discharged"/>
    <n v="3.6"/>
    <s v="10/09/2025Maternity"/>
    <n v="12"/>
    <n v="34"/>
  </r>
  <r>
    <n v="457"/>
    <n v="371"/>
    <x v="8"/>
    <d v="2025-09-11T00:00:00"/>
    <d v="2025-09-16T00:00:00"/>
    <s v="Elective"/>
    <n v="5"/>
    <n v="42"/>
    <s v="Discharged"/>
    <n v="7"/>
    <s v="11/09/2025Orthopaedics"/>
    <n v="14"/>
    <n v="40"/>
  </r>
  <r>
    <n v="458"/>
    <n v="611"/>
    <x v="9"/>
    <d v="2025-09-11T00:00:00"/>
    <d v="2025-09-13T00:00:00"/>
    <s v="Emergency"/>
    <n v="2"/>
    <n v="30"/>
    <s v="Discharged"/>
    <n v="2"/>
    <s v="11/09/2025Paediatrics"/>
    <n v="11"/>
    <n v="30"/>
  </r>
  <r>
    <n v="459"/>
    <n v="753"/>
    <x v="10"/>
    <d v="2025-09-12T00:00:00"/>
    <d v="2025-09-17T00:00:00"/>
    <s v="Elective"/>
    <n v="5"/>
    <n v="38"/>
    <s v="Discharged"/>
    <n v="6.333333333333333"/>
    <s v="12/09/2025Gastroenterology"/>
    <n v="9"/>
    <n v="29"/>
  </r>
  <r>
    <n v="460"/>
    <n v="922"/>
    <x v="11"/>
    <d v="2025-09-13T00:00:00"/>
    <d v="2025-09-15T00:00:00"/>
    <s v="Emergency"/>
    <n v="2"/>
    <n v="111"/>
    <s v="Discharged"/>
    <n v="7.4"/>
    <s v="13/09/2025ENT"/>
    <n v="10"/>
    <n v="20"/>
  </r>
  <r>
    <n v="461"/>
    <n v="619"/>
    <x v="12"/>
    <d v="2025-09-13T00:00:00"/>
    <d v="2025-09-19T00:00:00"/>
    <s v="Elective"/>
    <n v="6"/>
    <n v="24"/>
    <s v="Discharged"/>
    <n v="4.8000000000000007"/>
    <s v="13/09/2025Geriatrics"/>
    <n v="12"/>
    <n v="46"/>
  </r>
  <r>
    <n v="462"/>
    <n v="546"/>
    <x v="3"/>
    <d v="2025-09-14T00:00:00"/>
    <d v="2025-09-16T00:00:00"/>
    <s v="Emergency"/>
    <n v="2"/>
    <n v="130"/>
    <s v="Discharged"/>
    <n v="8.6666666666666661"/>
    <s v="14/09/2025Respiratory"/>
    <n v="9"/>
    <n v="36"/>
  </r>
  <r>
    <n v="463"/>
    <n v="483"/>
    <x v="1"/>
    <d v="2025-09-15T00:00:00"/>
    <d v="2025-09-20T00:00:00"/>
    <s v="Elective"/>
    <n v="5"/>
    <n v="20"/>
    <s v="Discharged"/>
    <n v="3.333333333333333"/>
    <s v="15/09/2025General Surgery"/>
    <n v="22"/>
    <n v="44"/>
  </r>
  <r>
    <n v="464"/>
    <n v="865"/>
    <x v="5"/>
    <d v="2025-09-15T00:00:00"/>
    <d v="2025-09-18T00:00:00"/>
    <s v="Transfer"/>
    <n v="3"/>
    <n v="25"/>
    <s v="Discharged"/>
    <n v="2.5"/>
    <s v="15/09/2025Cardiology"/>
    <n v="18"/>
    <n v="38"/>
  </r>
  <r>
    <n v="465"/>
    <n v="223"/>
    <x v="2"/>
    <d v="2025-09-16T00:00:00"/>
    <d v="2025-09-21T00:00:00"/>
    <s v="Elective"/>
    <n v="5"/>
    <n v="19"/>
    <s v="Discharged"/>
    <n v="3.1666666666666665"/>
    <s v="16/09/2025Oncology"/>
    <n v="17"/>
    <n v="28"/>
  </r>
  <r>
    <n v="466"/>
    <n v="118"/>
    <x v="0"/>
    <d v="2025-09-16T00:00:00"/>
    <d v="2025-09-17T00:00:00"/>
    <s v="Emergency"/>
    <n v="1"/>
    <n v="40"/>
    <s v="Discharged"/>
    <n v="1.3333333333333333"/>
    <s v="16/09/2025A&amp;E (Emergency)"/>
    <n v="25"/>
    <n v="42"/>
  </r>
  <r>
    <n v="467"/>
    <n v="553"/>
    <x v="4"/>
    <d v="2025-09-17T00:00:00"/>
    <d v="2025-09-22T00:00:00"/>
    <s v="Elective"/>
    <n v="5"/>
    <n v="29"/>
    <s v="Discharged"/>
    <n v="4.833333333333333"/>
    <s v="17/09/2025Renal Medicine"/>
    <n v="19"/>
    <n v="26"/>
  </r>
  <r>
    <n v="468"/>
    <n v="749"/>
    <x v="6"/>
    <d v="2025-09-18T00:00:00"/>
    <d v="2025-09-24T00:00:00"/>
    <s v="Elective"/>
    <n v="6"/>
    <n v="6"/>
    <s v="Discharged"/>
    <n v="1.2000000000000002"/>
    <s v="18/09/2025Neurology"/>
    <n v="12"/>
    <n v="32"/>
  </r>
  <r>
    <n v="469"/>
    <n v="115"/>
    <x v="7"/>
    <d v="2025-09-18T00:00:00"/>
    <d v="2025-09-20T00:00:00"/>
    <s v="Emergency"/>
    <n v="2"/>
    <n v="103"/>
    <s v="Discharged"/>
    <n v="6.8666666666666663"/>
    <s v="18/09/2025Maternity"/>
    <n v="12"/>
    <n v="34"/>
  </r>
  <r>
    <n v="470"/>
    <n v="456"/>
    <x v="8"/>
    <d v="2025-09-19T00:00:00"/>
    <d v="2025-09-24T00:00:00"/>
    <s v="Elective"/>
    <n v="5"/>
    <n v="34"/>
    <s v="Discharged"/>
    <n v="5.6666666666666661"/>
    <s v="19/09/2025Orthopaedics"/>
    <n v="13"/>
    <n v="40"/>
  </r>
  <r>
    <n v="471"/>
    <n v="495"/>
    <x v="9"/>
    <d v="2025-09-19T00:00:00"/>
    <d v="2025-09-21T00:00:00"/>
    <s v="Emergency"/>
    <n v="2"/>
    <n v="120"/>
    <s v="Discharged"/>
    <n v="8"/>
    <s v="19/09/2025Paediatrics"/>
    <n v="10"/>
    <n v="30"/>
  </r>
  <r>
    <n v="472"/>
    <n v="137"/>
    <x v="10"/>
    <d v="2025-09-20T00:00:00"/>
    <d v="2025-09-25T00:00:00"/>
    <s v="Elective"/>
    <n v="5"/>
    <n v="44"/>
    <s v="Discharged"/>
    <n v="7.333333333333333"/>
    <s v="20/09/2025Gastroenterology"/>
    <n v="7"/>
    <n v="29"/>
  </r>
  <r>
    <n v="473"/>
    <n v="307"/>
    <x v="11"/>
    <d v="2025-09-21T00:00:00"/>
    <d v="2025-09-23T00:00:00"/>
    <s v="Emergency"/>
    <n v="2"/>
    <n v="23"/>
    <s v="Discharged"/>
    <n v="1.5333333333333334"/>
    <s v="21/09/2025ENT"/>
    <n v="10"/>
    <n v="20"/>
  </r>
  <r>
    <n v="474"/>
    <n v="174"/>
    <x v="12"/>
    <d v="2025-09-21T00:00:00"/>
    <d v="2025-09-27T00:00:00"/>
    <s v="Elective"/>
    <n v="6"/>
    <n v="44"/>
    <s v="Discharged"/>
    <n v="8.7999999999999989"/>
    <s v="21/09/2025Geriatrics"/>
    <n v="12"/>
    <n v="46"/>
  </r>
  <r>
    <n v="475"/>
    <n v="154"/>
    <x v="3"/>
    <d v="2025-09-22T00:00:00"/>
    <d v="2025-09-24T00:00:00"/>
    <s v="Emergency"/>
    <n v="2"/>
    <n v="36"/>
    <s v="Discharged"/>
    <n v="2.4"/>
    <s v="22/09/2025Respiratory"/>
    <n v="15"/>
    <n v="36"/>
  </r>
  <r>
    <n v="476"/>
    <n v="999"/>
    <x v="1"/>
    <d v="2025-09-23T00:00:00"/>
    <d v="2025-09-28T00:00:00"/>
    <s v="Elective"/>
    <n v="5"/>
    <n v="20"/>
    <s v="Discharged"/>
    <n v="3.333333333333333"/>
    <s v="23/09/2025General Surgery"/>
    <e v="#N/A"/>
    <n v="44"/>
  </r>
  <r>
    <n v="477"/>
    <n v="124"/>
    <x v="5"/>
    <d v="2025-09-23T00:00:00"/>
    <d v="2025-09-26T00:00:00"/>
    <s v="Transfer"/>
    <n v="3"/>
    <n v="40"/>
    <s v="Discharged"/>
    <n v="4"/>
    <s v="23/09/2025Cardiology"/>
    <e v="#N/A"/>
    <n v="38"/>
  </r>
  <r>
    <n v="478"/>
    <n v="271"/>
    <x v="2"/>
    <d v="2025-09-24T00:00:00"/>
    <d v="2025-09-29T00:00:00"/>
    <s v="Elective"/>
    <n v="5"/>
    <n v="44"/>
    <s v="Discharged"/>
    <n v="7.333333333333333"/>
    <s v="24/09/2025Oncology"/>
    <e v="#N/A"/>
    <n v="28"/>
  </r>
  <r>
    <n v="479"/>
    <n v="705"/>
    <x v="0"/>
    <d v="2025-09-24T00:00:00"/>
    <d v="2025-09-25T00:00:00"/>
    <s v="Emergency"/>
    <n v="1"/>
    <n v="148"/>
    <s v="Discharged"/>
    <n v="4.9333333333333336"/>
    <s v="24/09/2025A&amp;E (Emergency)"/>
    <e v="#N/A"/>
    <n v="42"/>
  </r>
  <r>
    <n v="480"/>
    <n v="597"/>
    <x v="4"/>
    <d v="2025-09-25T00:00:00"/>
    <d v="2025-09-30T00:00:00"/>
    <s v="Elective"/>
    <n v="5"/>
    <n v="43"/>
    <s v="Discharged"/>
    <n v="7.166666666666667"/>
    <s v="25/09/2025Renal Medicine"/>
    <e v="#N/A"/>
    <n v="26"/>
  </r>
  <r>
    <n v="481"/>
    <n v="750"/>
    <x v="6"/>
    <d v="2025-09-26T00:00:00"/>
    <d v="2025-10-02T00:00:00"/>
    <s v="Elective"/>
    <n v="6"/>
    <n v="15"/>
    <s v="Discharged"/>
    <n v="3"/>
    <s v="26/09/2025Neurology"/>
    <e v="#N/A"/>
    <n v="32"/>
  </r>
  <r>
    <n v="482"/>
    <n v="574"/>
    <x v="7"/>
    <d v="2025-09-26T00:00:00"/>
    <d v="2025-09-28T00:00:00"/>
    <s v="Emergency"/>
    <n v="2"/>
    <n v="63"/>
    <s v="Discharged"/>
    <n v="4.2"/>
    <s v="26/09/2025Maternity"/>
    <e v="#N/A"/>
    <n v="34"/>
  </r>
  <r>
    <n v="483"/>
    <n v="335"/>
    <x v="8"/>
    <d v="2025-09-27T00:00:00"/>
    <d v="2025-10-02T00:00:00"/>
    <s v="Elective"/>
    <n v="5"/>
    <n v="36"/>
    <s v="Discharged"/>
    <n v="6"/>
    <s v="27/09/2025Orthopaedics"/>
    <e v="#N/A"/>
    <n v="40"/>
  </r>
  <r>
    <n v="484"/>
    <n v="69"/>
    <x v="9"/>
    <d v="2025-09-27T00:00:00"/>
    <d v="2025-09-29T00:00:00"/>
    <s v="Emergency"/>
    <n v="2"/>
    <n v="111"/>
    <s v="Discharged"/>
    <n v="7.4"/>
    <s v="27/09/2025Paediatrics"/>
    <e v="#N/A"/>
    <n v="30"/>
  </r>
  <r>
    <n v="485"/>
    <n v="725"/>
    <x v="10"/>
    <d v="2025-09-28T00:00:00"/>
    <d v="2025-10-03T00:00:00"/>
    <s v="Elective"/>
    <n v="5"/>
    <n v="15"/>
    <s v="Discharged"/>
    <n v="2.5"/>
    <s v="28/09/2025Gastroenterology"/>
    <e v="#N/A"/>
    <n v="29"/>
  </r>
  <r>
    <n v="486"/>
    <n v="754"/>
    <x v="11"/>
    <d v="2025-10-01T00:00:00"/>
    <d v="2025-10-03T00:00:00"/>
    <s v="Emergency"/>
    <n v="2"/>
    <n v="228"/>
    <s v="Transferred"/>
    <n v="15.2"/>
    <s v="01/10/2025ENT"/>
    <e v="#N/A"/>
    <n v="20"/>
  </r>
  <r>
    <n v="487"/>
    <n v="869"/>
    <x v="12"/>
    <d v="2025-10-01T00:00:00"/>
    <d v="2025-10-07T00:00:00"/>
    <s v="Elective"/>
    <n v="6"/>
    <n v="25"/>
    <s v="Discharged"/>
    <n v="5"/>
    <s v="01/10/2025Geriatrics"/>
    <e v="#N/A"/>
    <n v="46"/>
  </r>
  <r>
    <n v="488"/>
    <n v="818"/>
    <x v="3"/>
    <d v="2025-10-02T00:00:00"/>
    <d v="2025-10-04T00:00:00"/>
    <s v="Emergency"/>
    <n v="2"/>
    <n v="230"/>
    <s v="Discharged"/>
    <n v="15.333333333333334"/>
    <s v="02/10/2025Respiratory"/>
    <e v="#N/A"/>
    <n v="36"/>
  </r>
  <r>
    <n v="489"/>
    <n v="558"/>
    <x v="1"/>
    <d v="2025-10-03T00:00:00"/>
    <d v="2025-10-08T00:00:00"/>
    <s v="Elective"/>
    <n v="5"/>
    <n v="39"/>
    <s v="Discharged"/>
    <n v="6.5"/>
    <s v="03/10/2025General Surgery"/>
    <e v="#N/A"/>
    <n v="44"/>
  </r>
  <r>
    <n v="490"/>
    <n v="634"/>
    <x v="5"/>
    <d v="2025-10-03T00:00:00"/>
    <d v="2025-10-06T00:00:00"/>
    <s v="Transfer"/>
    <n v="3"/>
    <n v="58"/>
    <s v="Transferred"/>
    <n v="5.8"/>
    <s v="03/10/2025Cardiology"/>
    <e v="#N/A"/>
    <n v="38"/>
  </r>
  <r>
    <n v="491"/>
    <n v="975"/>
    <x v="2"/>
    <d v="2025-10-04T00:00:00"/>
    <d v="2025-10-09T00:00:00"/>
    <s v="Elective"/>
    <n v="5"/>
    <n v="27"/>
    <s v="Discharged"/>
    <n v="4.5"/>
    <s v="04/10/2025Oncology"/>
    <e v="#N/A"/>
    <n v="28"/>
  </r>
  <r>
    <n v="492"/>
    <n v="409"/>
    <x v="0"/>
    <d v="2025-10-04T00:00:00"/>
    <d v="2025-10-05T00:00:00"/>
    <s v="Emergency"/>
    <n v="1"/>
    <n v="38"/>
    <s v="Discharged"/>
    <n v="1.2666666666666666"/>
    <s v="04/10/2025A&amp;E (Emergency)"/>
    <e v="#N/A"/>
    <n v="42"/>
  </r>
  <r>
    <n v="493"/>
    <n v="252"/>
    <x v="4"/>
    <d v="2025-10-05T00:00:00"/>
    <d v="2025-10-10T00:00:00"/>
    <s v="Elective"/>
    <n v="5"/>
    <n v="44"/>
    <s v="Discharged"/>
    <n v="7.333333333333333"/>
    <s v="05/10/2025Renal Medicine"/>
    <e v="#N/A"/>
    <n v="26"/>
  </r>
  <r>
    <n v="494"/>
    <n v="563"/>
    <x v="6"/>
    <d v="2025-10-06T00:00:00"/>
    <d v="2025-10-12T00:00:00"/>
    <s v="Elective"/>
    <n v="6"/>
    <n v="12"/>
    <s v="Discharged"/>
    <n v="2.4000000000000004"/>
    <s v="06/10/2025Neurology"/>
    <e v="#N/A"/>
    <n v="32"/>
  </r>
  <r>
    <n v="495"/>
    <n v="798"/>
    <x v="7"/>
    <d v="2025-10-06T00:00:00"/>
    <d v="2025-10-08T00:00:00"/>
    <s v="Emergency"/>
    <n v="2"/>
    <n v="146"/>
    <s v="Discharged"/>
    <n v="9.7333333333333325"/>
    <s v="06/10/2025Maternity"/>
    <e v="#N/A"/>
    <n v="34"/>
  </r>
  <r>
    <n v="496"/>
    <n v="572"/>
    <x v="8"/>
    <d v="2025-10-07T00:00:00"/>
    <d v="2025-10-12T00:00:00"/>
    <s v="Elective"/>
    <n v="5"/>
    <n v="13"/>
    <s v="Discharged"/>
    <n v="2.166666666666667"/>
    <s v="07/10/2025Orthopaedics"/>
    <e v="#N/A"/>
    <n v="40"/>
  </r>
  <r>
    <n v="497"/>
    <n v="425"/>
    <x v="9"/>
    <d v="2025-10-07T00:00:00"/>
    <d v="2025-10-09T00:00:00"/>
    <s v="Emergency"/>
    <n v="2"/>
    <n v="126"/>
    <s v="Discharged"/>
    <n v="8.4"/>
    <s v="07/10/2025Paediatrics"/>
    <e v="#N/A"/>
    <n v="30"/>
  </r>
  <r>
    <n v="498"/>
    <n v="594"/>
    <x v="10"/>
    <d v="2025-10-08T00:00:00"/>
    <d v="2025-10-13T00:00:00"/>
    <s v="Elective"/>
    <n v="5"/>
    <n v="44"/>
    <s v="Discharged"/>
    <n v="7.333333333333333"/>
    <s v="08/10/2025Gastroenterology"/>
    <e v="#N/A"/>
    <n v="29"/>
  </r>
  <r>
    <n v="499"/>
    <n v="500"/>
    <x v="11"/>
    <d v="2025-10-09T00:00:00"/>
    <d v="2025-10-11T00:00:00"/>
    <s v="Emergency"/>
    <n v="2"/>
    <n v="118"/>
    <s v="Discharged"/>
    <n v="7.8666666666666663"/>
    <s v="09/10/2025ENT"/>
    <e v="#N/A"/>
    <n v="20"/>
  </r>
  <r>
    <n v="500"/>
    <n v="183"/>
    <x v="12"/>
    <d v="2025-10-09T00:00:00"/>
    <d v="2025-10-15T00:00:00"/>
    <s v="Elective"/>
    <n v="6"/>
    <n v="43"/>
    <s v="Discharged"/>
    <n v="8.6"/>
    <s v="09/10/2025Geriatrics"/>
    <e v="#N/A"/>
    <n v="46"/>
  </r>
  <r>
    <n v="501"/>
    <n v="370"/>
    <x v="3"/>
    <d v="2025-10-10T00:00:00"/>
    <d v="2025-10-12T00:00:00"/>
    <s v="Emergency"/>
    <n v="2"/>
    <n v="21"/>
    <s v="Discharged"/>
    <n v="1.4"/>
    <s v="10/10/2025Respiratory"/>
    <e v="#N/A"/>
    <n v="36"/>
  </r>
  <r>
    <n v="502"/>
    <n v="393"/>
    <x v="1"/>
    <d v="2025-10-11T00:00:00"/>
    <d v="2025-10-16T00:00:00"/>
    <s v="Elective"/>
    <n v="5"/>
    <n v="42"/>
    <s v="Discharged"/>
    <n v="7"/>
    <s v="11/10/2025General Surgery"/>
    <e v="#N/A"/>
    <n v="44"/>
  </r>
  <r>
    <n v="503"/>
    <n v="445"/>
    <x v="5"/>
    <d v="2025-10-11T00:00:00"/>
    <d v="2025-10-14T00:00:00"/>
    <s v="Transfer"/>
    <n v="3"/>
    <n v="31"/>
    <s v="Discharged"/>
    <n v="3.1000000000000005"/>
    <s v="11/10/2025Cardiology"/>
    <e v="#N/A"/>
    <n v="38"/>
  </r>
  <r>
    <n v="504"/>
    <n v="985"/>
    <x v="2"/>
    <d v="2025-10-12T00:00:00"/>
    <d v="2025-10-17T00:00:00"/>
    <s v="Elective"/>
    <n v="5"/>
    <n v="13"/>
    <s v="Discharged"/>
    <n v="2.166666666666667"/>
    <s v="12/10/2025Oncology"/>
    <e v="#N/A"/>
    <n v="28"/>
  </r>
  <r>
    <n v="505"/>
    <n v="310"/>
    <x v="0"/>
    <d v="2025-10-12T00:00:00"/>
    <d v="2025-10-13T00:00:00"/>
    <s v="Emergency"/>
    <n v="1"/>
    <n v="36"/>
    <s v="Discharged"/>
    <n v="1.2"/>
    <s v="12/10/2025A&amp;E (Emergency)"/>
    <e v="#N/A"/>
    <n v="42"/>
  </r>
  <r>
    <n v="506"/>
    <n v="301"/>
    <x v="4"/>
    <d v="2025-10-13T00:00:00"/>
    <d v="2025-10-18T00:00:00"/>
    <s v="Elective"/>
    <n v="5"/>
    <n v="10"/>
    <s v="Discharged"/>
    <n v="1.6666666666666665"/>
    <s v="13/10/2025Renal Medicine"/>
    <e v="#N/A"/>
    <n v="26"/>
  </r>
  <r>
    <n v="507"/>
    <n v="791"/>
    <x v="6"/>
    <d v="2025-10-14T00:00:00"/>
    <d v="2025-10-20T00:00:00"/>
    <s v="Elective"/>
    <n v="6"/>
    <n v="41"/>
    <s v="Discharged"/>
    <n v="8.1999999999999993"/>
    <s v="14/10/2025Neurology"/>
    <e v="#N/A"/>
    <n v="32"/>
  </r>
  <r>
    <n v="508"/>
    <n v="400"/>
    <x v="7"/>
    <d v="2025-10-14T00:00:00"/>
    <d v="2025-10-16T00:00:00"/>
    <s v="Emergency"/>
    <n v="2"/>
    <n v="120"/>
    <s v="Discharged"/>
    <n v="8"/>
    <s v="14/10/2025Maternity"/>
    <e v="#N/A"/>
    <n v="34"/>
  </r>
  <r>
    <n v="509"/>
    <n v="36"/>
    <x v="8"/>
    <d v="2025-10-15T00:00:00"/>
    <d v="2025-10-20T00:00:00"/>
    <s v="Elective"/>
    <n v="5"/>
    <n v="22"/>
    <s v="Discharged"/>
    <n v="3.6666666666666665"/>
    <s v="15/10/2025Orthopaedics"/>
    <e v="#N/A"/>
    <n v="40"/>
  </r>
  <r>
    <n v="510"/>
    <n v="193"/>
    <x v="9"/>
    <d v="2025-10-15T00:00:00"/>
    <d v="2025-10-17T00:00:00"/>
    <s v="Emergency"/>
    <n v="2"/>
    <n v="226"/>
    <s v="Discharged"/>
    <n v="15.066666666666666"/>
    <s v="15/10/2025Paediatrics"/>
    <e v="#N/A"/>
    <n v="30"/>
  </r>
  <r>
    <n v="511"/>
    <n v="630"/>
    <x v="10"/>
    <d v="2025-10-16T00:00:00"/>
    <d v="2025-10-21T00:00:00"/>
    <s v="Elective"/>
    <n v="5"/>
    <n v="22"/>
    <s v="Transferred"/>
    <n v="3.6666666666666665"/>
    <s v="16/10/2025Gastroenterology"/>
    <e v="#N/A"/>
    <n v="29"/>
  </r>
  <r>
    <n v="512"/>
    <n v="31"/>
    <x v="11"/>
    <d v="2025-10-17T00:00:00"/>
    <d v="2025-10-19T00:00:00"/>
    <s v="Emergency"/>
    <n v="2"/>
    <n v="73"/>
    <s v="Discharged"/>
    <n v="4.8666666666666663"/>
    <s v="17/10/2025ENT"/>
    <e v="#N/A"/>
    <n v="20"/>
  </r>
  <r>
    <n v="513"/>
    <n v="292"/>
    <x v="12"/>
    <d v="2025-10-17T00:00:00"/>
    <d v="2025-10-23T00:00:00"/>
    <s v="Elective"/>
    <n v="6"/>
    <n v="34"/>
    <s v="Discharged"/>
    <n v="6.8"/>
    <s v="17/10/2025Geriatrics"/>
    <e v="#N/A"/>
    <n v="46"/>
  </r>
  <r>
    <n v="514"/>
    <n v="131"/>
    <x v="3"/>
    <d v="2025-10-18T00:00:00"/>
    <d v="2025-10-20T00:00:00"/>
    <s v="Emergency"/>
    <n v="2"/>
    <n v="110"/>
    <s v="Discharged"/>
    <n v="7.333333333333333"/>
    <s v="18/10/2025Respiratory"/>
    <e v="#N/A"/>
    <n v="36"/>
  </r>
  <r>
    <n v="515"/>
    <n v="273"/>
    <x v="1"/>
    <d v="2025-10-19T00:00:00"/>
    <d v="2025-10-24T00:00:00"/>
    <s v="Elective"/>
    <n v="5"/>
    <n v="2"/>
    <s v="Transferred"/>
    <n v="0.33333333333333331"/>
    <s v="19/10/2025General Surgery"/>
    <e v="#N/A"/>
    <n v="44"/>
  </r>
  <r>
    <n v="516"/>
    <n v="683"/>
    <x v="5"/>
    <d v="2025-10-19T00:00:00"/>
    <d v="2025-10-22T00:00:00"/>
    <s v="Transfer"/>
    <n v="3"/>
    <n v="14"/>
    <s v="Discharged"/>
    <n v="1.4"/>
    <s v="19/10/2025Cardiology"/>
    <e v="#N/A"/>
    <n v="38"/>
  </r>
  <r>
    <n v="517"/>
    <n v="838"/>
    <x v="2"/>
    <d v="2025-10-20T00:00:00"/>
    <d v="2025-10-25T00:00:00"/>
    <s v="Elective"/>
    <n v="5"/>
    <n v="34"/>
    <s v="Discharged"/>
    <n v="5.6666666666666661"/>
    <s v="20/10/2025Oncology"/>
    <e v="#N/A"/>
    <n v="28"/>
  </r>
  <r>
    <n v="518"/>
    <n v="213"/>
    <x v="0"/>
    <d v="2025-10-20T00:00:00"/>
    <d v="2025-10-21T00:00:00"/>
    <s v="Emergency"/>
    <n v="1"/>
    <n v="63"/>
    <s v="Discharged"/>
    <n v="2.1"/>
    <s v="20/10/2025A&amp;E (Emergency)"/>
    <e v="#N/A"/>
    <n v="42"/>
  </r>
  <r>
    <n v="519"/>
    <n v="316"/>
    <x v="4"/>
    <d v="2025-10-21T00:00:00"/>
    <d v="2025-10-26T00:00:00"/>
    <s v="Elective"/>
    <n v="5"/>
    <n v="1"/>
    <s v="Discharged"/>
    <n v="0.16666666666666666"/>
    <s v="21/10/2025Renal Medicine"/>
    <e v="#N/A"/>
    <n v="26"/>
  </r>
  <r>
    <n v="520"/>
    <n v="499"/>
    <x v="6"/>
    <d v="2025-10-22T00:00:00"/>
    <d v="2025-10-28T00:00:00"/>
    <s v="Elective"/>
    <n v="6"/>
    <n v="42"/>
    <s v="Transferred"/>
    <n v="8.3999999999999986"/>
    <s v="22/10/2025Neurology"/>
    <e v="#N/A"/>
    <n v="32"/>
  </r>
  <r>
    <n v="521"/>
    <n v="994"/>
    <x v="7"/>
    <d v="2025-10-22T00:00:00"/>
    <d v="2025-10-24T00:00:00"/>
    <s v="Emergency"/>
    <n v="2"/>
    <n v="238"/>
    <s v="Discharged"/>
    <n v="15.866666666666667"/>
    <s v="22/10/2025Maternity"/>
    <e v="#N/A"/>
    <n v="34"/>
  </r>
  <r>
    <n v="522"/>
    <n v="653"/>
    <x v="8"/>
    <d v="2025-10-23T00:00:00"/>
    <d v="2025-10-28T00:00:00"/>
    <s v="Elective"/>
    <n v="5"/>
    <n v="27"/>
    <s v="Discharged"/>
    <n v="4.5"/>
    <s v="23/10/2025Orthopaedics"/>
    <e v="#N/A"/>
    <n v="40"/>
  </r>
  <r>
    <n v="523"/>
    <n v="784"/>
    <x v="9"/>
    <d v="2025-10-23T00:00:00"/>
    <d v="2025-10-25T00:00:00"/>
    <s v="Emergency"/>
    <n v="2"/>
    <n v="69"/>
    <s v="Discharged"/>
    <n v="4.5999999999999996"/>
    <s v="23/10/2025Paediatrics"/>
    <e v="#N/A"/>
    <n v="30"/>
  </r>
  <r>
    <n v="524"/>
    <n v="165"/>
    <x v="10"/>
    <d v="2025-10-24T00:00:00"/>
    <d v="2025-10-29T00:00:00"/>
    <s v="Elective"/>
    <n v="5"/>
    <n v="43"/>
    <s v="Discharged"/>
    <n v="7.166666666666667"/>
    <s v="24/10/2025Gastroenterology"/>
    <e v="#N/A"/>
    <n v="29"/>
  </r>
  <r>
    <n v="525"/>
    <n v="481"/>
    <x v="11"/>
    <d v="2025-10-25T00:00:00"/>
    <d v="2025-10-27T00:00:00"/>
    <s v="Emergency"/>
    <n v="2"/>
    <n v="40"/>
    <s v="Discharged"/>
    <n v="2.6666666666666665"/>
    <s v="25/10/2025ENT"/>
    <e v="#N/A"/>
    <n v="20"/>
  </r>
  <r>
    <n v="526"/>
    <n v="829"/>
    <x v="12"/>
    <d v="2025-10-25T00:00:00"/>
    <d v="2025-10-31T00:00:00"/>
    <s v="Elective"/>
    <n v="6"/>
    <n v="11"/>
    <s v="Discharged"/>
    <n v="2.1999999999999997"/>
    <s v="25/10/2025Geriatrics"/>
    <e v="#N/A"/>
    <n v="46"/>
  </r>
  <r>
    <n v="527"/>
    <n v="540"/>
    <x v="3"/>
    <d v="2025-10-26T00:00:00"/>
    <d v="2025-10-28T00:00:00"/>
    <s v="Emergency"/>
    <n v="2"/>
    <n v="228"/>
    <s v="Discharged"/>
    <n v="15.2"/>
    <s v="26/10/2025Respiratory"/>
    <e v="#N/A"/>
    <n v="36"/>
  </r>
  <r>
    <n v="528"/>
    <n v="196"/>
    <x v="1"/>
    <d v="2025-10-27T00:00:00"/>
    <d v="2025-11-01T00:00:00"/>
    <s v="Elective"/>
    <n v="5"/>
    <n v="14"/>
    <s v="Discharged"/>
    <n v="2.3333333333333335"/>
    <s v="27/10/2025General Surgery"/>
    <e v="#N/A"/>
    <n v="44"/>
  </r>
  <r>
    <n v="529"/>
    <n v="571"/>
    <x v="5"/>
    <d v="2025-10-27T00:00:00"/>
    <d v="2025-10-30T00:00:00"/>
    <s v="Transfer"/>
    <n v="3"/>
    <n v="18"/>
    <s v="Discharged"/>
    <n v="1.7999999999999998"/>
    <s v="27/10/2025Cardiology"/>
    <e v="#N/A"/>
    <n v="38"/>
  </r>
  <r>
    <n v="530"/>
    <n v="389"/>
    <x v="2"/>
    <d v="2025-10-28T00:00:00"/>
    <d v="2025-11-02T00:00:00"/>
    <s v="Elective"/>
    <n v="5"/>
    <n v="42"/>
    <s v="Discharged"/>
    <n v="7"/>
    <s v="28/10/2025Oncology"/>
    <e v="#N/A"/>
    <n v="28"/>
  </r>
  <r>
    <n v="531"/>
    <n v="155"/>
    <x v="0"/>
    <d v="2025-10-28T00:00:00"/>
    <d v="2025-10-29T00:00:00"/>
    <s v="Emergency"/>
    <n v="1"/>
    <n v="109"/>
    <s v="Discharged"/>
    <n v="3.6333333333333333"/>
    <s v="28/10/2025A&amp;E (Emergency)"/>
    <e v="#N/A"/>
    <n v="42"/>
  </r>
  <r>
    <n v="532"/>
    <n v="881"/>
    <x v="4"/>
    <d v="2025-10-29T00:00:00"/>
    <d v="2025-11-03T00:00:00"/>
    <s v="Elective"/>
    <n v="5"/>
    <n v="42"/>
    <s v="Discharged"/>
    <n v="7"/>
    <s v="29/10/2025Renal Medicine"/>
    <e v="#N/A"/>
    <n v="26"/>
  </r>
  <r>
    <n v="533"/>
    <n v="102"/>
    <x v="6"/>
    <d v="2025-10-30T00:00:00"/>
    <d v="2025-11-05T00:00:00"/>
    <s v="Elective"/>
    <n v="6"/>
    <n v="10"/>
    <s v="Discharged"/>
    <n v="2"/>
    <s v="30/10/2025Neurology"/>
    <e v="#N/A"/>
    <n v="32"/>
  </r>
  <r>
    <n v="534"/>
    <n v="342"/>
    <x v="7"/>
    <d v="2025-10-30T00:00:00"/>
    <d v="2025-11-01T00:00:00"/>
    <s v="Emergency"/>
    <n v="2"/>
    <n v="119"/>
    <s v="Discharged"/>
    <n v="7.9333333333333336"/>
    <s v="30/10/2025Maternity"/>
    <e v="#N/A"/>
    <n v="34"/>
  </r>
  <r>
    <n v="535"/>
    <n v="189"/>
    <x v="8"/>
    <d v="2025-10-31T00:00:00"/>
    <d v="2025-11-05T00:00:00"/>
    <s v="Elective"/>
    <n v="5"/>
    <n v="34"/>
    <s v="Discharged"/>
    <n v="5.6666666666666661"/>
    <s v="31/10/2025Orthopaedics"/>
    <e v="#N/A"/>
    <n v="40"/>
  </r>
  <r>
    <n v="536"/>
    <n v="836"/>
    <x v="9"/>
    <d v="2025-10-31T00:00:00"/>
    <d v="2025-11-02T00:00:00"/>
    <s v="Emergency"/>
    <n v="2"/>
    <n v="232"/>
    <s v="Discharged"/>
    <n v="15.466666666666667"/>
    <s v="31/10/2025Paediatrics"/>
    <e v="#N/A"/>
    <n v="30"/>
  </r>
  <r>
    <n v="537"/>
    <n v="14"/>
    <x v="10"/>
    <d v="2025-11-01T00:00:00"/>
    <d v="2025-11-06T00:00:00"/>
    <s v="Elective"/>
    <n v="5"/>
    <n v="41"/>
    <s v="Discharged"/>
    <n v="6.8333333333333339"/>
    <s v="01/11/2025Gastroenterology"/>
    <e v="#N/A"/>
    <n v="29"/>
  </r>
  <r>
    <n v="538"/>
    <n v="449"/>
    <x v="11"/>
    <d v="2025-11-02T00:00:00"/>
    <d v="2025-11-04T00:00:00"/>
    <s v="Emergency"/>
    <n v="2"/>
    <n v="26"/>
    <s v="Discharged"/>
    <n v="1.7333333333333334"/>
    <s v="02/11/2025ENT"/>
    <e v="#N/A"/>
    <n v="20"/>
  </r>
  <r>
    <n v="539"/>
    <n v="93"/>
    <x v="12"/>
    <d v="2025-11-02T00:00:00"/>
    <d v="2025-11-08T00:00:00"/>
    <s v="Elective"/>
    <n v="6"/>
    <n v="31"/>
    <s v="Discharged"/>
    <n v="6.2000000000000011"/>
    <s v="02/11/2025Geriatrics"/>
    <e v="#N/A"/>
    <n v="46"/>
  </r>
  <r>
    <n v="601"/>
    <n v="310"/>
    <x v="0"/>
    <d v="2025-11-07T00:00:00"/>
    <d v="2025-11-08T00:00:00"/>
    <s v="Emergency"/>
    <n v="1"/>
    <n v="21"/>
    <s v="Transferred"/>
    <n v="0.7"/>
    <s v="07/11/2025A&amp;E (Emergency)"/>
    <e v="#N/A"/>
    <n v="42"/>
  </r>
  <r>
    <n v="602"/>
    <n v="301"/>
    <x v="4"/>
    <d v="2025-11-08T00:00:00"/>
    <d v="2025-11-13T00:00:00"/>
    <s v="Elective"/>
    <n v="5"/>
    <n v="4"/>
    <s v="Discharged"/>
    <n v="0.66666666666666663"/>
    <s v="08/11/2025Renal Medicine"/>
    <e v="#N/A"/>
    <n v="26"/>
  </r>
  <r>
    <n v="603"/>
    <n v="791"/>
    <x v="6"/>
    <d v="2025-11-09T00:00:00"/>
    <d v="2025-11-15T00:00:00"/>
    <s v="Elective"/>
    <n v="6"/>
    <n v="13"/>
    <s v="Discharged"/>
    <n v="2.6"/>
    <s v="09/11/2025Neurology"/>
    <e v="#N/A"/>
    <n v="32"/>
  </r>
  <r>
    <n v="604"/>
    <n v="400"/>
    <x v="7"/>
    <d v="2025-11-09T00:00:00"/>
    <d v="2025-11-11T00:00:00"/>
    <s v="Emergency"/>
    <n v="2"/>
    <n v="130"/>
    <s v="Discharged"/>
    <n v="8.6666666666666661"/>
    <s v="09/11/2025Maternity"/>
    <e v="#N/A"/>
    <n v="34"/>
  </r>
  <r>
    <n v="605"/>
    <n v="36"/>
    <x v="8"/>
    <d v="2025-11-10T00:00:00"/>
    <d v="2025-11-15T00:00:00"/>
    <s v="Elective"/>
    <n v="5"/>
    <n v="32"/>
    <s v="Discharged"/>
    <n v="5.333333333333333"/>
    <s v="10/11/2025Orthopaedics"/>
    <e v="#N/A"/>
    <n v="40"/>
  </r>
  <r>
    <n v="606"/>
    <n v="193"/>
    <x v="9"/>
    <d v="2025-11-10T00:00:00"/>
    <d v="2025-11-12T00:00:00"/>
    <s v="Emergency"/>
    <n v="2"/>
    <n v="143"/>
    <s v="Discharged"/>
    <n v="9.5333333333333332"/>
    <s v="10/11/2025Paediatrics"/>
    <e v="#N/A"/>
    <n v="30"/>
  </r>
  <r>
    <n v="607"/>
    <n v="630"/>
    <x v="10"/>
    <d v="2025-11-11T00:00:00"/>
    <d v="2025-11-16T00:00:00"/>
    <s v="Elective"/>
    <n v="5"/>
    <n v="37"/>
    <s v="Discharged"/>
    <n v="6.166666666666667"/>
    <s v="11/11/2025Gastroenterology"/>
    <e v="#N/A"/>
    <n v="29"/>
  </r>
  <r>
    <n v="608"/>
    <n v="31"/>
    <x v="11"/>
    <d v="2025-11-12T00:00:00"/>
    <d v="2025-11-14T00:00:00"/>
    <s v="Emergency"/>
    <n v="2"/>
    <n v="216"/>
    <s v="Discharged"/>
    <n v="14.4"/>
    <s v="12/11/2025ENT"/>
    <e v="#N/A"/>
    <n v="20"/>
  </r>
  <r>
    <n v="609"/>
    <n v="292"/>
    <x v="12"/>
    <d v="2025-11-12T00:00:00"/>
    <d v="2025-11-18T00:00:00"/>
    <s v="Elective"/>
    <n v="6"/>
    <n v="38"/>
    <s v="Discharged"/>
    <n v="7.6"/>
    <s v="12/11/2025Geriatrics"/>
    <e v="#N/A"/>
    <n v="46"/>
  </r>
  <r>
    <n v="610"/>
    <n v="131"/>
    <x v="3"/>
    <d v="2025-11-13T00:00:00"/>
    <d v="2025-11-15T00:00:00"/>
    <s v="Emergency"/>
    <n v="2"/>
    <n v="228"/>
    <s v="Discharged"/>
    <n v="15.2"/>
    <s v="13/11/2025Respiratory"/>
    <e v="#N/A"/>
    <n v="36"/>
  </r>
  <r>
    <n v="611"/>
    <n v="273"/>
    <x v="1"/>
    <d v="2025-11-14T00:00:00"/>
    <d v="2025-11-19T00:00:00"/>
    <s v="Elective"/>
    <n v="5"/>
    <n v="20"/>
    <s v="Discharged"/>
    <n v="3.333333333333333"/>
    <s v="14/11/2025General Surgery"/>
    <e v="#N/A"/>
    <n v="44"/>
  </r>
  <r>
    <n v="612"/>
    <n v="683"/>
    <x v="5"/>
    <d v="2025-11-14T00:00:00"/>
    <d v="2025-11-17T00:00:00"/>
    <s v="Transfer"/>
    <n v="3"/>
    <n v="27"/>
    <s v="Discharged"/>
    <n v="2.7"/>
    <s v="14/11/2025Cardiology"/>
    <e v="#N/A"/>
    <n v="38"/>
  </r>
  <r>
    <n v="613"/>
    <n v="838"/>
    <x v="2"/>
    <d v="2025-11-15T00:00:00"/>
    <d v="2025-11-20T00:00:00"/>
    <s v="Elective"/>
    <n v="5"/>
    <n v="35"/>
    <s v="Discharged"/>
    <n v="5.8333333333333339"/>
    <s v="15/11/2025Oncology"/>
    <e v="#N/A"/>
    <n v="28"/>
  </r>
  <r>
    <n v="614"/>
    <n v="213"/>
    <x v="0"/>
    <d v="2025-11-15T00:00:00"/>
    <d v="2025-11-16T00:00:00"/>
    <s v="Emergency"/>
    <n v="1"/>
    <n v="140"/>
    <s v="Discharged"/>
    <n v="4.666666666666667"/>
    <s v="15/11/2025A&amp;E (Emergency)"/>
    <e v="#N/A"/>
    <n v="42"/>
  </r>
  <r>
    <n v="615"/>
    <n v="316"/>
    <x v="4"/>
    <d v="2025-11-16T00:00:00"/>
    <d v="2025-11-21T00:00:00"/>
    <s v="Elective"/>
    <n v="5"/>
    <n v="21"/>
    <s v="Discharged"/>
    <n v="3.5"/>
    <s v="16/11/2025Renal Medicine"/>
    <e v="#N/A"/>
    <n v="26"/>
  </r>
  <r>
    <n v="616"/>
    <n v="499"/>
    <x v="6"/>
    <d v="2025-11-17T00:00:00"/>
    <d v="2025-11-23T00:00:00"/>
    <s v="Elective"/>
    <n v="6"/>
    <n v="3"/>
    <s v="Discharged"/>
    <n v="0.60000000000000009"/>
    <s v="17/11/2025Neurology"/>
    <e v="#N/A"/>
    <n v="32"/>
  </r>
  <r>
    <n v="617"/>
    <n v="994"/>
    <x v="7"/>
    <d v="2025-11-17T00:00:00"/>
    <d v="2025-11-19T00:00:00"/>
    <s v="Emergency"/>
    <n v="2"/>
    <n v="131"/>
    <s v="Discharged"/>
    <n v="8.7333333333333325"/>
    <s v="17/11/2025Maternity"/>
    <e v="#N/A"/>
    <n v="34"/>
  </r>
  <r>
    <n v="618"/>
    <n v="653"/>
    <x v="8"/>
    <d v="2025-11-18T00:00:00"/>
    <d v="2025-11-23T00:00:00"/>
    <s v="Elective"/>
    <n v="5"/>
    <n v="27"/>
    <s v="Discharged"/>
    <n v="4.5"/>
    <s v="18/11/2025Orthopaedics"/>
    <e v="#N/A"/>
    <n v="40"/>
  </r>
  <r>
    <n v="619"/>
    <n v="784"/>
    <x v="9"/>
    <d v="2025-11-18T00:00:00"/>
    <d v="2025-11-20T00:00:00"/>
    <s v="Emergency"/>
    <n v="2"/>
    <n v="148"/>
    <s v="Discharged"/>
    <n v="9.8666666666666671"/>
    <s v="18/11/2025Paediatrics"/>
    <e v="#N/A"/>
    <n v="30"/>
  </r>
  <r>
    <n v="620"/>
    <n v="165"/>
    <x v="10"/>
    <d v="2025-11-19T00:00:00"/>
    <d v="2025-11-24T00:00:00"/>
    <s v="Elective"/>
    <n v="5"/>
    <n v="43"/>
    <s v="Discharged"/>
    <n v="7.166666666666667"/>
    <s v="19/11/2025Gastroenterology"/>
    <e v="#N/A"/>
    <n v="29"/>
  </r>
  <r>
    <n v="621"/>
    <n v="481"/>
    <x v="11"/>
    <d v="2025-11-20T00:00:00"/>
    <d v="2025-11-22T00:00:00"/>
    <s v="Emergency"/>
    <n v="2"/>
    <n v="101"/>
    <s v="Discharged"/>
    <n v="6.7333333333333334"/>
    <s v="20/11/2025ENT"/>
    <e v="#N/A"/>
    <n v="20"/>
  </r>
  <r>
    <n v="622"/>
    <n v="829"/>
    <x v="12"/>
    <d v="2025-11-20T00:00:00"/>
    <d v="2025-11-26T00:00:00"/>
    <s v="Elective"/>
    <n v="6"/>
    <n v="28"/>
    <s v="Discharged"/>
    <n v="5.6"/>
    <s v="20/11/2025Geriatrics"/>
    <e v="#N/A"/>
    <n v="46"/>
  </r>
  <r>
    <n v="623"/>
    <n v="540"/>
    <x v="3"/>
    <d v="2025-11-21T00:00:00"/>
    <d v="2025-11-23T00:00:00"/>
    <s v="Emergency"/>
    <n v="2"/>
    <n v="24"/>
    <s v="Discharged"/>
    <n v="1.6"/>
    <s v="21/11/2025Respiratory"/>
    <e v="#N/A"/>
    <n v="36"/>
  </r>
  <r>
    <n v="624"/>
    <n v="196"/>
    <x v="1"/>
    <d v="2025-11-22T00:00:00"/>
    <d v="2025-11-27T00:00:00"/>
    <s v="Elective"/>
    <n v="5"/>
    <n v="15"/>
    <s v="Transferred"/>
    <n v="2.5"/>
    <s v="22/11/2025General Surgery"/>
    <e v="#N/A"/>
    <n v="44"/>
  </r>
  <r>
    <n v="625"/>
    <n v="571"/>
    <x v="5"/>
    <d v="2025-11-22T00:00:00"/>
    <d v="2025-11-25T00:00:00"/>
    <s v="Transfer"/>
    <n v="3"/>
    <n v="56"/>
    <s v="Discharged"/>
    <n v="5.6"/>
    <s v="22/11/2025Cardiology"/>
    <e v="#N/A"/>
    <n v="38"/>
  </r>
  <r>
    <n v="626"/>
    <n v="389"/>
    <x v="2"/>
    <d v="2025-11-23T00:00:00"/>
    <d v="2025-11-28T00:00:00"/>
    <s v="Elective"/>
    <n v="5"/>
    <n v="11"/>
    <s v="Discharged"/>
    <n v="1.8333333333333333"/>
    <s v="23/11/2025Oncology"/>
    <e v="#N/A"/>
    <n v="28"/>
  </r>
  <r>
    <n v="627"/>
    <n v="155"/>
    <x v="0"/>
    <d v="2025-11-23T00:00:00"/>
    <d v="2025-11-24T00:00:00"/>
    <s v="Emergency"/>
    <n v="1"/>
    <n v="185"/>
    <s v="Discharged"/>
    <n v="6.166666666666667"/>
    <s v="23/11/2025A&amp;E (Emergency)"/>
    <e v="#N/A"/>
    <n v="42"/>
  </r>
  <r>
    <n v="628"/>
    <n v="881"/>
    <x v="4"/>
    <d v="2025-11-24T00:00:00"/>
    <d v="2025-11-29T00:00:00"/>
    <s v="Elective"/>
    <n v="5"/>
    <n v="44"/>
    <s v="Discharged"/>
    <n v="7.333333333333333"/>
    <s v="24/11/2025Renal Medicine"/>
    <e v="#N/A"/>
    <n v="26"/>
  </r>
  <r>
    <n v="629"/>
    <n v="102"/>
    <x v="6"/>
    <d v="2025-11-25T00:00:00"/>
    <s v="31/11/2025"/>
    <s v="Elective"/>
    <n v="6"/>
    <n v="31"/>
    <s v="Discharged"/>
    <n v="6.2000000000000011"/>
    <s v="25/11/2025Neurology"/>
    <e v="#N/A"/>
    <n v="32"/>
  </r>
  <r>
    <n v="630"/>
    <n v="342"/>
    <x v="7"/>
    <d v="2025-11-25T00:00:00"/>
    <d v="2025-11-27T00:00:00"/>
    <s v="Emergency"/>
    <n v="2"/>
    <n v="192"/>
    <s v="Discharged"/>
    <n v="12.8"/>
    <s v="25/11/2025Maternity"/>
    <e v="#N/A"/>
    <n v="34"/>
  </r>
  <r>
    <n v="631"/>
    <n v="189"/>
    <x v="8"/>
    <d v="2025-11-26T00:00:00"/>
    <s v="31/11/2025"/>
    <s v="Elective"/>
    <n v="5"/>
    <n v="41"/>
    <s v="Discharged"/>
    <n v="6.8333333333333339"/>
    <s v="26/11/2025Orthopaedics"/>
    <e v="#N/A"/>
    <n v="40"/>
  </r>
  <r>
    <n v="632"/>
    <n v="836"/>
    <x v="9"/>
    <d v="2025-11-26T00:00:00"/>
    <d v="2025-11-28T00:00:00"/>
    <s v="Emergency"/>
    <n v="2"/>
    <n v="238"/>
    <s v="Discharged"/>
    <n v="15.866666666666667"/>
    <s v="26/11/2025Paediatrics"/>
    <e v="#N/A"/>
    <n v="30"/>
  </r>
  <r>
    <n v="633"/>
    <n v="14"/>
    <x v="10"/>
    <d v="2025-11-27T00:00:00"/>
    <d v="2025-12-01T00:00:00"/>
    <s v="Elective"/>
    <n v="5"/>
    <n v="12"/>
    <s v="Discharged"/>
    <n v="2"/>
    <s v="27/11/2025Gastroenterology"/>
    <e v="#N/A"/>
    <n v="29"/>
  </r>
  <r>
    <n v="634"/>
    <n v="449"/>
    <x v="11"/>
    <d v="2025-11-28T00:00:00"/>
    <d v="2025-11-30T00:00:00"/>
    <s v="Emergency"/>
    <n v="2"/>
    <n v="120"/>
    <s v="Discharged"/>
    <n v="8"/>
    <s v="28/11/2025ENT"/>
    <e v="#N/A"/>
    <n v="20"/>
  </r>
  <r>
    <n v="635"/>
    <n v="93"/>
    <x v="12"/>
    <d v="2025-11-28T00:00:00"/>
    <d v="2025-12-03T00:00:00"/>
    <s v="Elective"/>
    <n v="6"/>
    <n v="32"/>
    <s v="Discharged"/>
    <n v="6.4"/>
    <s v="28/11/2025Geriatrics"/>
    <e v="#N/A"/>
    <n v="46"/>
  </r>
  <r>
    <n v="636"/>
    <n v="738"/>
    <x v="3"/>
    <d v="2025-11-29T00:00:00"/>
    <s v="31/11/2025"/>
    <s v="Emergency"/>
    <n v="2"/>
    <n v="111"/>
    <s v="Discharged"/>
    <n v="7.4"/>
    <s v="29/11/2025Respiratory"/>
    <e v="#N/A"/>
    <n v="36"/>
  </r>
  <r>
    <n v="637"/>
    <n v="390"/>
    <x v="1"/>
    <d v="2025-11-30T00:00:00"/>
    <d v="2025-12-04T00:00:00"/>
    <s v="Elective"/>
    <n v="5"/>
    <n v="25"/>
    <s v="Discharged"/>
    <n v="4.166666666666667"/>
    <s v="30/11/2025General Surgery"/>
    <e v="#N/A"/>
    <n v="44"/>
  </r>
  <r>
    <n v="638"/>
    <n v="582"/>
    <x v="5"/>
    <d v="2025-11-30T00:00:00"/>
    <d v="2025-12-02T00:00:00"/>
    <s v="Transfer"/>
    <n v="3"/>
    <n v="17"/>
    <s v="Transferred"/>
    <n v="1.7"/>
    <s v="30/11/2025Cardiology"/>
    <e v="#N/A"/>
    <n v="38"/>
  </r>
  <r>
    <n v="639"/>
    <n v="944"/>
    <x v="2"/>
    <s v="31/11/2025"/>
    <d v="2025-12-05T00:00:00"/>
    <s v="Elective"/>
    <n v="5"/>
    <n v="42"/>
    <s v="Discharged"/>
    <n v="7"/>
    <s v="31/11/2025Oncology"/>
    <e v="#N/A"/>
    <n v="28"/>
  </r>
  <r>
    <n v="640"/>
    <n v="659"/>
    <x v="0"/>
    <s v="31/11/2025"/>
    <d v="2025-12-01T00:00:00"/>
    <s v="Emergency"/>
    <n v="1"/>
    <n v="21"/>
    <s v="Discharged"/>
    <n v="0.7"/>
    <s v="31/11/2025A&amp;E (Emergency)"/>
    <e v="#N/A"/>
    <n v="42"/>
  </r>
  <r>
    <n v="641"/>
    <n v="126"/>
    <x v="4"/>
    <d v="2025-12-01T00:00:00"/>
    <d v="2025-12-06T00:00:00"/>
    <s v="Elective"/>
    <n v="5"/>
    <n v="15"/>
    <s v="Discharged"/>
    <n v="2.5"/>
    <s v="01/12/2025Renal Medicine"/>
    <e v="#N/A"/>
    <n v="26"/>
  </r>
  <r>
    <n v="642"/>
    <n v="50"/>
    <x v="6"/>
    <d v="2025-12-02T00:00:00"/>
    <d v="2025-12-08T00:00:00"/>
    <s v="Elective"/>
    <n v="6"/>
    <n v="10"/>
    <s v="Discharged"/>
    <n v="2"/>
    <s v="02/12/2025Neurology"/>
    <e v="#N/A"/>
    <n v="32"/>
  </r>
  <r>
    <n v="643"/>
    <n v="300"/>
    <x v="7"/>
    <d v="2025-12-02T00:00:00"/>
    <d v="2025-12-04T00:00:00"/>
    <s v="Emergency"/>
    <n v="2"/>
    <n v="185"/>
    <s v="Discharged"/>
    <n v="12.333333333333334"/>
    <s v="02/12/2025Maternity"/>
    <e v="#N/A"/>
    <n v="34"/>
  </r>
  <r>
    <n v="644"/>
    <n v="705"/>
    <x v="8"/>
    <d v="2025-12-03T00:00:00"/>
    <d v="2025-12-08T00:00:00"/>
    <s v="Elective"/>
    <n v="5"/>
    <n v="16"/>
    <s v="Discharged"/>
    <n v="2.6666666666666665"/>
    <s v="03/12/2025Orthopaedics"/>
    <e v="#N/A"/>
    <n v="40"/>
  </r>
  <r>
    <n v="645"/>
    <n v="435"/>
    <x v="9"/>
    <d v="2025-12-03T00:00:00"/>
    <d v="2025-12-05T00:00:00"/>
    <s v="Emergency"/>
    <n v="2"/>
    <n v="148"/>
    <s v="Discharged"/>
    <n v="9.8666666666666671"/>
    <s v="03/12/2025Paediatrics"/>
    <e v="#N/A"/>
    <n v="30"/>
  </r>
  <r>
    <n v="646"/>
    <n v="882"/>
    <x v="10"/>
    <d v="2025-12-04T00:00:00"/>
    <d v="2025-12-09T00:00:00"/>
    <s v="Elective"/>
    <n v="5"/>
    <n v="4"/>
    <s v="Discharged"/>
    <n v="0.66666666666666663"/>
    <s v="04/12/2025Gastroenterology"/>
    <e v="#N/A"/>
    <n v="29"/>
  </r>
  <r>
    <n v="647"/>
    <n v="564"/>
    <x v="11"/>
    <d v="2025-12-05T00:00:00"/>
    <d v="2025-12-07T00:00:00"/>
    <s v="Emergency"/>
    <n v="2"/>
    <n v="126"/>
    <s v="Transferred"/>
    <n v="8.4"/>
    <s v="05/12/2025ENT"/>
    <e v="#N/A"/>
    <n v="20"/>
  </r>
  <r>
    <n v="648"/>
    <n v="306"/>
    <x v="12"/>
    <d v="2025-12-05T00:00:00"/>
    <d v="2025-12-11T00:00:00"/>
    <s v="Elective"/>
    <n v="6"/>
    <n v="42"/>
    <s v="Discharged"/>
    <n v="8.3999999999999986"/>
    <s v="05/12/2025Geriatrics"/>
    <e v="#N/A"/>
    <n v="46"/>
  </r>
  <r>
    <n v="649"/>
    <n v="263"/>
    <x v="3"/>
    <d v="2025-12-06T00:00:00"/>
    <d v="2025-12-08T00:00:00"/>
    <s v="Emergency"/>
    <n v="2"/>
    <n v="40"/>
    <s v="Discharged"/>
    <n v="2.6666666666666665"/>
    <s v="06/12/2025Respiratory"/>
    <e v="#N/A"/>
    <n v="36"/>
  </r>
  <r>
    <n v="650"/>
    <n v="813"/>
    <x v="1"/>
    <d v="2025-12-07T00:00:00"/>
    <d v="2025-12-12T00:00:00"/>
    <s v="Elective"/>
    <n v="5"/>
    <n v="44"/>
    <s v="Discharged"/>
    <n v="7.333333333333333"/>
    <s v="07/12/2025General Surgery"/>
    <e v="#N/A"/>
    <n v="44"/>
  </r>
  <r>
    <n v="651"/>
    <n v="758"/>
    <x v="5"/>
    <d v="2025-12-07T00:00:00"/>
    <d v="2025-12-10T00:00:00"/>
    <s v="Transfer"/>
    <n v="3"/>
    <n v="41"/>
    <s v="Discharged"/>
    <n v="4.0999999999999996"/>
    <s v="07/12/2025Cardiology"/>
    <e v="#N/A"/>
    <n v="38"/>
  </r>
  <r>
    <n v="652"/>
    <n v="874"/>
    <x v="2"/>
    <d v="2025-12-08T00:00:00"/>
    <d v="2025-12-13T00:00:00"/>
    <s v="Elective"/>
    <n v="5"/>
    <n v="20"/>
    <s v="Transferred"/>
    <n v="3.333333333333333"/>
    <s v="08/12/2025Oncology"/>
    <e v="#N/A"/>
    <n v="28"/>
  </r>
  <r>
    <n v="653"/>
    <n v="431"/>
    <x v="0"/>
    <d v="2025-12-08T00:00:00"/>
    <d v="2025-12-09T00:00:00"/>
    <s v="Emergency"/>
    <n v="1"/>
    <n v="109"/>
    <s v="Discharged"/>
    <n v="3.6333333333333333"/>
    <s v="08/12/2025A&amp;E (Emergency)"/>
    <e v="#N/A"/>
    <n v="42"/>
  </r>
  <r>
    <n v="654"/>
    <n v="111"/>
    <x v="4"/>
    <d v="2025-12-09T00:00:00"/>
    <d v="2025-12-14T00:00:00"/>
    <s v="Elective"/>
    <n v="5"/>
    <n v="44"/>
    <s v="Discharged"/>
    <n v="7.333333333333333"/>
    <s v="09/12/2025Renal Medicine"/>
    <e v="#N/A"/>
    <n v="26"/>
  </r>
  <r>
    <n v="655"/>
    <n v="19"/>
    <x v="6"/>
    <d v="2025-12-10T00:00:00"/>
    <d v="2025-12-16T00:00:00"/>
    <s v="Elective"/>
    <n v="6"/>
    <n v="38"/>
    <s v="Discharged"/>
    <n v="7.6"/>
    <s v="10/12/2025Neurology"/>
    <e v="#N/A"/>
    <n v="32"/>
  </r>
  <r>
    <n v="656"/>
    <n v="708"/>
    <x v="7"/>
    <d v="2025-12-10T00:00:00"/>
    <d v="2025-12-12T00:00:00"/>
    <s v="Emergency"/>
    <n v="2"/>
    <n v="175"/>
    <s v="Discharged"/>
    <n v="11.666666666666666"/>
    <s v="10/12/2025Maternity"/>
    <e v="#N/A"/>
    <n v="34"/>
  </r>
  <r>
    <n v="657"/>
    <n v="371"/>
    <x v="8"/>
    <d v="2025-12-11T00:00:00"/>
    <d v="2025-12-16T00:00:00"/>
    <s v="Elective"/>
    <n v="5"/>
    <n v="35"/>
    <s v="Discharged"/>
    <n v="5.8333333333333339"/>
    <s v="11/12/2025Orthopaedics"/>
    <e v="#N/A"/>
    <n v="40"/>
  </r>
  <r>
    <n v="658"/>
    <n v="611"/>
    <x v="9"/>
    <d v="2025-12-11T00:00:00"/>
    <d v="2025-12-13T00:00:00"/>
    <s v="Emergency"/>
    <n v="2"/>
    <n v="238"/>
    <s v="Discharged"/>
    <n v="15.866666666666667"/>
    <s v="11/12/2025Paediatrics"/>
    <e v="#N/A"/>
    <n v="30"/>
  </r>
  <r>
    <n v="659"/>
    <n v="753"/>
    <x v="10"/>
    <d v="2025-12-12T00:00:00"/>
    <d v="2025-12-17T00:00:00"/>
    <s v="Elective"/>
    <n v="5"/>
    <n v="2"/>
    <s v="Discharged"/>
    <n v="0.33333333333333331"/>
    <s v="12/12/2025Gastroenterology"/>
    <e v="#N/A"/>
    <n v="29"/>
  </r>
  <r>
    <n v="660"/>
    <n v="922"/>
    <x v="11"/>
    <d v="2025-12-13T00:00:00"/>
    <d v="2025-12-15T00:00:00"/>
    <s v="Emergency"/>
    <n v="2"/>
    <n v="190"/>
    <s v="Discharged"/>
    <n v="12.666666666666666"/>
    <s v="13/12/2025ENT"/>
    <e v="#N/A"/>
    <n v="20"/>
  </r>
  <r>
    <n v="661"/>
    <n v="619"/>
    <x v="12"/>
    <d v="2025-12-13T00:00:00"/>
    <d v="2025-12-19T00:00:00"/>
    <s v="Elective"/>
    <n v="6"/>
    <n v="43"/>
    <s v="Discharged"/>
    <n v="8.6"/>
    <s v="13/12/2025Geriatrics"/>
    <e v="#N/A"/>
    <n v="46"/>
  </r>
  <r>
    <n v="662"/>
    <n v="546"/>
    <x v="3"/>
    <d v="2025-12-14T00:00:00"/>
    <d v="2025-12-16T00:00:00"/>
    <s v="Emergency"/>
    <n v="2"/>
    <n v="140"/>
    <s v="Discharged"/>
    <n v="9.3333333333333339"/>
    <s v="14/12/2025Respiratory"/>
    <e v="#N/A"/>
    <n v="36"/>
  </r>
  <r>
    <n v="663"/>
    <n v="483"/>
    <x v="1"/>
    <d v="2025-12-15T00:00:00"/>
    <d v="2025-12-20T00:00:00"/>
    <s v="Elective"/>
    <n v="5"/>
    <n v="34"/>
    <s v="Discharged"/>
    <n v="5.6666666666666661"/>
    <s v="15/12/2025General Surgery"/>
    <e v="#N/A"/>
    <n v="44"/>
  </r>
  <r>
    <n v="664"/>
    <n v="865"/>
    <x v="5"/>
    <d v="2025-12-15T00:00:00"/>
    <d v="2025-12-18T00:00:00"/>
    <s v="Transfer"/>
    <n v="3"/>
    <n v="32"/>
    <s v="Transferred"/>
    <n v="3.2"/>
    <s v="15/12/2025Cardiology"/>
    <e v="#N/A"/>
    <n v="38"/>
  </r>
  <r>
    <n v="665"/>
    <n v="223"/>
    <x v="2"/>
    <d v="2025-12-16T00:00:00"/>
    <d v="2025-12-21T00:00:00"/>
    <s v="Elective"/>
    <n v="5"/>
    <n v="20"/>
    <s v="Discharged"/>
    <n v="3.333333333333333"/>
    <s v="16/12/2025Oncology"/>
    <e v="#N/A"/>
    <n v="28"/>
  </r>
  <r>
    <n v="666"/>
    <n v="118"/>
    <x v="0"/>
    <d v="2025-12-16T00:00:00"/>
    <d v="2025-12-17T00:00:00"/>
    <s v="Emergency"/>
    <n v="1"/>
    <n v="120"/>
    <s v="Discharged"/>
    <n v="4"/>
    <s v="16/12/2025A&amp;E (Emergency)"/>
    <e v="#N/A"/>
    <n v="42"/>
  </r>
  <r>
    <n v="667"/>
    <n v="553"/>
    <x v="4"/>
    <d v="2025-12-17T00:00:00"/>
    <d v="2025-12-22T00:00:00"/>
    <s v="Elective"/>
    <n v="5"/>
    <n v="11"/>
    <s v="Discharged"/>
    <n v="1.8333333333333333"/>
    <s v="17/12/2025Renal Medicine"/>
    <e v="#N/A"/>
    <n v="26"/>
  </r>
  <r>
    <n v="668"/>
    <n v="749"/>
    <x v="6"/>
    <d v="2025-12-18T00:00:00"/>
    <d v="2025-12-24T00:00:00"/>
    <s v="Elective"/>
    <n v="6"/>
    <n v="27"/>
    <s v="Discharged"/>
    <n v="5.4"/>
    <s v="18/12/2025Neurology"/>
    <e v="#N/A"/>
    <n v="32"/>
  </r>
  <r>
    <n v="669"/>
    <n v="115"/>
    <x v="7"/>
    <d v="2025-12-18T00:00:00"/>
    <d v="2025-12-20T00:00:00"/>
    <s v="Emergency"/>
    <n v="2"/>
    <n v="110"/>
    <s v="Discharged"/>
    <n v="7.333333333333333"/>
    <s v="18/12/2025Maternity"/>
    <e v="#N/A"/>
    <n v="34"/>
  </r>
  <r>
    <n v="670"/>
    <n v="456"/>
    <x v="8"/>
    <d v="2025-12-19T00:00:00"/>
    <d v="2025-12-24T00:00:00"/>
    <s v="Elective"/>
    <n v="5"/>
    <n v="1"/>
    <s v="Discharged"/>
    <n v="0.16666666666666666"/>
    <s v="19/12/2025Orthopaedics"/>
    <e v="#N/A"/>
    <n v="40"/>
  </r>
  <r>
    <n v="671"/>
    <n v="495"/>
    <x v="9"/>
    <d v="2025-12-19T00:00:00"/>
    <d v="2025-12-21T00:00:00"/>
    <s v="Emergency"/>
    <n v="2"/>
    <n v="63"/>
    <s v="Discharged"/>
    <n v="4.2"/>
    <s v="19/12/2025Paediatrics"/>
    <e v="#N/A"/>
    <n v="30"/>
  </r>
  <r>
    <n v="672"/>
    <n v="137"/>
    <x v="10"/>
    <d v="2025-12-20T00:00:00"/>
    <d v="2025-12-25T00:00:00"/>
    <s v="Elective"/>
    <n v="5"/>
    <n v="34"/>
    <s v="Discharged"/>
    <n v="5.6666666666666661"/>
    <s v="20/12/2025Gastroenterology"/>
    <e v="#N/A"/>
    <n v="29"/>
  </r>
  <r>
    <n v="673"/>
    <n v="307"/>
    <x v="11"/>
    <d v="2025-12-21T00:00:00"/>
    <d v="2025-12-23T00:00:00"/>
    <s v="Emergency"/>
    <n v="2"/>
    <n v="232"/>
    <s v="Discharged"/>
    <n v="15.466666666666667"/>
    <s v="21/12/2025ENT"/>
    <e v="#N/A"/>
    <n v="20"/>
  </r>
  <r>
    <n v="674"/>
    <n v="174"/>
    <x v="12"/>
    <d v="2025-12-21T00:00:00"/>
    <d v="2025-12-27T00:00:00"/>
    <s v="Elective"/>
    <n v="6"/>
    <n v="21"/>
    <s v="Discharged"/>
    <n v="4.1999999999999993"/>
    <s v="21/12/2025Geriatrics"/>
    <e v="#N/A"/>
    <n v="46"/>
  </r>
  <r>
    <n v="675"/>
    <n v="154"/>
    <x v="3"/>
    <d v="2025-12-22T00:00:00"/>
    <d v="2025-12-24T00:00:00"/>
    <s v="Emergency"/>
    <n v="2"/>
    <n v="21"/>
    <s v="Discharged"/>
    <n v="1.4"/>
    <s v="22/12/2025Respiratory"/>
    <e v="#N/A"/>
    <n v="36"/>
  </r>
  <r>
    <n v="676"/>
    <n v="999"/>
    <x v="1"/>
    <d v="2025-12-23T00:00:00"/>
    <d v="2025-12-28T00:00:00"/>
    <s v="Elective"/>
    <n v="5"/>
    <n v="16"/>
    <s v="Discharged"/>
    <n v="2.6666666666666665"/>
    <s v="23/12/2025General Surgery"/>
    <e v="#N/A"/>
    <n v="44"/>
  </r>
  <r>
    <n v="677"/>
    <n v="124"/>
    <x v="5"/>
    <d v="2025-12-23T00:00:00"/>
    <d v="2025-12-26T00:00:00"/>
    <s v="Transfer"/>
    <n v="3"/>
    <n v="56"/>
    <s v="Transferred"/>
    <n v="5.6"/>
    <s v="23/12/2025Cardiology"/>
    <e v="#N/A"/>
    <n v="38"/>
  </r>
  <r>
    <n v="678"/>
    <n v="271"/>
    <x v="2"/>
    <d v="2025-12-24T00:00:00"/>
    <d v="2025-12-29T00:00:00"/>
    <s v="Elective"/>
    <n v="5"/>
    <n v="10"/>
    <s v="Discharged"/>
    <n v="1.6666666666666665"/>
    <s v="24/12/2025Oncology"/>
    <e v="#N/A"/>
    <n v="28"/>
  </r>
  <r>
    <n v="679"/>
    <n v="705"/>
    <x v="0"/>
    <d v="2025-12-24T00:00:00"/>
    <d v="2025-12-25T00:00:00"/>
    <s v="Emergency"/>
    <n v="1"/>
    <n v="143"/>
    <s v="Discharged"/>
    <n v="4.7666666666666666"/>
    <s v="24/12/2025A&amp;E (Emergency)"/>
    <e v="#N/A"/>
    <n v="42"/>
  </r>
  <r>
    <n v="680"/>
    <n v="597"/>
    <x v="4"/>
    <d v="2025-12-25T00:00:00"/>
    <d v="2025-12-30T00:00:00"/>
    <s v="Elective"/>
    <n v="5"/>
    <n v="12"/>
    <s v="Discharged"/>
    <n v="2"/>
    <s v="25/12/2025Renal Medicine"/>
    <e v="#N/A"/>
    <n v="26"/>
  </r>
  <r>
    <n v="681"/>
    <n v="750"/>
    <x v="6"/>
    <d v="2025-12-26T00:00:00"/>
    <d v="2026-01-01T00:00:00"/>
    <s v="Elective"/>
    <n v="6"/>
    <n v="36"/>
    <s v="Discharged"/>
    <n v="7.1999999999999993"/>
    <s v="26/12/2025Neurology"/>
    <e v="#N/A"/>
    <n v="32"/>
  </r>
  <r>
    <n v="682"/>
    <n v="574"/>
    <x v="7"/>
    <d v="2025-12-26T00:00:00"/>
    <d v="2025-12-28T00:00:00"/>
    <s v="Emergency"/>
    <n v="2"/>
    <n v="207"/>
    <s v="Discharged"/>
    <n v="13.8"/>
    <s v="26/12/2025Maternity"/>
    <e v="#N/A"/>
    <n v="34"/>
  </r>
  <r>
    <n v="683"/>
    <n v="335"/>
    <x v="8"/>
    <d v="2025-12-27T00:00:00"/>
    <d v="2026-01-01T00:00:00"/>
    <s v="Elective"/>
    <n v="5"/>
    <n v="28"/>
    <s v="Discharged"/>
    <n v="4.666666666666667"/>
    <s v="27/12/2025Orthopaedics"/>
    <e v="#N/A"/>
    <n v="40"/>
  </r>
  <r>
    <n v="684"/>
    <n v="69"/>
    <x v="9"/>
    <d v="2025-12-27T00:00:00"/>
    <d v="2025-12-29T00:00:00"/>
    <s v="Emergency"/>
    <n v="2"/>
    <n v="111"/>
    <s v="Discharged"/>
    <n v="7.4"/>
    <s v="27/12/2025Paediatrics"/>
    <e v="#N/A"/>
    <n v="30"/>
  </r>
  <r>
    <n v="685"/>
    <n v="725"/>
    <x v="10"/>
    <d v="2025-12-28T00:00:00"/>
    <d v="2026-01-02T00:00:00"/>
    <s v="Elective"/>
    <n v="5"/>
    <n v="37"/>
    <s v="Discharged"/>
    <n v="6.166666666666667"/>
    <s v="28/12/2025Gastroenterology"/>
    <e v="#N/A"/>
    <n v="29"/>
  </r>
  <r>
    <n v="686"/>
    <n v="754"/>
    <x v="11"/>
    <d v="2026-01-01T00:00:00"/>
    <d v="2026-01-03T00:00:00"/>
    <s v="Emergency"/>
    <n v="2"/>
    <n v="77"/>
    <s v="Discharged"/>
    <n v="5.1333333333333337"/>
    <s v="01/01/2026ENT"/>
    <e v="#N/A"/>
    <n v="20"/>
  </r>
  <r>
    <n v="687"/>
    <n v="869"/>
    <x v="12"/>
    <d v="2026-01-01T00:00:00"/>
    <d v="2026-01-07T00:00:00"/>
    <s v="Elective"/>
    <n v="6"/>
    <n v="43"/>
    <s v="Discharged"/>
    <n v="8.6"/>
    <s v="01/01/2026Geriatrics"/>
    <e v="#N/A"/>
    <n v="46"/>
  </r>
  <r>
    <n v="688"/>
    <n v="818"/>
    <x v="3"/>
    <d v="2026-01-02T00:00:00"/>
    <d v="2026-01-04T00:00:00"/>
    <s v="Emergency"/>
    <n v="2"/>
    <n v="238"/>
    <s v="Discharged"/>
    <n v="15.866666666666667"/>
    <s v="02/01/2026Respiratory"/>
    <e v="#N/A"/>
    <n v="36"/>
  </r>
  <r>
    <n v="689"/>
    <n v="558"/>
    <x v="1"/>
    <d v="2026-01-03T00:00:00"/>
    <d v="2026-01-08T00:00:00"/>
    <s v="Elective"/>
    <n v="5"/>
    <n v="41"/>
    <s v="Discharged"/>
    <n v="6.8333333333333339"/>
    <s v="03/01/2026General Surgery"/>
    <e v="#N/A"/>
    <n v="44"/>
  </r>
  <r>
    <n v="690"/>
    <n v="634"/>
    <x v="5"/>
    <d v="2026-01-03T00:00:00"/>
    <d v="2026-01-06T00:00:00"/>
    <s v="Transfer"/>
    <n v="3"/>
    <n v="20"/>
    <s v="Discharged"/>
    <n v="2"/>
    <s v="03/01/2026Cardiology"/>
    <e v="#N/A"/>
    <n v="38"/>
  </r>
  <r>
    <n v="691"/>
    <n v="975"/>
    <x v="2"/>
    <d v="2026-01-04T00:00:00"/>
    <d v="2026-01-09T00:00:00"/>
    <s v="Elective"/>
    <n v="5"/>
    <n v="43"/>
    <s v="Discharged"/>
    <n v="7.166666666666667"/>
    <s v="04/01/2026Oncology"/>
    <e v="#N/A"/>
    <n v="28"/>
  </r>
  <r>
    <n v="692"/>
    <n v="409"/>
    <x v="0"/>
    <d v="2026-01-04T00:00:00"/>
    <d v="2026-01-05T00:00:00"/>
    <s v="Emergency"/>
    <n v="1"/>
    <n v="2"/>
    <s v="Discharged"/>
    <n v="6.6666666666666666E-2"/>
    <s v="04/01/2026A&amp;E (Emergency)"/>
    <e v="#N/A"/>
    <n v="42"/>
  </r>
  <r>
    <n v="693"/>
    <n v="252"/>
    <x v="4"/>
    <d v="2026-01-05T00:00:00"/>
    <d v="2026-01-10T00:00:00"/>
    <s v="Elective"/>
    <n v="5"/>
    <n v="6"/>
    <s v="Discharged"/>
    <n v="1"/>
    <s v="05/01/2026Renal Medicine"/>
    <e v="#N/A"/>
    <n v="26"/>
  </r>
  <r>
    <n v="694"/>
    <n v="563"/>
    <x v="6"/>
    <d v="2026-01-06T00:00:00"/>
    <d v="2026-01-12T00:00:00"/>
    <s v="Elective"/>
    <n v="6"/>
    <n v="18"/>
    <s v="Discharged"/>
    <n v="3.5999999999999996"/>
    <s v="06/01/2026Neurology"/>
    <e v="#N/A"/>
    <n v="32"/>
  </r>
  <r>
    <n v="695"/>
    <n v="798"/>
    <x v="7"/>
    <d v="2026-01-06T00:00:00"/>
    <d v="2026-01-08T00:00:00"/>
    <s v="Emergency"/>
    <n v="2"/>
    <n v="186"/>
    <s v="Discharged"/>
    <n v="12.4"/>
    <s v="06/01/2026Maternity"/>
    <e v="#N/A"/>
    <n v="34"/>
  </r>
  <r>
    <n v="696"/>
    <n v="572"/>
    <x v="8"/>
    <d v="2026-01-07T00:00:00"/>
    <d v="2026-01-12T00:00:00"/>
    <s v="Elective"/>
    <n v="5"/>
    <n v="24"/>
    <s v="Transferred"/>
    <n v="4"/>
    <s v="07/01/2026Orthopaedics"/>
    <e v="#N/A"/>
    <n v="40"/>
  </r>
  <r>
    <n v="697"/>
    <n v="425"/>
    <x v="9"/>
    <d v="2026-01-07T00:00:00"/>
    <d v="2026-01-09T00:00:00"/>
    <s v="Emergency"/>
    <n v="2"/>
    <n v="8"/>
    <s v="Discharged"/>
    <n v="0.53333333333333333"/>
    <s v="07/01/2026Paediatrics"/>
    <e v="#N/A"/>
    <n v="30"/>
  </r>
  <r>
    <n v="698"/>
    <n v="594"/>
    <x v="10"/>
    <d v="2026-01-08T00:00:00"/>
    <d v="2026-01-13T00:00:00"/>
    <s v="Elective"/>
    <n v="5"/>
    <n v="149"/>
    <s v="Discharged"/>
    <n v="24.833333333333336"/>
    <s v="08/01/2026Gastroenterology"/>
    <e v="#N/A"/>
    <n v="29"/>
  </r>
  <r>
    <n v="699"/>
    <n v="500"/>
    <x v="11"/>
    <d v="2026-01-09T00:00:00"/>
    <d v="2026-01-11T00:00:00"/>
    <s v="Emergency"/>
    <n v="2"/>
    <n v="6"/>
    <s v="Discharged"/>
    <n v="0.4"/>
    <s v="09/01/2026ENT"/>
    <e v="#N/A"/>
    <n v="20"/>
  </r>
  <r>
    <n v="700"/>
    <n v="183"/>
    <x v="12"/>
    <d v="2026-01-09T00:00:00"/>
    <d v="2026-01-15T00:00:00"/>
    <s v="Elective"/>
    <n v="6"/>
    <n v="27"/>
    <s v="Discharged"/>
    <n v="5.4"/>
    <s v="09/01/2026Geriatrics"/>
    <e v="#N/A"/>
    <n v="46"/>
  </r>
  <r>
    <n v="701"/>
    <n v="370"/>
    <x v="3"/>
    <d v="2026-01-10T00:00:00"/>
    <d v="2026-01-12T00:00:00"/>
    <s v="Emergency"/>
    <n v="2"/>
    <n v="13"/>
    <s v="Discharged"/>
    <n v="0.8666666666666667"/>
    <s v="10/01/2026Respiratory"/>
    <e v="#N/A"/>
    <n v="36"/>
  </r>
  <r>
    <n v="702"/>
    <n v="393"/>
    <x v="1"/>
    <d v="2026-01-11T00:00:00"/>
    <d v="2026-01-16T00:00:00"/>
    <s v="Elective"/>
    <n v="5"/>
    <n v="69"/>
    <s v="Discharged"/>
    <n v="11.5"/>
    <s v="11/01/2026General Surgery"/>
    <e v="#N/A"/>
    <n v="44"/>
  </r>
  <r>
    <n v="703"/>
    <n v="445"/>
    <x v="5"/>
    <d v="2026-01-11T00:00:00"/>
    <d v="2026-01-14T00:00:00"/>
    <s v="Transfer"/>
    <n v="3"/>
    <n v="1"/>
    <s v="Discharged"/>
    <n v="0.1"/>
    <s v="11/01/2026Cardiology"/>
    <e v="#N/A"/>
    <n v="38"/>
  </r>
  <r>
    <n v="704"/>
    <n v="985"/>
    <x v="2"/>
    <d v="2026-01-12T00:00:00"/>
    <d v="2026-01-17T00:00:00"/>
    <s v="Elective"/>
    <n v="5"/>
    <n v="73"/>
    <s v="Discharged"/>
    <n v="12.166666666666666"/>
    <s v="12/01/2026Oncology"/>
    <e v="#N/A"/>
    <n v="28"/>
  </r>
  <r>
    <n v="705"/>
    <n v="310"/>
    <x v="0"/>
    <d v="2026-01-12T00:00:00"/>
    <d v="2026-01-13T00:00:00"/>
    <s v="Emergency"/>
    <n v="1"/>
    <n v="28"/>
    <s v="Transferred"/>
    <n v="0.93333333333333335"/>
    <s v="12/01/2026A&amp;E (Emergency)"/>
    <e v="#N/A"/>
    <n v="42"/>
  </r>
  <r>
    <n v="706"/>
    <n v="301"/>
    <x v="4"/>
    <d v="2026-01-13T00:00:00"/>
    <d v="2026-01-18T00:00:00"/>
    <s v="Elective"/>
    <n v="5"/>
    <n v="25"/>
    <s v="Discharged"/>
    <n v="4.166666666666667"/>
    <s v="13/01/2026Renal Medicine"/>
    <e v="#N/A"/>
    <n v="26"/>
  </r>
  <r>
    <n v="707"/>
    <n v="791"/>
    <x v="6"/>
    <d v="2026-01-14T00:00:00"/>
    <d v="2026-01-20T00:00:00"/>
    <s v="Elective"/>
    <n v="6"/>
    <n v="43"/>
    <s v="Discharged"/>
    <n v="8.6"/>
    <s v="14/01/2026Neurology"/>
    <e v="#N/A"/>
    <n v="32"/>
  </r>
  <r>
    <n v="708"/>
    <n v="400"/>
    <x v="7"/>
    <d v="2026-01-14T00:00:00"/>
    <d v="2026-01-16T00:00:00"/>
    <s v="Emergency"/>
    <n v="2"/>
    <n v="120"/>
    <s v="Discharged"/>
    <n v="8"/>
    <s v="14/01/2026Maternity"/>
    <e v="#N/A"/>
    <n v="34"/>
  </r>
  <r>
    <n v="709"/>
    <n v="36"/>
    <x v="8"/>
    <d v="2026-01-15T00:00:00"/>
    <d v="2026-01-20T00:00:00"/>
    <s v="Elective"/>
    <n v="5"/>
    <n v="44"/>
    <s v="Discharged"/>
    <n v="7.333333333333333"/>
    <s v="15/01/2026Orthopaedics"/>
    <e v="#N/A"/>
    <n v="40"/>
  </r>
  <r>
    <n v="710"/>
    <n v="193"/>
    <x v="9"/>
    <d v="2026-01-15T00:00:00"/>
    <d v="2026-01-17T00:00:00"/>
    <s v="Emergency"/>
    <n v="2"/>
    <n v="10"/>
    <s v="Discharged"/>
    <n v="0.66666666666666663"/>
    <s v="15/01/2026Paediatrics"/>
    <e v="#N/A"/>
    <n v="30"/>
  </r>
  <r>
    <n v="711"/>
    <n v="630"/>
    <x v="10"/>
    <d v="2026-01-16T00:00:00"/>
    <d v="2026-01-21T00:00:00"/>
    <s v="Elective"/>
    <n v="5"/>
    <n v="12"/>
    <s v="Discharged"/>
    <n v="2"/>
    <s v="16/01/2026Gastroenterology"/>
    <e v="#N/A"/>
    <n v="29"/>
  </r>
  <r>
    <n v="712"/>
    <n v="31"/>
    <x v="11"/>
    <d v="2026-01-17T00:00:00"/>
    <d v="2026-01-19T00:00:00"/>
    <s v="Emergency"/>
    <n v="2"/>
    <n v="36"/>
    <s v="Discharged"/>
    <n v="2.4"/>
    <s v="17/01/2026ENT"/>
    <e v="#N/A"/>
    <n v="20"/>
  </r>
  <r>
    <n v="713"/>
    <n v="292"/>
    <x v="12"/>
    <d v="2026-01-17T00:00:00"/>
    <d v="2026-01-23T00:00:00"/>
    <s v="Elective"/>
    <n v="6"/>
    <n v="118"/>
    <s v="Discharged"/>
    <n v="23.599999999999998"/>
    <s v="17/01/2026Geriatrics"/>
    <e v="#N/A"/>
    <n v="46"/>
  </r>
  <r>
    <n v="714"/>
    <n v="131"/>
    <x v="3"/>
    <d v="2026-01-18T00:00:00"/>
    <d v="2026-01-20T00:00:00"/>
    <s v="Emergency"/>
    <n v="2"/>
    <n v="22"/>
    <s v="Discharged"/>
    <n v="1.4666666666666666"/>
    <s v="18/01/2026Respiratory"/>
    <e v="#N/A"/>
    <n v="36"/>
  </r>
  <r>
    <n v="715"/>
    <n v="273"/>
    <x v="1"/>
    <d v="2026-01-19T00:00:00"/>
    <d v="2026-01-24T00:00:00"/>
    <s v="Elective"/>
    <n v="5"/>
    <n v="42"/>
    <s v="Discharged"/>
    <n v="7"/>
    <s v="19/01/2026General Surgery"/>
    <e v="#N/A"/>
    <n v="44"/>
  </r>
  <r>
    <n v="716"/>
    <n v="683"/>
    <x v="5"/>
    <d v="2026-01-19T00:00:00"/>
    <d v="2026-01-22T00:00:00"/>
    <s v="Transfer"/>
    <n v="3"/>
    <n v="4"/>
    <s v="Transferred"/>
    <n v="0.4"/>
    <s v="19/01/2026Cardiology"/>
    <e v="#N/A"/>
    <n v="38"/>
  </r>
  <r>
    <n v="717"/>
    <n v="838"/>
    <x v="2"/>
    <d v="2026-01-20T00:00:00"/>
    <d v="2026-01-25T00:00:00"/>
    <s v="Elective"/>
    <n v="5"/>
    <n v="23"/>
    <s v="Discharged"/>
    <n v="3.8333333333333335"/>
    <s v="20/01/2026Oncology"/>
    <e v="#N/A"/>
    <n v="28"/>
  </r>
  <r>
    <n v="718"/>
    <n v="213"/>
    <x v="0"/>
    <d v="2026-01-20T00:00:00"/>
    <d v="2026-01-21T00:00:00"/>
    <s v="Emergency"/>
    <n v="1"/>
    <n v="13"/>
    <s v="Discharged"/>
    <n v="0.43333333333333335"/>
    <s v="20/01/2026A&amp;E (Emergency)"/>
    <e v="#N/A"/>
    <n v="42"/>
  </r>
  <r>
    <n v="719"/>
    <n v="316"/>
    <x v="4"/>
    <d v="2026-01-21T00:00:00"/>
    <d v="2026-01-26T00:00:00"/>
    <s v="Elective"/>
    <n v="5"/>
    <n v="55"/>
    <s v="Discharged"/>
    <n v="9.1666666666666661"/>
    <s v="21/01/2026Renal Medicine"/>
    <e v="#N/A"/>
    <n v="26"/>
  </r>
  <r>
    <n v="720"/>
    <n v="499"/>
    <x v="6"/>
    <d v="2026-01-22T00:00:00"/>
    <d v="2026-01-28T00:00:00"/>
    <s v="Elective"/>
    <n v="6"/>
    <n v="16"/>
    <s v="Discharged"/>
    <n v="3.2"/>
    <s v="22/01/2026Neurology"/>
    <e v="#N/A"/>
    <n v="32"/>
  </r>
  <r>
    <n v="721"/>
    <n v="994"/>
    <x v="7"/>
    <d v="2026-01-22T00:00:00"/>
    <d v="2026-01-24T00:00:00"/>
    <s v="Emergency"/>
    <n v="2"/>
    <n v="30"/>
    <s v="Discharged"/>
    <n v="2"/>
    <s v="22/01/2026Maternity"/>
    <e v="#N/A"/>
    <n v="34"/>
  </r>
  <r>
    <n v="722"/>
    <n v="653"/>
    <x v="8"/>
    <d v="2026-01-23T00:00:00"/>
    <d v="2026-01-28T00:00:00"/>
    <s v="Elective"/>
    <n v="5"/>
    <n v="14"/>
    <s v="Discharged"/>
    <n v="2.3333333333333335"/>
    <s v="23/01/2026Orthopaedics"/>
    <e v="#N/A"/>
    <n v="40"/>
  </r>
  <r>
    <n v="723"/>
    <n v="784"/>
    <x v="9"/>
    <d v="2026-01-23T00:00:00"/>
    <d v="2026-01-25T00:00:00"/>
    <s v="Emergency"/>
    <n v="2"/>
    <n v="58"/>
    <s v="Discharged"/>
    <n v="3.8666666666666667"/>
    <s v="23/01/2026Paediatrics"/>
    <e v="#N/A"/>
    <n v="30"/>
  </r>
  <r>
    <n v="724"/>
    <n v="165"/>
    <x v="10"/>
    <d v="2026-01-24T00:00:00"/>
    <d v="2026-01-29T00:00:00"/>
    <s v="Elective"/>
    <n v="5"/>
    <n v="34"/>
    <s v="Discharged"/>
    <n v="5.6666666666666661"/>
    <s v="24/01/2026Gastroenterology"/>
    <e v="#N/A"/>
    <n v="29"/>
  </r>
  <r>
    <n v="725"/>
    <n v="481"/>
    <x v="11"/>
    <d v="2026-01-25T00:00:00"/>
    <d v="2026-01-27T00:00:00"/>
    <s v="Emergency"/>
    <n v="2"/>
    <n v="146"/>
    <s v="Discharged"/>
    <n v="9.7333333333333325"/>
    <s v="25/01/2026ENT"/>
    <e v="#N/A"/>
    <n v="20"/>
  </r>
  <r>
    <n v="726"/>
    <n v="829"/>
    <x v="12"/>
    <d v="2026-01-25T00:00:00"/>
    <d v="2026-01-31T00:00:00"/>
    <s v="Elective"/>
    <n v="6"/>
    <n v="31"/>
    <s v="Discharged"/>
    <n v="6.2000000000000011"/>
    <s v="25/01/2026Geriatrics"/>
    <e v="#N/A"/>
    <n v="46"/>
  </r>
  <r>
    <n v="727"/>
    <n v="540"/>
    <x v="3"/>
    <d v="2026-01-26T00:00:00"/>
    <d v="2026-01-28T00:00:00"/>
    <s v="Emergency"/>
    <n v="2"/>
    <n v="15"/>
    <s v="Transferred"/>
    <n v="1"/>
    <s v="26/01/2026Respiratory"/>
    <e v="#N/A"/>
    <n v="36"/>
  </r>
  <r>
    <n v="728"/>
    <n v="196"/>
    <x v="1"/>
    <d v="2026-01-27T00:00:00"/>
    <d v="2026-02-01T00:00:00"/>
    <s v="Elective"/>
    <n v="5"/>
    <n v="216"/>
    <s v="Discharged"/>
    <n v="36"/>
    <s v="27/01/2026General Surgery"/>
    <e v="#N/A"/>
    <n v="44"/>
  </r>
  <r>
    <n v="729"/>
    <n v="571"/>
    <x v="5"/>
    <d v="2026-01-27T00:00:00"/>
    <d v="2026-01-30T00:00:00"/>
    <s v="Transfer"/>
    <n v="3"/>
    <n v="2"/>
    <s v="Discharged"/>
    <n v="0.2"/>
    <s v="27/01/2026Cardiology"/>
    <e v="#N/A"/>
    <n v="38"/>
  </r>
  <r>
    <n v="730"/>
    <n v="389"/>
    <x v="2"/>
    <d v="2026-01-28T00:00:00"/>
    <d v="2026-02-02T00:00:00"/>
    <s v="Elective"/>
    <n v="5"/>
    <n v="175"/>
    <s v="Discharged"/>
    <n v="29.166666666666664"/>
    <s v="28/01/2026Oncology"/>
    <e v="#N/A"/>
    <n v="28"/>
  </r>
  <r>
    <n v="731"/>
    <n v="155"/>
    <x v="0"/>
    <d v="2026-01-28T00:00:00"/>
    <d v="2026-01-29T00:00:00"/>
    <s v="Emergency"/>
    <n v="1"/>
    <n v="44"/>
    <s v="Discharged"/>
    <n v="1.4666666666666666"/>
    <s v="28/01/2026A&amp;E (Emergency)"/>
    <e v="#N/A"/>
    <n v="42"/>
  </r>
  <r>
    <n v="732"/>
    <n v="881"/>
    <x v="4"/>
    <d v="2026-01-29T00:00:00"/>
    <d v="2026-02-03T00:00:00"/>
    <s v="Elective"/>
    <n v="5"/>
    <n v="110"/>
    <s v="Discharged"/>
    <n v="18.333333333333332"/>
    <s v="29/01/2026Renal Medicine"/>
    <e v="#N/A"/>
    <n v="26"/>
  </r>
  <r>
    <n v="733"/>
    <n v="102"/>
    <x v="6"/>
    <d v="2026-01-30T00:00:00"/>
    <d v="2026-02-05T00:00:00"/>
    <s v="Elective"/>
    <n v="6"/>
    <n v="20"/>
    <s v="Discharged"/>
    <n v="4"/>
    <s v="30/01/2026Neurology"/>
    <e v="#N/A"/>
    <n v="32"/>
  </r>
  <r>
    <n v="734"/>
    <n v="342"/>
    <x v="7"/>
    <d v="2026-01-30T00:00:00"/>
    <d v="2026-02-01T00:00:00"/>
    <s v="Emergency"/>
    <n v="2"/>
    <n v="226"/>
    <s v="Discharged"/>
    <n v="15.066666666666666"/>
    <s v="30/01/2026Maternity"/>
    <e v="#N/A"/>
    <n v="34"/>
  </r>
  <r>
    <n v="735"/>
    <n v="189"/>
    <x v="8"/>
    <d v="2026-01-31T00:00:00"/>
    <d v="2026-02-05T00:00:00"/>
    <s v="Elective"/>
    <n v="5"/>
    <n v="39"/>
    <s v="Discharged"/>
    <n v="6.5"/>
    <s v="31/01/2026Orthopaedics"/>
    <e v="#N/A"/>
    <n v="40"/>
  </r>
  <r>
    <n v="736"/>
    <n v="836"/>
    <x v="9"/>
    <d v="2026-01-31T00:00:00"/>
    <d v="2026-02-02T00:00:00"/>
    <s v="Emergency"/>
    <n v="2"/>
    <n v="58"/>
    <s v="Discharged"/>
    <n v="3.8666666666666667"/>
    <s v="31/01/2026Paediatrics"/>
    <e v="#N/A"/>
    <n v="30"/>
  </r>
  <r>
    <n v="737"/>
    <n v="14"/>
    <x v="10"/>
    <d v="2026-02-01T00:00:00"/>
    <d v="2026-02-06T00:00:00"/>
    <s v="Elective"/>
    <n v="5"/>
    <n v="16"/>
    <s v="Discharged"/>
    <n v="2.6666666666666665"/>
    <s v="01/02/2026Gastroenterology"/>
    <e v="#N/A"/>
    <n v="29"/>
  </r>
  <r>
    <n v="738"/>
    <n v="449"/>
    <x v="11"/>
    <d v="2026-02-02T00:00:00"/>
    <d v="2026-02-04T00:00:00"/>
    <s v="Emergency"/>
    <n v="2"/>
    <n v="123"/>
    <s v="Discharged"/>
    <n v="8.1999999999999993"/>
    <s v="02/02/2026ENT"/>
    <e v="#N/A"/>
    <n v="20"/>
  </r>
  <r>
    <n v="739"/>
    <n v="93"/>
    <x v="12"/>
    <d v="2026-02-02T00:00:00"/>
    <d v="2026-02-08T00:00:00"/>
    <s v="Elective"/>
    <n v="6"/>
    <n v="36"/>
    <s v="Discharged"/>
    <n v="7.1999999999999993"/>
    <s v="02/02/2026Geriatrics"/>
    <e v="#N/A"/>
    <n v="46"/>
  </r>
  <r>
    <n v="801"/>
    <n v="310"/>
    <x v="0"/>
    <d v="2026-02-07T00:00:00"/>
    <d v="2026-02-08T00:00:00"/>
    <s v="Emergency"/>
    <n v="1"/>
    <n v="10"/>
    <s v="Discharged"/>
    <n v="0.33333333333333331"/>
    <s v="07/02/2026A&amp;E (Emergency)"/>
    <e v="#N/A"/>
    <n v="42"/>
  </r>
  <r>
    <n v="802"/>
    <n v="301"/>
    <x v="4"/>
    <d v="2026-02-08T00:00:00"/>
    <d v="2026-02-13T00:00:00"/>
    <s v="Elective"/>
    <n v="5"/>
    <n v="160"/>
    <s v="Discharged"/>
    <n v="26.666666666666664"/>
    <s v="08/02/2026Renal Medicine"/>
    <e v="#N/A"/>
    <n v="26"/>
  </r>
  <r>
    <n v="803"/>
    <n v="791"/>
    <x v="6"/>
    <d v="2026-02-09T00:00:00"/>
    <d v="2026-02-15T00:00:00"/>
    <s v="Elective"/>
    <n v="6"/>
    <n v="28"/>
    <s v="Discharged"/>
    <n v="5.6"/>
    <s v="09/02/2026Neurology"/>
    <e v="#N/A"/>
    <n v="32"/>
  </r>
  <r>
    <n v="804"/>
    <n v="400"/>
    <x v="7"/>
    <d v="2026-02-09T00:00:00"/>
    <d v="2026-02-11T00:00:00"/>
    <s v="Emergency"/>
    <n v="2"/>
    <n v="216"/>
    <s v="Discharged"/>
    <n v="14.4"/>
    <s v="09/02/2026Maternity"/>
    <e v="#N/A"/>
    <n v="34"/>
  </r>
  <r>
    <n v="805"/>
    <n v="36"/>
    <x v="8"/>
    <d v="2026-02-10T00:00:00"/>
    <d v="2026-02-15T00:00:00"/>
    <s v="Elective"/>
    <n v="5"/>
    <n v="12"/>
    <s v="Discharged"/>
    <n v="2"/>
    <s v="10/02/2026Orthopaedics"/>
    <e v="#N/A"/>
    <n v="40"/>
  </r>
  <r>
    <n v="806"/>
    <n v="193"/>
    <x v="9"/>
    <d v="2026-02-10T00:00:00"/>
    <d v="2026-02-12T00:00:00"/>
    <s v="Emergency"/>
    <n v="2"/>
    <n v="23"/>
    <s v="Discharged"/>
    <n v="1.5333333333333334"/>
    <s v="10/02/2026Paediatrics"/>
    <e v="#N/A"/>
    <n v="30"/>
  </r>
  <r>
    <n v="807"/>
    <n v="630"/>
    <x v="10"/>
    <d v="2026-02-11T00:00:00"/>
    <d v="2026-02-16T00:00:00"/>
    <s v="Elective"/>
    <n v="5"/>
    <n v="21"/>
    <s v="Discharged"/>
    <n v="3.5"/>
    <s v="11/02/2026Gastroenterology"/>
    <e v="#N/A"/>
    <n v="29"/>
  </r>
  <r>
    <n v="808"/>
    <n v="31"/>
    <x v="11"/>
    <d v="2026-02-12T00:00:00"/>
    <d v="2026-02-14T00:00:00"/>
    <s v="Emergency"/>
    <n v="2"/>
    <n v="44"/>
    <s v="Discharged"/>
    <n v="2.9333333333333331"/>
    <s v="12/02/2026ENT"/>
    <e v="#N/A"/>
    <n v="20"/>
  </r>
  <r>
    <n v="809"/>
    <n v="292"/>
    <x v="12"/>
    <d v="2026-02-12T00:00:00"/>
    <d v="2026-02-18T00:00:00"/>
    <s v="Elective"/>
    <n v="6"/>
    <n v="208"/>
    <s v="Discharged"/>
    <n v="41.6"/>
    <s v="12/02/2026Geriatrics"/>
    <e v="#N/A"/>
    <n v="46"/>
  </r>
  <r>
    <n v="810"/>
    <n v="131"/>
    <x v="3"/>
    <d v="2026-02-13T00:00:00"/>
    <d v="2026-02-15T00:00:00"/>
    <s v="Emergency"/>
    <n v="2"/>
    <n v="31"/>
    <s v="Discharged"/>
    <n v="2.0666666666666669"/>
    <s v="13/02/2026Respiratory"/>
    <e v="#N/A"/>
    <n v="36"/>
  </r>
  <r>
    <n v="811"/>
    <n v="273"/>
    <x v="1"/>
    <d v="2026-02-14T00:00:00"/>
    <d v="2026-02-19T00:00:00"/>
    <s v="Elective"/>
    <n v="5"/>
    <n v="27"/>
    <s v="Discharged"/>
    <n v="4.5"/>
    <s v="14/02/2026General Surgery"/>
    <e v="#N/A"/>
    <n v="44"/>
  </r>
  <r>
    <n v="812"/>
    <n v="683"/>
    <x v="5"/>
    <d v="2026-02-14T00:00:00"/>
    <d v="2026-02-17T00:00:00"/>
    <s v="Transfer"/>
    <n v="3"/>
    <n v="232"/>
    <s v="Discharged"/>
    <n v="23.2"/>
    <s v="14/02/2026Cardiology"/>
    <e v="#N/A"/>
    <n v="38"/>
  </r>
  <r>
    <n v="813"/>
    <n v="838"/>
    <x v="2"/>
    <d v="2026-02-15T00:00:00"/>
    <d v="2026-02-20T00:00:00"/>
    <s v="Elective"/>
    <n v="5"/>
    <n v="4"/>
    <s v="Discharged"/>
    <n v="0.66666666666666663"/>
    <s v="15/02/2026Oncology"/>
    <e v="#N/A"/>
    <n v="28"/>
  </r>
  <r>
    <n v="814"/>
    <n v="213"/>
    <x v="0"/>
    <d v="2026-02-15T00:00:00"/>
    <d v="2026-02-16T00:00:00"/>
    <s v="Emergency"/>
    <n v="1"/>
    <n v="185"/>
    <s v="Discharged"/>
    <n v="6.166666666666667"/>
    <s v="15/02/2026A&amp;E (Emergency)"/>
    <e v="#N/A"/>
    <n v="42"/>
  </r>
  <r>
    <n v="815"/>
    <n v="316"/>
    <x v="4"/>
    <d v="2026-02-16T00:00:00"/>
    <d v="2026-02-21T00:00:00"/>
    <s v="Elective"/>
    <n v="5"/>
    <n v="35"/>
    <s v="Discharged"/>
    <n v="5.8333333333333339"/>
    <s v="16/02/2026Renal Medicine"/>
    <e v="#N/A"/>
    <n v="26"/>
  </r>
  <r>
    <n v="816"/>
    <n v="499"/>
    <x v="6"/>
    <d v="2026-02-17T00:00:00"/>
    <d v="2026-02-23T00:00:00"/>
    <s v="Elective"/>
    <n v="6"/>
    <n v="40"/>
    <s v="Discharged"/>
    <n v="8"/>
    <s v="17/02/2026Neurology"/>
    <e v="#N/A"/>
    <n v="32"/>
  </r>
  <r>
    <n v="817"/>
    <n v="994"/>
    <x v="7"/>
    <d v="2026-02-17T00:00:00"/>
    <d v="2026-02-19T00:00:00"/>
    <s v="Emergency"/>
    <n v="2"/>
    <n v="27"/>
    <s v="Discharged"/>
    <n v="1.8"/>
    <s v="17/02/2026Maternity"/>
    <e v="#N/A"/>
    <n v="34"/>
  </r>
  <r>
    <n v="818"/>
    <n v="653"/>
    <x v="8"/>
    <d v="2026-02-18T00:00:00"/>
    <d v="2026-02-23T00:00:00"/>
    <s v="Elective"/>
    <n v="5"/>
    <n v="20"/>
    <s v="Discharged"/>
    <n v="3.333333333333333"/>
    <s v="18/02/2026Orthopaedics"/>
    <e v="#N/A"/>
    <n v="40"/>
  </r>
  <r>
    <n v="819"/>
    <n v="784"/>
    <x v="9"/>
    <d v="2026-02-18T00:00:00"/>
    <d v="2026-02-20T00:00:00"/>
    <s v="Emergency"/>
    <n v="2"/>
    <n v="42"/>
    <s v="Discharged"/>
    <n v="2.8"/>
    <s v="18/02/2026Paediatrics"/>
    <e v="#N/A"/>
    <n v="30"/>
  </r>
  <r>
    <n v="820"/>
    <n v="165"/>
    <x v="10"/>
    <d v="2026-02-19T00:00:00"/>
    <d v="2026-02-24T00:00:00"/>
    <s v="Elective"/>
    <n v="5"/>
    <n v="17"/>
    <s v="Transferred"/>
    <n v="2.833333333333333"/>
    <s v="19/02/2026Gastroenterology"/>
    <e v="#N/A"/>
    <n v="29"/>
  </r>
  <r>
    <n v="821"/>
    <n v="481"/>
    <x v="11"/>
    <d v="2026-02-20T00:00:00"/>
    <d v="2026-02-22T00:00:00"/>
    <s v="Emergency"/>
    <n v="2"/>
    <n v="3"/>
    <s v="Discharged"/>
    <n v="0.2"/>
    <s v="20/02/2026ENT"/>
    <e v="#N/A"/>
    <n v="20"/>
  </r>
  <r>
    <n v="822"/>
    <n v="829"/>
    <x v="12"/>
    <d v="2026-02-20T00:00:00"/>
    <d v="2026-02-26T00:00:00"/>
    <s v="Elective"/>
    <n v="6"/>
    <n v="200"/>
    <s v="Discharged"/>
    <n v="40"/>
    <s v="20/02/2026Geriatrics"/>
    <e v="#N/A"/>
    <n v="46"/>
  </r>
  <r>
    <n v="823"/>
    <n v="540"/>
    <x v="3"/>
    <d v="2026-02-21T00:00:00"/>
    <d v="2026-02-23T00:00:00"/>
    <s v="Emergency"/>
    <n v="2"/>
    <n v="22"/>
    <s v="Discharged"/>
    <n v="1.4666666666666666"/>
    <s v="21/02/2026Respiratory"/>
    <e v="#N/A"/>
    <n v="36"/>
  </r>
  <r>
    <n v="824"/>
    <n v="196"/>
    <x v="1"/>
    <d v="2026-02-22T00:00:00"/>
    <d v="2026-02-27T00:00:00"/>
    <s v="Elective"/>
    <n v="5"/>
    <n v="43"/>
    <s v="Discharged"/>
    <n v="7.166666666666667"/>
    <s v="22/02/2026General Surgery"/>
    <e v="#N/A"/>
    <n v="44"/>
  </r>
  <r>
    <n v="825"/>
    <n v="571"/>
    <x v="5"/>
    <d v="2026-02-22T00:00:00"/>
    <d v="2026-02-25T00:00:00"/>
    <s v="Transfer"/>
    <n v="3"/>
    <n v="109"/>
    <s v="Transferred"/>
    <n v="10.9"/>
    <s v="22/02/2026Cardiology"/>
    <e v="#N/A"/>
    <n v="38"/>
  </r>
  <r>
    <n v="826"/>
    <n v="389"/>
    <x v="2"/>
    <d v="2026-02-23T00:00:00"/>
    <d v="2026-02-28T00:00:00"/>
    <s v="Elective"/>
    <n v="5"/>
    <n v="12"/>
    <s v="Discharged"/>
    <n v="2"/>
    <s v="23/02/2026Oncology"/>
    <e v="#N/A"/>
    <n v="28"/>
  </r>
  <r>
    <n v="827"/>
    <n v="155"/>
    <x v="0"/>
    <d v="2026-02-23T00:00:00"/>
    <d v="2026-02-24T00:00:00"/>
    <s v="Emergency"/>
    <n v="1"/>
    <n v="36"/>
    <s v="Discharged"/>
    <n v="1.2"/>
    <s v="23/02/2026A&amp;E (Emergency)"/>
    <e v="#N/A"/>
    <n v="42"/>
  </r>
  <r>
    <n v="828"/>
    <n v="881"/>
    <x v="4"/>
    <d v="2026-02-24T00:00:00"/>
    <s v="29/02/2026"/>
    <s v="Elective"/>
    <n v="5"/>
    <n v="22"/>
    <s v="Discharged"/>
    <n v="3.6666666666666665"/>
    <s v="24/02/2026Renal Medicine"/>
    <e v="#N/A"/>
    <n v="26"/>
  </r>
  <r>
    <n v="829"/>
    <n v="102"/>
    <x v="6"/>
    <d v="2026-02-25T00:00:00"/>
    <d v="2026-03-03T00:00:00"/>
    <s v="Elective"/>
    <n v="6"/>
    <n v="55"/>
    <s v="Discharged"/>
    <n v="11"/>
    <s v="25/02/2026Neurology"/>
    <e v="#N/A"/>
    <n v="32"/>
  </r>
  <r>
    <n v="830"/>
    <n v="342"/>
    <x v="7"/>
    <d v="2026-02-25T00:00:00"/>
    <d v="2026-02-27T00:00:00"/>
    <s v="Emergency"/>
    <n v="2"/>
    <n v="27"/>
    <s v="Discharged"/>
    <n v="1.8"/>
    <s v="25/02/2026Maternity"/>
    <e v="#N/A"/>
    <n v="34"/>
  </r>
  <r>
    <n v="831"/>
    <n v="189"/>
    <x v="8"/>
    <d v="2026-02-26T00:00:00"/>
    <d v="2026-03-03T00:00:00"/>
    <s v="Elective"/>
    <n v="5"/>
    <n v="54"/>
    <s v="Discharged"/>
    <n v="9"/>
    <s v="26/02/2026Orthopaedics"/>
    <e v="#N/A"/>
    <n v="40"/>
  </r>
  <r>
    <n v="832"/>
    <n v="836"/>
    <x v="9"/>
    <d v="2026-02-26T00:00:00"/>
    <d v="2026-02-28T00:00:00"/>
    <s v="Emergency"/>
    <n v="2"/>
    <n v="44"/>
    <s v="Discharged"/>
    <n v="2.9333333333333331"/>
    <s v="26/02/2026Paediatrics"/>
    <e v="#N/A"/>
    <n v="30"/>
  </r>
  <r>
    <n v="833"/>
    <n v="14"/>
    <x v="10"/>
    <d v="2026-02-27T00:00:00"/>
    <d v="2026-03-04T00:00:00"/>
    <s v="Elective"/>
    <n v="5"/>
    <n v="31"/>
    <s v="Discharged"/>
    <n v="5.166666666666667"/>
    <s v="27/02/2026Gastroenterology"/>
    <e v="#N/A"/>
    <n v="29"/>
  </r>
  <r>
    <n v="834"/>
    <n v="449"/>
    <x v="11"/>
    <d v="2026-02-28T00:00:00"/>
    <d v="2026-03-02T00:00:00"/>
    <s v="Emergency"/>
    <n v="2"/>
    <n v="36"/>
    <s v="Discharged"/>
    <n v="2.4"/>
    <s v="28/02/2026ENT"/>
    <e v="#N/A"/>
    <n v="20"/>
  </r>
  <r>
    <n v="835"/>
    <n v="93"/>
    <x v="12"/>
    <d v="2026-02-28T00:00:00"/>
    <d v="2026-03-06T00:00:00"/>
    <s v="Elective"/>
    <n v="6"/>
    <n v="36"/>
    <s v="Discharged"/>
    <n v="7.1999999999999993"/>
    <s v="28/02/2026Geriatrics"/>
    <e v="#N/A"/>
    <n v="46"/>
  </r>
  <r>
    <n v="836"/>
    <n v="738"/>
    <x v="3"/>
    <s v="29/02/2026"/>
    <d v="2026-03-02T00:00:00"/>
    <s v="Emergency"/>
    <n v="2"/>
    <n v="148"/>
    <s v="Discharged"/>
    <n v="9.8666666666666671"/>
    <s v="29/02/2026Respiratory"/>
    <e v="#N/A"/>
    <n v="36"/>
  </r>
  <r>
    <n v="837"/>
    <n v="390"/>
    <x v="1"/>
    <d v="2026-03-01T00:00:00"/>
    <d v="2026-03-06T00:00:00"/>
    <s v="Elective"/>
    <n v="5"/>
    <n v="43"/>
    <s v="Discharged"/>
    <n v="7.166666666666667"/>
    <s v="01/03/2026General Surgery"/>
    <e v="#N/A"/>
    <n v="44"/>
  </r>
  <r>
    <n v="838"/>
    <n v="582"/>
    <x v="5"/>
    <d v="2026-03-01T00:00:00"/>
    <d v="2026-03-04T00:00:00"/>
    <s v="Transfer"/>
    <n v="3"/>
    <n v="36"/>
    <s v="Discharged"/>
    <n v="3.5999999999999996"/>
    <s v="01/03/2026Cardiology"/>
    <e v="#N/A"/>
    <n v="38"/>
  </r>
  <r>
    <n v="839"/>
    <n v="944"/>
    <x v="2"/>
    <d v="2026-03-02T00:00:00"/>
    <d v="2026-03-07T00:00:00"/>
    <s v="Elective"/>
    <n v="5"/>
    <n v="111"/>
    <s v="Discharged"/>
    <n v="18.5"/>
    <s v="02/03/2026Oncology"/>
    <e v="#N/A"/>
    <n v="28"/>
  </r>
  <r>
    <n v="840"/>
    <n v="659"/>
    <x v="0"/>
    <d v="2026-03-02T00:00:00"/>
    <d v="2026-03-03T00:00:00"/>
    <s v="Emergency"/>
    <n v="1"/>
    <n v="15"/>
    <s v="Transferred"/>
    <n v="0.5"/>
    <s v="02/03/2026A&amp;E (Emergency)"/>
    <e v="#N/A"/>
    <n v="42"/>
  </r>
  <r>
    <n v="841"/>
    <n v="126"/>
    <x v="4"/>
    <d v="2026-03-03T00:00:00"/>
    <d v="2026-03-08T00:00:00"/>
    <s v="Elective"/>
    <n v="5"/>
    <n v="4"/>
    <s v="Discharged"/>
    <n v="0.66666666666666663"/>
    <s v="03/03/2026Renal Medicine"/>
    <e v="#N/A"/>
    <n v="26"/>
  </r>
  <r>
    <n v="842"/>
    <n v="50"/>
    <x v="6"/>
    <d v="2026-03-04T00:00:00"/>
    <d v="2026-03-10T00:00:00"/>
    <s v="Elective"/>
    <n v="6"/>
    <n v="63"/>
    <s v="Transferred"/>
    <n v="12.600000000000001"/>
    <s v="04/03/2026Neurology"/>
    <e v="#N/A"/>
    <n v="32"/>
  </r>
  <r>
    <n v="843"/>
    <n v="300"/>
    <x v="7"/>
    <d v="2026-03-04T00:00:00"/>
    <d v="2026-03-06T00:00:00"/>
    <s v="Emergency"/>
    <n v="2"/>
    <n v="21"/>
    <s v="Discharged"/>
    <n v="1.4"/>
    <s v="04/03/2026Maternity"/>
    <e v="#N/A"/>
    <n v="34"/>
  </r>
  <r>
    <n v="844"/>
    <n v="705"/>
    <x v="8"/>
    <d v="2026-03-05T00:00:00"/>
    <d v="2026-03-10T00:00:00"/>
    <s v="Elective"/>
    <n v="5"/>
    <n v="25"/>
    <s v="Discharged"/>
    <n v="4.166666666666667"/>
    <s v="05/03/2026Orthopaedics"/>
    <e v="#N/A"/>
    <n v="40"/>
  </r>
  <r>
    <n v="845"/>
    <n v="435"/>
    <x v="9"/>
    <d v="2026-03-05T00:00:00"/>
    <d v="2026-03-07T00:00:00"/>
    <s v="Emergency"/>
    <n v="2"/>
    <n v="43"/>
    <s v="Discharged"/>
    <n v="2.8666666666666667"/>
    <s v="05/03/2026Paediatrics"/>
    <e v="#N/A"/>
    <n v="30"/>
  </r>
  <r>
    <n v="846"/>
    <n v="882"/>
    <x v="10"/>
    <d v="2026-03-06T00:00:00"/>
    <d v="2026-03-11T00:00:00"/>
    <s v="Elective"/>
    <n v="5"/>
    <n v="110"/>
    <s v="Discharged"/>
    <n v="18.333333333333332"/>
    <s v="06/03/2026Gastroenterology"/>
    <e v="#N/A"/>
    <n v="29"/>
  </r>
  <r>
    <n v="847"/>
    <n v="564"/>
    <x v="11"/>
    <d v="2026-03-07T00:00:00"/>
    <d v="2026-03-09T00:00:00"/>
    <s v="Emergency"/>
    <n v="2"/>
    <n v="44"/>
    <s v="Discharged"/>
    <n v="2.9333333333333331"/>
    <s v="07/03/2026ENT"/>
    <e v="#N/A"/>
    <n v="20"/>
  </r>
  <r>
    <n v="848"/>
    <n v="306"/>
    <x v="12"/>
    <d v="2026-03-07T00:00:00"/>
    <d v="2026-03-13T00:00:00"/>
    <s v="Elective"/>
    <n v="6"/>
    <n v="44"/>
    <s v="Discharged"/>
    <n v="8.7999999999999989"/>
    <s v="07/03/2026Geriatrics"/>
    <e v="#N/A"/>
    <n v="46"/>
  </r>
  <r>
    <n v="849"/>
    <n v="263"/>
    <x v="3"/>
    <d v="2026-03-08T00:00:00"/>
    <d v="2026-03-10T00:00:00"/>
    <s v="Emergency"/>
    <n v="2"/>
    <n v="39"/>
    <s v="Discharged"/>
    <n v="2.6"/>
    <s v="08/03/2026Respiratory"/>
    <e v="#N/A"/>
    <n v="36"/>
  </r>
  <r>
    <n v="850"/>
    <n v="813"/>
    <x v="1"/>
    <d v="2026-03-09T00:00:00"/>
    <d v="2026-03-14T00:00:00"/>
    <s v="Elective"/>
    <n v="5"/>
    <n v="58"/>
    <s v="Discharged"/>
    <n v="9.6666666666666661"/>
    <s v="09/03/2026General Surgery"/>
    <e v="#N/A"/>
    <n v="44"/>
  </r>
  <r>
    <n v="851"/>
    <n v="758"/>
    <x v="5"/>
    <d v="2026-03-09T00:00:00"/>
    <d v="2026-03-12T00:00:00"/>
    <s v="Transfer"/>
    <n v="3"/>
    <n v="16"/>
    <s v="Discharged"/>
    <n v="1.6"/>
    <s v="09/03/2026Cardiology"/>
    <e v="#N/A"/>
    <n v="38"/>
  </r>
  <r>
    <n v="852"/>
    <n v="874"/>
    <x v="2"/>
    <d v="2026-03-10T00:00:00"/>
    <d v="2026-03-15T00:00:00"/>
    <s v="Elective"/>
    <n v="5"/>
    <n v="123"/>
    <s v="Discharged"/>
    <n v="20.5"/>
    <s v="10/03/2026Oncology"/>
    <e v="#N/A"/>
    <n v="28"/>
  </r>
  <r>
    <n v="853"/>
    <n v="431"/>
    <x v="0"/>
    <d v="2026-03-10T00:00:00"/>
    <d v="2026-03-11T00:00:00"/>
    <s v="Emergency"/>
    <n v="1"/>
    <n v="36"/>
    <s v="Discharged"/>
    <n v="1.2"/>
    <s v="10/03/2026A&amp;E (Emergency)"/>
    <e v="#N/A"/>
    <n v="42"/>
  </r>
  <r>
    <n v="854"/>
    <n v="111"/>
    <x v="4"/>
    <d v="2026-03-11T00:00:00"/>
    <d v="2026-03-16T00:00:00"/>
    <s v="Elective"/>
    <n v="5"/>
    <n v="20"/>
    <s v="Discharged"/>
    <n v="3.333333333333333"/>
    <s v="11/03/2026Renal Medicine"/>
    <e v="#N/A"/>
    <n v="26"/>
  </r>
  <r>
    <n v="855"/>
    <n v="19"/>
    <x v="6"/>
    <d v="2026-03-12T00:00:00"/>
    <d v="2026-03-18T00:00:00"/>
    <s v="Elective"/>
    <n v="6"/>
    <n v="12"/>
    <s v="Transferred"/>
    <n v="2.4000000000000004"/>
    <s v="12/03/2026Neurology"/>
    <e v="#N/A"/>
    <n v="32"/>
  </r>
  <r>
    <n v="856"/>
    <n v="708"/>
    <x v="7"/>
    <d v="2026-03-12T00:00:00"/>
    <d v="2026-03-14T00:00:00"/>
    <s v="Emergency"/>
    <n v="2"/>
    <n v="216"/>
    <s v="Discharged"/>
    <n v="14.4"/>
    <s v="12/03/2026Maternity"/>
    <e v="#N/A"/>
    <n v="34"/>
  </r>
  <r>
    <n v="857"/>
    <n v="371"/>
    <x v="8"/>
    <d v="2026-03-13T00:00:00"/>
    <d v="2026-03-18T00:00:00"/>
    <s v="Elective"/>
    <n v="5"/>
    <n v="21"/>
    <s v="Discharged"/>
    <n v="3.5"/>
    <s v="13/03/2026Orthopaedics"/>
    <e v="#N/A"/>
    <n v="40"/>
  </r>
  <r>
    <n v="858"/>
    <n v="611"/>
    <x v="9"/>
    <d v="2026-03-13T00:00:00"/>
    <d v="2026-03-15T00:00:00"/>
    <s v="Emergency"/>
    <n v="2"/>
    <n v="44"/>
    <s v="Discharged"/>
    <n v="2.9333333333333331"/>
    <s v="13/03/2026Paediatrics"/>
    <e v="#N/A"/>
    <n v="30"/>
  </r>
  <r>
    <n v="859"/>
    <n v="753"/>
    <x v="10"/>
    <d v="2026-03-14T00:00:00"/>
    <d v="2026-03-19T00:00:00"/>
    <s v="Elective"/>
    <n v="5"/>
    <n v="148"/>
    <s v="Discharged"/>
    <n v="24.666666666666668"/>
    <s v="14/03/2026Gastroenterology"/>
    <e v="#N/A"/>
    <n v="29"/>
  </r>
  <r>
    <n v="860"/>
    <n v="922"/>
    <x v="11"/>
    <d v="2026-03-15T00:00:00"/>
    <d v="2026-03-17T00:00:00"/>
    <s v="Emergency"/>
    <n v="2"/>
    <n v="13"/>
    <s v="Discharged"/>
    <n v="0.8666666666666667"/>
    <s v="15/03/2026ENT"/>
    <e v="#N/A"/>
    <n v="20"/>
  </r>
  <r>
    <n v="861"/>
    <n v="619"/>
    <x v="12"/>
    <d v="2026-03-15T00:00:00"/>
    <d v="2026-03-21T00:00:00"/>
    <s v="Elective"/>
    <n v="6"/>
    <n v="126"/>
    <s v="Discharged"/>
    <n v="25.200000000000003"/>
    <s v="15/03/2026Geriatrics"/>
    <e v="#N/A"/>
    <n v="46"/>
  </r>
  <r>
    <n v="862"/>
    <n v="546"/>
    <x v="3"/>
    <d v="2026-03-16T00:00:00"/>
    <d v="2026-03-18T00:00:00"/>
    <s v="Emergency"/>
    <n v="2"/>
    <n v="44"/>
    <s v="Discharged"/>
    <n v="2.9333333333333331"/>
    <s v="16/03/2026Respiratory"/>
    <e v="#N/A"/>
    <n v="36"/>
  </r>
  <r>
    <n v="863"/>
    <n v="483"/>
    <x v="1"/>
    <d v="2026-03-17T00:00:00"/>
    <d v="2026-03-22T00:00:00"/>
    <s v="Elective"/>
    <n v="5"/>
    <n v="118"/>
    <s v="Discharged"/>
    <n v="19.666666666666664"/>
    <s v="17/03/2026General Surgery"/>
    <e v="#N/A"/>
    <n v="44"/>
  </r>
  <r>
    <n v="864"/>
    <n v="865"/>
    <x v="5"/>
    <d v="2026-03-17T00:00:00"/>
    <d v="2026-03-20T00:00:00"/>
    <s v="Transfer"/>
    <n v="3"/>
    <n v="43"/>
    <s v="Transferred"/>
    <n v="4.3"/>
    <s v="17/03/2026Cardiology"/>
    <e v="#N/A"/>
    <n v="38"/>
  </r>
  <r>
    <n v="865"/>
    <n v="223"/>
    <x v="2"/>
    <d v="2026-03-18T00:00:00"/>
    <d v="2026-03-23T00:00:00"/>
    <s v="Elective"/>
    <n v="5"/>
    <n v="21"/>
    <s v="Discharged"/>
    <n v="3.5"/>
    <s v="18/03/2026Oncology"/>
    <e v="#N/A"/>
    <n v="28"/>
  </r>
  <r>
    <n v="866"/>
    <n v="118"/>
    <x v="0"/>
    <d v="2026-03-18T00:00:00"/>
    <d v="2026-03-19T00:00:00"/>
    <s v="Emergency"/>
    <n v="1"/>
    <n v="21"/>
    <s v="Discharged"/>
    <n v="0.7"/>
    <s v="18/03/2026A&amp;E (Emergency)"/>
    <e v="#N/A"/>
    <n v="42"/>
  </r>
  <r>
    <n v="867"/>
    <n v="553"/>
    <x v="4"/>
    <d v="2026-03-19T00:00:00"/>
    <d v="2026-03-24T00:00:00"/>
    <s v="Elective"/>
    <n v="5"/>
    <n v="42"/>
    <s v="Transferred"/>
    <n v="7"/>
    <s v="19/03/2026Renal Medicine"/>
    <e v="#N/A"/>
    <n v="26"/>
  </r>
  <r>
    <n v="868"/>
    <n v="749"/>
    <x v="6"/>
    <d v="2026-03-20T00:00:00"/>
    <d v="2026-03-26T00:00:00"/>
    <s v="Elective"/>
    <n v="6"/>
    <n v="120"/>
    <s v="Discharged"/>
    <n v="24"/>
    <s v="20/03/2026Neurology"/>
    <e v="#N/A"/>
    <n v="32"/>
  </r>
  <r>
    <n v="869"/>
    <n v="115"/>
    <x v="7"/>
    <d v="2026-03-20T00:00:00"/>
    <d v="2026-03-22T00:00:00"/>
    <s v="Emergency"/>
    <n v="2"/>
    <n v="22"/>
    <s v="Transferred"/>
    <n v="1.4666666666666666"/>
    <s v="20/03/2026Maternity"/>
    <e v="#N/A"/>
    <n v="34"/>
  </r>
  <r>
    <n v="870"/>
    <n v="456"/>
    <x v="8"/>
    <d v="2026-03-21T00:00:00"/>
    <d v="2026-03-26T00:00:00"/>
    <s v="Elective"/>
    <n v="5"/>
    <n v="226"/>
    <s v="Discharged"/>
    <n v="37.666666666666664"/>
    <s v="21/03/2026Orthopaedics"/>
    <e v="#N/A"/>
    <n v="40"/>
  </r>
  <r>
    <n v="871"/>
    <n v="495"/>
    <x v="9"/>
    <d v="2026-03-21T00:00:00"/>
    <d v="2026-03-23T00:00:00"/>
    <s v="Emergency"/>
    <n v="2"/>
    <n v="22"/>
    <s v="Discharged"/>
    <n v="1.4666666666666666"/>
    <s v="21/03/2026Paediatrics"/>
    <e v="#N/A"/>
    <n v="30"/>
  </r>
  <r>
    <n v="872"/>
    <n v="137"/>
    <x v="10"/>
    <d v="2026-03-22T00:00:00"/>
    <d v="2026-03-27T00:00:00"/>
    <s v="Elective"/>
    <n v="5"/>
    <n v="34"/>
    <s v="Discharged"/>
    <n v="5.6666666666666661"/>
    <s v="22/03/2026Gastroenterology"/>
    <e v="#N/A"/>
    <n v="29"/>
  </r>
  <r>
    <n v="873"/>
    <n v="307"/>
    <x v="11"/>
    <d v="2026-03-23T00:00:00"/>
    <d v="2026-03-25T00:00:00"/>
    <s v="Emergency"/>
    <n v="2"/>
    <n v="4"/>
    <s v="Discharged"/>
    <n v="0.26666666666666666"/>
    <s v="23/03/2026ENT"/>
    <e v="#N/A"/>
    <n v="20"/>
  </r>
  <r>
    <n v="874"/>
    <n v="174"/>
    <x v="12"/>
    <d v="2026-03-23T00:00:00"/>
    <d v="2026-03-29T00:00:00"/>
    <s v="Elective"/>
    <n v="6"/>
    <n v="42"/>
    <s v="Discharged"/>
    <n v="8.3999999999999986"/>
    <s v="23/03/2026Geriatrics"/>
    <e v="#N/A"/>
    <n v="46"/>
  </r>
  <r>
    <n v="875"/>
    <n v="154"/>
    <x v="3"/>
    <d v="2026-03-24T00:00:00"/>
    <d v="2026-03-26T00:00:00"/>
    <s v="Emergency"/>
    <n v="2"/>
    <n v="1"/>
    <s v="Discharged"/>
    <n v="6.6666666666666666E-2"/>
    <s v="24/03/2026Respiratory"/>
    <e v="#N/A"/>
    <n v="36"/>
  </r>
  <r>
    <n v="876"/>
    <n v="999"/>
    <x v="1"/>
    <d v="2026-03-25T00:00:00"/>
    <d v="2026-03-30T00:00:00"/>
    <s v="Elective"/>
    <n v="5"/>
    <n v="42"/>
    <s v="Discharged"/>
    <n v="7"/>
    <s v="25/03/2026General Surgery"/>
    <e v="#N/A"/>
    <n v="44"/>
  </r>
  <r>
    <n v="877"/>
    <n v="124"/>
    <x v="5"/>
    <d v="2026-03-25T00:00:00"/>
    <d v="2026-03-28T00:00:00"/>
    <s v="Transfer"/>
    <n v="3"/>
    <n v="238"/>
    <s v="Discharged"/>
    <n v="23.8"/>
    <s v="25/03/2026Cardiology"/>
    <e v="#N/A"/>
    <n v="38"/>
  </r>
  <r>
    <n v="878"/>
    <n v="271"/>
    <x v="2"/>
    <d v="2026-03-26T00:00:00"/>
    <d v="2026-03-31T00:00:00"/>
    <s v="Elective"/>
    <n v="5"/>
    <n v="27"/>
    <s v="Discharged"/>
    <n v="4.5"/>
    <s v="26/03/2026Oncology"/>
    <e v="#N/A"/>
    <n v="28"/>
  </r>
  <r>
    <n v="879"/>
    <n v="705"/>
    <x v="0"/>
    <d v="2026-03-26T00:00:00"/>
    <d v="2026-03-27T00:00:00"/>
    <s v="Emergency"/>
    <n v="1"/>
    <n v="69"/>
    <s v="Discharged"/>
    <n v="2.2999999999999998"/>
    <s v="26/03/2026A&amp;E (Emergency)"/>
    <e v="#N/A"/>
    <n v="42"/>
  </r>
  <r>
    <n v="880"/>
    <n v="597"/>
    <x v="4"/>
    <d v="2026-03-27T00:00:00"/>
    <d v="2026-04-01T00:00:00"/>
    <s v="Elective"/>
    <n v="5"/>
    <n v="43"/>
    <s v="Discharged"/>
    <n v="7.166666666666667"/>
    <s v="27/03/2026Renal Medicine"/>
    <e v="#N/A"/>
    <n v="26"/>
  </r>
  <r>
    <n v="881"/>
    <n v="750"/>
    <x v="6"/>
    <d v="2026-03-28T00:00:00"/>
    <d v="2026-04-03T00:00:00"/>
    <s v="Elective"/>
    <n v="6"/>
    <n v="40"/>
    <s v="Discharged"/>
    <n v="8"/>
    <s v="28/03/2026Neurology"/>
    <e v="#N/A"/>
    <n v="32"/>
  </r>
  <r>
    <n v="882"/>
    <n v="574"/>
    <x v="7"/>
    <d v="2026-03-28T00:00:00"/>
    <d v="2026-03-30T00:00:00"/>
    <s v="Emergency"/>
    <n v="2"/>
    <n v="44"/>
    <s v="Discharged"/>
    <n v="2.9333333333333331"/>
    <s v="28/03/2026Maternity"/>
    <e v="#N/A"/>
    <n v="34"/>
  </r>
  <r>
    <n v="883"/>
    <n v="335"/>
    <x v="8"/>
    <d v="2026-03-29T00:00:00"/>
    <d v="2026-04-03T00:00:00"/>
    <s v="Elective"/>
    <n v="5"/>
    <n v="228"/>
    <s v="Transferred"/>
    <n v="38"/>
    <s v="29/03/2026Orthopaedics"/>
    <e v="#N/A"/>
    <n v="40"/>
  </r>
  <r>
    <n v="884"/>
    <n v="69"/>
    <x v="9"/>
    <d v="2026-03-29T00:00:00"/>
    <d v="2026-03-31T00:00:00"/>
    <s v="Emergency"/>
    <n v="2"/>
    <n v="14"/>
    <s v="Discharged"/>
    <n v="0.93333333333333335"/>
    <s v="29/03/2026Paediatrics"/>
    <e v="#N/A"/>
    <n v="30"/>
  </r>
  <r>
    <n v="885"/>
    <n v="725"/>
    <x v="10"/>
    <d v="2026-03-30T00:00:00"/>
    <d v="2026-04-04T00:00:00"/>
    <s v="Elective"/>
    <n v="5"/>
    <n v="18"/>
    <s v="Discharged"/>
    <n v="3"/>
    <s v="30/03/2026Gastroenterology"/>
    <e v="#N/A"/>
    <n v="29"/>
  </r>
  <r>
    <n v="886"/>
    <n v="754"/>
    <x v="11"/>
    <d v="2026-04-01T00:00:00"/>
    <d v="2026-04-03T00:00:00"/>
    <s v="Emergency"/>
    <n v="2"/>
    <n v="42"/>
    <s v="Discharged"/>
    <n v="2.8"/>
    <s v="01/04/2026ENT"/>
    <e v="#N/A"/>
    <n v="20"/>
  </r>
  <r>
    <n v="887"/>
    <n v="869"/>
    <x v="12"/>
    <d v="2026-04-01T00:00:00"/>
    <d v="2026-04-07T00:00:00"/>
    <s v="Elective"/>
    <n v="6"/>
    <n v="109"/>
    <s v="Discharged"/>
    <n v="21.8"/>
    <s v="01/04/2026Geriatrics"/>
    <e v="#N/A"/>
    <n v="46"/>
  </r>
  <r>
    <n v="888"/>
    <n v="818"/>
    <x v="3"/>
    <d v="2026-04-02T00:00:00"/>
    <d v="2026-04-04T00:00:00"/>
    <s v="Emergency"/>
    <n v="2"/>
    <n v="42"/>
    <s v="Discharged"/>
    <n v="2.8"/>
    <s v="02/04/2026Respiratory"/>
    <e v="#N/A"/>
    <n v="36"/>
  </r>
  <r>
    <n v="889"/>
    <n v="558"/>
    <x v="1"/>
    <d v="2026-04-03T00:00:00"/>
    <d v="2026-04-08T00:00:00"/>
    <s v="Elective"/>
    <n v="5"/>
    <n v="10"/>
    <s v="Discharged"/>
    <n v="1.6666666666666665"/>
    <s v="03/04/2026General Surgery"/>
    <e v="#N/A"/>
    <n v="44"/>
  </r>
  <r>
    <n v="890"/>
    <n v="634"/>
    <x v="5"/>
    <d v="2026-04-03T00:00:00"/>
    <d v="2026-04-06T00:00:00"/>
    <s v="Transfer"/>
    <n v="3"/>
    <n v="119"/>
    <s v="Discharged"/>
    <n v="11.9"/>
    <s v="03/04/2026Cardiology"/>
    <e v="#N/A"/>
    <n v="38"/>
  </r>
  <r>
    <n v="891"/>
    <n v="975"/>
    <x v="2"/>
    <d v="2026-04-04T00:00:00"/>
    <d v="2026-04-09T00:00:00"/>
    <s v="Elective"/>
    <n v="5"/>
    <n v="34"/>
    <s v="Discharged"/>
    <n v="5.6666666666666661"/>
    <s v="04/04/2026Oncology"/>
    <e v="#N/A"/>
    <n v="28"/>
  </r>
  <r>
    <n v="892"/>
    <n v="409"/>
    <x v="0"/>
    <d v="2026-04-04T00:00:00"/>
    <d v="2026-04-05T00:00:00"/>
    <s v="Emergency"/>
    <n v="1"/>
    <n v="232"/>
    <s v="Discharged"/>
    <n v="7.7333333333333334"/>
    <s v="04/04/2026A&amp;E (Emergency)"/>
    <e v="#N/A"/>
    <n v="42"/>
  </r>
  <r>
    <n v="893"/>
    <n v="252"/>
    <x v="4"/>
    <d v="2026-04-05T00:00:00"/>
    <d v="2026-04-10T00:00:00"/>
    <s v="Elective"/>
    <n v="5"/>
    <n v="41"/>
    <s v="Discharged"/>
    <n v="6.8333333333333339"/>
    <s v="05/04/2026Renal Medicine"/>
    <e v="#N/A"/>
    <n v="26"/>
  </r>
  <r>
    <n v="894"/>
    <n v="563"/>
    <x v="6"/>
    <d v="2026-04-06T00:00:00"/>
    <d v="2026-04-12T00:00:00"/>
    <s v="Elective"/>
    <n v="6"/>
    <n v="26"/>
    <s v="Discharged"/>
    <n v="5.2"/>
    <s v="06/04/2026Neurology"/>
    <e v="#N/A"/>
    <n v="32"/>
  </r>
  <r>
    <n v="895"/>
    <n v="798"/>
    <x v="7"/>
    <d v="2026-04-06T00:00:00"/>
    <d v="2026-04-08T00:00:00"/>
    <s v="Emergency"/>
    <n v="2"/>
    <n v="31"/>
    <s v="Discharged"/>
    <n v="2.0666666666666669"/>
    <s v="06/04/2026Maternity"/>
    <e v="#N/A"/>
    <n v="34"/>
  </r>
  <r>
    <n v="896"/>
    <n v="572"/>
    <x v="8"/>
    <d v="2026-04-07T00:00:00"/>
    <d v="2026-04-12T00:00:00"/>
    <s v="Elective"/>
    <n v="5"/>
    <n v="21"/>
    <s v="Discharged"/>
    <n v="3.5"/>
    <s v="07/04/2026Orthopaedics"/>
    <e v="#N/A"/>
    <n v="40"/>
  </r>
  <r>
    <n v="897"/>
    <n v="425"/>
    <x v="9"/>
    <d v="2026-04-07T00:00:00"/>
    <d v="2026-04-09T00:00:00"/>
    <s v="Emergency"/>
    <n v="2"/>
    <n v="4"/>
    <s v="Discharged"/>
    <n v="0.26666666666666666"/>
    <s v="07/04/2026Paediatrics"/>
    <e v="#N/A"/>
    <n v="30"/>
  </r>
  <r>
    <n v="898"/>
    <n v="594"/>
    <x v="10"/>
    <d v="2026-04-08T00:00:00"/>
    <d v="2026-04-13T00:00:00"/>
    <s v="Elective"/>
    <n v="5"/>
    <n v="13"/>
    <s v="Discharged"/>
    <n v="2.166666666666667"/>
    <s v="08/04/2026Gastroenterology"/>
    <e v="#N/A"/>
    <n v="29"/>
  </r>
  <r>
    <n v="899"/>
    <n v="500"/>
    <x v="11"/>
    <d v="2026-04-09T00:00:00"/>
    <d v="2026-04-11T00:00:00"/>
    <s v="Emergency"/>
    <n v="2"/>
    <n v="130"/>
    <s v="Discharged"/>
    <n v="8.6666666666666661"/>
    <s v="09/04/2026ENT"/>
    <e v="#N/A"/>
    <n v="20"/>
  </r>
  <r>
    <n v="900"/>
    <n v="183"/>
    <x v="12"/>
    <d v="2026-04-09T00:00:00"/>
    <d v="2026-04-15T00:00:00"/>
    <s v="Elective"/>
    <n v="6"/>
    <n v="32"/>
    <s v="Discharged"/>
    <n v="6.4"/>
    <s v="09/04/2026Geriatrics"/>
    <e v="#N/A"/>
    <n v="46"/>
  </r>
  <r>
    <n v="901"/>
    <n v="370"/>
    <x v="3"/>
    <d v="2026-04-10T00:00:00"/>
    <d v="2026-04-12T00:00:00"/>
    <s v="Emergency"/>
    <n v="2"/>
    <n v="143"/>
    <s v="Discharged"/>
    <n v="9.5333333333333332"/>
    <s v="10/04/2026Respiratory"/>
    <e v="#N/A"/>
    <n v="36"/>
  </r>
  <r>
    <n v="902"/>
    <n v="393"/>
    <x v="1"/>
    <d v="2026-04-11T00:00:00"/>
    <d v="2026-04-16T00:00:00"/>
    <s v="Elective"/>
    <n v="5"/>
    <n v="37"/>
    <s v="Discharged"/>
    <n v="6.166666666666667"/>
    <s v="11/04/2026General Surgery"/>
    <e v="#N/A"/>
    <n v="44"/>
  </r>
  <r>
    <n v="903"/>
    <n v="445"/>
    <x v="5"/>
    <d v="2026-04-11T00:00:00"/>
    <d v="2026-04-14T00:00:00"/>
    <s v="Transfer"/>
    <n v="3"/>
    <n v="216"/>
    <s v="Discharged"/>
    <n v="21.6"/>
    <s v="11/04/2026Cardiology"/>
    <e v="#N/A"/>
    <n v="38"/>
  </r>
  <r>
    <n v="904"/>
    <n v="985"/>
    <x v="2"/>
    <d v="2026-04-12T00:00:00"/>
    <d v="2026-04-17T00:00:00"/>
    <s v="Elective"/>
    <n v="5"/>
    <n v="38"/>
    <s v="Discharged"/>
    <n v="6.333333333333333"/>
    <s v="12/04/2026Oncology"/>
    <e v="#N/A"/>
    <n v="28"/>
  </r>
  <r>
    <n v="905"/>
    <n v="310"/>
    <x v="0"/>
    <d v="2026-04-12T00:00:00"/>
    <d v="2026-04-13T00:00:00"/>
    <s v="Emergency"/>
    <n v="1"/>
    <n v="228"/>
    <s v="Transferred"/>
    <n v="7.6"/>
    <s v="12/04/2026A&amp;E (Emergency)"/>
    <e v="#N/A"/>
    <n v="42"/>
  </r>
  <r>
    <n v="906"/>
    <n v="301"/>
    <x v="4"/>
    <d v="2026-04-13T00:00:00"/>
    <d v="2026-04-18T00:00:00"/>
    <s v="Elective"/>
    <n v="5"/>
    <n v="20"/>
    <s v="Discharged"/>
    <n v="3.333333333333333"/>
    <s v="13/04/2026Renal Medicine"/>
    <e v="#N/A"/>
    <n v="26"/>
  </r>
  <r>
    <n v="907"/>
    <n v="791"/>
    <x v="6"/>
    <d v="2026-04-14T00:00:00"/>
    <d v="2026-04-20T00:00:00"/>
    <s v="Elective"/>
    <n v="6"/>
    <n v="27"/>
    <s v="Discharged"/>
    <n v="5.4"/>
    <s v="14/04/2026Neurology"/>
    <e v="#N/A"/>
    <n v="32"/>
  </r>
  <r>
    <n v="908"/>
    <n v="400"/>
    <x v="7"/>
    <d v="2026-04-14T00:00:00"/>
    <d v="2026-04-16T00:00:00"/>
    <s v="Emergency"/>
    <n v="2"/>
    <n v="35"/>
    <s v="Discharged"/>
    <n v="2.3333333333333335"/>
    <s v="14/04/2026Maternity"/>
    <e v="#N/A"/>
    <n v="34"/>
  </r>
  <r>
    <n v="909"/>
    <n v="36"/>
    <x v="8"/>
    <d v="2026-04-15T00:00:00"/>
    <d v="2026-04-20T00:00:00"/>
    <s v="Elective"/>
    <n v="5"/>
    <n v="140"/>
    <s v="Discharged"/>
    <n v="23.333333333333336"/>
    <s v="15/04/2026Orthopaedics"/>
    <e v="#N/A"/>
    <n v="40"/>
  </r>
  <r>
    <n v="910"/>
    <n v="193"/>
    <x v="9"/>
    <d v="2026-04-15T00:00:00"/>
    <d v="2026-04-17T00:00:00"/>
    <s v="Emergency"/>
    <n v="2"/>
    <n v="21"/>
    <s v="Discharged"/>
    <n v="1.4"/>
    <s v="15/04/2026Paediatrics"/>
    <e v="#N/A"/>
    <n v="30"/>
  </r>
  <r>
    <n v="911"/>
    <n v="630"/>
    <x v="10"/>
    <d v="2026-04-16T00:00:00"/>
    <d v="2026-04-21T00:00:00"/>
    <s v="Elective"/>
    <n v="5"/>
    <n v="3"/>
    <s v="Transferred"/>
    <n v="0.5"/>
    <s v="16/04/2026Gastroenterology"/>
    <e v="#N/A"/>
    <n v="29"/>
  </r>
  <r>
    <n v="912"/>
    <n v="31"/>
    <x v="11"/>
    <d v="2026-04-17T00:00:00"/>
    <d v="2026-04-19T00:00:00"/>
    <s v="Emergency"/>
    <n v="2"/>
    <n v="131"/>
    <s v="Discharged"/>
    <n v="8.7333333333333325"/>
    <s v="17/04/2026ENT"/>
    <e v="#N/A"/>
    <n v="20"/>
  </r>
  <r>
    <n v="913"/>
    <n v="292"/>
    <x v="12"/>
    <d v="2026-04-17T00:00:00"/>
    <d v="2026-04-23T00:00:00"/>
    <s v="Elective"/>
    <n v="6"/>
    <n v="27"/>
    <s v="Discharged"/>
    <n v="5.4"/>
    <s v="17/04/2026Geriatrics"/>
    <e v="#N/A"/>
    <n v="46"/>
  </r>
  <r>
    <n v="914"/>
    <n v="131"/>
    <x v="3"/>
    <d v="2026-04-18T00:00:00"/>
    <d v="2026-04-20T00:00:00"/>
    <s v="Emergency"/>
    <n v="2"/>
    <n v="10"/>
    <s v="Discharged"/>
    <n v="0.66666666666666663"/>
    <s v="18/04/2026Respiratory"/>
    <e v="#N/A"/>
    <n v="36"/>
  </r>
  <r>
    <n v="915"/>
    <n v="273"/>
    <x v="1"/>
    <d v="2026-04-19T00:00:00"/>
    <d v="2026-04-24T00:00:00"/>
    <s v="Elective"/>
    <n v="5"/>
    <n v="175"/>
    <s v="Discharged"/>
    <n v="29.166666666666664"/>
    <s v="19/04/2026General Surgery"/>
    <e v="#N/A"/>
    <n v="44"/>
  </r>
  <r>
    <n v="916"/>
    <n v="683"/>
    <x v="5"/>
    <d v="2026-04-19T00:00:00"/>
    <d v="2026-04-22T00:00:00"/>
    <s v="Transfer"/>
    <n v="3"/>
    <n v="44"/>
    <s v="Discharged"/>
    <n v="4.3999999999999995"/>
    <s v="19/04/2026Cardiology"/>
    <e v="#N/A"/>
    <n v="38"/>
  </r>
  <r>
    <n v="917"/>
    <n v="838"/>
    <x v="2"/>
    <d v="2026-04-20T00:00:00"/>
    <d v="2026-04-25T00:00:00"/>
    <s v="Elective"/>
    <n v="5"/>
    <n v="26"/>
    <s v="Discharged"/>
    <n v="4.3333333333333339"/>
    <s v="20/04/2026Oncology"/>
    <e v="#N/A"/>
    <n v="28"/>
  </r>
  <r>
    <n v="918"/>
    <n v="213"/>
    <x v="0"/>
    <d v="2026-04-20T00:00:00"/>
    <d v="2026-04-21T00:00:00"/>
    <s v="Emergency"/>
    <n v="1"/>
    <n v="44"/>
    <s v="Discharged"/>
    <n v="1.4666666666666666"/>
    <s v="20/04/2026A&amp;E (Emergency)"/>
    <e v="#N/A"/>
    <n v="42"/>
  </r>
  <r>
    <n v="919"/>
    <n v="316"/>
    <x v="4"/>
    <d v="2026-04-21T00:00:00"/>
    <d v="2026-04-26T00:00:00"/>
    <s v="Elective"/>
    <n v="5"/>
    <n v="111"/>
    <s v="Discharged"/>
    <n v="18.5"/>
    <s v="21/04/2026Renal Medicine"/>
    <e v="#N/A"/>
    <n v="26"/>
  </r>
  <r>
    <n v="920"/>
    <n v="499"/>
    <x v="6"/>
    <d v="2026-04-22T00:00:00"/>
    <d v="2026-04-28T00:00:00"/>
    <s v="Elective"/>
    <n v="6"/>
    <n v="36"/>
    <s v="Discharged"/>
    <n v="7.1999999999999993"/>
    <s v="22/04/2026Neurology"/>
    <e v="#N/A"/>
    <n v="32"/>
  </r>
  <r>
    <n v="921"/>
    <n v="994"/>
    <x v="7"/>
    <d v="2026-04-22T00:00:00"/>
    <d v="2026-04-24T00:00:00"/>
    <s v="Emergency"/>
    <n v="2"/>
    <n v="20"/>
    <s v="Discharged"/>
    <n v="1.3333333333333333"/>
    <s v="22/04/2026Maternity"/>
    <e v="#N/A"/>
    <n v="34"/>
  </r>
  <r>
    <n v="922"/>
    <n v="653"/>
    <x v="8"/>
    <d v="2026-04-23T00:00:00"/>
    <d v="2026-04-28T00:00:00"/>
    <s v="Elective"/>
    <n v="5"/>
    <n v="42"/>
    <s v="Discharged"/>
    <n v="7"/>
    <s v="23/04/2026Orthopaedics"/>
    <e v="#N/A"/>
    <n v="40"/>
  </r>
  <r>
    <n v="923"/>
    <n v="784"/>
    <x v="9"/>
    <d v="2026-04-23T00:00:00"/>
    <d v="2026-04-25T00:00:00"/>
    <s v="Emergency"/>
    <n v="2"/>
    <n v="38"/>
    <s v="Discharged"/>
    <n v="2.5333333333333332"/>
    <s v="23/04/2026Paediatrics"/>
    <e v="#N/A"/>
    <n v="30"/>
  </r>
  <r>
    <n v="924"/>
    <n v="165"/>
    <x v="10"/>
    <d v="2026-04-24T00:00:00"/>
    <d v="2026-04-29T00:00:00"/>
    <s v="Elective"/>
    <n v="5"/>
    <n v="20"/>
    <s v="Discharged"/>
    <n v="3.333333333333333"/>
    <s v="24/04/2026Gastroenterology"/>
    <e v="#N/A"/>
    <n v="29"/>
  </r>
  <r>
    <n v="925"/>
    <n v="481"/>
    <x v="11"/>
    <d v="2026-04-25T00:00:00"/>
    <d v="2026-04-27T00:00:00"/>
    <s v="Emergency"/>
    <n v="2"/>
    <n v="12"/>
    <s v="Discharged"/>
    <n v="0.8"/>
    <s v="25/04/2026ENT"/>
    <e v="#N/A"/>
    <n v="20"/>
  </r>
  <r>
    <n v="926"/>
    <n v="829"/>
    <x v="12"/>
    <d v="2026-04-25T00:00:00"/>
    <s v="31/04/2026"/>
    <s v="Elective"/>
    <n v="6"/>
    <n v="36"/>
    <s v="Discharged"/>
    <n v="7.1999999999999993"/>
    <s v="25/04/2026Geriatrics"/>
    <e v="#N/A"/>
    <n v="46"/>
  </r>
  <r>
    <n v="927"/>
    <n v="540"/>
    <x v="3"/>
    <d v="2026-04-26T00:00:00"/>
    <d v="2026-04-28T00:00:00"/>
    <s v="Emergency"/>
    <n v="2"/>
    <n v="24"/>
    <s v="Discharged"/>
    <n v="1.6"/>
    <s v="26/04/2026Respiratory"/>
    <e v="#N/A"/>
    <n v="36"/>
  </r>
  <r>
    <n v="928"/>
    <n v="196"/>
    <x v="1"/>
    <d v="2026-04-27T00:00:00"/>
    <d v="2026-05-01T00:00:00"/>
    <s v="Elective"/>
    <n v="5"/>
    <n v="232"/>
    <s v="Discharged"/>
    <n v="38.666666666666664"/>
    <s v="27/04/2026General Surgery"/>
    <e v="#N/A"/>
    <n v="44"/>
  </r>
  <r>
    <n v="929"/>
    <n v="571"/>
    <x v="5"/>
    <d v="2026-04-27T00:00:00"/>
    <d v="2026-04-30T00:00:00"/>
    <s v="Transfer"/>
    <n v="3"/>
    <n v="27"/>
    <s v="Discharged"/>
    <n v="2.7"/>
    <s v="27/04/2026Cardiology"/>
    <e v="#N/A"/>
    <n v="38"/>
  </r>
  <r>
    <n v="930"/>
    <n v="389"/>
    <x v="2"/>
    <d v="2026-04-28T00:00:00"/>
    <d v="2026-05-03T00:00:00"/>
    <s v="Elective"/>
    <n v="5"/>
    <n v="31"/>
    <s v="Discharged"/>
    <n v="5.166666666666667"/>
    <s v="28/04/2026Oncology"/>
    <e v="#N/A"/>
    <n v="28"/>
  </r>
  <r>
    <n v="931"/>
    <n v="155"/>
    <x v="0"/>
    <d v="2026-04-28T00:00:00"/>
    <d v="2026-04-29T00:00:00"/>
    <s v="Emergency"/>
    <n v="1"/>
    <n v="16"/>
    <s v="Discharged"/>
    <n v="0.53333333333333333"/>
    <s v="28/04/2026A&amp;E (Emergency)"/>
    <e v="#N/A"/>
    <n v="42"/>
  </r>
  <r>
    <n v="932"/>
    <n v="881"/>
    <x v="4"/>
    <d v="2026-04-29T00:00:00"/>
    <d v="2026-05-04T00:00:00"/>
    <s v="Elective"/>
    <n v="5"/>
    <n v="22"/>
    <s v="Discharged"/>
    <n v="3.6666666666666665"/>
    <s v="29/04/2026Renal Medicine"/>
    <e v="#N/A"/>
    <n v="26"/>
  </r>
  <r>
    <n v="933"/>
    <n v="102"/>
    <x v="6"/>
    <d v="2026-04-30T00:00:00"/>
    <d v="2026-05-06T00:00:00"/>
    <s v="Elective"/>
    <n v="6"/>
    <n v="118"/>
    <s v="Discharged"/>
    <n v="23.599999999999998"/>
    <s v="30/04/2026Neurology"/>
    <e v="#N/A"/>
    <n v="32"/>
  </r>
  <r>
    <n v="934"/>
    <n v="342"/>
    <x v="7"/>
    <d v="2026-04-30T00:00:00"/>
    <d v="2026-05-02T00:00:00"/>
    <s v="Emergency"/>
    <n v="2"/>
    <n v="44"/>
    <s v="Discharged"/>
    <n v="2.9333333333333331"/>
    <s v="30/04/2026Maternity"/>
    <e v="#N/A"/>
    <n v="34"/>
  </r>
  <r>
    <n v="935"/>
    <n v="189"/>
    <x v="8"/>
    <s v="31/04/2026"/>
    <d v="2026-05-05T00:00:00"/>
    <s v="Elective"/>
    <n v="5"/>
    <n v="4"/>
    <s v="Transferred"/>
    <n v="0.66666666666666663"/>
    <s v="31/04/2026Orthopaedics"/>
    <e v="#N/A"/>
    <n v="40"/>
  </r>
  <r>
    <n v="936"/>
    <n v="836"/>
    <x v="9"/>
    <s v="31/04/2026"/>
    <d v="2026-05-02T00:00:00"/>
    <s v="Emergency"/>
    <n v="2"/>
    <n v="190"/>
    <s v="Discharged"/>
    <n v="12.666666666666666"/>
    <s v="31/04/2026Paediatrics"/>
    <e v="#N/A"/>
    <n v="30"/>
  </r>
  <r>
    <n v="937"/>
    <n v="14"/>
    <x v="10"/>
    <d v="2026-05-01T00:00:00"/>
    <d v="2026-05-06T00:00:00"/>
    <s v="Elective"/>
    <n v="5"/>
    <n v="13"/>
    <s v="Discharged"/>
    <n v="2.166666666666667"/>
    <s v="01/05/2026Gastroenterology"/>
    <e v="#N/A"/>
    <n v="29"/>
  </r>
  <r>
    <n v="938"/>
    <n v="449"/>
    <x v="11"/>
    <d v="2026-05-02T00:00:00"/>
    <d v="2026-05-04T00:00:00"/>
    <s v="Emergency"/>
    <n v="2"/>
    <n v="126"/>
    <s v="Discharged"/>
    <n v="8.4"/>
    <s v="02/05/2026ENT"/>
    <e v="#N/A"/>
    <n v="20"/>
  </r>
  <r>
    <n v="939"/>
    <n v="93"/>
    <x v="12"/>
    <d v="2026-05-02T00:00:00"/>
    <d v="2026-05-08T00:00:00"/>
    <s v="Elective"/>
    <n v="6"/>
    <n v="44"/>
    <s v="Discharged"/>
    <n v="8.7999999999999989"/>
    <s v="02/05/2026Geriatrics"/>
    <e v="#N/A"/>
    <n v="46"/>
  </r>
  <r>
    <n v="940"/>
    <n v="738"/>
    <x v="3"/>
    <d v="2026-05-03T00:00:00"/>
    <d v="2026-05-05T00:00:00"/>
    <s v="Emergency"/>
    <n v="2"/>
    <n v="118"/>
    <s v="Discharged"/>
    <n v="7.8666666666666663"/>
    <s v="03/05/2026Respiratory"/>
    <e v="#N/A"/>
    <n v="36"/>
  </r>
  <r>
    <n v="941"/>
    <n v="390"/>
    <x v="1"/>
    <d v="2026-05-04T00:00:00"/>
    <d v="2026-05-09T00:00:00"/>
    <s v="Elective"/>
    <n v="5"/>
    <n v="22"/>
    <s v="Discharged"/>
    <n v="3.6666666666666665"/>
    <s v="04/05/2026General Surgery"/>
    <e v="#N/A"/>
    <n v="44"/>
  </r>
  <r>
    <n v="942"/>
    <n v="582"/>
    <x v="5"/>
    <d v="2026-05-04T00:00:00"/>
    <d v="2026-05-07T00:00:00"/>
    <s v="Transfer"/>
    <n v="3"/>
    <n v="42"/>
    <s v="Transferred"/>
    <n v="4.1999999999999993"/>
    <s v="04/05/2026Cardiology"/>
    <e v="#N/A"/>
    <n v="38"/>
  </r>
  <r>
    <n v="943"/>
    <n v="944"/>
    <x v="2"/>
    <d v="2026-05-05T00:00:00"/>
    <d v="2026-05-10T00:00:00"/>
    <s v="Elective"/>
    <n v="5"/>
    <n v="42"/>
    <s v="Transferred"/>
    <n v="7"/>
    <s v="05/05/2026Oncology"/>
    <e v="#N/A"/>
    <n v="28"/>
  </r>
  <r>
    <n v="944"/>
    <n v="659"/>
    <x v="0"/>
    <d v="2026-05-05T00:00:00"/>
    <d v="2026-05-06T00:00:00"/>
    <s v="Emergency"/>
    <n v="1"/>
    <n v="111"/>
    <s v="Discharged"/>
    <n v="3.7"/>
    <s v="05/05/2026A&amp;E (Emergency)"/>
    <e v="#N/A"/>
    <n v="42"/>
  </r>
  <r>
    <n v="945"/>
    <n v="126"/>
    <x v="4"/>
    <d v="2026-05-06T00:00:00"/>
    <d v="2026-05-11T00:00:00"/>
    <s v="Elective"/>
    <n v="5"/>
    <n v="42"/>
    <s v="Discharged"/>
    <n v="7"/>
    <s v="06/05/2026Renal Medicine"/>
    <e v="#N/A"/>
    <n v="26"/>
  </r>
  <r>
    <n v="946"/>
    <n v="50"/>
    <x v="6"/>
    <d v="2026-05-07T00:00:00"/>
    <d v="2026-05-13T00:00:00"/>
    <s v="Elective"/>
    <n v="6"/>
    <n v="1"/>
    <s v="Transferred"/>
    <n v="0.2"/>
    <s v="07/05/2026Neurology"/>
    <e v="#N/A"/>
    <n v="32"/>
  </r>
  <r>
    <n v="947"/>
    <n v="300"/>
    <x v="7"/>
    <d v="2026-05-07T00:00:00"/>
    <d v="2026-05-09T00:00:00"/>
    <s v="Emergency"/>
    <n v="2"/>
    <n v="10"/>
    <s v="Discharged"/>
    <n v="0.66666666666666663"/>
    <s v="07/05/2026Maternity"/>
    <e v="#N/A"/>
    <n v="34"/>
  </r>
  <r>
    <n v="948"/>
    <n v="705"/>
    <x v="8"/>
    <d v="2026-05-08T00:00:00"/>
    <d v="2026-05-13T00:00:00"/>
    <s v="Elective"/>
    <n v="5"/>
    <n v="41"/>
    <s v="Discharged"/>
    <n v="6.8333333333333339"/>
    <s v="08/05/2026Orthopaedics"/>
    <e v="#N/A"/>
    <n v="40"/>
  </r>
  <r>
    <n v="949"/>
    <n v="435"/>
    <x v="9"/>
    <d v="2026-05-08T00:00:00"/>
    <d v="2026-05-10T00:00:00"/>
    <s v="Emergency"/>
    <n v="2"/>
    <n v="120"/>
    <s v="Discharged"/>
    <n v="8"/>
    <s v="08/05/2026Paediatrics"/>
    <e v="#N/A"/>
    <n v="30"/>
  </r>
  <r>
    <n v="950"/>
    <n v="882"/>
    <x v="10"/>
    <d v="2026-05-09T00:00:00"/>
    <d v="2026-05-14T00:00:00"/>
    <s v="Elective"/>
    <n v="5"/>
    <n v="22"/>
    <s v="Discharged"/>
    <n v="3.6666666666666665"/>
    <s v="09/05/2026Gastroenterology"/>
    <e v="#N/A"/>
    <n v="29"/>
  </r>
  <r>
    <n v="951"/>
    <n v="564"/>
    <x v="11"/>
    <d v="2026-05-10T00:00:00"/>
    <d v="2026-05-12T00:00:00"/>
    <s v="Emergency"/>
    <n v="2"/>
    <n v="226"/>
    <s v="Discharged"/>
    <n v="15.066666666666666"/>
    <s v="10/05/2026ENT"/>
    <e v="#N/A"/>
    <n v="20"/>
  </r>
  <r>
    <n v="952"/>
    <n v="306"/>
    <x v="12"/>
    <d v="2026-05-10T00:00:00"/>
    <d v="2026-05-16T00:00:00"/>
    <s v="Elective"/>
    <n v="6"/>
    <n v="22"/>
    <s v="Discharged"/>
    <n v="4.3999999999999995"/>
    <s v="10/05/2026Geriatrics"/>
    <e v="#N/A"/>
    <n v="46"/>
  </r>
  <r>
    <n v="953"/>
    <n v="263"/>
    <x v="3"/>
    <d v="2026-05-11T00:00:00"/>
    <d v="2026-05-13T00:00:00"/>
    <s v="Emergency"/>
    <n v="2"/>
    <n v="73"/>
    <s v="Discharged"/>
    <n v="4.8666666666666663"/>
    <s v="11/05/2026Respiratory"/>
    <e v="#N/A"/>
    <n v="36"/>
  </r>
  <r>
    <n v="954"/>
    <n v="813"/>
    <x v="1"/>
    <d v="2026-05-12T00:00:00"/>
    <d v="2026-05-17T00:00:00"/>
    <s v="Elective"/>
    <n v="5"/>
    <n v="34"/>
    <s v="Discharged"/>
    <n v="5.6666666666666661"/>
    <s v="12/05/2026General Surgery"/>
    <e v="#N/A"/>
    <n v="44"/>
  </r>
  <r>
    <n v="955"/>
    <n v="758"/>
    <x v="5"/>
    <d v="2026-05-12T00:00:00"/>
    <d v="2026-05-15T00:00:00"/>
    <s v="Transfer"/>
    <n v="3"/>
    <n v="110"/>
    <s v="Discharged"/>
    <n v="11"/>
    <s v="12/05/2026Cardiology"/>
    <e v="#N/A"/>
    <n v="38"/>
  </r>
  <r>
    <n v="956"/>
    <n v="874"/>
    <x v="2"/>
    <d v="2026-05-13T00:00:00"/>
    <d v="2026-05-18T00:00:00"/>
    <s v="Elective"/>
    <n v="5"/>
    <n v="2"/>
    <s v="Discharged"/>
    <n v="0.33333333333333331"/>
    <s v="13/05/2026Oncology"/>
    <e v="#N/A"/>
    <n v="28"/>
  </r>
  <r>
    <n v="957"/>
    <n v="431"/>
    <x v="0"/>
    <d v="2026-05-13T00:00:00"/>
    <d v="2026-05-14T00:00:00"/>
    <s v="Emergency"/>
    <n v="1"/>
    <n v="14"/>
    <s v="Discharged"/>
    <n v="0.46666666666666667"/>
    <s v="13/05/2026A&amp;E (Emergency)"/>
    <e v="#N/A"/>
    <n v="42"/>
  </r>
  <r>
    <n v="958"/>
    <n v="111"/>
    <x v="4"/>
    <d v="2026-05-14T00:00:00"/>
    <d v="2026-05-19T00:00:00"/>
    <s v="Elective"/>
    <n v="5"/>
    <n v="34"/>
    <s v="Discharged"/>
    <n v="5.6666666666666661"/>
    <s v="14/05/2026Renal Medicine"/>
    <e v="#N/A"/>
    <n v="26"/>
  </r>
  <r>
    <n v="959"/>
    <n v="19"/>
    <x v="6"/>
    <d v="2026-05-15T00:00:00"/>
    <d v="2026-05-21T00:00:00"/>
    <s v="Elective"/>
    <n v="6"/>
    <n v="63"/>
    <s v="Discharged"/>
    <n v="12.600000000000001"/>
    <s v="15/05/2026Neurology"/>
    <e v="#N/A"/>
    <n v="32"/>
  </r>
  <r>
    <n v="960"/>
    <n v="708"/>
    <x v="7"/>
    <d v="2026-05-15T00:00:00"/>
    <d v="2026-05-17T00:00:00"/>
    <s v="Emergency"/>
    <n v="2"/>
    <n v="1"/>
    <s v="Discharged"/>
    <n v="6.6666666666666666E-2"/>
    <s v="15/05/2026Maternity"/>
    <e v="#N/A"/>
    <n v="34"/>
  </r>
  <r>
    <n v="961"/>
    <n v="371"/>
    <x v="8"/>
    <d v="2026-05-16T00:00:00"/>
    <d v="2026-05-21T00:00:00"/>
    <s v="Elective"/>
    <n v="5"/>
    <n v="42"/>
    <s v="Discharged"/>
    <n v="7"/>
    <s v="16/05/2026Orthopaedics"/>
    <e v="#N/A"/>
    <n v="40"/>
  </r>
  <r>
    <n v="962"/>
    <n v="611"/>
    <x v="9"/>
    <d v="2026-05-16T00:00:00"/>
    <d v="2026-05-18T00:00:00"/>
    <s v="Emergency"/>
    <n v="2"/>
    <n v="43"/>
    <s v="Discharged"/>
    <n v="2.8666666666666667"/>
    <s v="16/05/2026Paediatrics"/>
    <e v="#N/A"/>
    <n v="30"/>
  </r>
  <r>
    <n v="963"/>
    <n v="753"/>
    <x v="10"/>
    <d v="2026-05-17T00:00:00"/>
    <d v="2026-05-22T00:00:00"/>
    <s v="Elective"/>
    <n v="5"/>
    <n v="40"/>
    <s v="Discharged"/>
    <n v="6.6666666666666661"/>
    <s v="17/05/2026Gastroenterology"/>
    <e v="#N/A"/>
    <n v="29"/>
  </r>
  <r>
    <n v="964"/>
    <n v="922"/>
    <x v="11"/>
    <d v="2026-05-18T00:00:00"/>
    <d v="2026-05-20T00:00:00"/>
    <s v="Emergency"/>
    <n v="2"/>
    <n v="44"/>
    <s v="Discharged"/>
    <n v="2.9333333333333331"/>
    <s v="18/05/2026ENT"/>
    <e v="#N/A"/>
    <n v="20"/>
  </r>
  <r>
    <n v="965"/>
    <n v="619"/>
    <x v="12"/>
    <d v="2026-05-18T00:00:00"/>
    <d v="2026-05-24T00:00:00"/>
    <s v="Elective"/>
    <n v="6"/>
    <n v="228"/>
    <s v="Discharged"/>
    <n v="45.599999999999994"/>
    <s v="18/05/2026Geriatrics"/>
    <e v="#N/A"/>
    <n v="46"/>
  </r>
  <r>
    <n v="966"/>
    <n v="546"/>
    <x v="3"/>
    <d v="2026-05-19T00:00:00"/>
    <d v="2026-05-21T00:00:00"/>
    <s v="Emergency"/>
    <n v="2"/>
    <n v="14"/>
    <s v="Discharged"/>
    <n v="0.93333333333333335"/>
    <s v="19/05/2026Respiratory"/>
    <e v="#N/A"/>
    <n v="36"/>
  </r>
  <r>
    <n v="967"/>
    <n v="483"/>
    <x v="1"/>
    <d v="2026-05-20T00:00:00"/>
    <d v="2026-05-25T00:00:00"/>
    <s v="Elective"/>
    <n v="5"/>
    <n v="18"/>
    <s v="Discharged"/>
    <n v="3"/>
    <s v="20/05/2026General Surgery"/>
    <e v="#N/A"/>
    <n v="44"/>
  </r>
  <r>
    <n v="968"/>
    <n v="312"/>
    <x v="5"/>
    <d v="2026-08-16T00:00:00"/>
    <d v="2026-08-19T00:00:00"/>
    <s v="Transfer"/>
    <n v="3"/>
    <n v="56"/>
    <s v="Discharged"/>
    <n v="5.6"/>
    <s v="16/08/2026Cardiology"/>
    <e v="#N/A"/>
    <n v="38"/>
  </r>
  <r>
    <n v="969"/>
    <n v="770"/>
    <x v="2"/>
    <d v="2026-08-17T00:00:00"/>
    <d v="2026-08-22T00:00:00"/>
    <s v="Elective"/>
    <n v="5"/>
    <n v="42"/>
    <s v="Discharged"/>
    <n v="7"/>
    <s v="17/08/2026Oncology"/>
    <e v="#N/A"/>
    <n v="28"/>
  </r>
  <r>
    <n v="970"/>
    <n v="49"/>
    <x v="0"/>
    <d v="2026-08-17T00:00:00"/>
    <d v="2026-08-18T00:00:00"/>
    <s v="Emergency"/>
    <n v="1"/>
    <n v="109"/>
    <s v="Discharged"/>
    <n v="3.6333333333333333"/>
    <s v="17/08/2026A&amp;E (Emergency)"/>
    <e v="#N/A"/>
    <n v="42"/>
  </r>
  <r>
    <n v="971"/>
    <n v="622"/>
    <x v="4"/>
    <d v="2026-08-18T00:00:00"/>
    <d v="2026-08-23T00:00:00"/>
    <s v="Elective"/>
    <n v="5"/>
    <n v="42"/>
    <s v="Discharged"/>
    <n v="7"/>
    <s v="18/08/2026Renal Medicine"/>
    <e v="#N/A"/>
    <n v="26"/>
  </r>
  <r>
    <n v="972"/>
    <n v="359"/>
    <x v="6"/>
    <d v="2026-08-19T00:00:00"/>
    <d v="2026-08-25T00:00:00"/>
    <s v="Elective"/>
    <n v="6"/>
    <n v="10"/>
    <s v="Discharged"/>
    <n v="2"/>
    <s v="19/08/2026Neurology"/>
    <e v="#N/A"/>
    <n v="32"/>
  </r>
  <r>
    <n v="973"/>
    <n v="927"/>
    <x v="7"/>
    <d v="2026-08-19T00:00:00"/>
    <d v="2026-08-21T00:00:00"/>
    <s v="Emergency"/>
    <n v="2"/>
    <n v="119"/>
    <s v="Discharged"/>
    <n v="7.9333333333333336"/>
    <s v="19/08/2026Maternity"/>
    <e v="#N/A"/>
    <n v="34"/>
  </r>
  <r>
    <n v="974"/>
    <n v="201"/>
    <x v="8"/>
    <d v="2026-08-20T00:00:00"/>
    <d v="2026-08-25T00:00:00"/>
    <s v="Elective"/>
    <n v="5"/>
    <n v="34"/>
    <s v="Discharged"/>
    <n v="5.6666666666666661"/>
    <s v="20/08/2026Orthopaedics"/>
    <e v="#N/A"/>
    <n v="40"/>
  </r>
  <r>
    <n v="975"/>
    <n v="744"/>
    <x v="9"/>
    <d v="2026-08-20T00:00:00"/>
    <d v="2026-08-22T00:00:00"/>
    <s v="Emergency"/>
    <n v="2"/>
    <n v="232"/>
    <s v="Discharged"/>
    <n v="15.466666666666667"/>
    <s v="20/08/2026Paediatrics"/>
    <e v="#N/A"/>
    <n v="30"/>
  </r>
  <r>
    <n v="976"/>
    <n v="410"/>
    <x v="10"/>
    <d v="2026-08-21T00:00:00"/>
    <d v="2026-08-26T00:00:00"/>
    <s v="Elective"/>
    <n v="5"/>
    <n v="41"/>
    <s v="Discharged"/>
    <n v="6.8333333333333339"/>
    <s v="21/08/2026Gastroenterology"/>
    <e v="#N/A"/>
    <n v="29"/>
  </r>
  <r>
    <n v="977"/>
    <n v="132"/>
    <x v="11"/>
    <d v="2026-08-22T00:00:00"/>
    <d v="2026-08-24T00:00:00"/>
    <s v="Emergency"/>
    <n v="2"/>
    <n v="26"/>
    <s v="Discharged"/>
    <n v="1.7333333333333334"/>
    <s v="22/08/2026ENT"/>
    <e v="#N/A"/>
    <n v="20"/>
  </r>
  <r>
    <n v="978"/>
    <n v="40"/>
    <x v="12"/>
    <d v="2026-08-22T00:00:00"/>
    <d v="2026-08-28T00:00:00"/>
    <s v="Elective"/>
    <n v="6"/>
    <n v="31"/>
    <s v="Discharged"/>
    <n v="6.2000000000000011"/>
    <s v="22/08/2026Geriatrics"/>
    <e v="#N/A"/>
    <n v="46"/>
  </r>
  <r>
    <n v="979"/>
    <n v="531"/>
    <x v="3"/>
    <d v="2026-08-23T00:00:00"/>
    <d v="2026-08-25T00:00:00"/>
    <s v="Emergency"/>
    <n v="2"/>
    <n v="31"/>
    <s v="Transferred"/>
    <n v="2.0666666666666669"/>
    <s v="23/08/2026Respiratory"/>
    <e v="#N/A"/>
    <n v="36"/>
  </r>
  <r>
    <n v="980"/>
    <n v="422"/>
    <x v="1"/>
    <d v="2026-08-24T00:00:00"/>
    <d v="2026-08-29T00:00:00"/>
    <s v="Elective"/>
    <n v="5"/>
    <n v="21"/>
    <s v="Discharged"/>
    <n v="3.5"/>
    <s v="24/08/2026General Surgery"/>
    <e v="#N/A"/>
    <n v="44"/>
  </r>
  <r>
    <n v="981"/>
    <n v="42"/>
    <x v="5"/>
    <d v="2026-08-24T00:00:00"/>
    <d v="2026-08-27T00:00:00"/>
    <s v="Transfer"/>
    <n v="3"/>
    <n v="4"/>
    <s v="Discharged"/>
    <n v="0.4"/>
    <s v="24/08/2026Cardiology"/>
    <e v="#N/A"/>
    <n v="38"/>
  </r>
  <r>
    <n v="982"/>
    <n v="53"/>
    <x v="2"/>
    <d v="2026-08-25T00:00:00"/>
    <d v="2026-08-30T00:00:00"/>
    <s v="Elective"/>
    <n v="5"/>
    <n v="13"/>
    <s v="Discharged"/>
    <n v="2.166666666666667"/>
    <s v="25/08/2026Oncology"/>
    <e v="#N/A"/>
    <n v="28"/>
  </r>
  <r>
    <n v="983"/>
    <n v="184"/>
    <x v="0"/>
    <d v="2026-08-25T00:00:00"/>
    <d v="2026-08-26T00:00:00"/>
    <s v="Emergency"/>
    <n v="1"/>
    <n v="130"/>
    <s v="Discharged"/>
    <n v="4.333333333333333"/>
    <s v="25/08/2026A&amp;E (Emergency)"/>
    <e v="#N/A"/>
    <n v="42"/>
  </r>
  <r>
    <n v="984"/>
    <n v="241"/>
    <x v="4"/>
    <d v="2026-08-26T00:00:00"/>
    <d v="2026-08-31T00:00:00"/>
    <s v="Elective"/>
    <n v="5"/>
    <n v="32"/>
    <s v="Discharged"/>
    <n v="5.333333333333333"/>
    <s v="26/08/2026Renal Medicine"/>
    <e v="#N/A"/>
    <n v="26"/>
  </r>
  <r>
    <n v="985"/>
    <n v="803"/>
    <x v="6"/>
    <d v="2026-08-27T00:00:00"/>
    <d v="2026-09-02T00:00:00"/>
    <s v="Elective"/>
    <n v="6"/>
    <n v="143"/>
    <s v="Discharged"/>
    <n v="28.6"/>
    <s v="27/08/2026Neurology"/>
    <e v="#N/A"/>
    <n v="32"/>
  </r>
  <r>
    <n v="986"/>
    <n v="528"/>
    <x v="7"/>
    <d v="2026-08-27T00:00:00"/>
    <d v="2026-08-29T00:00:00"/>
    <s v="Emergency"/>
    <n v="2"/>
    <n v="37"/>
    <s v="Discharged"/>
    <n v="2.4666666666666668"/>
    <s v="27/08/2026Maternity"/>
    <e v="#N/A"/>
    <n v="34"/>
  </r>
  <r>
    <n v="987"/>
    <n v="835"/>
    <x v="8"/>
    <d v="2026-08-28T00:00:00"/>
    <d v="2026-09-02T00:00:00"/>
    <s v="Elective"/>
    <n v="5"/>
    <n v="216"/>
    <s v="Discharged"/>
    <n v="36"/>
    <s v="28/08/2026Orthopaedics"/>
    <e v="#N/A"/>
    <n v="40"/>
  </r>
  <r>
    <n v="988"/>
    <n v="608"/>
    <x v="9"/>
    <d v="2026-08-28T00:00:00"/>
    <d v="2026-08-30T00:00:00"/>
    <s v="Emergency"/>
    <n v="2"/>
    <n v="38"/>
    <s v="Discharged"/>
    <n v="2.5333333333333332"/>
    <s v="28/08/2026Paediatrics"/>
    <e v="#N/A"/>
    <n v="30"/>
  </r>
  <r>
    <n v="989"/>
    <n v="451"/>
    <x v="10"/>
    <d v="2026-08-29T00:00:00"/>
    <d v="2026-09-03T00:00:00"/>
    <s v="Elective"/>
    <n v="5"/>
    <n v="27"/>
    <s v="Discharged"/>
    <n v="4.5"/>
    <s v="29/08/2026Gastroenterology"/>
    <e v="#N/A"/>
    <n v="29"/>
  </r>
  <r>
    <n v="990"/>
    <n v="328"/>
    <x v="11"/>
    <d v="2026-08-30T00:00:00"/>
    <d v="2026-09-01T00:00:00"/>
    <s v="Emergency"/>
    <n v="2"/>
    <n v="35"/>
    <s v="Discharged"/>
    <n v="2.3333333333333335"/>
    <s v="30/08/2026ENT"/>
    <e v="#N/A"/>
    <n v="20"/>
  </r>
  <r>
    <n v="991"/>
    <n v="62"/>
    <x v="12"/>
    <d v="2026-08-30T00:00:00"/>
    <d v="2026-09-05T00:00:00"/>
    <s v="Elective"/>
    <n v="6"/>
    <n v="140"/>
    <s v="Discharged"/>
    <n v="28"/>
    <s v="30/08/2026Geriatrics"/>
    <e v="#N/A"/>
    <n v="46"/>
  </r>
  <r>
    <n v="992"/>
    <n v="308"/>
    <x v="3"/>
    <d v="2026-08-31T00:00:00"/>
    <d v="2026-09-02T00:00:00"/>
    <s v="Emergency"/>
    <n v="2"/>
    <n v="21"/>
    <s v="Discharged"/>
    <n v="1.4"/>
    <s v="31/08/2026Respiratory"/>
    <e v="#N/A"/>
    <n v="36"/>
  </r>
  <r>
    <n v="993"/>
    <n v="429"/>
    <x v="1"/>
    <d v="2026-09-01T00:00:00"/>
    <d v="2026-09-06T00:00:00"/>
    <s v="Elective"/>
    <n v="5"/>
    <n v="3"/>
    <s v="Transferred"/>
    <n v="0.5"/>
    <s v="01/09/2026General Surgery"/>
    <e v="#N/A"/>
    <n v="44"/>
  </r>
  <r>
    <n v="994"/>
    <n v="158"/>
    <x v="5"/>
    <d v="2026-09-01T00:00:00"/>
    <d v="2026-09-04T00:00:00"/>
    <s v="Transfer"/>
    <n v="3"/>
    <n v="131"/>
    <s v="Discharged"/>
    <n v="13.099999999999998"/>
    <s v="01/09/2026Cardiology"/>
    <e v="#N/A"/>
    <n v="38"/>
  </r>
  <r>
    <n v="995"/>
    <n v="74"/>
    <x v="2"/>
    <d v="2026-09-02T00:00:00"/>
    <d v="2026-09-07T00:00:00"/>
    <s v="Elective"/>
    <n v="5"/>
    <n v="27"/>
    <s v="Discharged"/>
    <n v="4.5"/>
    <s v="02/09/2026Oncology"/>
    <e v="#N/A"/>
    <n v="28"/>
  </r>
  <r>
    <n v="996"/>
    <n v="151"/>
    <x v="0"/>
    <d v="2026-09-02T00:00:00"/>
    <d v="2026-09-03T00:00:00"/>
    <s v="Emergency"/>
    <n v="1"/>
    <n v="10"/>
    <s v="Discharged"/>
    <n v="0.33333333333333331"/>
    <s v="02/09/2026A&amp;E (Emergency)"/>
    <e v="#N/A"/>
    <n v="42"/>
  </r>
  <r>
    <n v="997"/>
    <n v="294"/>
    <x v="4"/>
    <d v="2026-09-03T00:00:00"/>
    <d v="2026-09-08T00:00:00"/>
    <s v="Elective"/>
    <n v="5"/>
    <n v="175"/>
    <s v="Discharged"/>
    <n v="29.166666666666664"/>
    <s v="03/09/2026Renal Medicine"/>
    <e v="#N/A"/>
    <n v="26"/>
  </r>
  <r>
    <n v="998"/>
    <n v="401"/>
    <x v="6"/>
    <d v="2026-09-04T00:00:00"/>
    <d v="2026-09-10T00:00:00"/>
    <s v="Elective"/>
    <n v="6"/>
    <n v="44"/>
    <s v="Discharged"/>
    <n v="8.7999999999999989"/>
    <s v="04/09/2026Neurology"/>
    <e v="#N/A"/>
    <n v="32"/>
  </r>
  <r>
    <n v="999"/>
    <n v="562"/>
    <x v="7"/>
    <d v="2026-09-04T00:00:00"/>
    <d v="2026-09-06T00:00:00"/>
    <s v="Emergency"/>
    <n v="2"/>
    <n v="26"/>
    <s v="Discharged"/>
    <n v="1.7333333333333334"/>
    <s v="04/09/2026Maternity"/>
    <e v="#N/A"/>
    <n v="34"/>
  </r>
  <r>
    <n v="1000"/>
    <n v="129"/>
    <x v="8"/>
    <d v="2026-09-05T00:00:00"/>
    <d v="2026-09-10T00:00:00"/>
    <s v="Elective"/>
    <n v="5"/>
    <n v="44"/>
    <s v="Discharged"/>
    <n v="7.333333333333333"/>
    <s v="05/09/2026Orthopaedics"/>
    <e v="#N/A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8B26B-9690-457F-9FB7-0304CA7D4843}" name="PivotTable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7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14">
        <item x="0"/>
        <item x="5"/>
        <item x="11"/>
        <item x="10"/>
        <item x="1"/>
        <item x="12"/>
        <item x="7"/>
        <item x="6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WaitingTimeMinutes" fld="7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A581A-E3A7-48E6-81A1-95E26C0123D3}" name="PivotTable2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dmission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933D8-ADE5-4958-99D8-CFA62A4D5F68}" name="PivotTable3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3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">
        <item x="8"/>
        <item x="17"/>
        <item x="13"/>
        <item x="7"/>
        <item x="12"/>
        <item x="2"/>
        <item x="6"/>
        <item x="14"/>
        <item x="1"/>
        <item x="10"/>
        <item x="4"/>
        <item x="16"/>
        <item x="11"/>
        <item x="9"/>
        <item x="3"/>
        <item x="0"/>
        <item x="15"/>
        <item x="5"/>
        <item x="18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WaitingTimeMinutes" fld="7" subtotal="average" baseField="0" baseItem="0"/>
  </dataFields>
  <formats count="2">
    <format dxfId="0">
      <pivotArea outline="0" fieldPosition="0">
        <references count="1">
          <reference field="11" count="3" selected="0">
            <x v="4"/>
            <x v="5"/>
            <x v="6"/>
          </reference>
        </references>
      </pivotArea>
    </format>
    <format dxfId="1">
      <pivotArea outline="0" fieldPosition="0">
        <references count="1">
          <reference field="11" count="1" selected="0">
            <x v="1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49A4A-535F-420F-BDB3-A9FD87359AC0}" name="PivotTable1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7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14">
        <item x="0"/>
        <item x="5"/>
        <item x="11"/>
        <item x="10"/>
        <item x="1"/>
        <item x="12"/>
        <item x="7"/>
        <item x="6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aitingTimeMinutes" fld="7" subtotal="average" baseField="0" baseItem="0"/>
    <dataField name="Average of BedAvailable" fld="1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EAA0-288A-460C-AE7E-B28B3FD56F29}">
  <dimension ref="A1:F1001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2" max="2" width="10.42578125" customWidth="1"/>
    <col min="4" max="4" width="17.85546875" customWidth="1"/>
    <col min="5" max="5" width="12.28515625" customWidth="1"/>
    <col min="6" max="6" width="20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v>54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33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3</v>
      </c>
      <c r="B4">
        <v>72</v>
      </c>
      <c r="C4" t="s">
        <v>10</v>
      </c>
      <c r="D4" t="s">
        <v>7</v>
      </c>
      <c r="E4" t="s">
        <v>14</v>
      </c>
      <c r="F4" t="s">
        <v>9</v>
      </c>
    </row>
    <row r="5" spans="1:6">
      <c r="A5">
        <v>4</v>
      </c>
      <c r="B5">
        <v>41</v>
      </c>
      <c r="C5" t="s">
        <v>6</v>
      </c>
      <c r="D5" t="s">
        <v>15</v>
      </c>
      <c r="E5" t="s">
        <v>16</v>
      </c>
      <c r="F5" t="s">
        <v>13</v>
      </c>
    </row>
    <row r="6" spans="1:6">
      <c r="A6">
        <v>5</v>
      </c>
      <c r="B6">
        <v>65</v>
      </c>
      <c r="C6" t="s">
        <v>6</v>
      </c>
      <c r="D6" t="s">
        <v>17</v>
      </c>
      <c r="E6" t="s">
        <v>18</v>
      </c>
      <c r="F6" t="s">
        <v>9</v>
      </c>
    </row>
    <row r="7" spans="1:6">
      <c r="A7">
        <v>6</v>
      </c>
      <c r="B7">
        <v>29</v>
      </c>
      <c r="C7" t="s">
        <v>10</v>
      </c>
      <c r="D7" t="s">
        <v>19</v>
      </c>
      <c r="E7" t="s">
        <v>20</v>
      </c>
      <c r="F7" t="s">
        <v>13</v>
      </c>
    </row>
    <row r="8" spans="1:6">
      <c r="A8">
        <v>7</v>
      </c>
      <c r="B8">
        <v>58</v>
      </c>
      <c r="C8" t="s">
        <v>6</v>
      </c>
      <c r="D8" t="s">
        <v>21</v>
      </c>
      <c r="E8" t="s">
        <v>22</v>
      </c>
      <c r="F8" t="s">
        <v>9</v>
      </c>
    </row>
    <row r="9" spans="1:6">
      <c r="A9">
        <v>8</v>
      </c>
      <c r="B9">
        <v>47</v>
      </c>
      <c r="C9" t="s">
        <v>10</v>
      </c>
      <c r="D9" t="s">
        <v>23</v>
      </c>
      <c r="E9" t="s">
        <v>24</v>
      </c>
      <c r="F9" t="s">
        <v>13</v>
      </c>
    </row>
    <row r="10" spans="1:6">
      <c r="A10">
        <v>9</v>
      </c>
      <c r="B10">
        <v>36</v>
      </c>
      <c r="C10" t="s">
        <v>6</v>
      </c>
      <c r="D10" t="s">
        <v>7</v>
      </c>
      <c r="E10" t="s">
        <v>8</v>
      </c>
      <c r="F10" t="s">
        <v>13</v>
      </c>
    </row>
    <row r="11" spans="1:6">
      <c r="A11">
        <v>10</v>
      </c>
      <c r="B11">
        <v>82</v>
      </c>
      <c r="C11" t="s">
        <v>10</v>
      </c>
      <c r="D11" t="s">
        <v>25</v>
      </c>
      <c r="E11" t="s">
        <v>26</v>
      </c>
      <c r="F11" t="s">
        <v>9</v>
      </c>
    </row>
    <row r="12" spans="1:6">
      <c r="A12">
        <v>11</v>
      </c>
      <c r="B12">
        <v>23</v>
      </c>
      <c r="C12" t="s">
        <v>6</v>
      </c>
      <c r="D12" t="s">
        <v>7</v>
      </c>
      <c r="E12" t="s">
        <v>27</v>
      </c>
      <c r="F12" t="s">
        <v>13</v>
      </c>
    </row>
    <row r="13" spans="1:6">
      <c r="A13">
        <v>12</v>
      </c>
      <c r="B13">
        <v>51</v>
      </c>
      <c r="C13" t="s">
        <v>10</v>
      </c>
      <c r="D13" t="s">
        <v>15</v>
      </c>
      <c r="E13" t="s">
        <v>28</v>
      </c>
      <c r="F13" t="s">
        <v>9</v>
      </c>
    </row>
    <row r="14" spans="1:6">
      <c r="A14">
        <v>13</v>
      </c>
      <c r="B14">
        <v>44</v>
      </c>
      <c r="C14" t="s">
        <v>6</v>
      </c>
      <c r="D14" t="s">
        <v>29</v>
      </c>
      <c r="E14" t="s">
        <v>30</v>
      </c>
      <c r="F14" t="s">
        <v>13</v>
      </c>
    </row>
    <row r="15" spans="1:6">
      <c r="A15">
        <v>14</v>
      </c>
      <c r="B15">
        <v>67</v>
      </c>
      <c r="C15" t="s">
        <v>10</v>
      </c>
      <c r="D15" t="s">
        <v>11</v>
      </c>
      <c r="E15" t="s">
        <v>16</v>
      </c>
      <c r="F15" t="s">
        <v>9</v>
      </c>
    </row>
    <row r="16" spans="1:6">
      <c r="A16">
        <v>15</v>
      </c>
      <c r="B16">
        <v>39</v>
      </c>
      <c r="C16" t="s">
        <v>6</v>
      </c>
      <c r="D16" t="s">
        <v>7</v>
      </c>
      <c r="E16" t="s">
        <v>31</v>
      </c>
      <c r="F16" t="s">
        <v>13</v>
      </c>
    </row>
    <row r="17" spans="1:6">
      <c r="A17">
        <v>16</v>
      </c>
      <c r="B17">
        <v>56</v>
      </c>
      <c r="C17" t="s">
        <v>10</v>
      </c>
      <c r="D17" t="s">
        <v>17</v>
      </c>
      <c r="E17" t="s">
        <v>22</v>
      </c>
      <c r="F17" t="s">
        <v>9</v>
      </c>
    </row>
    <row r="18" spans="1:6">
      <c r="A18">
        <v>17</v>
      </c>
      <c r="B18">
        <v>31</v>
      </c>
      <c r="C18" t="s">
        <v>6</v>
      </c>
      <c r="D18" t="s">
        <v>19</v>
      </c>
      <c r="E18" t="s">
        <v>32</v>
      </c>
      <c r="F18" t="s">
        <v>13</v>
      </c>
    </row>
    <row r="19" spans="1:6">
      <c r="A19">
        <v>18</v>
      </c>
      <c r="B19">
        <v>74</v>
      </c>
      <c r="C19" t="s">
        <v>10</v>
      </c>
      <c r="D19" t="s">
        <v>7</v>
      </c>
      <c r="E19" t="s">
        <v>8</v>
      </c>
      <c r="F19" t="s">
        <v>9</v>
      </c>
    </row>
    <row r="20" spans="1:6">
      <c r="A20">
        <v>19</v>
      </c>
      <c r="B20">
        <v>28</v>
      </c>
      <c r="C20" t="s">
        <v>6</v>
      </c>
      <c r="D20" t="s">
        <v>15</v>
      </c>
      <c r="E20" t="s">
        <v>33</v>
      </c>
      <c r="F20" t="s">
        <v>13</v>
      </c>
    </row>
    <row r="21" spans="1:6">
      <c r="A21">
        <v>20</v>
      </c>
      <c r="B21">
        <v>63</v>
      </c>
      <c r="C21" t="s">
        <v>10</v>
      </c>
      <c r="D21" t="s">
        <v>21</v>
      </c>
      <c r="E21" t="s">
        <v>34</v>
      </c>
      <c r="F21" t="s">
        <v>9</v>
      </c>
    </row>
    <row r="22" spans="1:6">
      <c r="A22">
        <v>21</v>
      </c>
      <c r="B22">
        <v>49</v>
      </c>
      <c r="C22" t="s">
        <v>6</v>
      </c>
      <c r="D22" t="s">
        <v>7</v>
      </c>
      <c r="E22" t="s">
        <v>16</v>
      </c>
      <c r="F22" t="s">
        <v>13</v>
      </c>
    </row>
    <row r="23" spans="1:6">
      <c r="A23">
        <v>22</v>
      </c>
      <c r="B23">
        <v>35</v>
      </c>
      <c r="C23" t="s">
        <v>10</v>
      </c>
      <c r="D23" t="s">
        <v>25</v>
      </c>
      <c r="E23" t="s">
        <v>35</v>
      </c>
      <c r="F23" t="s">
        <v>13</v>
      </c>
    </row>
    <row r="24" spans="1:6">
      <c r="A24">
        <v>23</v>
      </c>
      <c r="B24">
        <v>77</v>
      </c>
      <c r="C24" t="s">
        <v>6</v>
      </c>
      <c r="D24" t="s">
        <v>7</v>
      </c>
      <c r="E24" t="s">
        <v>22</v>
      </c>
      <c r="F24" t="s">
        <v>9</v>
      </c>
    </row>
    <row r="25" spans="1:6">
      <c r="A25">
        <v>24</v>
      </c>
      <c r="B25">
        <v>42</v>
      </c>
      <c r="C25" t="s">
        <v>10</v>
      </c>
      <c r="D25" t="s">
        <v>15</v>
      </c>
      <c r="E25" t="s">
        <v>36</v>
      </c>
      <c r="F25" t="s">
        <v>13</v>
      </c>
    </row>
    <row r="26" spans="1:6">
      <c r="A26">
        <v>25</v>
      </c>
      <c r="B26">
        <v>53</v>
      </c>
      <c r="C26" t="s">
        <v>6</v>
      </c>
      <c r="D26" t="s">
        <v>17</v>
      </c>
      <c r="E26" t="s">
        <v>8</v>
      </c>
      <c r="F26" t="s">
        <v>9</v>
      </c>
    </row>
    <row r="27" spans="1:6">
      <c r="A27">
        <v>26</v>
      </c>
      <c r="B27">
        <v>26</v>
      </c>
      <c r="C27" t="s">
        <v>10</v>
      </c>
      <c r="D27" t="s">
        <v>7</v>
      </c>
      <c r="E27" t="s">
        <v>20</v>
      </c>
      <c r="F27" t="s">
        <v>13</v>
      </c>
    </row>
    <row r="28" spans="1:6">
      <c r="A28">
        <v>27</v>
      </c>
      <c r="B28">
        <v>61</v>
      </c>
      <c r="C28" t="s">
        <v>6</v>
      </c>
      <c r="D28" t="s">
        <v>11</v>
      </c>
      <c r="E28" t="s">
        <v>14</v>
      </c>
      <c r="F28" t="s">
        <v>9</v>
      </c>
    </row>
    <row r="29" spans="1:6">
      <c r="A29">
        <v>28</v>
      </c>
      <c r="B29">
        <v>46</v>
      </c>
      <c r="C29" t="s">
        <v>10</v>
      </c>
      <c r="D29" t="s">
        <v>19</v>
      </c>
      <c r="E29" t="s">
        <v>28</v>
      </c>
      <c r="F29" t="s">
        <v>13</v>
      </c>
    </row>
    <row r="30" spans="1:6">
      <c r="A30">
        <v>29</v>
      </c>
      <c r="B30">
        <v>37</v>
      </c>
      <c r="C30" t="s">
        <v>6</v>
      </c>
      <c r="D30" t="s">
        <v>7</v>
      </c>
      <c r="E30" t="s">
        <v>18</v>
      </c>
      <c r="F30" t="s">
        <v>13</v>
      </c>
    </row>
    <row r="31" spans="1:6">
      <c r="A31">
        <v>30</v>
      </c>
      <c r="B31">
        <v>70</v>
      </c>
      <c r="C31" t="s">
        <v>10</v>
      </c>
      <c r="D31" t="s">
        <v>15</v>
      </c>
      <c r="E31" t="s">
        <v>16</v>
      </c>
      <c r="F31" t="s">
        <v>9</v>
      </c>
    </row>
    <row r="32" spans="1:6">
      <c r="A32">
        <v>31</v>
      </c>
      <c r="B32">
        <v>55</v>
      </c>
      <c r="C32" t="s">
        <v>6</v>
      </c>
      <c r="D32" t="s">
        <v>7</v>
      </c>
      <c r="E32" t="s">
        <v>24</v>
      </c>
      <c r="F32" t="s">
        <v>9</v>
      </c>
    </row>
    <row r="33" spans="1:6">
      <c r="A33">
        <v>32</v>
      </c>
      <c r="B33">
        <v>30</v>
      </c>
      <c r="C33" t="s">
        <v>10</v>
      </c>
      <c r="D33" t="s">
        <v>21</v>
      </c>
      <c r="E33" t="s">
        <v>22</v>
      </c>
      <c r="F33" t="s">
        <v>13</v>
      </c>
    </row>
    <row r="34" spans="1:6">
      <c r="A34">
        <v>33</v>
      </c>
      <c r="B34">
        <v>64</v>
      </c>
      <c r="C34" t="s">
        <v>6</v>
      </c>
      <c r="D34" t="s">
        <v>7</v>
      </c>
      <c r="E34" t="s">
        <v>27</v>
      </c>
      <c r="F34" t="s">
        <v>9</v>
      </c>
    </row>
    <row r="35" spans="1:6">
      <c r="A35">
        <v>34</v>
      </c>
      <c r="B35">
        <v>48</v>
      </c>
      <c r="C35" t="s">
        <v>10</v>
      </c>
      <c r="D35" t="s">
        <v>17</v>
      </c>
      <c r="E35" t="s">
        <v>30</v>
      </c>
      <c r="F35" t="s">
        <v>13</v>
      </c>
    </row>
    <row r="36" spans="1:6">
      <c r="A36">
        <v>35</v>
      </c>
      <c r="B36">
        <v>27</v>
      </c>
      <c r="C36" t="s">
        <v>6</v>
      </c>
      <c r="D36" t="s">
        <v>7</v>
      </c>
      <c r="E36" t="s">
        <v>8</v>
      </c>
      <c r="F36" t="s">
        <v>13</v>
      </c>
    </row>
    <row r="37" spans="1:6">
      <c r="A37">
        <v>36</v>
      </c>
      <c r="B37">
        <v>59</v>
      </c>
      <c r="C37" t="s">
        <v>10</v>
      </c>
      <c r="D37" t="s">
        <v>15</v>
      </c>
      <c r="E37" t="s">
        <v>31</v>
      </c>
      <c r="F37" t="s">
        <v>9</v>
      </c>
    </row>
    <row r="38" spans="1:6">
      <c r="A38">
        <v>37</v>
      </c>
      <c r="B38">
        <v>40</v>
      </c>
      <c r="C38" t="s">
        <v>6</v>
      </c>
      <c r="D38" t="s">
        <v>19</v>
      </c>
      <c r="E38" t="s">
        <v>32</v>
      </c>
      <c r="F38" t="s">
        <v>13</v>
      </c>
    </row>
    <row r="39" spans="1:6">
      <c r="A39">
        <v>38</v>
      </c>
      <c r="B39">
        <v>73</v>
      </c>
      <c r="C39" t="s">
        <v>10</v>
      </c>
      <c r="D39" t="s">
        <v>7</v>
      </c>
      <c r="E39" t="s">
        <v>16</v>
      </c>
      <c r="F39" t="s">
        <v>9</v>
      </c>
    </row>
    <row r="40" spans="1:6">
      <c r="A40">
        <v>39</v>
      </c>
      <c r="B40">
        <v>34</v>
      </c>
      <c r="C40" t="s">
        <v>6</v>
      </c>
      <c r="D40" t="s">
        <v>11</v>
      </c>
      <c r="E40" t="s">
        <v>33</v>
      </c>
      <c r="F40" t="s">
        <v>13</v>
      </c>
    </row>
    <row r="41" spans="1:6">
      <c r="A41">
        <v>40</v>
      </c>
      <c r="B41">
        <v>68</v>
      </c>
      <c r="C41" t="s">
        <v>10</v>
      </c>
      <c r="D41" t="s">
        <v>7</v>
      </c>
      <c r="E41" t="s">
        <v>34</v>
      </c>
      <c r="F41" t="s">
        <v>9</v>
      </c>
    </row>
    <row r="42" spans="1:6">
      <c r="A42">
        <v>41</v>
      </c>
      <c r="B42">
        <v>32</v>
      </c>
      <c r="C42" t="s">
        <v>6</v>
      </c>
      <c r="D42" t="s">
        <v>15</v>
      </c>
      <c r="E42" t="s">
        <v>22</v>
      </c>
      <c r="F42" t="s">
        <v>13</v>
      </c>
    </row>
    <row r="43" spans="1:6">
      <c r="A43">
        <v>42</v>
      </c>
      <c r="B43">
        <v>57</v>
      </c>
      <c r="C43" t="s">
        <v>10</v>
      </c>
      <c r="D43" t="s">
        <v>7</v>
      </c>
      <c r="E43" t="s">
        <v>26</v>
      </c>
      <c r="F43" t="s">
        <v>9</v>
      </c>
    </row>
    <row r="44" spans="1:6">
      <c r="A44">
        <v>43</v>
      </c>
      <c r="B44">
        <v>45</v>
      </c>
      <c r="C44" t="s">
        <v>6</v>
      </c>
      <c r="D44" t="s">
        <v>17</v>
      </c>
      <c r="E44" t="s">
        <v>8</v>
      </c>
      <c r="F44" t="s">
        <v>13</v>
      </c>
    </row>
    <row r="45" spans="1:6">
      <c r="A45">
        <v>44</v>
      </c>
      <c r="B45">
        <v>25</v>
      </c>
      <c r="C45" t="s">
        <v>10</v>
      </c>
      <c r="D45" t="s">
        <v>19</v>
      </c>
      <c r="E45" t="s">
        <v>36</v>
      </c>
      <c r="F45" t="s">
        <v>13</v>
      </c>
    </row>
    <row r="46" spans="1:6">
      <c r="A46">
        <v>45</v>
      </c>
      <c r="B46">
        <v>79</v>
      </c>
      <c r="C46" t="s">
        <v>6</v>
      </c>
      <c r="D46" t="s">
        <v>7</v>
      </c>
      <c r="E46" t="s">
        <v>28</v>
      </c>
      <c r="F46" t="s">
        <v>9</v>
      </c>
    </row>
    <row r="47" spans="1:6">
      <c r="A47">
        <v>46</v>
      </c>
      <c r="B47">
        <v>52</v>
      </c>
      <c r="C47" t="s">
        <v>10</v>
      </c>
      <c r="D47" t="s">
        <v>21</v>
      </c>
      <c r="E47" t="s">
        <v>20</v>
      </c>
      <c r="F47" t="s">
        <v>9</v>
      </c>
    </row>
    <row r="48" spans="1:6">
      <c r="A48">
        <v>47</v>
      </c>
      <c r="B48">
        <v>38</v>
      </c>
      <c r="C48" t="s">
        <v>6</v>
      </c>
      <c r="D48" t="s">
        <v>7</v>
      </c>
      <c r="E48" t="s">
        <v>24</v>
      </c>
      <c r="F48" t="s">
        <v>13</v>
      </c>
    </row>
    <row r="49" spans="1:6">
      <c r="A49">
        <v>48</v>
      </c>
      <c r="B49">
        <v>66</v>
      </c>
      <c r="C49" t="s">
        <v>10</v>
      </c>
      <c r="D49" t="s">
        <v>15</v>
      </c>
      <c r="E49" t="s">
        <v>16</v>
      </c>
      <c r="F49" t="s">
        <v>9</v>
      </c>
    </row>
    <row r="50" spans="1:6">
      <c r="A50">
        <v>49</v>
      </c>
      <c r="B50">
        <v>29</v>
      </c>
      <c r="C50" t="s">
        <v>6</v>
      </c>
      <c r="D50" t="s">
        <v>7</v>
      </c>
      <c r="E50" t="s">
        <v>18</v>
      </c>
      <c r="F50" t="s">
        <v>13</v>
      </c>
    </row>
    <row r="51" spans="1:6">
      <c r="A51">
        <v>50</v>
      </c>
      <c r="B51">
        <v>71</v>
      </c>
      <c r="C51" t="s">
        <v>10</v>
      </c>
      <c r="D51" t="s">
        <v>25</v>
      </c>
      <c r="E51" t="s">
        <v>22</v>
      </c>
      <c r="F51" t="s">
        <v>9</v>
      </c>
    </row>
    <row r="52" spans="1:6">
      <c r="A52">
        <v>51</v>
      </c>
      <c r="B52">
        <v>43</v>
      </c>
      <c r="C52" t="s">
        <v>6</v>
      </c>
      <c r="D52" t="s">
        <v>7</v>
      </c>
      <c r="E52" t="s">
        <v>32</v>
      </c>
      <c r="F52" t="s">
        <v>13</v>
      </c>
    </row>
    <row r="53" spans="1:6">
      <c r="A53">
        <v>52</v>
      </c>
      <c r="B53">
        <v>62</v>
      </c>
      <c r="C53" t="s">
        <v>10</v>
      </c>
      <c r="D53" t="s">
        <v>17</v>
      </c>
      <c r="E53" t="s">
        <v>8</v>
      </c>
      <c r="F53" t="s">
        <v>9</v>
      </c>
    </row>
    <row r="54" spans="1:6">
      <c r="A54">
        <v>53</v>
      </c>
      <c r="B54">
        <v>28</v>
      </c>
      <c r="C54" t="s">
        <v>6</v>
      </c>
      <c r="D54" t="s">
        <v>7</v>
      </c>
      <c r="E54" t="s">
        <v>27</v>
      </c>
      <c r="F54" t="s">
        <v>13</v>
      </c>
    </row>
    <row r="55" spans="1:6">
      <c r="A55">
        <v>54</v>
      </c>
      <c r="B55">
        <v>75</v>
      </c>
      <c r="C55" t="s">
        <v>10</v>
      </c>
      <c r="D55" t="s">
        <v>11</v>
      </c>
      <c r="E55" t="s">
        <v>34</v>
      </c>
      <c r="F55" t="s">
        <v>9</v>
      </c>
    </row>
    <row r="56" spans="1:6">
      <c r="A56">
        <v>55</v>
      </c>
      <c r="B56">
        <v>36</v>
      </c>
      <c r="C56" t="s">
        <v>6</v>
      </c>
      <c r="D56" t="s">
        <v>7</v>
      </c>
      <c r="E56" t="s">
        <v>16</v>
      </c>
      <c r="F56" t="s">
        <v>13</v>
      </c>
    </row>
    <row r="57" spans="1:6">
      <c r="A57">
        <v>56</v>
      </c>
      <c r="B57">
        <v>58</v>
      </c>
      <c r="C57" t="s">
        <v>10</v>
      </c>
      <c r="D57" t="s">
        <v>15</v>
      </c>
      <c r="E57" t="s">
        <v>31</v>
      </c>
      <c r="F57" t="s">
        <v>9</v>
      </c>
    </row>
    <row r="58" spans="1:6">
      <c r="A58">
        <v>57</v>
      </c>
      <c r="B58">
        <v>41</v>
      </c>
      <c r="C58" t="s">
        <v>6</v>
      </c>
      <c r="D58" t="s">
        <v>19</v>
      </c>
      <c r="E58" t="s">
        <v>30</v>
      </c>
      <c r="F58" t="s">
        <v>13</v>
      </c>
    </row>
    <row r="59" spans="1:6">
      <c r="A59">
        <v>58</v>
      </c>
      <c r="B59">
        <v>69</v>
      </c>
      <c r="C59" t="s">
        <v>10</v>
      </c>
      <c r="D59" t="s">
        <v>7</v>
      </c>
      <c r="E59" t="s">
        <v>22</v>
      </c>
      <c r="F59" t="s">
        <v>9</v>
      </c>
    </row>
    <row r="60" spans="1:6">
      <c r="A60">
        <v>59</v>
      </c>
      <c r="B60">
        <v>33</v>
      </c>
      <c r="C60" t="s">
        <v>6</v>
      </c>
      <c r="D60" t="s">
        <v>17</v>
      </c>
      <c r="E60" t="s">
        <v>33</v>
      </c>
      <c r="F60" t="s">
        <v>13</v>
      </c>
    </row>
    <row r="61" spans="1:6">
      <c r="A61">
        <v>60</v>
      </c>
      <c r="B61">
        <v>80</v>
      </c>
      <c r="C61" t="s">
        <v>10</v>
      </c>
      <c r="D61" t="s">
        <v>7</v>
      </c>
      <c r="E61" t="s">
        <v>36</v>
      </c>
      <c r="F61" t="s">
        <v>9</v>
      </c>
    </row>
    <row r="62" spans="1:6">
      <c r="A62">
        <v>61</v>
      </c>
      <c r="B62">
        <v>47</v>
      </c>
      <c r="C62" t="s">
        <v>6</v>
      </c>
      <c r="D62" t="s">
        <v>15</v>
      </c>
      <c r="E62" t="s">
        <v>8</v>
      </c>
      <c r="F62" t="s">
        <v>13</v>
      </c>
    </row>
    <row r="63" spans="1:6">
      <c r="A63">
        <v>62</v>
      </c>
      <c r="B63">
        <v>24</v>
      </c>
      <c r="C63" t="s">
        <v>10</v>
      </c>
      <c r="D63" t="s">
        <v>7</v>
      </c>
      <c r="E63" t="s">
        <v>35</v>
      </c>
      <c r="F63" t="s">
        <v>13</v>
      </c>
    </row>
    <row r="64" spans="1:6">
      <c r="A64">
        <v>63</v>
      </c>
      <c r="B64">
        <v>60</v>
      </c>
      <c r="C64" t="s">
        <v>6</v>
      </c>
      <c r="D64" t="s">
        <v>21</v>
      </c>
      <c r="E64" t="s">
        <v>16</v>
      </c>
      <c r="F64" t="s">
        <v>9</v>
      </c>
    </row>
    <row r="65" spans="1:6">
      <c r="A65">
        <v>64</v>
      </c>
      <c r="B65">
        <v>39</v>
      </c>
      <c r="C65" t="s">
        <v>10</v>
      </c>
      <c r="D65" t="s">
        <v>7</v>
      </c>
      <c r="E65" t="s">
        <v>14</v>
      </c>
      <c r="F65" t="s">
        <v>13</v>
      </c>
    </row>
    <row r="66" spans="1:6">
      <c r="A66">
        <v>65</v>
      </c>
      <c r="B66">
        <v>56</v>
      </c>
      <c r="C66" t="s">
        <v>6</v>
      </c>
      <c r="D66" t="s">
        <v>15</v>
      </c>
      <c r="E66" t="s">
        <v>28</v>
      </c>
      <c r="F66" t="s">
        <v>9</v>
      </c>
    </row>
    <row r="67" spans="1:6">
      <c r="A67">
        <v>66</v>
      </c>
      <c r="B67">
        <v>31</v>
      </c>
      <c r="C67" t="s">
        <v>10</v>
      </c>
      <c r="D67" t="s">
        <v>19</v>
      </c>
      <c r="E67" t="s">
        <v>20</v>
      </c>
      <c r="F67" t="s">
        <v>13</v>
      </c>
    </row>
    <row r="68" spans="1:6">
      <c r="A68">
        <v>67</v>
      </c>
      <c r="B68">
        <v>72</v>
      </c>
      <c r="C68" t="s">
        <v>6</v>
      </c>
      <c r="D68" t="s">
        <v>7</v>
      </c>
      <c r="E68" t="s">
        <v>24</v>
      </c>
      <c r="F68" t="s">
        <v>9</v>
      </c>
    </row>
    <row r="69" spans="1:6">
      <c r="A69">
        <v>68</v>
      </c>
      <c r="B69">
        <v>44</v>
      </c>
      <c r="C69" t="s">
        <v>10</v>
      </c>
      <c r="D69" t="s">
        <v>17</v>
      </c>
      <c r="E69" t="s">
        <v>22</v>
      </c>
      <c r="F69" t="s">
        <v>13</v>
      </c>
    </row>
    <row r="70" spans="1:6">
      <c r="A70">
        <v>69</v>
      </c>
      <c r="B70">
        <v>27</v>
      </c>
      <c r="C70" t="s">
        <v>6</v>
      </c>
      <c r="D70" t="s">
        <v>7</v>
      </c>
      <c r="E70" t="s">
        <v>18</v>
      </c>
      <c r="F70" t="s">
        <v>13</v>
      </c>
    </row>
    <row r="71" spans="1:6">
      <c r="A71">
        <v>70</v>
      </c>
      <c r="B71">
        <v>63</v>
      </c>
      <c r="C71" t="s">
        <v>10</v>
      </c>
      <c r="D71" t="s">
        <v>11</v>
      </c>
      <c r="E71" t="s">
        <v>32</v>
      </c>
      <c r="F71" t="s">
        <v>9</v>
      </c>
    </row>
    <row r="72" spans="1:6">
      <c r="A72">
        <v>71</v>
      </c>
      <c r="B72">
        <v>50</v>
      </c>
      <c r="C72" t="s">
        <v>6</v>
      </c>
      <c r="D72" t="s">
        <v>7</v>
      </c>
      <c r="E72" t="s">
        <v>16</v>
      </c>
      <c r="F72" t="s">
        <v>13</v>
      </c>
    </row>
    <row r="73" spans="1:6">
      <c r="A73">
        <v>72</v>
      </c>
      <c r="B73">
        <v>35</v>
      </c>
      <c r="C73" t="s">
        <v>10</v>
      </c>
      <c r="D73" t="s">
        <v>15</v>
      </c>
      <c r="E73" t="s">
        <v>27</v>
      </c>
      <c r="F73" t="s">
        <v>13</v>
      </c>
    </row>
    <row r="74" spans="1:6">
      <c r="A74">
        <v>73</v>
      </c>
      <c r="B74">
        <v>78</v>
      </c>
      <c r="C74" t="s">
        <v>6</v>
      </c>
      <c r="D74" t="s">
        <v>7</v>
      </c>
      <c r="E74" t="s">
        <v>34</v>
      </c>
      <c r="F74" t="s">
        <v>9</v>
      </c>
    </row>
    <row r="75" spans="1:6">
      <c r="A75">
        <v>74</v>
      </c>
      <c r="B75">
        <v>46</v>
      </c>
      <c r="C75" t="s">
        <v>10</v>
      </c>
      <c r="D75" t="s">
        <v>17</v>
      </c>
      <c r="E75" t="s">
        <v>8</v>
      </c>
      <c r="F75" t="s">
        <v>13</v>
      </c>
    </row>
    <row r="76" spans="1:6">
      <c r="A76">
        <v>75</v>
      </c>
      <c r="B76">
        <v>30</v>
      </c>
      <c r="C76" t="s">
        <v>6</v>
      </c>
      <c r="D76" t="s">
        <v>19</v>
      </c>
      <c r="E76" t="s">
        <v>31</v>
      </c>
      <c r="F76" t="s">
        <v>13</v>
      </c>
    </row>
    <row r="77" spans="1:6">
      <c r="A77">
        <v>76</v>
      </c>
      <c r="B77">
        <v>67</v>
      </c>
      <c r="C77" t="s">
        <v>10</v>
      </c>
      <c r="D77" t="s">
        <v>7</v>
      </c>
      <c r="E77" t="s">
        <v>36</v>
      </c>
      <c r="F77" t="s">
        <v>9</v>
      </c>
    </row>
    <row r="78" spans="1:6">
      <c r="A78">
        <v>77</v>
      </c>
      <c r="B78">
        <v>42</v>
      </c>
      <c r="C78" t="s">
        <v>6</v>
      </c>
      <c r="D78" t="s">
        <v>15</v>
      </c>
      <c r="E78" t="s">
        <v>22</v>
      </c>
      <c r="F78" t="s">
        <v>13</v>
      </c>
    </row>
    <row r="79" spans="1:6">
      <c r="A79">
        <v>78</v>
      </c>
      <c r="B79">
        <v>54</v>
      </c>
      <c r="C79" t="s">
        <v>10</v>
      </c>
      <c r="D79" t="s">
        <v>7</v>
      </c>
      <c r="E79" t="s">
        <v>33</v>
      </c>
      <c r="F79" t="s">
        <v>9</v>
      </c>
    </row>
    <row r="80" spans="1:6">
      <c r="A80">
        <v>79</v>
      </c>
      <c r="B80">
        <v>38</v>
      </c>
      <c r="C80" t="s">
        <v>6</v>
      </c>
      <c r="D80" t="s">
        <v>21</v>
      </c>
      <c r="E80" t="s">
        <v>30</v>
      </c>
      <c r="F80" t="s">
        <v>13</v>
      </c>
    </row>
    <row r="81" spans="1:6">
      <c r="A81">
        <v>80</v>
      </c>
      <c r="B81">
        <v>70</v>
      </c>
      <c r="C81" t="s">
        <v>10</v>
      </c>
      <c r="D81" t="s">
        <v>7</v>
      </c>
      <c r="E81" t="s">
        <v>28</v>
      </c>
      <c r="F81" t="s">
        <v>9</v>
      </c>
    </row>
    <row r="82" spans="1:6">
      <c r="A82">
        <v>81</v>
      </c>
      <c r="B82">
        <v>29</v>
      </c>
      <c r="C82" t="s">
        <v>6</v>
      </c>
      <c r="D82" t="s">
        <v>15</v>
      </c>
      <c r="E82" t="s">
        <v>26</v>
      </c>
      <c r="F82" t="s">
        <v>13</v>
      </c>
    </row>
    <row r="83" spans="1:6">
      <c r="A83">
        <v>82</v>
      </c>
      <c r="B83">
        <v>62</v>
      </c>
      <c r="C83" t="s">
        <v>10</v>
      </c>
      <c r="D83" t="s">
        <v>7</v>
      </c>
      <c r="E83" t="s">
        <v>24</v>
      </c>
      <c r="F83" t="s">
        <v>9</v>
      </c>
    </row>
    <row r="84" spans="1:6">
      <c r="A84">
        <v>83</v>
      </c>
      <c r="B84">
        <v>48</v>
      </c>
      <c r="C84" t="s">
        <v>6</v>
      </c>
      <c r="D84" t="s">
        <v>17</v>
      </c>
      <c r="E84" t="s">
        <v>8</v>
      </c>
      <c r="F84" t="s">
        <v>13</v>
      </c>
    </row>
    <row r="85" spans="1:6">
      <c r="A85">
        <v>84</v>
      </c>
      <c r="B85">
        <v>26</v>
      </c>
      <c r="C85" t="s">
        <v>10</v>
      </c>
      <c r="D85" t="s">
        <v>19</v>
      </c>
      <c r="E85" t="s">
        <v>20</v>
      </c>
      <c r="F85" t="s">
        <v>13</v>
      </c>
    </row>
    <row r="86" spans="1:6">
      <c r="A86">
        <v>85</v>
      </c>
      <c r="B86">
        <v>74</v>
      </c>
      <c r="C86" t="s">
        <v>6</v>
      </c>
      <c r="D86" t="s">
        <v>7</v>
      </c>
      <c r="E86" t="s">
        <v>14</v>
      </c>
      <c r="F86" t="s">
        <v>9</v>
      </c>
    </row>
    <row r="87" spans="1:6">
      <c r="A87">
        <v>86</v>
      </c>
      <c r="B87">
        <v>37</v>
      </c>
      <c r="C87" t="s">
        <v>10</v>
      </c>
      <c r="D87" t="s">
        <v>15</v>
      </c>
      <c r="E87" t="s">
        <v>16</v>
      </c>
      <c r="F87" t="s">
        <v>13</v>
      </c>
    </row>
    <row r="88" spans="1:6">
      <c r="A88">
        <v>87</v>
      </c>
      <c r="B88">
        <v>59</v>
      </c>
      <c r="C88" t="s">
        <v>6</v>
      </c>
      <c r="D88" t="s">
        <v>7</v>
      </c>
      <c r="E88" t="s">
        <v>18</v>
      </c>
      <c r="F88" t="s">
        <v>9</v>
      </c>
    </row>
    <row r="89" spans="1:6">
      <c r="A89">
        <v>88</v>
      </c>
      <c r="B89">
        <v>41</v>
      </c>
      <c r="C89" t="s">
        <v>10</v>
      </c>
      <c r="D89" t="s">
        <v>11</v>
      </c>
      <c r="E89" t="s">
        <v>32</v>
      </c>
      <c r="F89" t="s">
        <v>13</v>
      </c>
    </row>
    <row r="90" spans="1:6">
      <c r="A90">
        <v>89</v>
      </c>
      <c r="B90">
        <v>65</v>
      </c>
      <c r="C90" t="s">
        <v>6</v>
      </c>
      <c r="D90" t="s">
        <v>7</v>
      </c>
      <c r="E90" t="s">
        <v>22</v>
      </c>
      <c r="F90" t="s">
        <v>9</v>
      </c>
    </row>
    <row r="91" spans="1:6">
      <c r="A91">
        <v>90</v>
      </c>
      <c r="B91">
        <v>34</v>
      </c>
      <c r="C91" t="s">
        <v>10</v>
      </c>
      <c r="D91" t="s">
        <v>17</v>
      </c>
      <c r="E91" t="s">
        <v>27</v>
      </c>
      <c r="F91" t="s">
        <v>13</v>
      </c>
    </row>
    <row r="92" spans="1:6">
      <c r="A92">
        <v>91</v>
      </c>
      <c r="B92">
        <v>77</v>
      </c>
      <c r="C92" t="s">
        <v>6</v>
      </c>
      <c r="D92" t="s">
        <v>7</v>
      </c>
      <c r="E92" t="s">
        <v>34</v>
      </c>
      <c r="F92" t="s">
        <v>9</v>
      </c>
    </row>
    <row r="93" spans="1:6">
      <c r="A93">
        <v>92</v>
      </c>
      <c r="B93">
        <v>45</v>
      </c>
      <c r="C93" t="s">
        <v>10</v>
      </c>
      <c r="D93" t="s">
        <v>15</v>
      </c>
      <c r="E93" t="s">
        <v>8</v>
      </c>
      <c r="F93" t="s">
        <v>13</v>
      </c>
    </row>
    <row r="94" spans="1:6">
      <c r="A94">
        <v>93</v>
      </c>
      <c r="B94">
        <v>28</v>
      </c>
      <c r="C94" t="s">
        <v>6</v>
      </c>
      <c r="D94" t="s">
        <v>7</v>
      </c>
      <c r="E94" t="s">
        <v>31</v>
      </c>
      <c r="F94" t="s">
        <v>13</v>
      </c>
    </row>
    <row r="95" spans="1:6">
      <c r="A95">
        <v>94</v>
      </c>
      <c r="B95">
        <v>69</v>
      </c>
      <c r="C95" t="s">
        <v>10</v>
      </c>
      <c r="D95" t="s">
        <v>7</v>
      </c>
      <c r="E95" t="s">
        <v>36</v>
      </c>
      <c r="F95" t="s">
        <v>9</v>
      </c>
    </row>
    <row r="96" spans="1:6">
      <c r="A96">
        <v>95</v>
      </c>
      <c r="B96">
        <v>32</v>
      </c>
      <c r="C96" t="s">
        <v>6</v>
      </c>
      <c r="D96" t="s">
        <v>21</v>
      </c>
      <c r="E96" t="s">
        <v>16</v>
      </c>
      <c r="F96" t="s">
        <v>13</v>
      </c>
    </row>
    <row r="97" spans="1:6">
      <c r="A97">
        <v>96</v>
      </c>
      <c r="B97">
        <v>57</v>
      </c>
      <c r="C97" t="s">
        <v>10</v>
      </c>
      <c r="D97" t="s">
        <v>7</v>
      </c>
      <c r="E97" t="s">
        <v>33</v>
      </c>
      <c r="F97" t="s">
        <v>9</v>
      </c>
    </row>
    <row r="98" spans="1:6">
      <c r="A98">
        <v>97</v>
      </c>
      <c r="B98">
        <v>40</v>
      </c>
      <c r="C98" t="s">
        <v>6</v>
      </c>
      <c r="D98" t="s">
        <v>15</v>
      </c>
      <c r="E98" t="s">
        <v>30</v>
      </c>
      <c r="F98" t="s">
        <v>13</v>
      </c>
    </row>
    <row r="99" spans="1:6">
      <c r="A99">
        <v>98</v>
      </c>
      <c r="B99">
        <v>73</v>
      </c>
      <c r="C99" t="s">
        <v>10</v>
      </c>
      <c r="D99" t="s">
        <v>7</v>
      </c>
      <c r="E99" t="s">
        <v>28</v>
      </c>
      <c r="F99" t="s">
        <v>9</v>
      </c>
    </row>
    <row r="100" spans="1:6">
      <c r="A100">
        <v>99</v>
      </c>
      <c r="B100">
        <v>36</v>
      </c>
      <c r="C100" t="s">
        <v>6</v>
      </c>
      <c r="D100" t="s">
        <v>17</v>
      </c>
      <c r="E100" t="s">
        <v>26</v>
      </c>
      <c r="F100" t="s">
        <v>13</v>
      </c>
    </row>
    <row r="101" spans="1:6">
      <c r="A101">
        <v>100</v>
      </c>
      <c r="B101">
        <v>81</v>
      </c>
      <c r="C101" t="s">
        <v>10</v>
      </c>
      <c r="D101" t="s">
        <v>7</v>
      </c>
      <c r="E101" t="s">
        <v>24</v>
      </c>
      <c r="F101" t="s">
        <v>9</v>
      </c>
    </row>
    <row r="102" spans="1:6">
      <c r="A102">
        <v>101</v>
      </c>
      <c r="B102">
        <v>52</v>
      </c>
      <c r="C102" t="s">
        <v>6</v>
      </c>
      <c r="D102" t="s">
        <v>7</v>
      </c>
      <c r="E102" t="s">
        <v>8</v>
      </c>
      <c r="F102" t="s">
        <v>9</v>
      </c>
    </row>
    <row r="103" spans="1:6">
      <c r="A103">
        <v>102</v>
      </c>
      <c r="B103">
        <v>34</v>
      </c>
      <c r="C103" t="s">
        <v>10</v>
      </c>
      <c r="D103" t="s">
        <v>15</v>
      </c>
      <c r="E103" t="s">
        <v>24</v>
      </c>
      <c r="F103" t="s">
        <v>13</v>
      </c>
    </row>
    <row r="104" spans="1:6">
      <c r="A104">
        <v>103</v>
      </c>
      <c r="B104">
        <v>76</v>
      </c>
      <c r="C104" t="s">
        <v>6</v>
      </c>
      <c r="D104" t="s">
        <v>7</v>
      </c>
      <c r="E104" t="s">
        <v>26</v>
      </c>
      <c r="F104" t="s">
        <v>9</v>
      </c>
    </row>
    <row r="105" spans="1:6">
      <c r="A105">
        <v>104</v>
      </c>
      <c r="B105">
        <v>29</v>
      </c>
      <c r="C105" t="s">
        <v>10</v>
      </c>
      <c r="D105" t="s">
        <v>11</v>
      </c>
      <c r="E105" t="s">
        <v>22</v>
      </c>
      <c r="F105" t="s">
        <v>13</v>
      </c>
    </row>
    <row r="106" spans="1:6">
      <c r="A106">
        <v>105</v>
      </c>
      <c r="B106">
        <v>63</v>
      </c>
      <c r="C106" t="s">
        <v>6</v>
      </c>
      <c r="D106" t="s">
        <v>17</v>
      </c>
      <c r="E106" t="s">
        <v>34</v>
      </c>
      <c r="F106" t="s">
        <v>9</v>
      </c>
    </row>
    <row r="107" spans="1:6">
      <c r="A107">
        <v>106</v>
      </c>
      <c r="B107">
        <v>45</v>
      </c>
      <c r="C107" t="s">
        <v>10</v>
      </c>
      <c r="D107" t="s">
        <v>7</v>
      </c>
      <c r="E107" t="s">
        <v>20</v>
      </c>
      <c r="F107" t="s">
        <v>13</v>
      </c>
    </row>
    <row r="108" spans="1:6">
      <c r="A108">
        <v>107</v>
      </c>
      <c r="B108">
        <v>58</v>
      </c>
      <c r="C108" t="s">
        <v>6</v>
      </c>
      <c r="D108" t="s">
        <v>15</v>
      </c>
      <c r="E108" t="s">
        <v>16</v>
      </c>
      <c r="F108" t="s">
        <v>9</v>
      </c>
    </row>
    <row r="109" spans="1:6">
      <c r="A109">
        <v>108</v>
      </c>
      <c r="B109">
        <v>33</v>
      </c>
      <c r="C109" t="s">
        <v>10</v>
      </c>
      <c r="D109" t="s">
        <v>19</v>
      </c>
      <c r="E109" t="s">
        <v>30</v>
      </c>
      <c r="F109" t="s">
        <v>13</v>
      </c>
    </row>
    <row r="110" spans="1:6">
      <c r="A110">
        <v>109</v>
      </c>
      <c r="B110">
        <v>71</v>
      </c>
      <c r="C110" t="s">
        <v>6</v>
      </c>
      <c r="D110" t="s">
        <v>7</v>
      </c>
      <c r="E110" t="s">
        <v>18</v>
      </c>
      <c r="F110" t="s">
        <v>9</v>
      </c>
    </row>
    <row r="111" spans="1:6">
      <c r="A111">
        <v>110</v>
      </c>
      <c r="B111">
        <v>27</v>
      </c>
      <c r="C111" t="s">
        <v>10</v>
      </c>
      <c r="D111" t="s">
        <v>21</v>
      </c>
      <c r="E111" t="s">
        <v>28</v>
      </c>
      <c r="F111" t="s">
        <v>13</v>
      </c>
    </row>
    <row r="112" spans="1:6">
      <c r="A112">
        <v>111</v>
      </c>
      <c r="B112">
        <v>54</v>
      </c>
      <c r="C112" t="s">
        <v>6</v>
      </c>
      <c r="D112" t="s">
        <v>7</v>
      </c>
      <c r="E112" t="s">
        <v>32</v>
      </c>
      <c r="F112" t="s">
        <v>9</v>
      </c>
    </row>
    <row r="113" spans="1:6">
      <c r="A113">
        <v>112</v>
      </c>
      <c r="B113">
        <v>39</v>
      </c>
      <c r="C113" t="s">
        <v>10</v>
      </c>
      <c r="D113" t="s">
        <v>15</v>
      </c>
      <c r="E113" t="s">
        <v>27</v>
      </c>
      <c r="F113" t="s">
        <v>13</v>
      </c>
    </row>
    <row r="114" spans="1:6">
      <c r="A114">
        <v>113</v>
      </c>
      <c r="B114">
        <v>66</v>
      </c>
      <c r="C114" t="s">
        <v>6</v>
      </c>
      <c r="D114" t="s">
        <v>7</v>
      </c>
      <c r="E114" t="s">
        <v>22</v>
      </c>
      <c r="F114" t="s">
        <v>9</v>
      </c>
    </row>
    <row r="115" spans="1:6">
      <c r="A115">
        <v>114</v>
      </c>
      <c r="B115">
        <v>31</v>
      </c>
      <c r="C115" t="s">
        <v>10</v>
      </c>
      <c r="D115" t="s">
        <v>17</v>
      </c>
      <c r="E115" t="s">
        <v>36</v>
      </c>
      <c r="F115" t="s">
        <v>13</v>
      </c>
    </row>
    <row r="116" spans="1:6">
      <c r="A116">
        <v>115</v>
      </c>
      <c r="B116">
        <v>78</v>
      </c>
      <c r="C116" t="s">
        <v>6</v>
      </c>
      <c r="D116" t="s">
        <v>7</v>
      </c>
      <c r="E116" t="s">
        <v>31</v>
      </c>
      <c r="F116" t="s">
        <v>9</v>
      </c>
    </row>
    <row r="117" spans="1:6">
      <c r="A117">
        <v>116</v>
      </c>
      <c r="B117">
        <v>42</v>
      </c>
      <c r="C117" t="s">
        <v>10</v>
      </c>
      <c r="D117" t="s">
        <v>11</v>
      </c>
      <c r="E117" t="s">
        <v>8</v>
      </c>
      <c r="F117" t="s">
        <v>13</v>
      </c>
    </row>
    <row r="118" spans="1:6">
      <c r="A118">
        <v>117</v>
      </c>
      <c r="B118">
        <v>57</v>
      </c>
      <c r="C118" t="s">
        <v>6</v>
      </c>
      <c r="D118" t="s">
        <v>7</v>
      </c>
      <c r="E118" t="s">
        <v>24</v>
      </c>
      <c r="F118" t="s">
        <v>9</v>
      </c>
    </row>
    <row r="119" spans="1:6">
      <c r="A119">
        <v>118</v>
      </c>
      <c r="B119">
        <v>36</v>
      </c>
      <c r="C119" t="s">
        <v>10</v>
      </c>
      <c r="D119" t="s">
        <v>15</v>
      </c>
      <c r="E119" t="s">
        <v>33</v>
      </c>
      <c r="F119" t="s">
        <v>13</v>
      </c>
    </row>
    <row r="120" spans="1:6">
      <c r="A120">
        <v>119</v>
      </c>
      <c r="B120">
        <v>69</v>
      </c>
      <c r="C120" t="s">
        <v>6</v>
      </c>
      <c r="D120" t="s">
        <v>7</v>
      </c>
      <c r="E120" t="s">
        <v>16</v>
      </c>
      <c r="F120" t="s">
        <v>9</v>
      </c>
    </row>
    <row r="121" spans="1:6">
      <c r="A121">
        <v>120</v>
      </c>
      <c r="B121">
        <v>25</v>
      </c>
      <c r="C121" t="s">
        <v>10</v>
      </c>
      <c r="D121" t="s">
        <v>19</v>
      </c>
      <c r="E121" t="s">
        <v>14</v>
      </c>
      <c r="F121" t="s">
        <v>13</v>
      </c>
    </row>
    <row r="122" spans="1:6">
      <c r="A122">
        <v>121</v>
      </c>
      <c r="B122">
        <v>62</v>
      </c>
      <c r="C122" t="s">
        <v>6</v>
      </c>
      <c r="D122" t="s">
        <v>17</v>
      </c>
      <c r="E122" t="s">
        <v>35</v>
      </c>
      <c r="F122" t="s">
        <v>9</v>
      </c>
    </row>
    <row r="123" spans="1:6">
      <c r="A123">
        <v>122</v>
      </c>
      <c r="B123">
        <v>48</v>
      </c>
      <c r="C123" t="s">
        <v>10</v>
      </c>
      <c r="D123" t="s">
        <v>7</v>
      </c>
      <c r="E123" t="s">
        <v>22</v>
      </c>
      <c r="F123" t="s">
        <v>13</v>
      </c>
    </row>
    <row r="124" spans="1:6">
      <c r="A124">
        <v>123</v>
      </c>
      <c r="B124">
        <v>30</v>
      </c>
      <c r="C124" t="s">
        <v>6</v>
      </c>
      <c r="D124" t="s">
        <v>15</v>
      </c>
      <c r="E124" t="s">
        <v>30</v>
      </c>
      <c r="F124" t="s">
        <v>13</v>
      </c>
    </row>
    <row r="125" spans="1:6">
      <c r="A125">
        <v>124</v>
      </c>
      <c r="B125">
        <v>75</v>
      </c>
      <c r="C125" t="s">
        <v>10</v>
      </c>
      <c r="D125" t="s">
        <v>7</v>
      </c>
      <c r="E125" t="s">
        <v>20</v>
      </c>
      <c r="F125" t="s">
        <v>9</v>
      </c>
    </row>
    <row r="126" spans="1:6">
      <c r="A126">
        <v>125</v>
      </c>
      <c r="B126">
        <v>41</v>
      </c>
      <c r="C126" t="s">
        <v>6</v>
      </c>
      <c r="D126" t="s">
        <v>21</v>
      </c>
      <c r="E126" t="s">
        <v>28</v>
      </c>
      <c r="F126" t="s">
        <v>13</v>
      </c>
    </row>
    <row r="127" spans="1:6">
      <c r="A127">
        <v>126</v>
      </c>
      <c r="B127">
        <v>59</v>
      </c>
      <c r="C127" t="s">
        <v>10</v>
      </c>
      <c r="D127" t="s">
        <v>7</v>
      </c>
      <c r="E127" t="s">
        <v>32</v>
      </c>
      <c r="F127" t="s">
        <v>9</v>
      </c>
    </row>
    <row r="128" spans="1:6">
      <c r="A128">
        <v>127</v>
      </c>
      <c r="B128">
        <v>38</v>
      </c>
      <c r="C128" t="s">
        <v>6</v>
      </c>
      <c r="D128" t="s">
        <v>15</v>
      </c>
      <c r="E128" t="s">
        <v>18</v>
      </c>
      <c r="F128" t="s">
        <v>13</v>
      </c>
    </row>
    <row r="129" spans="1:6">
      <c r="A129">
        <v>128</v>
      </c>
      <c r="B129">
        <v>73</v>
      </c>
      <c r="C129" t="s">
        <v>10</v>
      </c>
      <c r="D129" t="s">
        <v>7</v>
      </c>
      <c r="E129" t="s">
        <v>16</v>
      </c>
      <c r="F129" t="s">
        <v>9</v>
      </c>
    </row>
    <row r="130" spans="1:6">
      <c r="A130">
        <v>129</v>
      </c>
      <c r="B130">
        <v>28</v>
      </c>
      <c r="C130" t="s">
        <v>6</v>
      </c>
      <c r="D130" t="s">
        <v>17</v>
      </c>
      <c r="E130" t="s">
        <v>36</v>
      </c>
      <c r="F130" t="s">
        <v>13</v>
      </c>
    </row>
    <row r="131" spans="1:6">
      <c r="A131">
        <v>130</v>
      </c>
      <c r="B131">
        <v>64</v>
      </c>
      <c r="C131" t="s">
        <v>10</v>
      </c>
      <c r="D131" t="s">
        <v>7</v>
      </c>
      <c r="E131" t="s">
        <v>27</v>
      </c>
      <c r="F131" t="s">
        <v>9</v>
      </c>
    </row>
    <row r="132" spans="1:6">
      <c r="A132">
        <v>131</v>
      </c>
      <c r="B132">
        <v>47</v>
      </c>
      <c r="C132" t="s">
        <v>6</v>
      </c>
      <c r="D132" t="s">
        <v>15</v>
      </c>
      <c r="E132" t="s">
        <v>8</v>
      </c>
      <c r="F132" t="s">
        <v>13</v>
      </c>
    </row>
    <row r="133" spans="1:6">
      <c r="A133">
        <v>132</v>
      </c>
      <c r="B133">
        <v>26</v>
      </c>
      <c r="C133" t="s">
        <v>10</v>
      </c>
      <c r="D133" t="s">
        <v>19</v>
      </c>
      <c r="E133" t="s">
        <v>24</v>
      </c>
      <c r="F133" t="s">
        <v>13</v>
      </c>
    </row>
    <row r="134" spans="1:6">
      <c r="A134">
        <v>133</v>
      </c>
      <c r="B134">
        <v>70</v>
      </c>
      <c r="C134" t="s">
        <v>6</v>
      </c>
      <c r="D134" t="s">
        <v>7</v>
      </c>
      <c r="E134" t="s">
        <v>31</v>
      </c>
      <c r="F134" t="s">
        <v>9</v>
      </c>
    </row>
    <row r="135" spans="1:6">
      <c r="A135">
        <v>134</v>
      </c>
      <c r="B135">
        <v>35</v>
      </c>
      <c r="C135" t="s">
        <v>10</v>
      </c>
      <c r="D135" t="s">
        <v>11</v>
      </c>
      <c r="E135" t="s">
        <v>22</v>
      </c>
      <c r="F135" t="s">
        <v>13</v>
      </c>
    </row>
    <row r="136" spans="1:6">
      <c r="A136">
        <v>135</v>
      </c>
      <c r="B136">
        <v>61</v>
      </c>
      <c r="C136" t="s">
        <v>6</v>
      </c>
      <c r="D136" t="s">
        <v>7</v>
      </c>
      <c r="E136" t="s">
        <v>34</v>
      </c>
      <c r="F136" t="s">
        <v>9</v>
      </c>
    </row>
    <row r="137" spans="1:6">
      <c r="A137">
        <v>136</v>
      </c>
      <c r="B137">
        <v>44</v>
      </c>
      <c r="C137" t="s">
        <v>10</v>
      </c>
      <c r="D137" t="s">
        <v>15</v>
      </c>
      <c r="E137" t="s">
        <v>33</v>
      </c>
      <c r="F137" t="s">
        <v>13</v>
      </c>
    </row>
    <row r="138" spans="1:6">
      <c r="A138">
        <v>137</v>
      </c>
      <c r="B138">
        <v>79</v>
      </c>
      <c r="C138" t="s">
        <v>6</v>
      </c>
      <c r="D138" t="s">
        <v>7</v>
      </c>
      <c r="E138" t="s">
        <v>16</v>
      </c>
      <c r="F138" t="s">
        <v>9</v>
      </c>
    </row>
    <row r="139" spans="1:6">
      <c r="A139">
        <v>138</v>
      </c>
      <c r="B139">
        <v>32</v>
      </c>
      <c r="C139" t="s">
        <v>10</v>
      </c>
      <c r="D139" t="s">
        <v>17</v>
      </c>
      <c r="E139" t="s">
        <v>30</v>
      </c>
      <c r="F139" t="s">
        <v>13</v>
      </c>
    </row>
    <row r="140" spans="1:6">
      <c r="A140">
        <v>139</v>
      </c>
      <c r="B140">
        <v>56</v>
      </c>
      <c r="C140" t="s">
        <v>6</v>
      </c>
      <c r="D140" t="s">
        <v>7</v>
      </c>
      <c r="E140" t="s">
        <v>18</v>
      </c>
      <c r="F140" t="s">
        <v>9</v>
      </c>
    </row>
    <row r="141" spans="1:6">
      <c r="A141">
        <v>140</v>
      </c>
      <c r="B141">
        <v>40</v>
      </c>
      <c r="C141" t="s">
        <v>10</v>
      </c>
      <c r="D141" t="s">
        <v>15</v>
      </c>
      <c r="E141" t="s">
        <v>28</v>
      </c>
      <c r="F141" t="s">
        <v>13</v>
      </c>
    </row>
    <row r="142" spans="1:6">
      <c r="A142">
        <v>141</v>
      </c>
      <c r="B142">
        <v>68</v>
      </c>
      <c r="C142" t="s">
        <v>6</v>
      </c>
      <c r="D142" t="s">
        <v>7</v>
      </c>
      <c r="E142" t="s">
        <v>36</v>
      </c>
      <c r="F142" t="s">
        <v>9</v>
      </c>
    </row>
    <row r="143" spans="1:6">
      <c r="A143">
        <v>142</v>
      </c>
      <c r="B143">
        <v>29</v>
      </c>
      <c r="C143" t="s">
        <v>10</v>
      </c>
      <c r="D143" t="s">
        <v>21</v>
      </c>
      <c r="E143" t="s">
        <v>20</v>
      </c>
      <c r="F143" t="s">
        <v>13</v>
      </c>
    </row>
    <row r="144" spans="1:6">
      <c r="A144">
        <v>143</v>
      </c>
      <c r="B144">
        <v>53</v>
      </c>
      <c r="C144" t="s">
        <v>6</v>
      </c>
      <c r="D144" t="s">
        <v>7</v>
      </c>
      <c r="E144" t="s">
        <v>22</v>
      </c>
      <c r="F144" t="s">
        <v>9</v>
      </c>
    </row>
    <row r="145" spans="1:6">
      <c r="A145">
        <v>144</v>
      </c>
      <c r="B145">
        <v>37</v>
      </c>
      <c r="C145" t="s">
        <v>10</v>
      </c>
      <c r="D145" t="s">
        <v>15</v>
      </c>
      <c r="E145" t="s">
        <v>14</v>
      </c>
      <c r="F145" t="s">
        <v>13</v>
      </c>
    </row>
    <row r="146" spans="1:6">
      <c r="A146">
        <v>145</v>
      </c>
      <c r="B146">
        <v>74</v>
      </c>
      <c r="C146" t="s">
        <v>6</v>
      </c>
      <c r="D146" t="s">
        <v>7</v>
      </c>
      <c r="E146" t="s">
        <v>35</v>
      </c>
      <c r="F146" t="s">
        <v>9</v>
      </c>
    </row>
    <row r="147" spans="1:6">
      <c r="A147">
        <v>146</v>
      </c>
      <c r="B147">
        <v>33</v>
      </c>
      <c r="C147" t="s">
        <v>10</v>
      </c>
      <c r="D147" t="s">
        <v>17</v>
      </c>
      <c r="E147" t="s">
        <v>8</v>
      </c>
      <c r="F147" t="s">
        <v>13</v>
      </c>
    </row>
    <row r="148" spans="1:6">
      <c r="A148">
        <v>147</v>
      </c>
      <c r="B148">
        <v>58</v>
      </c>
      <c r="C148" t="s">
        <v>6</v>
      </c>
      <c r="D148" t="s">
        <v>7</v>
      </c>
      <c r="E148" t="s">
        <v>24</v>
      </c>
      <c r="F148" t="s">
        <v>9</v>
      </c>
    </row>
    <row r="149" spans="1:6">
      <c r="A149">
        <v>148</v>
      </c>
      <c r="B149">
        <v>41</v>
      </c>
      <c r="C149" t="s">
        <v>10</v>
      </c>
      <c r="D149" t="s">
        <v>15</v>
      </c>
      <c r="E149" t="s">
        <v>27</v>
      </c>
      <c r="F149" t="s">
        <v>13</v>
      </c>
    </row>
    <row r="150" spans="1:6">
      <c r="A150">
        <v>149</v>
      </c>
      <c r="B150">
        <v>72</v>
      </c>
      <c r="C150" t="s">
        <v>6</v>
      </c>
      <c r="D150" t="s">
        <v>7</v>
      </c>
      <c r="E150" t="s">
        <v>16</v>
      </c>
      <c r="F150" t="s">
        <v>9</v>
      </c>
    </row>
    <row r="151" spans="1:6">
      <c r="A151">
        <v>150</v>
      </c>
      <c r="B151">
        <v>30</v>
      </c>
      <c r="C151" t="s">
        <v>10</v>
      </c>
      <c r="D151" t="s">
        <v>19</v>
      </c>
      <c r="E151" t="s">
        <v>32</v>
      </c>
      <c r="F151" t="s">
        <v>13</v>
      </c>
    </row>
    <row r="152" spans="1:6">
      <c r="A152">
        <v>151</v>
      </c>
      <c r="B152">
        <v>63</v>
      </c>
      <c r="C152" t="s">
        <v>6</v>
      </c>
      <c r="D152" t="s">
        <v>17</v>
      </c>
      <c r="E152" t="s">
        <v>31</v>
      </c>
      <c r="F152" t="s">
        <v>9</v>
      </c>
    </row>
    <row r="153" spans="1:6">
      <c r="A153">
        <v>152</v>
      </c>
      <c r="B153">
        <v>46</v>
      </c>
      <c r="C153" t="s">
        <v>10</v>
      </c>
      <c r="D153" t="s">
        <v>7</v>
      </c>
      <c r="E153" t="s">
        <v>28</v>
      </c>
      <c r="F153" t="s">
        <v>13</v>
      </c>
    </row>
    <row r="154" spans="1:6">
      <c r="A154">
        <v>153</v>
      </c>
      <c r="B154">
        <v>27</v>
      </c>
      <c r="C154" t="s">
        <v>6</v>
      </c>
      <c r="D154" t="s">
        <v>15</v>
      </c>
      <c r="E154" t="s">
        <v>30</v>
      </c>
      <c r="F154" t="s">
        <v>13</v>
      </c>
    </row>
    <row r="155" spans="1:6">
      <c r="A155">
        <v>154</v>
      </c>
      <c r="B155">
        <v>77</v>
      </c>
      <c r="C155" t="s">
        <v>10</v>
      </c>
      <c r="D155" t="s">
        <v>7</v>
      </c>
      <c r="E155" t="s">
        <v>33</v>
      </c>
      <c r="F155" t="s">
        <v>9</v>
      </c>
    </row>
    <row r="156" spans="1:6">
      <c r="A156">
        <v>155</v>
      </c>
      <c r="B156">
        <v>39</v>
      </c>
      <c r="C156" t="s">
        <v>6</v>
      </c>
      <c r="D156" t="s">
        <v>11</v>
      </c>
      <c r="E156" t="s">
        <v>22</v>
      </c>
      <c r="F156" t="s">
        <v>13</v>
      </c>
    </row>
    <row r="157" spans="1:6">
      <c r="A157">
        <v>156</v>
      </c>
      <c r="B157">
        <v>55</v>
      </c>
      <c r="C157" t="s">
        <v>10</v>
      </c>
      <c r="D157" t="s">
        <v>7</v>
      </c>
      <c r="E157" t="s">
        <v>34</v>
      </c>
      <c r="F157" t="s">
        <v>9</v>
      </c>
    </row>
    <row r="158" spans="1:6">
      <c r="A158">
        <v>157</v>
      </c>
      <c r="B158">
        <v>34</v>
      </c>
      <c r="C158" t="s">
        <v>6</v>
      </c>
      <c r="D158" t="s">
        <v>15</v>
      </c>
      <c r="E158" t="s">
        <v>18</v>
      </c>
      <c r="F158" t="s">
        <v>13</v>
      </c>
    </row>
    <row r="159" spans="1:6">
      <c r="A159">
        <v>158</v>
      </c>
      <c r="B159">
        <v>69</v>
      </c>
      <c r="C159" t="s">
        <v>10</v>
      </c>
      <c r="D159" t="s">
        <v>7</v>
      </c>
      <c r="E159" t="s">
        <v>16</v>
      </c>
      <c r="F159" t="s">
        <v>9</v>
      </c>
    </row>
    <row r="160" spans="1:6">
      <c r="A160">
        <v>159</v>
      </c>
      <c r="B160">
        <v>31</v>
      </c>
      <c r="C160" t="s">
        <v>6</v>
      </c>
      <c r="D160" t="s">
        <v>17</v>
      </c>
      <c r="E160" t="s">
        <v>36</v>
      </c>
      <c r="F160" t="s">
        <v>13</v>
      </c>
    </row>
    <row r="161" spans="1:6">
      <c r="A161">
        <v>160</v>
      </c>
      <c r="B161">
        <v>80</v>
      </c>
      <c r="C161" t="s">
        <v>10</v>
      </c>
      <c r="D161" t="s">
        <v>7</v>
      </c>
      <c r="E161" t="s">
        <v>20</v>
      </c>
      <c r="F161" t="s">
        <v>9</v>
      </c>
    </row>
    <row r="162" spans="1:6">
      <c r="A162">
        <v>161</v>
      </c>
      <c r="B162">
        <v>43</v>
      </c>
      <c r="C162" t="s">
        <v>6</v>
      </c>
      <c r="D162" t="s">
        <v>15</v>
      </c>
      <c r="E162" t="s">
        <v>8</v>
      </c>
      <c r="F162" t="s">
        <v>13</v>
      </c>
    </row>
    <row r="163" spans="1:6">
      <c r="A163">
        <v>162</v>
      </c>
      <c r="B163">
        <v>24</v>
      </c>
      <c r="C163" t="s">
        <v>10</v>
      </c>
      <c r="D163" t="s">
        <v>7</v>
      </c>
      <c r="E163" t="s">
        <v>24</v>
      </c>
      <c r="F163" t="s">
        <v>13</v>
      </c>
    </row>
    <row r="164" spans="1:6">
      <c r="A164">
        <v>163</v>
      </c>
      <c r="B164">
        <v>60</v>
      </c>
      <c r="C164" t="s">
        <v>6</v>
      </c>
      <c r="D164" t="s">
        <v>21</v>
      </c>
      <c r="E164" t="s">
        <v>26</v>
      </c>
      <c r="F164" t="s">
        <v>9</v>
      </c>
    </row>
    <row r="165" spans="1:6">
      <c r="A165">
        <v>164</v>
      </c>
      <c r="B165">
        <v>38</v>
      </c>
      <c r="C165" t="s">
        <v>10</v>
      </c>
      <c r="D165" t="s">
        <v>7</v>
      </c>
      <c r="E165" t="s">
        <v>22</v>
      </c>
      <c r="F165" t="s">
        <v>13</v>
      </c>
    </row>
    <row r="166" spans="1:6">
      <c r="A166">
        <v>165</v>
      </c>
      <c r="B166">
        <v>57</v>
      </c>
      <c r="C166" t="s">
        <v>6</v>
      </c>
      <c r="D166" t="s">
        <v>15</v>
      </c>
      <c r="E166" t="s">
        <v>32</v>
      </c>
      <c r="F166" t="s">
        <v>9</v>
      </c>
    </row>
    <row r="167" spans="1:6">
      <c r="A167">
        <v>166</v>
      </c>
      <c r="B167">
        <v>29</v>
      </c>
      <c r="C167" t="s">
        <v>10</v>
      </c>
      <c r="D167" t="s">
        <v>19</v>
      </c>
      <c r="E167" t="s">
        <v>27</v>
      </c>
      <c r="F167" t="s">
        <v>13</v>
      </c>
    </row>
    <row r="168" spans="1:6">
      <c r="A168">
        <v>167</v>
      </c>
      <c r="B168">
        <v>73</v>
      </c>
      <c r="C168" t="s">
        <v>6</v>
      </c>
      <c r="D168" t="s">
        <v>7</v>
      </c>
      <c r="E168" t="s">
        <v>16</v>
      </c>
      <c r="F168" t="s">
        <v>9</v>
      </c>
    </row>
    <row r="169" spans="1:6">
      <c r="A169">
        <v>168</v>
      </c>
      <c r="B169">
        <v>45</v>
      </c>
      <c r="C169" t="s">
        <v>10</v>
      </c>
      <c r="D169" t="s">
        <v>17</v>
      </c>
      <c r="E169" t="s">
        <v>30</v>
      </c>
      <c r="F169" t="s">
        <v>13</v>
      </c>
    </row>
    <row r="170" spans="1:6">
      <c r="A170">
        <v>169</v>
      </c>
      <c r="B170">
        <v>36</v>
      </c>
      <c r="C170" t="s">
        <v>6</v>
      </c>
      <c r="D170" t="s">
        <v>7</v>
      </c>
      <c r="E170" t="s">
        <v>31</v>
      </c>
      <c r="F170" t="s">
        <v>13</v>
      </c>
    </row>
    <row r="171" spans="1:6">
      <c r="A171">
        <v>170</v>
      </c>
      <c r="B171">
        <v>67</v>
      </c>
      <c r="C171" t="s">
        <v>10</v>
      </c>
      <c r="D171" t="s">
        <v>7</v>
      </c>
      <c r="E171" t="s">
        <v>28</v>
      </c>
      <c r="F171" t="s">
        <v>9</v>
      </c>
    </row>
    <row r="172" spans="1:6">
      <c r="A172">
        <v>171</v>
      </c>
      <c r="B172">
        <v>32</v>
      </c>
      <c r="C172" t="s">
        <v>6</v>
      </c>
      <c r="D172" t="s">
        <v>15</v>
      </c>
      <c r="E172" t="s">
        <v>34</v>
      </c>
      <c r="F172" t="s">
        <v>13</v>
      </c>
    </row>
    <row r="173" spans="1:6">
      <c r="A173">
        <v>172</v>
      </c>
      <c r="B173">
        <v>59</v>
      </c>
      <c r="C173" t="s">
        <v>10</v>
      </c>
      <c r="D173" t="s">
        <v>7</v>
      </c>
      <c r="E173" t="s">
        <v>33</v>
      </c>
      <c r="F173" t="s">
        <v>9</v>
      </c>
    </row>
    <row r="174" spans="1:6">
      <c r="A174">
        <v>173</v>
      </c>
      <c r="B174">
        <v>40</v>
      </c>
      <c r="C174" t="s">
        <v>6</v>
      </c>
      <c r="D174" t="s">
        <v>11</v>
      </c>
      <c r="E174" t="s">
        <v>22</v>
      </c>
      <c r="F174" t="s">
        <v>13</v>
      </c>
    </row>
    <row r="175" spans="1:6">
      <c r="A175">
        <v>174</v>
      </c>
      <c r="B175">
        <v>75</v>
      </c>
      <c r="C175" t="s">
        <v>10</v>
      </c>
      <c r="D175" t="s">
        <v>7</v>
      </c>
      <c r="E175" t="s">
        <v>36</v>
      </c>
      <c r="F175" t="s">
        <v>9</v>
      </c>
    </row>
    <row r="176" spans="1:6">
      <c r="A176">
        <v>175</v>
      </c>
      <c r="B176">
        <v>28</v>
      </c>
      <c r="C176" t="s">
        <v>6</v>
      </c>
      <c r="D176" t="s">
        <v>15</v>
      </c>
      <c r="E176" t="s">
        <v>18</v>
      </c>
      <c r="F176" t="s">
        <v>13</v>
      </c>
    </row>
    <row r="177" spans="1:6">
      <c r="A177">
        <v>176</v>
      </c>
      <c r="B177">
        <v>62</v>
      </c>
      <c r="C177" t="s">
        <v>10</v>
      </c>
      <c r="D177" t="s">
        <v>7</v>
      </c>
      <c r="E177" t="s">
        <v>16</v>
      </c>
      <c r="F177" t="s">
        <v>9</v>
      </c>
    </row>
    <row r="178" spans="1:6">
      <c r="A178">
        <v>177</v>
      </c>
      <c r="B178">
        <v>47</v>
      </c>
      <c r="C178" t="s">
        <v>6</v>
      </c>
      <c r="D178" t="s">
        <v>17</v>
      </c>
      <c r="E178" t="s">
        <v>14</v>
      </c>
      <c r="F178" t="s">
        <v>13</v>
      </c>
    </row>
    <row r="179" spans="1:6">
      <c r="A179">
        <v>178</v>
      </c>
      <c r="B179">
        <v>34</v>
      </c>
      <c r="C179" t="s">
        <v>10</v>
      </c>
      <c r="D179" t="s">
        <v>7</v>
      </c>
      <c r="E179" t="s">
        <v>20</v>
      </c>
      <c r="F179" t="s">
        <v>13</v>
      </c>
    </row>
    <row r="180" spans="1:6">
      <c r="A180">
        <v>179</v>
      </c>
      <c r="B180">
        <v>71</v>
      </c>
      <c r="C180" t="s">
        <v>6</v>
      </c>
      <c r="D180" t="s">
        <v>7</v>
      </c>
      <c r="E180" t="s">
        <v>8</v>
      </c>
      <c r="F180" t="s">
        <v>9</v>
      </c>
    </row>
    <row r="181" spans="1:6">
      <c r="A181">
        <v>180</v>
      </c>
      <c r="B181">
        <v>30</v>
      </c>
      <c r="C181" t="s">
        <v>10</v>
      </c>
      <c r="D181" t="s">
        <v>15</v>
      </c>
      <c r="E181" t="s">
        <v>24</v>
      </c>
      <c r="F181" t="s">
        <v>13</v>
      </c>
    </row>
    <row r="182" spans="1:6">
      <c r="A182">
        <v>181</v>
      </c>
      <c r="B182">
        <v>64</v>
      </c>
      <c r="C182" t="s">
        <v>6</v>
      </c>
      <c r="D182" t="s">
        <v>7</v>
      </c>
      <c r="E182" t="s">
        <v>35</v>
      </c>
      <c r="F182" t="s">
        <v>9</v>
      </c>
    </row>
    <row r="183" spans="1:6">
      <c r="A183">
        <v>182</v>
      </c>
      <c r="B183">
        <v>42</v>
      </c>
      <c r="C183" t="s">
        <v>10</v>
      </c>
      <c r="D183" t="s">
        <v>17</v>
      </c>
      <c r="E183" t="s">
        <v>22</v>
      </c>
      <c r="F183" t="s">
        <v>13</v>
      </c>
    </row>
    <row r="184" spans="1:6">
      <c r="A184">
        <v>183</v>
      </c>
      <c r="B184">
        <v>58</v>
      </c>
      <c r="C184" t="s">
        <v>6</v>
      </c>
      <c r="D184" t="s">
        <v>7</v>
      </c>
      <c r="E184" t="s">
        <v>32</v>
      </c>
      <c r="F184" t="s">
        <v>9</v>
      </c>
    </row>
    <row r="185" spans="1:6">
      <c r="A185">
        <v>184</v>
      </c>
      <c r="B185">
        <v>37</v>
      </c>
      <c r="C185" t="s">
        <v>10</v>
      </c>
      <c r="D185" t="s">
        <v>15</v>
      </c>
      <c r="E185" t="s">
        <v>27</v>
      </c>
      <c r="F185" t="s">
        <v>13</v>
      </c>
    </row>
    <row r="186" spans="1:6">
      <c r="A186">
        <v>185</v>
      </c>
      <c r="B186">
        <v>76</v>
      </c>
      <c r="C186" t="s">
        <v>6</v>
      </c>
      <c r="D186" t="s">
        <v>7</v>
      </c>
      <c r="E186" t="s">
        <v>16</v>
      </c>
      <c r="F186" t="s">
        <v>9</v>
      </c>
    </row>
    <row r="187" spans="1:6">
      <c r="A187">
        <v>186</v>
      </c>
      <c r="B187">
        <v>33</v>
      </c>
      <c r="C187" t="s">
        <v>10</v>
      </c>
      <c r="D187" t="s">
        <v>21</v>
      </c>
      <c r="E187" t="s">
        <v>30</v>
      </c>
      <c r="F187" t="s">
        <v>13</v>
      </c>
    </row>
    <row r="188" spans="1:6">
      <c r="A188">
        <v>187</v>
      </c>
      <c r="B188">
        <v>55</v>
      </c>
      <c r="C188" t="s">
        <v>6</v>
      </c>
      <c r="D188" t="s">
        <v>7</v>
      </c>
      <c r="E188" t="s">
        <v>31</v>
      </c>
      <c r="F188" t="s">
        <v>9</v>
      </c>
    </row>
    <row r="189" spans="1:6">
      <c r="A189">
        <v>188</v>
      </c>
      <c r="B189">
        <v>41</v>
      </c>
      <c r="C189" t="s">
        <v>10</v>
      </c>
      <c r="D189" t="s">
        <v>15</v>
      </c>
      <c r="E189" t="s">
        <v>28</v>
      </c>
      <c r="F189" t="s">
        <v>13</v>
      </c>
    </row>
    <row r="190" spans="1:6">
      <c r="A190">
        <v>189</v>
      </c>
      <c r="B190">
        <v>68</v>
      </c>
      <c r="C190" t="s">
        <v>6</v>
      </c>
      <c r="D190" t="s">
        <v>7</v>
      </c>
      <c r="E190" t="s">
        <v>36</v>
      </c>
      <c r="F190" t="s">
        <v>9</v>
      </c>
    </row>
    <row r="191" spans="1:6">
      <c r="A191">
        <v>190</v>
      </c>
      <c r="B191">
        <v>29</v>
      </c>
      <c r="C191" t="s">
        <v>10</v>
      </c>
      <c r="D191" t="s">
        <v>17</v>
      </c>
      <c r="E191" t="s">
        <v>33</v>
      </c>
      <c r="F191" t="s">
        <v>13</v>
      </c>
    </row>
    <row r="192" spans="1:6">
      <c r="A192">
        <v>191</v>
      </c>
      <c r="B192">
        <v>63</v>
      </c>
      <c r="C192" t="s">
        <v>6</v>
      </c>
      <c r="D192" t="s">
        <v>7</v>
      </c>
      <c r="E192" t="s">
        <v>22</v>
      </c>
      <c r="F192" t="s">
        <v>9</v>
      </c>
    </row>
    <row r="193" spans="1:6">
      <c r="A193">
        <v>192</v>
      </c>
      <c r="B193">
        <v>46</v>
      </c>
      <c r="C193" t="s">
        <v>10</v>
      </c>
      <c r="D193" t="s">
        <v>15</v>
      </c>
      <c r="E193" t="s">
        <v>34</v>
      </c>
      <c r="F193" t="s">
        <v>13</v>
      </c>
    </row>
    <row r="194" spans="1:6">
      <c r="A194">
        <v>193</v>
      </c>
      <c r="B194">
        <v>27</v>
      </c>
      <c r="C194" t="s">
        <v>6</v>
      </c>
      <c r="D194" t="s">
        <v>19</v>
      </c>
      <c r="E194" t="s">
        <v>18</v>
      </c>
      <c r="F194" t="s">
        <v>13</v>
      </c>
    </row>
    <row r="195" spans="1:6">
      <c r="A195">
        <v>194</v>
      </c>
      <c r="B195">
        <v>74</v>
      </c>
      <c r="C195" t="s">
        <v>10</v>
      </c>
      <c r="D195" t="s">
        <v>7</v>
      </c>
      <c r="E195" t="s">
        <v>16</v>
      </c>
      <c r="F195" t="s">
        <v>9</v>
      </c>
    </row>
    <row r="196" spans="1:6">
      <c r="A196">
        <v>195</v>
      </c>
      <c r="B196">
        <v>35</v>
      </c>
      <c r="C196" t="s">
        <v>6</v>
      </c>
      <c r="D196" t="s">
        <v>11</v>
      </c>
      <c r="E196" t="s">
        <v>14</v>
      </c>
      <c r="F196" t="s">
        <v>13</v>
      </c>
    </row>
    <row r="197" spans="1:6">
      <c r="A197">
        <v>196</v>
      </c>
      <c r="B197">
        <v>59</v>
      </c>
      <c r="C197" t="s">
        <v>10</v>
      </c>
      <c r="D197" t="s">
        <v>7</v>
      </c>
      <c r="E197" t="s">
        <v>20</v>
      </c>
      <c r="F197" t="s">
        <v>9</v>
      </c>
    </row>
    <row r="198" spans="1:6">
      <c r="A198">
        <v>197</v>
      </c>
      <c r="B198">
        <v>38</v>
      </c>
      <c r="C198" t="s">
        <v>6</v>
      </c>
      <c r="D198" t="s">
        <v>15</v>
      </c>
      <c r="E198" t="s">
        <v>8</v>
      </c>
      <c r="F198" t="s">
        <v>13</v>
      </c>
    </row>
    <row r="199" spans="1:6">
      <c r="A199">
        <v>198</v>
      </c>
      <c r="B199">
        <v>70</v>
      </c>
      <c r="C199" t="s">
        <v>10</v>
      </c>
      <c r="D199" t="s">
        <v>7</v>
      </c>
      <c r="E199" t="s">
        <v>24</v>
      </c>
      <c r="F199" t="s">
        <v>9</v>
      </c>
    </row>
    <row r="200" spans="1:6">
      <c r="A200">
        <v>199</v>
      </c>
      <c r="B200">
        <v>31</v>
      </c>
      <c r="C200" t="s">
        <v>6</v>
      </c>
      <c r="D200" t="s">
        <v>17</v>
      </c>
      <c r="E200" t="s">
        <v>26</v>
      </c>
      <c r="F200" t="s">
        <v>13</v>
      </c>
    </row>
    <row r="201" spans="1:6">
      <c r="A201">
        <v>200</v>
      </c>
      <c r="B201">
        <v>79</v>
      </c>
      <c r="C201" t="s">
        <v>10</v>
      </c>
      <c r="D201" t="s">
        <v>7</v>
      </c>
      <c r="E201" t="s">
        <v>28</v>
      </c>
      <c r="F201" t="s">
        <v>9</v>
      </c>
    </row>
    <row r="202" spans="1:6">
      <c r="A202">
        <v>201</v>
      </c>
      <c r="B202">
        <v>52</v>
      </c>
      <c r="C202" t="s">
        <v>10</v>
      </c>
      <c r="D202" t="s">
        <v>7</v>
      </c>
      <c r="E202" t="s">
        <v>8</v>
      </c>
      <c r="F202" t="s">
        <v>9</v>
      </c>
    </row>
    <row r="203" spans="1:6">
      <c r="A203">
        <v>202</v>
      </c>
      <c r="B203">
        <v>36</v>
      </c>
      <c r="C203" t="s">
        <v>6</v>
      </c>
      <c r="D203" t="s">
        <v>15</v>
      </c>
      <c r="E203" t="s">
        <v>24</v>
      </c>
      <c r="F203" t="s">
        <v>13</v>
      </c>
    </row>
    <row r="204" spans="1:6">
      <c r="A204">
        <v>203</v>
      </c>
      <c r="B204">
        <v>74</v>
      </c>
      <c r="C204" t="s">
        <v>10</v>
      </c>
      <c r="D204" t="s">
        <v>7</v>
      </c>
      <c r="E204" t="s">
        <v>26</v>
      </c>
      <c r="F204" t="s">
        <v>9</v>
      </c>
    </row>
    <row r="205" spans="1:6">
      <c r="A205">
        <v>204</v>
      </c>
      <c r="B205">
        <v>29</v>
      </c>
      <c r="C205" t="s">
        <v>6</v>
      </c>
      <c r="D205" t="s">
        <v>11</v>
      </c>
      <c r="E205" t="s">
        <v>22</v>
      </c>
      <c r="F205" t="s">
        <v>13</v>
      </c>
    </row>
    <row r="206" spans="1:6">
      <c r="A206">
        <v>205</v>
      </c>
      <c r="B206">
        <v>63</v>
      </c>
      <c r="C206" t="s">
        <v>10</v>
      </c>
      <c r="D206" t="s">
        <v>17</v>
      </c>
      <c r="E206" t="s">
        <v>34</v>
      </c>
      <c r="F206" t="s">
        <v>9</v>
      </c>
    </row>
    <row r="207" spans="1:6">
      <c r="A207">
        <v>206</v>
      </c>
      <c r="B207">
        <v>45</v>
      </c>
      <c r="C207" t="s">
        <v>6</v>
      </c>
      <c r="D207" t="s">
        <v>7</v>
      </c>
      <c r="E207" t="s">
        <v>20</v>
      </c>
      <c r="F207" t="s">
        <v>13</v>
      </c>
    </row>
    <row r="208" spans="1:6">
      <c r="A208">
        <v>207</v>
      </c>
      <c r="B208">
        <v>58</v>
      </c>
      <c r="C208" t="s">
        <v>10</v>
      </c>
      <c r="D208" t="s">
        <v>15</v>
      </c>
      <c r="E208" t="s">
        <v>16</v>
      </c>
      <c r="F208" t="s">
        <v>9</v>
      </c>
    </row>
    <row r="209" spans="1:6">
      <c r="A209">
        <v>208</v>
      </c>
      <c r="B209">
        <v>33</v>
      </c>
      <c r="C209" t="s">
        <v>6</v>
      </c>
      <c r="D209" t="s">
        <v>19</v>
      </c>
      <c r="E209" t="s">
        <v>30</v>
      </c>
      <c r="F209" t="s">
        <v>13</v>
      </c>
    </row>
    <row r="210" spans="1:6">
      <c r="A210">
        <v>209</v>
      </c>
      <c r="B210">
        <v>71</v>
      </c>
      <c r="C210" t="s">
        <v>10</v>
      </c>
      <c r="D210" t="s">
        <v>7</v>
      </c>
      <c r="E210" t="s">
        <v>18</v>
      </c>
      <c r="F210" t="s">
        <v>9</v>
      </c>
    </row>
    <row r="211" spans="1:6">
      <c r="A211">
        <v>210</v>
      </c>
      <c r="B211">
        <v>27</v>
      </c>
      <c r="C211" t="s">
        <v>6</v>
      </c>
      <c r="D211" t="s">
        <v>21</v>
      </c>
      <c r="E211" t="s">
        <v>28</v>
      </c>
      <c r="F211" t="s">
        <v>13</v>
      </c>
    </row>
    <row r="212" spans="1:6">
      <c r="A212">
        <v>211</v>
      </c>
      <c r="B212">
        <v>54</v>
      </c>
      <c r="C212" t="s">
        <v>10</v>
      </c>
      <c r="D212" t="s">
        <v>7</v>
      </c>
      <c r="E212" t="s">
        <v>32</v>
      </c>
      <c r="F212" t="s">
        <v>9</v>
      </c>
    </row>
    <row r="213" spans="1:6">
      <c r="A213">
        <v>212</v>
      </c>
      <c r="B213">
        <v>39</v>
      </c>
      <c r="C213" t="s">
        <v>6</v>
      </c>
      <c r="D213" t="s">
        <v>15</v>
      </c>
      <c r="E213" t="s">
        <v>27</v>
      </c>
      <c r="F213" t="s">
        <v>13</v>
      </c>
    </row>
    <row r="214" spans="1:6">
      <c r="A214">
        <v>213</v>
      </c>
      <c r="B214">
        <v>66</v>
      </c>
      <c r="C214" t="s">
        <v>10</v>
      </c>
      <c r="D214" t="s">
        <v>7</v>
      </c>
      <c r="E214" t="s">
        <v>22</v>
      </c>
      <c r="F214" t="s">
        <v>9</v>
      </c>
    </row>
    <row r="215" spans="1:6">
      <c r="A215">
        <v>214</v>
      </c>
      <c r="B215">
        <v>31</v>
      </c>
      <c r="C215" t="s">
        <v>6</v>
      </c>
      <c r="D215" t="s">
        <v>17</v>
      </c>
      <c r="E215" t="s">
        <v>36</v>
      </c>
      <c r="F215" t="s">
        <v>13</v>
      </c>
    </row>
    <row r="216" spans="1:6">
      <c r="A216">
        <v>215</v>
      </c>
      <c r="B216">
        <v>78</v>
      </c>
      <c r="C216" t="s">
        <v>10</v>
      </c>
      <c r="D216" t="s">
        <v>7</v>
      </c>
      <c r="E216" t="s">
        <v>31</v>
      </c>
      <c r="F216" t="s">
        <v>9</v>
      </c>
    </row>
    <row r="217" spans="1:6">
      <c r="A217">
        <v>216</v>
      </c>
      <c r="B217">
        <v>42</v>
      </c>
      <c r="C217" t="s">
        <v>6</v>
      </c>
      <c r="D217" t="s">
        <v>11</v>
      </c>
      <c r="E217" t="s">
        <v>8</v>
      </c>
      <c r="F217" t="s">
        <v>13</v>
      </c>
    </row>
    <row r="218" spans="1:6">
      <c r="A218">
        <v>217</v>
      </c>
      <c r="B218">
        <v>57</v>
      </c>
      <c r="C218" t="s">
        <v>10</v>
      </c>
      <c r="D218" t="s">
        <v>7</v>
      </c>
      <c r="E218" t="s">
        <v>24</v>
      </c>
      <c r="F218" t="s">
        <v>9</v>
      </c>
    </row>
    <row r="219" spans="1:6">
      <c r="A219">
        <v>218</v>
      </c>
      <c r="B219">
        <v>36</v>
      </c>
      <c r="C219" t="s">
        <v>6</v>
      </c>
      <c r="D219" t="s">
        <v>15</v>
      </c>
      <c r="E219" t="s">
        <v>33</v>
      </c>
      <c r="F219" t="s">
        <v>13</v>
      </c>
    </row>
    <row r="220" spans="1:6">
      <c r="A220">
        <v>219</v>
      </c>
      <c r="B220">
        <v>69</v>
      </c>
      <c r="C220" t="s">
        <v>10</v>
      </c>
      <c r="D220" t="s">
        <v>7</v>
      </c>
      <c r="E220" t="s">
        <v>16</v>
      </c>
      <c r="F220" t="s">
        <v>9</v>
      </c>
    </row>
    <row r="221" spans="1:6">
      <c r="A221">
        <v>220</v>
      </c>
      <c r="B221">
        <v>25</v>
      </c>
      <c r="C221" t="s">
        <v>6</v>
      </c>
      <c r="D221" t="s">
        <v>19</v>
      </c>
      <c r="E221" t="s">
        <v>14</v>
      </c>
      <c r="F221" t="s">
        <v>13</v>
      </c>
    </row>
    <row r="222" spans="1:6">
      <c r="A222">
        <v>221</v>
      </c>
      <c r="B222">
        <v>62</v>
      </c>
      <c r="C222" t="s">
        <v>10</v>
      </c>
      <c r="D222" t="s">
        <v>17</v>
      </c>
      <c r="E222" t="s">
        <v>35</v>
      </c>
      <c r="F222" t="s">
        <v>9</v>
      </c>
    </row>
    <row r="223" spans="1:6">
      <c r="A223">
        <v>222</v>
      </c>
      <c r="B223">
        <v>48</v>
      </c>
      <c r="C223" t="s">
        <v>6</v>
      </c>
      <c r="D223" t="s">
        <v>7</v>
      </c>
      <c r="E223" t="s">
        <v>22</v>
      </c>
      <c r="F223" t="s">
        <v>13</v>
      </c>
    </row>
    <row r="224" spans="1:6">
      <c r="A224">
        <v>223</v>
      </c>
      <c r="B224">
        <v>30</v>
      </c>
      <c r="C224" t="s">
        <v>10</v>
      </c>
      <c r="D224" t="s">
        <v>15</v>
      </c>
      <c r="E224" t="s">
        <v>30</v>
      </c>
      <c r="F224" t="s">
        <v>13</v>
      </c>
    </row>
    <row r="225" spans="1:6">
      <c r="A225">
        <v>224</v>
      </c>
      <c r="B225">
        <v>75</v>
      </c>
      <c r="C225" t="s">
        <v>6</v>
      </c>
      <c r="D225" t="s">
        <v>7</v>
      </c>
      <c r="E225" t="s">
        <v>20</v>
      </c>
      <c r="F225" t="s">
        <v>9</v>
      </c>
    </row>
    <row r="226" spans="1:6">
      <c r="A226">
        <v>225</v>
      </c>
      <c r="B226">
        <v>41</v>
      </c>
      <c r="C226" t="s">
        <v>10</v>
      </c>
      <c r="D226" t="s">
        <v>21</v>
      </c>
      <c r="E226" t="s">
        <v>28</v>
      </c>
      <c r="F226" t="s">
        <v>13</v>
      </c>
    </row>
    <row r="227" spans="1:6">
      <c r="A227">
        <v>226</v>
      </c>
      <c r="B227">
        <v>59</v>
      </c>
      <c r="C227" t="s">
        <v>6</v>
      </c>
      <c r="D227" t="s">
        <v>7</v>
      </c>
      <c r="E227" t="s">
        <v>32</v>
      </c>
      <c r="F227" t="s">
        <v>9</v>
      </c>
    </row>
    <row r="228" spans="1:6">
      <c r="A228">
        <v>227</v>
      </c>
      <c r="B228">
        <v>38</v>
      </c>
      <c r="C228" t="s">
        <v>10</v>
      </c>
      <c r="D228" t="s">
        <v>15</v>
      </c>
      <c r="E228" t="s">
        <v>18</v>
      </c>
      <c r="F228" t="s">
        <v>13</v>
      </c>
    </row>
    <row r="229" spans="1:6">
      <c r="A229">
        <v>228</v>
      </c>
      <c r="B229">
        <v>73</v>
      </c>
      <c r="C229" t="s">
        <v>6</v>
      </c>
      <c r="D229" t="s">
        <v>7</v>
      </c>
      <c r="E229" t="s">
        <v>16</v>
      </c>
      <c r="F229" t="s">
        <v>9</v>
      </c>
    </row>
    <row r="230" spans="1:6">
      <c r="A230">
        <v>229</v>
      </c>
      <c r="B230">
        <v>28</v>
      </c>
      <c r="C230" t="s">
        <v>10</v>
      </c>
      <c r="D230" t="s">
        <v>17</v>
      </c>
      <c r="E230" t="s">
        <v>36</v>
      </c>
      <c r="F230" t="s">
        <v>13</v>
      </c>
    </row>
    <row r="231" spans="1:6">
      <c r="A231">
        <v>230</v>
      </c>
      <c r="B231">
        <v>64</v>
      </c>
      <c r="C231" t="s">
        <v>6</v>
      </c>
      <c r="D231" t="s">
        <v>7</v>
      </c>
      <c r="E231" t="s">
        <v>27</v>
      </c>
      <c r="F231" t="s">
        <v>9</v>
      </c>
    </row>
    <row r="232" spans="1:6">
      <c r="A232">
        <v>231</v>
      </c>
      <c r="B232">
        <v>47</v>
      </c>
      <c r="C232" t="s">
        <v>10</v>
      </c>
      <c r="D232" t="s">
        <v>15</v>
      </c>
      <c r="E232" t="s">
        <v>8</v>
      </c>
      <c r="F232" t="s">
        <v>13</v>
      </c>
    </row>
    <row r="233" spans="1:6">
      <c r="A233">
        <v>232</v>
      </c>
      <c r="B233">
        <v>26</v>
      </c>
      <c r="C233" t="s">
        <v>6</v>
      </c>
      <c r="D233" t="s">
        <v>19</v>
      </c>
      <c r="E233" t="s">
        <v>24</v>
      </c>
      <c r="F233" t="s">
        <v>13</v>
      </c>
    </row>
    <row r="234" spans="1:6">
      <c r="A234">
        <v>233</v>
      </c>
      <c r="B234">
        <v>70</v>
      </c>
      <c r="C234" t="s">
        <v>10</v>
      </c>
      <c r="D234" t="s">
        <v>7</v>
      </c>
      <c r="E234" t="s">
        <v>31</v>
      </c>
      <c r="F234" t="s">
        <v>9</v>
      </c>
    </row>
    <row r="235" spans="1:6">
      <c r="A235">
        <v>234</v>
      </c>
      <c r="B235">
        <v>35</v>
      </c>
      <c r="C235" t="s">
        <v>6</v>
      </c>
      <c r="D235" t="s">
        <v>11</v>
      </c>
      <c r="E235" t="s">
        <v>22</v>
      </c>
      <c r="F235" t="s">
        <v>13</v>
      </c>
    </row>
    <row r="236" spans="1:6">
      <c r="A236">
        <v>235</v>
      </c>
      <c r="B236">
        <v>61</v>
      </c>
      <c r="C236" t="s">
        <v>10</v>
      </c>
      <c r="D236" t="s">
        <v>7</v>
      </c>
      <c r="E236" t="s">
        <v>34</v>
      </c>
      <c r="F236" t="s">
        <v>9</v>
      </c>
    </row>
    <row r="237" spans="1:6">
      <c r="A237">
        <v>236</v>
      </c>
      <c r="B237">
        <v>44</v>
      </c>
      <c r="C237" t="s">
        <v>6</v>
      </c>
      <c r="D237" t="s">
        <v>15</v>
      </c>
      <c r="E237" t="s">
        <v>33</v>
      </c>
      <c r="F237" t="s">
        <v>13</v>
      </c>
    </row>
    <row r="238" spans="1:6">
      <c r="A238">
        <v>237</v>
      </c>
      <c r="B238">
        <v>79</v>
      </c>
      <c r="C238" t="s">
        <v>10</v>
      </c>
      <c r="D238" t="s">
        <v>7</v>
      </c>
      <c r="E238" t="s">
        <v>16</v>
      </c>
      <c r="F238" t="s">
        <v>9</v>
      </c>
    </row>
    <row r="239" spans="1:6">
      <c r="A239">
        <v>238</v>
      </c>
      <c r="B239">
        <v>32</v>
      </c>
      <c r="C239" t="s">
        <v>6</v>
      </c>
      <c r="D239" t="s">
        <v>17</v>
      </c>
      <c r="E239" t="s">
        <v>30</v>
      </c>
      <c r="F239" t="s">
        <v>13</v>
      </c>
    </row>
    <row r="240" spans="1:6">
      <c r="A240">
        <v>239</v>
      </c>
      <c r="B240">
        <v>56</v>
      </c>
      <c r="C240" t="s">
        <v>10</v>
      </c>
      <c r="D240" t="s">
        <v>7</v>
      </c>
      <c r="E240" t="s">
        <v>18</v>
      </c>
      <c r="F240" t="s">
        <v>9</v>
      </c>
    </row>
    <row r="241" spans="1:6">
      <c r="A241">
        <v>240</v>
      </c>
      <c r="B241">
        <v>40</v>
      </c>
      <c r="C241" t="s">
        <v>6</v>
      </c>
      <c r="D241" t="s">
        <v>15</v>
      </c>
      <c r="E241" t="s">
        <v>28</v>
      </c>
      <c r="F241" t="s">
        <v>13</v>
      </c>
    </row>
    <row r="242" spans="1:6">
      <c r="A242">
        <v>241</v>
      </c>
      <c r="B242">
        <v>68</v>
      </c>
      <c r="C242" t="s">
        <v>10</v>
      </c>
      <c r="D242" t="s">
        <v>7</v>
      </c>
      <c r="E242" t="s">
        <v>36</v>
      </c>
      <c r="F242" t="s">
        <v>9</v>
      </c>
    </row>
    <row r="243" spans="1:6">
      <c r="A243">
        <v>242</v>
      </c>
      <c r="B243">
        <v>29</v>
      </c>
      <c r="C243" t="s">
        <v>6</v>
      </c>
      <c r="D243" t="s">
        <v>21</v>
      </c>
      <c r="E243" t="s">
        <v>20</v>
      </c>
      <c r="F243" t="s">
        <v>13</v>
      </c>
    </row>
    <row r="244" spans="1:6">
      <c r="A244">
        <v>243</v>
      </c>
      <c r="B244">
        <v>53</v>
      </c>
      <c r="C244" t="s">
        <v>10</v>
      </c>
      <c r="D244" t="s">
        <v>7</v>
      </c>
      <c r="E244" t="s">
        <v>22</v>
      </c>
      <c r="F244" t="s">
        <v>9</v>
      </c>
    </row>
    <row r="245" spans="1:6">
      <c r="A245">
        <v>244</v>
      </c>
      <c r="B245">
        <v>37</v>
      </c>
      <c r="C245" t="s">
        <v>6</v>
      </c>
      <c r="D245" t="s">
        <v>15</v>
      </c>
      <c r="E245" t="s">
        <v>14</v>
      </c>
      <c r="F245" t="s">
        <v>13</v>
      </c>
    </row>
    <row r="246" spans="1:6">
      <c r="A246">
        <v>245</v>
      </c>
      <c r="B246">
        <v>74</v>
      </c>
      <c r="C246" t="s">
        <v>10</v>
      </c>
      <c r="D246" t="s">
        <v>7</v>
      </c>
      <c r="E246" t="s">
        <v>35</v>
      </c>
      <c r="F246" t="s">
        <v>9</v>
      </c>
    </row>
    <row r="247" spans="1:6">
      <c r="A247">
        <v>246</v>
      </c>
      <c r="B247">
        <v>33</v>
      </c>
      <c r="C247" t="s">
        <v>6</v>
      </c>
      <c r="D247" t="s">
        <v>17</v>
      </c>
      <c r="E247" t="s">
        <v>8</v>
      </c>
      <c r="F247" t="s">
        <v>13</v>
      </c>
    </row>
    <row r="248" spans="1:6">
      <c r="A248">
        <v>247</v>
      </c>
      <c r="B248">
        <v>58</v>
      </c>
      <c r="C248" t="s">
        <v>10</v>
      </c>
      <c r="D248" t="s">
        <v>7</v>
      </c>
      <c r="E248" t="s">
        <v>24</v>
      </c>
      <c r="F248" t="s">
        <v>9</v>
      </c>
    </row>
    <row r="249" spans="1:6">
      <c r="A249">
        <v>248</v>
      </c>
      <c r="B249">
        <v>41</v>
      </c>
      <c r="C249" t="s">
        <v>6</v>
      </c>
      <c r="D249" t="s">
        <v>15</v>
      </c>
      <c r="E249" t="s">
        <v>27</v>
      </c>
      <c r="F249" t="s">
        <v>13</v>
      </c>
    </row>
    <row r="250" spans="1:6">
      <c r="A250">
        <v>249</v>
      </c>
      <c r="B250">
        <v>72</v>
      </c>
      <c r="C250" t="s">
        <v>10</v>
      </c>
      <c r="D250" t="s">
        <v>7</v>
      </c>
      <c r="E250" t="s">
        <v>16</v>
      </c>
      <c r="F250" t="s">
        <v>9</v>
      </c>
    </row>
    <row r="251" spans="1:6">
      <c r="A251">
        <v>250</v>
      </c>
      <c r="B251">
        <v>30</v>
      </c>
      <c r="C251" t="s">
        <v>6</v>
      </c>
      <c r="D251" t="s">
        <v>19</v>
      </c>
      <c r="E251" t="s">
        <v>32</v>
      </c>
      <c r="F251" t="s">
        <v>13</v>
      </c>
    </row>
    <row r="252" spans="1:6">
      <c r="A252">
        <v>251</v>
      </c>
      <c r="B252">
        <v>63</v>
      </c>
      <c r="C252" t="s">
        <v>10</v>
      </c>
      <c r="D252" t="s">
        <v>17</v>
      </c>
      <c r="E252" t="s">
        <v>31</v>
      </c>
      <c r="F252" t="s">
        <v>9</v>
      </c>
    </row>
    <row r="253" spans="1:6">
      <c r="A253">
        <v>252</v>
      </c>
      <c r="B253">
        <v>46</v>
      </c>
      <c r="C253" t="s">
        <v>6</v>
      </c>
      <c r="D253" t="s">
        <v>7</v>
      </c>
      <c r="E253" t="s">
        <v>28</v>
      </c>
      <c r="F253" t="s">
        <v>13</v>
      </c>
    </row>
    <row r="254" spans="1:6">
      <c r="A254">
        <v>253</v>
      </c>
      <c r="B254">
        <v>27</v>
      </c>
      <c r="C254" t="s">
        <v>10</v>
      </c>
      <c r="D254" t="s">
        <v>15</v>
      </c>
      <c r="E254" t="s">
        <v>30</v>
      </c>
      <c r="F254" t="s">
        <v>13</v>
      </c>
    </row>
    <row r="255" spans="1:6">
      <c r="A255">
        <v>254</v>
      </c>
      <c r="B255">
        <v>77</v>
      </c>
      <c r="C255" t="s">
        <v>6</v>
      </c>
      <c r="D255" t="s">
        <v>7</v>
      </c>
      <c r="E255" t="s">
        <v>33</v>
      </c>
      <c r="F255" t="s">
        <v>9</v>
      </c>
    </row>
    <row r="256" spans="1:6">
      <c r="A256">
        <v>255</v>
      </c>
      <c r="B256">
        <v>39</v>
      </c>
      <c r="C256" t="s">
        <v>10</v>
      </c>
      <c r="D256" t="s">
        <v>11</v>
      </c>
      <c r="E256" t="s">
        <v>22</v>
      </c>
      <c r="F256" t="s">
        <v>13</v>
      </c>
    </row>
    <row r="257" spans="1:6">
      <c r="A257">
        <v>256</v>
      </c>
      <c r="B257">
        <v>55</v>
      </c>
      <c r="C257" t="s">
        <v>6</v>
      </c>
      <c r="D257" t="s">
        <v>7</v>
      </c>
      <c r="E257" t="s">
        <v>34</v>
      </c>
      <c r="F257" t="s">
        <v>9</v>
      </c>
    </row>
    <row r="258" spans="1:6">
      <c r="A258">
        <v>257</v>
      </c>
      <c r="B258">
        <v>34</v>
      </c>
      <c r="C258" t="s">
        <v>10</v>
      </c>
      <c r="D258" t="s">
        <v>15</v>
      </c>
      <c r="E258" t="s">
        <v>18</v>
      </c>
      <c r="F258" t="s">
        <v>13</v>
      </c>
    </row>
    <row r="259" spans="1:6">
      <c r="A259">
        <v>258</v>
      </c>
      <c r="B259">
        <v>69</v>
      </c>
      <c r="C259" t="s">
        <v>6</v>
      </c>
      <c r="D259" t="s">
        <v>7</v>
      </c>
      <c r="E259" t="s">
        <v>16</v>
      </c>
      <c r="F259" t="s">
        <v>9</v>
      </c>
    </row>
    <row r="260" spans="1:6">
      <c r="A260">
        <v>259</v>
      </c>
      <c r="B260">
        <v>31</v>
      </c>
      <c r="C260" t="s">
        <v>10</v>
      </c>
      <c r="D260" t="s">
        <v>17</v>
      </c>
      <c r="E260" t="s">
        <v>36</v>
      </c>
      <c r="F260" t="s">
        <v>13</v>
      </c>
    </row>
    <row r="261" spans="1:6">
      <c r="A261">
        <v>260</v>
      </c>
      <c r="B261">
        <v>80</v>
      </c>
      <c r="C261" t="s">
        <v>6</v>
      </c>
      <c r="D261" t="s">
        <v>7</v>
      </c>
      <c r="E261" t="s">
        <v>20</v>
      </c>
      <c r="F261" t="s">
        <v>9</v>
      </c>
    </row>
    <row r="262" spans="1:6">
      <c r="A262">
        <v>261</v>
      </c>
      <c r="B262">
        <v>43</v>
      </c>
      <c r="C262" t="s">
        <v>10</v>
      </c>
      <c r="D262" t="s">
        <v>15</v>
      </c>
      <c r="E262" t="s">
        <v>8</v>
      </c>
      <c r="F262" t="s">
        <v>13</v>
      </c>
    </row>
    <row r="263" spans="1:6">
      <c r="A263">
        <v>262</v>
      </c>
      <c r="B263">
        <v>24</v>
      </c>
      <c r="C263" t="s">
        <v>6</v>
      </c>
      <c r="D263" t="s">
        <v>7</v>
      </c>
      <c r="E263" t="s">
        <v>24</v>
      </c>
      <c r="F263" t="s">
        <v>13</v>
      </c>
    </row>
    <row r="264" spans="1:6">
      <c r="A264">
        <v>263</v>
      </c>
      <c r="B264">
        <v>60</v>
      </c>
      <c r="C264" t="s">
        <v>10</v>
      </c>
      <c r="D264" t="s">
        <v>21</v>
      </c>
      <c r="E264" t="s">
        <v>26</v>
      </c>
      <c r="F264" t="s">
        <v>9</v>
      </c>
    </row>
    <row r="265" spans="1:6">
      <c r="A265">
        <v>264</v>
      </c>
      <c r="B265">
        <v>38</v>
      </c>
      <c r="C265" t="s">
        <v>6</v>
      </c>
      <c r="D265" t="s">
        <v>7</v>
      </c>
      <c r="E265" t="s">
        <v>22</v>
      </c>
      <c r="F265" t="s">
        <v>13</v>
      </c>
    </row>
    <row r="266" spans="1:6">
      <c r="A266">
        <v>265</v>
      </c>
      <c r="B266">
        <v>57</v>
      </c>
      <c r="C266" t="s">
        <v>10</v>
      </c>
      <c r="D266" t="s">
        <v>15</v>
      </c>
      <c r="E266" t="s">
        <v>32</v>
      </c>
      <c r="F266" t="s">
        <v>9</v>
      </c>
    </row>
    <row r="267" spans="1:6">
      <c r="A267">
        <v>266</v>
      </c>
      <c r="B267">
        <v>29</v>
      </c>
      <c r="C267" t="s">
        <v>6</v>
      </c>
      <c r="D267" t="s">
        <v>19</v>
      </c>
      <c r="E267" t="s">
        <v>27</v>
      </c>
      <c r="F267" t="s">
        <v>13</v>
      </c>
    </row>
    <row r="268" spans="1:6">
      <c r="A268">
        <v>267</v>
      </c>
      <c r="B268">
        <v>73</v>
      </c>
      <c r="C268" t="s">
        <v>10</v>
      </c>
      <c r="D268" t="s">
        <v>7</v>
      </c>
      <c r="E268" t="s">
        <v>16</v>
      </c>
      <c r="F268" t="s">
        <v>9</v>
      </c>
    </row>
    <row r="269" spans="1:6">
      <c r="A269">
        <v>268</v>
      </c>
      <c r="B269">
        <v>45</v>
      </c>
      <c r="C269" t="s">
        <v>6</v>
      </c>
      <c r="D269" t="s">
        <v>17</v>
      </c>
      <c r="E269" t="s">
        <v>30</v>
      </c>
      <c r="F269" t="s">
        <v>13</v>
      </c>
    </row>
    <row r="270" spans="1:6">
      <c r="A270">
        <v>269</v>
      </c>
      <c r="B270">
        <v>36</v>
      </c>
      <c r="C270" t="s">
        <v>10</v>
      </c>
      <c r="D270" t="s">
        <v>7</v>
      </c>
      <c r="E270" t="s">
        <v>31</v>
      </c>
      <c r="F270" t="s">
        <v>13</v>
      </c>
    </row>
    <row r="271" spans="1:6">
      <c r="A271">
        <v>270</v>
      </c>
      <c r="B271">
        <v>67</v>
      </c>
      <c r="C271" t="s">
        <v>6</v>
      </c>
      <c r="D271" t="s">
        <v>7</v>
      </c>
      <c r="E271" t="s">
        <v>28</v>
      </c>
      <c r="F271" t="s">
        <v>9</v>
      </c>
    </row>
    <row r="272" spans="1:6">
      <c r="A272">
        <v>271</v>
      </c>
      <c r="B272">
        <v>32</v>
      </c>
      <c r="C272" t="s">
        <v>10</v>
      </c>
      <c r="D272" t="s">
        <v>15</v>
      </c>
      <c r="E272" t="s">
        <v>34</v>
      </c>
      <c r="F272" t="s">
        <v>13</v>
      </c>
    </row>
    <row r="273" spans="1:6">
      <c r="A273">
        <v>272</v>
      </c>
      <c r="B273">
        <v>59</v>
      </c>
      <c r="C273" t="s">
        <v>6</v>
      </c>
      <c r="D273" t="s">
        <v>7</v>
      </c>
      <c r="E273" t="s">
        <v>33</v>
      </c>
      <c r="F273" t="s">
        <v>9</v>
      </c>
    </row>
    <row r="274" spans="1:6">
      <c r="A274">
        <v>273</v>
      </c>
      <c r="B274">
        <v>40</v>
      </c>
      <c r="C274" t="s">
        <v>10</v>
      </c>
      <c r="D274" t="s">
        <v>11</v>
      </c>
      <c r="E274" t="s">
        <v>22</v>
      </c>
      <c r="F274" t="s">
        <v>13</v>
      </c>
    </row>
    <row r="275" spans="1:6">
      <c r="A275">
        <v>274</v>
      </c>
      <c r="B275">
        <v>75</v>
      </c>
      <c r="C275" t="s">
        <v>6</v>
      </c>
      <c r="D275" t="s">
        <v>7</v>
      </c>
      <c r="E275" t="s">
        <v>36</v>
      </c>
      <c r="F275" t="s">
        <v>9</v>
      </c>
    </row>
    <row r="276" spans="1:6">
      <c r="A276">
        <v>275</v>
      </c>
      <c r="B276">
        <v>28</v>
      </c>
      <c r="C276" t="s">
        <v>10</v>
      </c>
      <c r="D276" t="s">
        <v>15</v>
      </c>
      <c r="E276" t="s">
        <v>18</v>
      </c>
      <c r="F276" t="s">
        <v>13</v>
      </c>
    </row>
    <row r="277" spans="1:6">
      <c r="A277">
        <v>276</v>
      </c>
      <c r="B277">
        <v>62</v>
      </c>
      <c r="C277" t="s">
        <v>6</v>
      </c>
      <c r="D277" t="s">
        <v>7</v>
      </c>
      <c r="E277" t="s">
        <v>16</v>
      </c>
      <c r="F277" t="s">
        <v>9</v>
      </c>
    </row>
    <row r="278" spans="1:6">
      <c r="A278">
        <v>277</v>
      </c>
      <c r="B278">
        <v>47</v>
      </c>
      <c r="C278" t="s">
        <v>10</v>
      </c>
      <c r="D278" t="s">
        <v>17</v>
      </c>
      <c r="E278" t="s">
        <v>14</v>
      </c>
      <c r="F278" t="s">
        <v>13</v>
      </c>
    </row>
    <row r="279" spans="1:6">
      <c r="A279">
        <v>278</v>
      </c>
      <c r="B279">
        <v>34</v>
      </c>
      <c r="C279" t="s">
        <v>6</v>
      </c>
      <c r="D279" t="s">
        <v>7</v>
      </c>
      <c r="E279" t="s">
        <v>20</v>
      </c>
      <c r="F279" t="s">
        <v>13</v>
      </c>
    </row>
    <row r="280" spans="1:6">
      <c r="A280">
        <v>279</v>
      </c>
      <c r="B280">
        <v>71</v>
      </c>
      <c r="C280" t="s">
        <v>10</v>
      </c>
      <c r="D280" t="s">
        <v>7</v>
      </c>
      <c r="E280" t="s">
        <v>8</v>
      </c>
      <c r="F280" t="s">
        <v>9</v>
      </c>
    </row>
    <row r="281" spans="1:6">
      <c r="A281">
        <v>280</v>
      </c>
      <c r="B281">
        <v>30</v>
      </c>
      <c r="C281" t="s">
        <v>6</v>
      </c>
      <c r="D281" t="s">
        <v>15</v>
      </c>
      <c r="E281" t="s">
        <v>24</v>
      </c>
      <c r="F281" t="s">
        <v>13</v>
      </c>
    </row>
    <row r="282" spans="1:6">
      <c r="A282">
        <v>281</v>
      </c>
      <c r="B282">
        <v>64</v>
      </c>
      <c r="C282" t="s">
        <v>10</v>
      </c>
      <c r="D282" t="s">
        <v>7</v>
      </c>
      <c r="E282" t="s">
        <v>35</v>
      </c>
      <c r="F282" t="s">
        <v>9</v>
      </c>
    </row>
    <row r="283" spans="1:6">
      <c r="A283">
        <v>282</v>
      </c>
      <c r="B283">
        <v>42</v>
      </c>
      <c r="C283" t="s">
        <v>6</v>
      </c>
      <c r="D283" t="s">
        <v>17</v>
      </c>
      <c r="E283" t="s">
        <v>22</v>
      </c>
      <c r="F283" t="s">
        <v>13</v>
      </c>
    </row>
    <row r="284" spans="1:6">
      <c r="A284">
        <v>283</v>
      </c>
      <c r="B284">
        <v>58</v>
      </c>
      <c r="C284" t="s">
        <v>10</v>
      </c>
      <c r="D284" t="s">
        <v>7</v>
      </c>
      <c r="E284" t="s">
        <v>32</v>
      </c>
      <c r="F284" t="s">
        <v>9</v>
      </c>
    </row>
    <row r="285" spans="1:6">
      <c r="A285">
        <v>284</v>
      </c>
      <c r="B285">
        <v>37</v>
      </c>
      <c r="C285" t="s">
        <v>6</v>
      </c>
      <c r="D285" t="s">
        <v>15</v>
      </c>
      <c r="E285" t="s">
        <v>27</v>
      </c>
      <c r="F285" t="s">
        <v>13</v>
      </c>
    </row>
    <row r="286" spans="1:6">
      <c r="A286">
        <v>285</v>
      </c>
      <c r="B286">
        <v>76</v>
      </c>
      <c r="C286" t="s">
        <v>10</v>
      </c>
      <c r="D286" t="s">
        <v>7</v>
      </c>
      <c r="E286" t="s">
        <v>16</v>
      </c>
      <c r="F286" t="s">
        <v>9</v>
      </c>
    </row>
    <row r="287" spans="1:6">
      <c r="A287">
        <v>286</v>
      </c>
      <c r="B287">
        <v>33</v>
      </c>
      <c r="C287" t="s">
        <v>6</v>
      </c>
      <c r="D287" t="s">
        <v>21</v>
      </c>
      <c r="E287" t="s">
        <v>30</v>
      </c>
      <c r="F287" t="s">
        <v>13</v>
      </c>
    </row>
    <row r="288" spans="1:6">
      <c r="A288">
        <v>287</v>
      </c>
      <c r="B288">
        <v>55</v>
      </c>
      <c r="C288" t="s">
        <v>10</v>
      </c>
      <c r="D288" t="s">
        <v>7</v>
      </c>
      <c r="E288" t="s">
        <v>31</v>
      </c>
      <c r="F288" t="s">
        <v>9</v>
      </c>
    </row>
    <row r="289" spans="1:6">
      <c r="A289">
        <v>288</v>
      </c>
      <c r="B289">
        <v>41</v>
      </c>
      <c r="C289" t="s">
        <v>6</v>
      </c>
      <c r="D289" t="s">
        <v>15</v>
      </c>
      <c r="E289" t="s">
        <v>28</v>
      </c>
      <c r="F289" t="s">
        <v>13</v>
      </c>
    </row>
    <row r="290" spans="1:6">
      <c r="A290">
        <v>289</v>
      </c>
      <c r="B290">
        <v>68</v>
      </c>
      <c r="C290" t="s">
        <v>10</v>
      </c>
      <c r="D290" t="s">
        <v>7</v>
      </c>
      <c r="E290" t="s">
        <v>36</v>
      </c>
      <c r="F290" t="s">
        <v>9</v>
      </c>
    </row>
    <row r="291" spans="1:6">
      <c r="A291">
        <v>290</v>
      </c>
      <c r="B291">
        <v>29</v>
      </c>
      <c r="C291" t="s">
        <v>6</v>
      </c>
      <c r="D291" t="s">
        <v>17</v>
      </c>
      <c r="E291" t="s">
        <v>33</v>
      </c>
      <c r="F291" t="s">
        <v>13</v>
      </c>
    </row>
    <row r="292" spans="1:6">
      <c r="A292">
        <v>291</v>
      </c>
      <c r="B292">
        <v>63</v>
      </c>
      <c r="C292" t="s">
        <v>10</v>
      </c>
      <c r="D292" t="s">
        <v>7</v>
      </c>
      <c r="E292" t="s">
        <v>22</v>
      </c>
      <c r="F292" t="s">
        <v>9</v>
      </c>
    </row>
    <row r="293" spans="1:6">
      <c r="A293">
        <v>292</v>
      </c>
      <c r="B293">
        <v>46</v>
      </c>
      <c r="C293" t="s">
        <v>6</v>
      </c>
      <c r="D293" t="s">
        <v>15</v>
      </c>
      <c r="E293" t="s">
        <v>34</v>
      </c>
      <c r="F293" t="s">
        <v>13</v>
      </c>
    </row>
    <row r="294" spans="1:6">
      <c r="A294">
        <v>293</v>
      </c>
      <c r="B294">
        <v>27</v>
      </c>
      <c r="C294" t="s">
        <v>10</v>
      </c>
      <c r="D294" t="s">
        <v>19</v>
      </c>
      <c r="E294" t="s">
        <v>18</v>
      </c>
      <c r="F294" t="s">
        <v>13</v>
      </c>
    </row>
    <row r="295" spans="1:6">
      <c r="A295">
        <v>294</v>
      </c>
      <c r="B295">
        <v>74</v>
      </c>
      <c r="C295" t="s">
        <v>6</v>
      </c>
      <c r="D295" t="s">
        <v>7</v>
      </c>
      <c r="E295" t="s">
        <v>16</v>
      </c>
      <c r="F295" t="s">
        <v>9</v>
      </c>
    </row>
    <row r="296" spans="1:6">
      <c r="A296">
        <v>295</v>
      </c>
      <c r="B296">
        <v>35</v>
      </c>
      <c r="C296" t="s">
        <v>10</v>
      </c>
      <c r="D296" t="s">
        <v>11</v>
      </c>
      <c r="E296" t="s">
        <v>14</v>
      </c>
      <c r="F296" t="s">
        <v>13</v>
      </c>
    </row>
    <row r="297" spans="1:6">
      <c r="A297">
        <v>296</v>
      </c>
      <c r="B297">
        <v>59</v>
      </c>
      <c r="C297" t="s">
        <v>6</v>
      </c>
      <c r="D297" t="s">
        <v>7</v>
      </c>
      <c r="E297" t="s">
        <v>20</v>
      </c>
      <c r="F297" t="s">
        <v>9</v>
      </c>
    </row>
    <row r="298" spans="1:6">
      <c r="A298">
        <v>297</v>
      </c>
      <c r="B298">
        <v>38</v>
      </c>
      <c r="C298" t="s">
        <v>10</v>
      </c>
      <c r="D298" t="s">
        <v>15</v>
      </c>
      <c r="E298" t="s">
        <v>8</v>
      </c>
      <c r="F298" t="s">
        <v>13</v>
      </c>
    </row>
    <row r="299" spans="1:6">
      <c r="A299">
        <v>298</v>
      </c>
      <c r="B299">
        <v>70</v>
      </c>
      <c r="C299" t="s">
        <v>6</v>
      </c>
      <c r="D299" t="s">
        <v>7</v>
      </c>
      <c r="E299" t="s">
        <v>24</v>
      </c>
      <c r="F299" t="s">
        <v>9</v>
      </c>
    </row>
    <row r="300" spans="1:6">
      <c r="A300">
        <v>299</v>
      </c>
      <c r="B300">
        <v>31</v>
      </c>
      <c r="C300" t="s">
        <v>10</v>
      </c>
      <c r="D300" t="s">
        <v>17</v>
      </c>
      <c r="E300" t="s">
        <v>26</v>
      </c>
      <c r="F300" t="s">
        <v>13</v>
      </c>
    </row>
    <row r="301" spans="1:6">
      <c r="A301">
        <v>300</v>
      </c>
      <c r="B301">
        <v>79</v>
      </c>
      <c r="C301" t="s">
        <v>6</v>
      </c>
      <c r="D301" t="s">
        <v>7</v>
      </c>
      <c r="E301" t="s">
        <v>28</v>
      </c>
      <c r="F301" t="s">
        <v>9</v>
      </c>
    </row>
    <row r="302" spans="1:6">
      <c r="A302">
        <v>301</v>
      </c>
      <c r="B302">
        <v>52</v>
      </c>
      <c r="C302" t="s">
        <v>10</v>
      </c>
      <c r="D302" t="s">
        <v>7</v>
      </c>
      <c r="E302" t="s">
        <v>8</v>
      </c>
      <c r="F302" t="s">
        <v>9</v>
      </c>
    </row>
    <row r="303" spans="1:6">
      <c r="A303">
        <v>302</v>
      </c>
      <c r="B303">
        <v>36</v>
      </c>
      <c r="C303" t="s">
        <v>6</v>
      </c>
      <c r="D303" t="s">
        <v>15</v>
      </c>
      <c r="E303" t="s">
        <v>24</v>
      </c>
      <c r="F303" t="s">
        <v>13</v>
      </c>
    </row>
    <row r="304" spans="1:6">
      <c r="A304">
        <v>303</v>
      </c>
      <c r="B304">
        <v>74</v>
      </c>
      <c r="C304" t="s">
        <v>10</v>
      </c>
      <c r="D304" t="s">
        <v>7</v>
      </c>
      <c r="E304" t="s">
        <v>26</v>
      </c>
      <c r="F304" t="s">
        <v>9</v>
      </c>
    </row>
    <row r="305" spans="1:6">
      <c r="A305">
        <v>304</v>
      </c>
      <c r="B305">
        <v>29</v>
      </c>
      <c r="C305" t="s">
        <v>6</v>
      </c>
      <c r="D305" t="s">
        <v>11</v>
      </c>
      <c r="E305" t="s">
        <v>22</v>
      </c>
      <c r="F305" t="s">
        <v>13</v>
      </c>
    </row>
    <row r="306" spans="1:6">
      <c r="A306">
        <v>305</v>
      </c>
      <c r="B306">
        <v>63</v>
      </c>
      <c r="C306" t="s">
        <v>10</v>
      </c>
      <c r="D306" t="s">
        <v>17</v>
      </c>
      <c r="E306" t="s">
        <v>34</v>
      </c>
      <c r="F306" t="s">
        <v>9</v>
      </c>
    </row>
    <row r="307" spans="1:6">
      <c r="A307">
        <v>306</v>
      </c>
      <c r="B307">
        <v>45</v>
      </c>
      <c r="C307" t="s">
        <v>6</v>
      </c>
      <c r="D307" t="s">
        <v>7</v>
      </c>
      <c r="E307" t="s">
        <v>20</v>
      </c>
      <c r="F307" t="s">
        <v>13</v>
      </c>
    </row>
    <row r="308" spans="1:6">
      <c r="A308">
        <v>307</v>
      </c>
      <c r="B308">
        <v>58</v>
      </c>
      <c r="C308" t="s">
        <v>10</v>
      </c>
      <c r="D308" t="s">
        <v>15</v>
      </c>
      <c r="E308" t="s">
        <v>16</v>
      </c>
      <c r="F308" t="s">
        <v>9</v>
      </c>
    </row>
    <row r="309" spans="1:6">
      <c r="A309">
        <v>308</v>
      </c>
      <c r="B309">
        <v>33</v>
      </c>
      <c r="C309" t="s">
        <v>6</v>
      </c>
      <c r="D309" t="s">
        <v>19</v>
      </c>
      <c r="E309" t="s">
        <v>30</v>
      </c>
      <c r="F309" t="s">
        <v>13</v>
      </c>
    </row>
    <row r="310" spans="1:6">
      <c r="A310">
        <v>309</v>
      </c>
      <c r="B310">
        <v>71</v>
      </c>
      <c r="C310" t="s">
        <v>10</v>
      </c>
      <c r="D310" t="s">
        <v>7</v>
      </c>
      <c r="E310" t="s">
        <v>18</v>
      </c>
      <c r="F310" t="s">
        <v>9</v>
      </c>
    </row>
    <row r="311" spans="1:6">
      <c r="A311">
        <v>310</v>
      </c>
      <c r="B311">
        <v>27</v>
      </c>
      <c r="C311" t="s">
        <v>6</v>
      </c>
      <c r="D311" t="s">
        <v>21</v>
      </c>
      <c r="E311" t="s">
        <v>28</v>
      </c>
      <c r="F311" t="s">
        <v>13</v>
      </c>
    </row>
    <row r="312" spans="1:6">
      <c r="A312">
        <v>311</v>
      </c>
      <c r="B312">
        <v>54</v>
      </c>
      <c r="C312" t="s">
        <v>10</v>
      </c>
      <c r="D312" t="s">
        <v>7</v>
      </c>
      <c r="E312" t="s">
        <v>32</v>
      </c>
      <c r="F312" t="s">
        <v>9</v>
      </c>
    </row>
    <row r="313" spans="1:6">
      <c r="A313">
        <v>312</v>
      </c>
      <c r="B313">
        <v>39</v>
      </c>
      <c r="C313" t="s">
        <v>6</v>
      </c>
      <c r="D313" t="s">
        <v>15</v>
      </c>
      <c r="E313" t="s">
        <v>27</v>
      </c>
      <c r="F313" t="s">
        <v>13</v>
      </c>
    </row>
    <row r="314" spans="1:6">
      <c r="A314">
        <v>313</v>
      </c>
      <c r="B314">
        <v>66</v>
      </c>
      <c r="C314" t="s">
        <v>10</v>
      </c>
      <c r="D314" t="s">
        <v>7</v>
      </c>
      <c r="E314" t="s">
        <v>22</v>
      </c>
      <c r="F314" t="s">
        <v>9</v>
      </c>
    </row>
    <row r="315" spans="1:6">
      <c r="A315">
        <v>314</v>
      </c>
      <c r="B315">
        <v>31</v>
      </c>
      <c r="C315" t="s">
        <v>6</v>
      </c>
      <c r="D315" t="s">
        <v>17</v>
      </c>
      <c r="E315" t="s">
        <v>36</v>
      </c>
      <c r="F315" t="s">
        <v>13</v>
      </c>
    </row>
    <row r="316" spans="1:6">
      <c r="A316">
        <v>315</v>
      </c>
      <c r="B316">
        <v>78</v>
      </c>
      <c r="C316" t="s">
        <v>10</v>
      </c>
      <c r="D316" t="s">
        <v>7</v>
      </c>
      <c r="E316" t="s">
        <v>31</v>
      </c>
      <c r="F316" t="s">
        <v>9</v>
      </c>
    </row>
    <row r="317" spans="1:6">
      <c r="A317">
        <v>316</v>
      </c>
      <c r="B317">
        <v>42</v>
      </c>
      <c r="C317" t="s">
        <v>6</v>
      </c>
      <c r="D317" t="s">
        <v>11</v>
      </c>
      <c r="E317" t="s">
        <v>8</v>
      </c>
      <c r="F317" t="s">
        <v>13</v>
      </c>
    </row>
    <row r="318" spans="1:6">
      <c r="A318">
        <v>317</v>
      </c>
      <c r="B318">
        <v>57</v>
      </c>
      <c r="C318" t="s">
        <v>10</v>
      </c>
      <c r="D318" t="s">
        <v>7</v>
      </c>
      <c r="E318" t="s">
        <v>24</v>
      </c>
      <c r="F318" t="s">
        <v>9</v>
      </c>
    </row>
    <row r="319" spans="1:6">
      <c r="A319">
        <v>318</v>
      </c>
      <c r="B319">
        <v>36</v>
      </c>
      <c r="C319" t="s">
        <v>6</v>
      </c>
      <c r="D319" t="s">
        <v>15</v>
      </c>
      <c r="E319" t="s">
        <v>33</v>
      </c>
      <c r="F319" t="s">
        <v>13</v>
      </c>
    </row>
    <row r="320" spans="1:6">
      <c r="A320">
        <v>319</v>
      </c>
      <c r="B320">
        <v>69</v>
      </c>
      <c r="C320" t="s">
        <v>10</v>
      </c>
      <c r="D320" t="s">
        <v>7</v>
      </c>
      <c r="E320" t="s">
        <v>16</v>
      </c>
      <c r="F320" t="s">
        <v>9</v>
      </c>
    </row>
    <row r="321" spans="1:6">
      <c r="A321">
        <v>320</v>
      </c>
      <c r="B321">
        <v>25</v>
      </c>
      <c r="C321" t="s">
        <v>6</v>
      </c>
      <c r="D321" t="s">
        <v>19</v>
      </c>
      <c r="E321" t="s">
        <v>14</v>
      </c>
      <c r="F321" t="s">
        <v>13</v>
      </c>
    </row>
    <row r="322" spans="1:6">
      <c r="A322">
        <v>321</v>
      </c>
      <c r="B322">
        <v>62</v>
      </c>
      <c r="C322" t="s">
        <v>10</v>
      </c>
      <c r="D322" t="s">
        <v>17</v>
      </c>
      <c r="E322" t="s">
        <v>35</v>
      </c>
      <c r="F322" t="s">
        <v>9</v>
      </c>
    </row>
    <row r="323" spans="1:6">
      <c r="A323">
        <v>322</v>
      </c>
      <c r="B323">
        <v>48</v>
      </c>
      <c r="C323" t="s">
        <v>6</v>
      </c>
      <c r="D323" t="s">
        <v>7</v>
      </c>
      <c r="E323" t="s">
        <v>22</v>
      </c>
      <c r="F323" t="s">
        <v>13</v>
      </c>
    </row>
    <row r="324" spans="1:6">
      <c r="A324">
        <v>323</v>
      </c>
      <c r="B324">
        <v>30</v>
      </c>
      <c r="C324" t="s">
        <v>10</v>
      </c>
      <c r="D324" t="s">
        <v>15</v>
      </c>
      <c r="E324" t="s">
        <v>30</v>
      </c>
      <c r="F324" t="s">
        <v>13</v>
      </c>
    </row>
    <row r="325" spans="1:6">
      <c r="A325">
        <v>324</v>
      </c>
      <c r="B325">
        <v>75</v>
      </c>
      <c r="C325" t="s">
        <v>6</v>
      </c>
      <c r="D325" t="s">
        <v>7</v>
      </c>
      <c r="E325" t="s">
        <v>20</v>
      </c>
      <c r="F325" t="s">
        <v>9</v>
      </c>
    </row>
    <row r="326" spans="1:6">
      <c r="A326">
        <v>325</v>
      </c>
      <c r="B326">
        <v>41</v>
      </c>
      <c r="C326" t="s">
        <v>10</v>
      </c>
      <c r="D326" t="s">
        <v>21</v>
      </c>
      <c r="E326" t="s">
        <v>28</v>
      </c>
      <c r="F326" t="s">
        <v>13</v>
      </c>
    </row>
    <row r="327" spans="1:6">
      <c r="A327">
        <v>326</v>
      </c>
      <c r="B327">
        <v>59</v>
      </c>
      <c r="C327" t="s">
        <v>6</v>
      </c>
      <c r="D327" t="s">
        <v>7</v>
      </c>
      <c r="E327" t="s">
        <v>32</v>
      </c>
      <c r="F327" t="s">
        <v>9</v>
      </c>
    </row>
    <row r="328" spans="1:6">
      <c r="A328">
        <v>327</v>
      </c>
      <c r="B328">
        <v>38</v>
      </c>
      <c r="C328" t="s">
        <v>10</v>
      </c>
      <c r="D328" t="s">
        <v>15</v>
      </c>
      <c r="E328" t="s">
        <v>18</v>
      </c>
      <c r="F328" t="s">
        <v>13</v>
      </c>
    </row>
    <row r="329" spans="1:6">
      <c r="A329">
        <v>328</v>
      </c>
      <c r="B329">
        <v>73</v>
      </c>
      <c r="C329" t="s">
        <v>6</v>
      </c>
      <c r="D329" t="s">
        <v>7</v>
      </c>
      <c r="E329" t="s">
        <v>16</v>
      </c>
      <c r="F329" t="s">
        <v>9</v>
      </c>
    </row>
    <row r="330" spans="1:6">
      <c r="A330">
        <v>329</v>
      </c>
      <c r="B330">
        <v>28</v>
      </c>
      <c r="C330" t="s">
        <v>10</v>
      </c>
      <c r="D330" t="s">
        <v>17</v>
      </c>
      <c r="E330" t="s">
        <v>36</v>
      </c>
      <c r="F330" t="s">
        <v>13</v>
      </c>
    </row>
    <row r="331" spans="1:6">
      <c r="A331">
        <v>330</v>
      </c>
      <c r="B331">
        <v>64</v>
      </c>
      <c r="C331" t="s">
        <v>6</v>
      </c>
      <c r="D331" t="s">
        <v>7</v>
      </c>
      <c r="E331" t="s">
        <v>27</v>
      </c>
      <c r="F331" t="s">
        <v>9</v>
      </c>
    </row>
    <row r="332" spans="1:6">
      <c r="A332">
        <v>331</v>
      </c>
      <c r="B332">
        <v>47</v>
      </c>
      <c r="C332" t="s">
        <v>10</v>
      </c>
      <c r="D332" t="s">
        <v>15</v>
      </c>
      <c r="E332" t="s">
        <v>8</v>
      </c>
      <c r="F332" t="s">
        <v>13</v>
      </c>
    </row>
    <row r="333" spans="1:6">
      <c r="A333">
        <v>332</v>
      </c>
      <c r="B333">
        <v>26</v>
      </c>
      <c r="C333" t="s">
        <v>6</v>
      </c>
      <c r="D333" t="s">
        <v>19</v>
      </c>
      <c r="E333" t="s">
        <v>24</v>
      </c>
      <c r="F333" t="s">
        <v>13</v>
      </c>
    </row>
    <row r="334" spans="1:6">
      <c r="A334">
        <v>333</v>
      </c>
      <c r="B334">
        <v>70</v>
      </c>
      <c r="C334" t="s">
        <v>10</v>
      </c>
      <c r="D334" t="s">
        <v>7</v>
      </c>
      <c r="E334" t="s">
        <v>31</v>
      </c>
      <c r="F334" t="s">
        <v>9</v>
      </c>
    </row>
    <row r="335" spans="1:6">
      <c r="A335">
        <v>334</v>
      </c>
      <c r="B335">
        <v>35</v>
      </c>
      <c r="C335" t="s">
        <v>6</v>
      </c>
      <c r="D335" t="s">
        <v>11</v>
      </c>
      <c r="E335" t="s">
        <v>22</v>
      </c>
      <c r="F335" t="s">
        <v>13</v>
      </c>
    </row>
    <row r="336" spans="1:6">
      <c r="A336">
        <v>335</v>
      </c>
      <c r="B336">
        <v>61</v>
      </c>
      <c r="C336" t="s">
        <v>10</v>
      </c>
      <c r="D336" t="s">
        <v>7</v>
      </c>
      <c r="E336" t="s">
        <v>34</v>
      </c>
      <c r="F336" t="s">
        <v>9</v>
      </c>
    </row>
    <row r="337" spans="1:6">
      <c r="A337">
        <v>336</v>
      </c>
      <c r="B337">
        <v>44</v>
      </c>
      <c r="C337" t="s">
        <v>6</v>
      </c>
      <c r="D337" t="s">
        <v>15</v>
      </c>
      <c r="E337" t="s">
        <v>33</v>
      </c>
      <c r="F337" t="s">
        <v>13</v>
      </c>
    </row>
    <row r="338" spans="1:6">
      <c r="A338">
        <v>337</v>
      </c>
      <c r="B338">
        <v>79</v>
      </c>
      <c r="C338" t="s">
        <v>10</v>
      </c>
      <c r="D338" t="s">
        <v>7</v>
      </c>
      <c r="E338" t="s">
        <v>16</v>
      </c>
      <c r="F338" t="s">
        <v>9</v>
      </c>
    </row>
    <row r="339" spans="1:6">
      <c r="A339">
        <v>338</v>
      </c>
      <c r="B339">
        <v>32</v>
      </c>
      <c r="C339" t="s">
        <v>6</v>
      </c>
      <c r="D339" t="s">
        <v>17</v>
      </c>
      <c r="E339" t="s">
        <v>30</v>
      </c>
      <c r="F339" t="s">
        <v>13</v>
      </c>
    </row>
    <row r="340" spans="1:6">
      <c r="A340">
        <v>339</v>
      </c>
      <c r="B340">
        <v>56</v>
      </c>
      <c r="C340" t="s">
        <v>10</v>
      </c>
      <c r="D340" t="s">
        <v>7</v>
      </c>
      <c r="E340" t="s">
        <v>18</v>
      </c>
      <c r="F340" t="s">
        <v>9</v>
      </c>
    </row>
    <row r="341" spans="1:6">
      <c r="A341">
        <v>340</v>
      </c>
      <c r="B341">
        <v>40</v>
      </c>
      <c r="C341" t="s">
        <v>6</v>
      </c>
      <c r="D341" t="s">
        <v>15</v>
      </c>
      <c r="E341" t="s">
        <v>28</v>
      </c>
      <c r="F341" t="s">
        <v>13</v>
      </c>
    </row>
    <row r="342" spans="1:6">
      <c r="A342">
        <v>341</v>
      </c>
      <c r="B342">
        <v>68</v>
      </c>
      <c r="C342" t="s">
        <v>10</v>
      </c>
      <c r="D342" t="s">
        <v>7</v>
      </c>
      <c r="E342" t="s">
        <v>36</v>
      </c>
      <c r="F342" t="s">
        <v>9</v>
      </c>
    </row>
    <row r="343" spans="1:6">
      <c r="A343">
        <v>342</v>
      </c>
      <c r="B343">
        <v>29</v>
      </c>
      <c r="C343" t="s">
        <v>6</v>
      </c>
      <c r="D343" t="s">
        <v>21</v>
      </c>
      <c r="E343" t="s">
        <v>20</v>
      </c>
      <c r="F343" t="s">
        <v>13</v>
      </c>
    </row>
    <row r="344" spans="1:6">
      <c r="A344">
        <v>343</v>
      </c>
      <c r="B344">
        <v>53</v>
      </c>
      <c r="C344" t="s">
        <v>10</v>
      </c>
      <c r="D344" t="s">
        <v>7</v>
      </c>
      <c r="E344" t="s">
        <v>22</v>
      </c>
      <c r="F344" t="s">
        <v>9</v>
      </c>
    </row>
    <row r="345" spans="1:6">
      <c r="A345">
        <v>344</v>
      </c>
      <c r="B345">
        <v>37</v>
      </c>
      <c r="C345" t="s">
        <v>6</v>
      </c>
      <c r="D345" t="s">
        <v>15</v>
      </c>
      <c r="E345" t="s">
        <v>14</v>
      </c>
      <c r="F345" t="s">
        <v>13</v>
      </c>
    </row>
    <row r="346" spans="1:6">
      <c r="A346">
        <v>345</v>
      </c>
      <c r="B346">
        <v>74</v>
      </c>
      <c r="C346" t="s">
        <v>10</v>
      </c>
      <c r="D346" t="s">
        <v>7</v>
      </c>
      <c r="E346" t="s">
        <v>35</v>
      </c>
      <c r="F346" t="s">
        <v>9</v>
      </c>
    </row>
    <row r="347" spans="1:6">
      <c r="A347">
        <v>346</v>
      </c>
      <c r="B347">
        <v>33</v>
      </c>
      <c r="C347" t="s">
        <v>6</v>
      </c>
      <c r="D347" t="s">
        <v>17</v>
      </c>
      <c r="E347" t="s">
        <v>8</v>
      </c>
      <c r="F347" t="s">
        <v>13</v>
      </c>
    </row>
    <row r="348" spans="1:6">
      <c r="A348">
        <v>347</v>
      </c>
      <c r="B348">
        <v>58</v>
      </c>
      <c r="C348" t="s">
        <v>10</v>
      </c>
      <c r="D348" t="s">
        <v>7</v>
      </c>
      <c r="E348" t="s">
        <v>24</v>
      </c>
      <c r="F348" t="s">
        <v>9</v>
      </c>
    </row>
    <row r="349" spans="1:6">
      <c r="A349">
        <v>348</v>
      </c>
      <c r="B349">
        <v>41</v>
      </c>
      <c r="C349" t="s">
        <v>6</v>
      </c>
      <c r="D349" t="s">
        <v>15</v>
      </c>
      <c r="E349" t="s">
        <v>27</v>
      </c>
      <c r="F349" t="s">
        <v>13</v>
      </c>
    </row>
    <row r="350" spans="1:6">
      <c r="A350">
        <v>349</v>
      </c>
      <c r="B350">
        <v>72</v>
      </c>
      <c r="C350" t="s">
        <v>10</v>
      </c>
      <c r="D350" t="s">
        <v>7</v>
      </c>
      <c r="E350" t="s">
        <v>16</v>
      </c>
      <c r="F350" t="s">
        <v>9</v>
      </c>
    </row>
    <row r="351" spans="1:6">
      <c r="A351">
        <v>350</v>
      </c>
      <c r="B351">
        <v>30</v>
      </c>
      <c r="C351" t="s">
        <v>6</v>
      </c>
      <c r="D351" t="s">
        <v>19</v>
      </c>
      <c r="E351" t="s">
        <v>32</v>
      </c>
      <c r="F351" t="s">
        <v>13</v>
      </c>
    </row>
    <row r="352" spans="1:6">
      <c r="A352">
        <v>351</v>
      </c>
      <c r="B352">
        <v>63</v>
      </c>
      <c r="C352" t="s">
        <v>10</v>
      </c>
      <c r="D352" t="s">
        <v>17</v>
      </c>
      <c r="E352" t="s">
        <v>31</v>
      </c>
      <c r="F352" t="s">
        <v>9</v>
      </c>
    </row>
    <row r="353" spans="1:6">
      <c r="A353">
        <v>352</v>
      </c>
      <c r="B353">
        <v>46</v>
      </c>
      <c r="C353" t="s">
        <v>6</v>
      </c>
      <c r="D353" t="s">
        <v>7</v>
      </c>
      <c r="E353" t="s">
        <v>28</v>
      </c>
      <c r="F353" t="s">
        <v>13</v>
      </c>
    </row>
    <row r="354" spans="1:6">
      <c r="A354">
        <v>353</v>
      </c>
      <c r="B354">
        <v>27</v>
      </c>
      <c r="C354" t="s">
        <v>10</v>
      </c>
      <c r="D354" t="s">
        <v>15</v>
      </c>
      <c r="E354" t="s">
        <v>30</v>
      </c>
      <c r="F354" t="s">
        <v>13</v>
      </c>
    </row>
    <row r="355" spans="1:6">
      <c r="A355">
        <v>354</v>
      </c>
      <c r="B355">
        <v>77</v>
      </c>
      <c r="C355" t="s">
        <v>6</v>
      </c>
      <c r="D355" t="s">
        <v>7</v>
      </c>
      <c r="E355" t="s">
        <v>33</v>
      </c>
      <c r="F355" t="s">
        <v>9</v>
      </c>
    </row>
    <row r="356" spans="1:6">
      <c r="A356">
        <v>355</v>
      </c>
      <c r="B356">
        <v>39</v>
      </c>
      <c r="C356" t="s">
        <v>10</v>
      </c>
      <c r="D356" t="s">
        <v>11</v>
      </c>
      <c r="E356" t="s">
        <v>22</v>
      </c>
      <c r="F356" t="s">
        <v>13</v>
      </c>
    </row>
    <row r="357" spans="1:6">
      <c r="A357">
        <v>356</v>
      </c>
      <c r="B357">
        <v>55</v>
      </c>
      <c r="C357" t="s">
        <v>6</v>
      </c>
      <c r="D357" t="s">
        <v>7</v>
      </c>
      <c r="E357" t="s">
        <v>34</v>
      </c>
      <c r="F357" t="s">
        <v>9</v>
      </c>
    </row>
    <row r="358" spans="1:6">
      <c r="A358">
        <v>357</v>
      </c>
      <c r="B358">
        <v>34</v>
      </c>
      <c r="C358" t="s">
        <v>10</v>
      </c>
      <c r="D358" t="s">
        <v>15</v>
      </c>
      <c r="E358" t="s">
        <v>18</v>
      </c>
      <c r="F358" t="s">
        <v>13</v>
      </c>
    </row>
    <row r="359" spans="1:6">
      <c r="A359">
        <v>358</v>
      </c>
      <c r="B359">
        <v>69</v>
      </c>
      <c r="C359" t="s">
        <v>6</v>
      </c>
      <c r="D359" t="s">
        <v>7</v>
      </c>
      <c r="E359" t="s">
        <v>16</v>
      </c>
      <c r="F359" t="s">
        <v>9</v>
      </c>
    </row>
    <row r="360" spans="1:6">
      <c r="A360">
        <v>359</v>
      </c>
      <c r="B360">
        <v>31</v>
      </c>
      <c r="C360" t="s">
        <v>10</v>
      </c>
      <c r="D360" t="s">
        <v>17</v>
      </c>
      <c r="E360" t="s">
        <v>36</v>
      </c>
      <c r="F360" t="s">
        <v>13</v>
      </c>
    </row>
    <row r="361" spans="1:6">
      <c r="A361">
        <v>360</v>
      </c>
      <c r="B361">
        <v>80</v>
      </c>
      <c r="C361" t="s">
        <v>6</v>
      </c>
      <c r="D361" t="s">
        <v>7</v>
      </c>
      <c r="E361" t="s">
        <v>20</v>
      </c>
      <c r="F361" t="s">
        <v>9</v>
      </c>
    </row>
    <row r="362" spans="1:6">
      <c r="A362">
        <v>361</v>
      </c>
      <c r="B362">
        <v>43</v>
      </c>
      <c r="C362" t="s">
        <v>10</v>
      </c>
      <c r="D362" t="s">
        <v>15</v>
      </c>
      <c r="E362" t="s">
        <v>8</v>
      </c>
      <c r="F362" t="s">
        <v>13</v>
      </c>
    </row>
    <row r="363" spans="1:6">
      <c r="A363">
        <v>362</v>
      </c>
      <c r="B363">
        <v>24</v>
      </c>
      <c r="C363" t="s">
        <v>6</v>
      </c>
      <c r="D363" t="s">
        <v>7</v>
      </c>
      <c r="E363" t="s">
        <v>24</v>
      </c>
      <c r="F363" t="s">
        <v>13</v>
      </c>
    </row>
    <row r="364" spans="1:6">
      <c r="A364">
        <v>363</v>
      </c>
      <c r="B364">
        <v>60</v>
      </c>
      <c r="C364" t="s">
        <v>10</v>
      </c>
      <c r="D364" t="s">
        <v>21</v>
      </c>
      <c r="E364" t="s">
        <v>26</v>
      </c>
      <c r="F364" t="s">
        <v>9</v>
      </c>
    </row>
    <row r="365" spans="1:6">
      <c r="A365">
        <v>364</v>
      </c>
      <c r="B365">
        <v>38</v>
      </c>
      <c r="C365" t="s">
        <v>6</v>
      </c>
      <c r="D365" t="s">
        <v>7</v>
      </c>
      <c r="E365" t="s">
        <v>22</v>
      </c>
      <c r="F365" t="s">
        <v>13</v>
      </c>
    </row>
    <row r="366" spans="1:6">
      <c r="A366">
        <v>365</v>
      </c>
      <c r="B366">
        <v>57</v>
      </c>
      <c r="C366" t="s">
        <v>10</v>
      </c>
      <c r="D366" t="s">
        <v>15</v>
      </c>
      <c r="E366" t="s">
        <v>32</v>
      </c>
      <c r="F366" t="s">
        <v>9</v>
      </c>
    </row>
    <row r="367" spans="1:6">
      <c r="A367">
        <v>366</v>
      </c>
      <c r="B367">
        <v>29</v>
      </c>
      <c r="C367" t="s">
        <v>6</v>
      </c>
      <c r="D367" t="s">
        <v>19</v>
      </c>
      <c r="E367" t="s">
        <v>27</v>
      </c>
      <c r="F367" t="s">
        <v>13</v>
      </c>
    </row>
    <row r="368" spans="1:6">
      <c r="A368">
        <v>367</v>
      </c>
      <c r="B368">
        <v>73</v>
      </c>
      <c r="C368" t="s">
        <v>10</v>
      </c>
      <c r="D368" t="s">
        <v>7</v>
      </c>
      <c r="E368" t="s">
        <v>16</v>
      </c>
      <c r="F368" t="s">
        <v>9</v>
      </c>
    </row>
    <row r="369" spans="1:6">
      <c r="A369">
        <v>368</v>
      </c>
      <c r="B369">
        <v>45</v>
      </c>
      <c r="C369" t="s">
        <v>6</v>
      </c>
      <c r="D369" t="s">
        <v>17</v>
      </c>
      <c r="E369" t="s">
        <v>30</v>
      </c>
      <c r="F369" t="s">
        <v>13</v>
      </c>
    </row>
    <row r="370" spans="1:6">
      <c r="A370">
        <v>369</v>
      </c>
      <c r="B370">
        <v>36</v>
      </c>
      <c r="C370" t="s">
        <v>10</v>
      </c>
      <c r="D370" t="s">
        <v>7</v>
      </c>
      <c r="E370" t="s">
        <v>31</v>
      </c>
      <c r="F370" t="s">
        <v>13</v>
      </c>
    </row>
    <row r="371" spans="1:6">
      <c r="A371">
        <v>370</v>
      </c>
      <c r="B371">
        <v>67</v>
      </c>
      <c r="C371" t="s">
        <v>6</v>
      </c>
      <c r="D371" t="s">
        <v>7</v>
      </c>
      <c r="E371" t="s">
        <v>28</v>
      </c>
      <c r="F371" t="s">
        <v>9</v>
      </c>
    </row>
    <row r="372" spans="1:6">
      <c r="A372">
        <v>371</v>
      </c>
      <c r="B372">
        <v>32</v>
      </c>
      <c r="C372" t="s">
        <v>10</v>
      </c>
      <c r="D372" t="s">
        <v>15</v>
      </c>
      <c r="E372" t="s">
        <v>34</v>
      </c>
      <c r="F372" t="s">
        <v>13</v>
      </c>
    </row>
    <row r="373" spans="1:6">
      <c r="A373">
        <v>372</v>
      </c>
      <c r="B373">
        <v>59</v>
      </c>
      <c r="C373" t="s">
        <v>6</v>
      </c>
      <c r="D373" t="s">
        <v>7</v>
      </c>
      <c r="E373" t="s">
        <v>33</v>
      </c>
      <c r="F373" t="s">
        <v>9</v>
      </c>
    </row>
    <row r="374" spans="1:6">
      <c r="A374">
        <v>373</v>
      </c>
      <c r="B374">
        <v>40</v>
      </c>
      <c r="C374" t="s">
        <v>10</v>
      </c>
      <c r="D374" t="s">
        <v>11</v>
      </c>
      <c r="E374" t="s">
        <v>22</v>
      </c>
      <c r="F374" t="s">
        <v>13</v>
      </c>
    </row>
    <row r="375" spans="1:6">
      <c r="A375">
        <v>374</v>
      </c>
      <c r="B375">
        <v>75</v>
      </c>
      <c r="C375" t="s">
        <v>6</v>
      </c>
      <c r="D375" t="s">
        <v>7</v>
      </c>
      <c r="E375" t="s">
        <v>36</v>
      </c>
      <c r="F375" t="s">
        <v>9</v>
      </c>
    </row>
    <row r="376" spans="1:6">
      <c r="A376">
        <v>375</v>
      </c>
      <c r="B376">
        <v>28</v>
      </c>
      <c r="C376" t="s">
        <v>10</v>
      </c>
      <c r="D376" t="s">
        <v>15</v>
      </c>
      <c r="E376" t="s">
        <v>18</v>
      </c>
      <c r="F376" t="s">
        <v>13</v>
      </c>
    </row>
    <row r="377" spans="1:6">
      <c r="A377">
        <v>376</v>
      </c>
      <c r="B377">
        <v>62</v>
      </c>
      <c r="C377" t="s">
        <v>6</v>
      </c>
      <c r="D377" t="s">
        <v>7</v>
      </c>
      <c r="E377" t="s">
        <v>16</v>
      </c>
      <c r="F377" t="s">
        <v>9</v>
      </c>
    </row>
    <row r="378" spans="1:6">
      <c r="A378">
        <v>377</v>
      </c>
      <c r="B378">
        <v>47</v>
      </c>
      <c r="C378" t="s">
        <v>10</v>
      </c>
      <c r="D378" t="s">
        <v>17</v>
      </c>
      <c r="E378" t="s">
        <v>14</v>
      </c>
      <c r="F378" t="s">
        <v>13</v>
      </c>
    </row>
    <row r="379" spans="1:6">
      <c r="A379">
        <v>378</v>
      </c>
      <c r="B379">
        <v>34</v>
      </c>
      <c r="C379" t="s">
        <v>6</v>
      </c>
      <c r="D379" t="s">
        <v>7</v>
      </c>
      <c r="E379" t="s">
        <v>20</v>
      </c>
      <c r="F379" t="s">
        <v>13</v>
      </c>
    </row>
    <row r="380" spans="1:6">
      <c r="A380">
        <v>379</v>
      </c>
      <c r="B380">
        <v>71</v>
      </c>
      <c r="C380" t="s">
        <v>10</v>
      </c>
      <c r="D380" t="s">
        <v>7</v>
      </c>
      <c r="E380" t="s">
        <v>8</v>
      </c>
      <c r="F380" t="s">
        <v>9</v>
      </c>
    </row>
    <row r="381" spans="1:6">
      <c r="A381">
        <v>380</v>
      </c>
      <c r="B381">
        <v>30</v>
      </c>
      <c r="C381" t="s">
        <v>6</v>
      </c>
      <c r="D381" t="s">
        <v>15</v>
      </c>
      <c r="E381" t="s">
        <v>24</v>
      </c>
      <c r="F381" t="s">
        <v>13</v>
      </c>
    </row>
    <row r="382" spans="1:6">
      <c r="A382">
        <v>381</v>
      </c>
      <c r="B382">
        <v>64</v>
      </c>
      <c r="C382" t="s">
        <v>10</v>
      </c>
      <c r="D382" t="s">
        <v>7</v>
      </c>
      <c r="E382" t="s">
        <v>35</v>
      </c>
      <c r="F382" t="s">
        <v>9</v>
      </c>
    </row>
    <row r="383" spans="1:6">
      <c r="A383">
        <v>382</v>
      </c>
      <c r="B383">
        <v>42</v>
      </c>
      <c r="C383" t="s">
        <v>6</v>
      </c>
      <c r="D383" t="s">
        <v>17</v>
      </c>
      <c r="E383" t="s">
        <v>22</v>
      </c>
      <c r="F383" t="s">
        <v>13</v>
      </c>
    </row>
    <row r="384" spans="1:6">
      <c r="A384">
        <v>383</v>
      </c>
      <c r="B384">
        <v>58</v>
      </c>
      <c r="C384" t="s">
        <v>10</v>
      </c>
      <c r="D384" t="s">
        <v>7</v>
      </c>
      <c r="E384" t="s">
        <v>32</v>
      </c>
      <c r="F384" t="s">
        <v>9</v>
      </c>
    </row>
    <row r="385" spans="1:6">
      <c r="A385">
        <v>384</v>
      </c>
      <c r="B385">
        <v>37</v>
      </c>
      <c r="C385" t="s">
        <v>6</v>
      </c>
      <c r="D385" t="s">
        <v>15</v>
      </c>
      <c r="E385" t="s">
        <v>27</v>
      </c>
      <c r="F385" t="s">
        <v>13</v>
      </c>
    </row>
    <row r="386" spans="1:6">
      <c r="A386">
        <v>385</v>
      </c>
      <c r="B386">
        <v>76</v>
      </c>
      <c r="C386" t="s">
        <v>10</v>
      </c>
      <c r="D386" t="s">
        <v>7</v>
      </c>
      <c r="E386" t="s">
        <v>16</v>
      </c>
      <c r="F386" t="s">
        <v>9</v>
      </c>
    </row>
    <row r="387" spans="1:6">
      <c r="A387">
        <v>386</v>
      </c>
      <c r="B387">
        <v>33</v>
      </c>
      <c r="C387" t="s">
        <v>6</v>
      </c>
      <c r="D387" t="s">
        <v>21</v>
      </c>
      <c r="E387" t="s">
        <v>30</v>
      </c>
      <c r="F387" t="s">
        <v>13</v>
      </c>
    </row>
    <row r="388" spans="1:6">
      <c r="A388">
        <v>387</v>
      </c>
      <c r="B388">
        <v>55</v>
      </c>
      <c r="C388" t="s">
        <v>10</v>
      </c>
      <c r="D388" t="s">
        <v>7</v>
      </c>
      <c r="E388" t="s">
        <v>31</v>
      </c>
      <c r="F388" t="s">
        <v>9</v>
      </c>
    </row>
    <row r="389" spans="1:6">
      <c r="A389">
        <v>388</v>
      </c>
      <c r="B389">
        <v>41</v>
      </c>
      <c r="C389" t="s">
        <v>6</v>
      </c>
      <c r="D389" t="s">
        <v>15</v>
      </c>
      <c r="E389" t="s">
        <v>28</v>
      </c>
      <c r="F389" t="s">
        <v>13</v>
      </c>
    </row>
    <row r="390" spans="1:6">
      <c r="A390">
        <v>389</v>
      </c>
      <c r="B390">
        <v>68</v>
      </c>
      <c r="C390" t="s">
        <v>10</v>
      </c>
      <c r="D390" t="s">
        <v>7</v>
      </c>
      <c r="E390" t="s">
        <v>36</v>
      </c>
      <c r="F390" t="s">
        <v>9</v>
      </c>
    </row>
    <row r="391" spans="1:6">
      <c r="A391">
        <v>390</v>
      </c>
      <c r="B391">
        <v>29</v>
      </c>
      <c r="C391" t="s">
        <v>6</v>
      </c>
      <c r="D391" t="s">
        <v>17</v>
      </c>
      <c r="E391" t="s">
        <v>33</v>
      </c>
      <c r="F391" t="s">
        <v>13</v>
      </c>
    </row>
    <row r="392" spans="1:6">
      <c r="A392">
        <v>391</v>
      </c>
      <c r="B392">
        <v>63</v>
      </c>
      <c r="C392" t="s">
        <v>10</v>
      </c>
      <c r="D392" t="s">
        <v>7</v>
      </c>
      <c r="E392" t="s">
        <v>22</v>
      </c>
      <c r="F392" t="s">
        <v>9</v>
      </c>
    </row>
    <row r="393" spans="1:6">
      <c r="A393">
        <v>392</v>
      </c>
      <c r="B393">
        <v>46</v>
      </c>
      <c r="C393" t="s">
        <v>6</v>
      </c>
      <c r="D393" t="s">
        <v>15</v>
      </c>
      <c r="E393" t="s">
        <v>34</v>
      </c>
      <c r="F393" t="s">
        <v>13</v>
      </c>
    </row>
    <row r="394" spans="1:6">
      <c r="A394">
        <v>393</v>
      </c>
      <c r="B394">
        <v>27</v>
      </c>
      <c r="C394" t="s">
        <v>10</v>
      </c>
      <c r="D394" t="s">
        <v>19</v>
      </c>
      <c r="E394" t="s">
        <v>18</v>
      </c>
      <c r="F394" t="s">
        <v>13</v>
      </c>
    </row>
    <row r="395" spans="1:6">
      <c r="A395">
        <v>394</v>
      </c>
      <c r="B395">
        <v>74</v>
      </c>
      <c r="C395" t="s">
        <v>6</v>
      </c>
      <c r="D395" t="s">
        <v>7</v>
      </c>
      <c r="E395" t="s">
        <v>16</v>
      </c>
      <c r="F395" t="s">
        <v>9</v>
      </c>
    </row>
    <row r="396" spans="1:6">
      <c r="A396">
        <v>395</v>
      </c>
      <c r="B396">
        <v>35</v>
      </c>
      <c r="C396" t="s">
        <v>10</v>
      </c>
      <c r="D396" t="s">
        <v>11</v>
      </c>
      <c r="E396" t="s">
        <v>14</v>
      </c>
      <c r="F396" t="s">
        <v>13</v>
      </c>
    </row>
    <row r="397" spans="1:6">
      <c r="A397">
        <v>396</v>
      </c>
      <c r="B397">
        <v>59</v>
      </c>
      <c r="C397" t="s">
        <v>6</v>
      </c>
      <c r="D397" t="s">
        <v>7</v>
      </c>
      <c r="E397" t="s">
        <v>20</v>
      </c>
      <c r="F397" t="s">
        <v>9</v>
      </c>
    </row>
    <row r="398" spans="1:6">
      <c r="A398">
        <v>397</v>
      </c>
      <c r="B398">
        <v>38</v>
      </c>
      <c r="C398" t="s">
        <v>10</v>
      </c>
      <c r="D398" t="s">
        <v>15</v>
      </c>
      <c r="E398" t="s">
        <v>8</v>
      </c>
      <c r="F398" t="s">
        <v>13</v>
      </c>
    </row>
    <row r="399" spans="1:6">
      <c r="A399">
        <v>398</v>
      </c>
      <c r="B399">
        <v>70</v>
      </c>
      <c r="C399" t="s">
        <v>6</v>
      </c>
      <c r="D399" t="s">
        <v>7</v>
      </c>
      <c r="E399" t="s">
        <v>24</v>
      </c>
      <c r="F399" t="s">
        <v>9</v>
      </c>
    </row>
    <row r="400" spans="1:6">
      <c r="A400">
        <v>399</v>
      </c>
      <c r="B400">
        <v>31</v>
      </c>
      <c r="C400" t="s">
        <v>10</v>
      </c>
      <c r="D400" t="s">
        <v>17</v>
      </c>
      <c r="E400" t="s">
        <v>26</v>
      </c>
      <c r="F400" t="s">
        <v>13</v>
      </c>
    </row>
    <row r="401" spans="1:6">
      <c r="A401">
        <v>400</v>
      </c>
      <c r="B401">
        <v>79</v>
      </c>
      <c r="C401" t="s">
        <v>6</v>
      </c>
      <c r="D401" t="s">
        <v>7</v>
      </c>
      <c r="E401" t="s">
        <v>28</v>
      </c>
      <c r="F401" t="s">
        <v>9</v>
      </c>
    </row>
    <row r="402" spans="1:6">
      <c r="A402">
        <v>401</v>
      </c>
      <c r="B402">
        <v>52</v>
      </c>
      <c r="C402" t="s">
        <v>10</v>
      </c>
      <c r="D402" t="s">
        <v>7</v>
      </c>
      <c r="E402" t="s">
        <v>8</v>
      </c>
      <c r="F402" t="s">
        <v>9</v>
      </c>
    </row>
    <row r="403" spans="1:6">
      <c r="A403">
        <v>402</v>
      </c>
      <c r="B403">
        <v>36</v>
      </c>
      <c r="C403" t="s">
        <v>6</v>
      </c>
      <c r="D403" t="s">
        <v>15</v>
      </c>
      <c r="E403" t="s">
        <v>24</v>
      </c>
      <c r="F403" t="s">
        <v>13</v>
      </c>
    </row>
    <row r="404" spans="1:6">
      <c r="A404">
        <v>403</v>
      </c>
      <c r="B404">
        <v>74</v>
      </c>
      <c r="C404" t="s">
        <v>10</v>
      </c>
      <c r="D404" t="s">
        <v>7</v>
      </c>
      <c r="E404" t="s">
        <v>26</v>
      </c>
      <c r="F404" t="s">
        <v>9</v>
      </c>
    </row>
    <row r="405" spans="1:6">
      <c r="A405">
        <v>404</v>
      </c>
      <c r="B405">
        <v>29</v>
      </c>
      <c r="C405" t="s">
        <v>6</v>
      </c>
      <c r="D405" t="s">
        <v>11</v>
      </c>
      <c r="E405" t="s">
        <v>22</v>
      </c>
      <c r="F405" t="s">
        <v>13</v>
      </c>
    </row>
    <row r="406" spans="1:6">
      <c r="A406">
        <v>405</v>
      </c>
      <c r="B406">
        <v>63</v>
      </c>
      <c r="C406" t="s">
        <v>10</v>
      </c>
      <c r="D406" t="s">
        <v>17</v>
      </c>
      <c r="E406" t="s">
        <v>34</v>
      </c>
      <c r="F406" t="s">
        <v>9</v>
      </c>
    </row>
    <row r="407" spans="1:6">
      <c r="A407">
        <v>406</v>
      </c>
      <c r="B407">
        <v>45</v>
      </c>
      <c r="C407" t="s">
        <v>6</v>
      </c>
      <c r="D407" t="s">
        <v>7</v>
      </c>
      <c r="E407" t="s">
        <v>20</v>
      </c>
      <c r="F407" t="s">
        <v>13</v>
      </c>
    </row>
    <row r="408" spans="1:6">
      <c r="A408">
        <v>407</v>
      </c>
      <c r="B408">
        <v>58</v>
      </c>
      <c r="C408" t="s">
        <v>10</v>
      </c>
      <c r="D408" t="s">
        <v>15</v>
      </c>
      <c r="E408" t="s">
        <v>16</v>
      </c>
      <c r="F408" t="s">
        <v>9</v>
      </c>
    </row>
    <row r="409" spans="1:6">
      <c r="A409">
        <v>408</v>
      </c>
      <c r="B409">
        <v>33</v>
      </c>
      <c r="C409" t="s">
        <v>6</v>
      </c>
      <c r="D409" t="s">
        <v>19</v>
      </c>
      <c r="E409" t="s">
        <v>30</v>
      </c>
      <c r="F409" t="s">
        <v>13</v>
      </c>
    </row>
    <row r="410" spans="1:6">
      <c r="A410">
        <v>409</v>
      </c>
      <c r="B410">
        <v>71</v>
      </c>
      <c r="C410" t="s">
        <v>10</v>
      </c>
      <c r="D410" t="s">
        <v>7</v>
      </c>
      <c r="E410" t="s">
        <v>18</v>
      </c>
      <c r="F410" t="s">
        <v>9</v>
      </c>
    </row>
    <row r="411" spans="1:6">
      <c r="A411">
        <v>410</v>
      </c>
      <c r="B411">
        <v>27</v>
      </c>
      <c r="C411" t="s">
        <v>6</v>
      </c>
      <c r="D411" t="s">
        <v>21</v>
      </c>
      <c r="E411" t="s">
        <v>28</v>
      </c>
      <c r="F411" t="s">
        <v>13</v>
      </c>
    </row>
    <row r="412" spans="1:6">
      <c r="A412">
        <v>411</v>
      </c>
      <c r="B412">
        <v>54</v>
      </c>
      <c r="C412" t="s">
        <v>10</v>
      </c>
      <c r="D412" t="s">
        <v>7</v>
      </c>
      <c r="E412" t="s">
        <v>32</v>
      </c>
      <c r="F412" t="s">
        <v>9</v>
      </c>
    </row>
    <row r="413" spans="1:6">
      <c r="A413">
        <v>412</v>
      </c>
      <c r="B413">
        <v>39</v>
      </c>
      <c r="C413" t="s">
        <v>6</v>
      </c>
      <c r="D413" t="s">
        <v>15</v>
      </c>
      <c r="E413" t="s">
        <v>27</v>
      </c>
      <c r="F413" t="s">
        <v>13</v>
      </c>
    </row>
    <row r="414" spans="1:6">
      <c r="A414">
        <v>413</v>
      </c>
      <c r="B414">
        <v>66</v>
      </c>
      <c r="C414" t="s">
        <v>10</v>
      </c>
      <c r="D414" t="s">
        <v>7</v>
      </c>
      <c r="E414" t="s">
        <v>22</v>
      </c>
      <c r="F414" t="s">
        <v>9</v>
      </c>
    </row>
    <row r="415" spans="1:6">
      <c r="A415">
        <v>414</v>
      </c>
      <c r="B415">
        <v>31</v>
      </c>
      <c r="C415" t="s">
        <v>6</v>
      </c>
      <c r="D415" t="s">
        <v>17</v>
      </c>
      <c r="E415" t="s">
        <v>36</v>
      </c>
      <c r="F415" t="s">
        <v>13</v>
      </c>
    </row>
    <row r="416" spans="1:6">
      <c r="A416">
        <v>415</v>
      </c>
      <c r="B416">
        <v>78</v>
      </c>
      <c r="C416" t="s">
        <v>10</v>
      </c>
      <c r="D416" t="s">
        <v>7</v>
      </c>
      <c r="E416" t="s">
        <v>31</v>
      </c>
      <c r="F416" t="s">
        <v>9</v>
      </c>
    </row>
    <row r="417" spans="1:6">
      <c r="A417">
        <v>416</v>
      </c>
      <c r="B417">
        <v>42</v>
      </c>
      <c r="C417" t="s">
        <v>6</v>
      </c>
      <c r="D417" t="s">
        <v>11</v>
      </c>
      <c r="E417" t="s">
        <v>8</v>
      </c>
      <c r="F417" t="s">
        <v>13</v>
      </c>
    </row>
    <row r="418" spans="1:6">
      <c r="A418">
        <v>417</v>
      </c>
      <c r="B418">
        <v>57</v>
      </c>
      <c r="C418" t="s">
        <v>10</v>
      </c>
      <c r="D418" t="s">
        <v>7</v>
      </c>
      <c r="E418" t="s">
        <v>24</v>
      </c>
      <c r="F418" t="s">
        <v>9</v>
      </c>
    </row>
    <row r="419" spans="1:6">
      <c r="A419">
        <v>418</v>
      </c>
      <c r="B419">
        <v>36</v>
      </c>
      <c r="C419" t="s">
        <v>6</v>
      </c>
      <c r="D419" t="s">
        <v>15</v>
      </c>
      <c r="E419" t="s">
        <v>33</v>
      </c>
      <c r="F419" t="s">
        <v>13</v>
      </c>
    </row>
    <row r="420" spans="1:6">
      <c r="A420">
        <v>419</v>
      </c>
      <c r="B420">
        <v>69</v>
      </c>
      <c r="C420" t="s">
        <v>10</v>
      </c>
      <c r="D420" t="s">
        <v>7</v>
      </c>
      <c r="E420" t="s">
        <v>16</v>
      </c>
      <c r="F420" t="s">
        <v>9</v>
      </c>
    </row>
    <row r="421" spans="1:6">
      <c r="A421">
        <v>420</v>
      </c>
      <c r="B421">
        <v>25</v>
      </c>
      <c r="C421" t="s">
        <v>6</v>
      </c>
      <c r="D421" t="s">
        <v>19</v>
      </c>
      <c r="E421" t="s">
        <v>14</v>
      </c>
      <c r="F421" t="s">
        <v>13</v>
      </c>
    </row>
    <row r="422" spans="1:6">
      <c r="A422">
        <v>421</v>
      </c>
      <c r="B422">
        <v>62</v>
      </c>
      <c r="C422" t="s">
        <v>10</v>
      </c>
      <c r="D422" t="s">
        <v>17</v>
      </c>
      <c r="E422" t="s">
        <v>35</v>
      </c>
      <c r="F422" t="s">
        <v>9</v>
      </c>
    </row>
    <row r="423" spans="1:6">
      <c r="A423">
        <v>422</v>
      </c>
      <c r="B423">
        <v>48</v>
      </c>
      <c r="C423" t="s">
        <v>6</v>
      </c>
      <c r="D423" t="s">
        <v>7</v>
      </c>
      <c r="E423" t="s">
        <v>22</v>
      </c>
      <c r="F423" t="s">
        <v>13</v>
      </c>
    </row>
    <row r="424" spans="1:6">
      <c r="A424">
        <v>423</v>
      </c>
      <c r="B424">
        <v>30</v>
      </c>
      <c r="C424" t="s">
        <v>10</v>
      </c>
      <c r="D424" t="s">
        <v>15</v>
      </c>
      <c r="E424" t="s">
        <v>30</v>
      </c>
      <c r="F424" t="s">
        <v>13</v>
      </c>
    </row>
    <row r="425" spans="1:6">
      <c r="A425">
        <v>424</v>
      </c>
      <c r="B425">
        <v>75</v>
      </c>
      <c r="C425" t="s">
        <v>6</v>
      </c>
      <c r="D425" t="s">
        <v>7</v>
      </c>
      <c r="E425" t="s">
        <v>20</v>
      </c>
      <c r="F425" t="s">
        <v>9</v>
      </c>
    </row>
    <row r="426" spans="1:6">
      <c r="A426">
        <v>425</v>
      </c>
      <c r="B426">
        <v>41</v>
      </c>
      <c r="C426" t="s">
        <v>10</v>
      </c>
      <c r="D426" t="s">
        <v>21</v>
      </c>
      <c r="E426" t="s">
        <v>28</v>
      </c>
      <c r="F426" t="s">
        <v>13</v>
      </c>
    </row>
    <row r="427" spans="1:6">
      <c r="A427">
        <v>426</v>
      </c>
      <c r="B427">
        <v>59</v>
      </c>
      <c r="C427" t="s">
        <v>6</v>
      </c>
      <c r="D427" t="s">
        <v>7</v>
      </c>
      <c r="E427" t="s">
        <v>32</v>
      </c>
      <c r="F427" t="s">
        <v>9</v>
      </c>
    </row>
    <row r="428" spans="1:6">
      <c r="A428">
        <v>427</v>
      </c>
      <c r="B428">
        <v>38</v>
      </c>
      <c r="C428" t="s">
        <v>10</v>
      </c>
      <c r="D428" t="s">
        <v>15</v>
      </c>
      <c r="E428" t="s">
        <v>18</v>
      </c>
      <c r="F428" t="s">
        <v>13</v>
      </c>
    </row>
    <row r="429" spans="1:6">
      <c r="A429">
        <v>428</v>
      </c>
      <c r="B429">
        <v>73</v>
      </c>
      <c r="C429" t="s">
        <v>6</v>
      </c>
      <c r="D429" t="s">
        <v>7</v>
      </c>
      <c r="E429" t="s">
        <v>16</v>
      </c>
      <c r="F429" t="s">
        <v>9</v>
      </c>
    </row>
    <row r="430" spans="1:6">
      <c r="A430">
        <v>429</v>
      </c>
      <c r="B430">
        <v>28</v>
      </c>
      <c r="C430" t="s">
        <v>10</v>
      </c>
      <c r="D430" t="s">
        <v>17</v>
      </c>
      <c r="E430" t="s">
        <v>36</v>
      </c>
      <c r="F430" t="s">
        <v>13</v>
      </c>
    </row>
    <row r="431" spans="1:6">
      <c r="A431">
        <v>430</v>
      </c>
      <c r="B431">
        <v>64</v>
      </c>
      <c r="C431" t="s">
        <v>6</v>
      </c>
      <c r="D431" t="s">
        <v>7</v>
      </c>
      <c r="E431" t="s">
        <v>27</v>
      </c>
      <c r="F431" t="s">
        <v>9</v>
      </c>
    </row>
    <row r="432" spans="1:6">
      <c r="A432">
        <v>431</v>
      </c>
      <c r="B432">
        <v>47</v>
      </c>
      <c r="C432" t="s">
        <v>10</v>
      </c>
      <c r="D432" t="s">
        <v>15</v>
      </c>
      <c r="E432" t="s">
        <v>8</v>
      </c>
      <c r="F432" t="s">
        <v>13</v>
      </c>
    </row>
    <row r="433" spans="1:6">
      <c r="A433">
        <v>432</v>
      </c>
      <c r="B433">
        <v>26</v>
      </c>
      <c r="C433" t="s">
        <v>6</v>
      </c>
      <c r="D433" t="s">
        <v>19</v>
      </c>
      <c r="E433" t="s">
        <v>24</v>
      </c>
      <c r="F433" t="s">
        <v>13</v>
      </c>
    </row>
    <row r="434" spans="1:6">
      <c r="A434">
        <v>433</v>
      </c>
      <c r="B434">
        <v>70</v>
      </c>
      <c r="C434" t="s">
        <v>10</v>
      </c>
      <c r="D434" t="s">
        <v>7</v>
      </c>
      <c r="E434" t="s">
        <v>31</v>
      </c>
      <c r="F434" t="s">
        <v>9</v>
      </c>
    </row>
    <row r="435" spans="1:6">
      <c r="A435">
        <v>434</v>
      </c>
      <c r="B435">
        <v>35</v>
      </c>
      <c r="C435" t="s">
        <v>6</v>
      </c>
      <c r="D435" t="s">
        <v>11</v>
      </c>
      <c r="E435" t="s">
        <v>22</v>
      </c>
      <c r="F435" t="s">
        <v>13</v>
      </c>
    </row>
    <row r="436" spans="1:6">
      <c r="A436">
        <v>435</v>
      </c>
      <c r="B436">
        <v>61</v>
      </c>
      <c r="C436" t="s">
        <v>10</v>
      </c>
      <c r="D436" t="s">
        <v>7</v>
      </c>
      <c r="E436" t="s">
        <v>34</v>
      </c>
      <c r="F436" t="s">
        <v>9</v>
      </c>
    </row>
    <row r="437" spans="1:6">
      <c r="A437">
        <v>436</v>
      </c>
      <c r="B437">
        <v>44</v>
      </c>
      <c r="C437" t="s">
        <v>6</v>
      </c>
      <c r="D437" t="s">
        <v>15</v>
      </c>
      <c r="E437" t="s">
        <v>33</v>
      </c>
      <c r="F437" t="s">
        <v>13</v>
      </c>
    </row>
    <row r="438" spans="1:6">
      <c r="A438">
        <v>437</v>
      </c>
      <c r="B438">
        <v>79</v>
      </c>
      <c r="C438" t="s">
        <v>10</v>
      </c>
      <c r="D438" t="s">
        <v>7</v>
      </c>
      <c r="E438" t="s">
        <v>16</v>
      </c>
      <c r="F438" t="s">
        <v>9</v>
      </c>
    </row>
    <row r="439" spans="1:6">
      <c r="A439">
        <v>438</v>
      </c>
      <c r="B439">
        <v>32</v>
      </c>
      <c r="C439" t="s">
        <v>6</v>
      </c>
      <c r="D439" t="s">
        <v>17</v>
      </c>
      <c r="E439" t="s">
        <v>30</v>
      </c>
      <c r="F439" t="s">
        <v>13</v>
      </c>
    </row>
    <row r="440" spans="1:6">
      <c r="A440">
        <v>439</v>
      </c>
      <c r="B440">
        <v>56</v>
      </c>
      <c r="C440" t="s">
        <v>10</v>
      </c>
      <c r="D440" t="s">
        <v>7</v>
      </c>
      <c r="E440" t="s">
        <v>18</v>
      </c>
      <c r="F440" t="s">
        <v>9</v>
      </c>
    </row>
    <row r="441" spans="1:6">
      <c r="A441">
        <v>440</v>
      </c>
      <c r="B441">
        <v>40</v>
      </c>
      <c r="C441" t="s">
        <v>6</v>
      </c>
      <c r="D441" t="s">
        <v>15</v>
      </c>
      <c r="E441" t="s">
        <v>28</v>
      </c>
      <c r="F441" t="s">
        <v>13</v>
      </c>
    </row>
    <row r="442" spans="1:6">
      <c r="A442">
        <v>441</v>
      </c>
      <c r="B442">
        <v>68</v>
      </c>
      <c r="C442" t="s">
        <v>10</v>
      </c>
      <c r="D442" t="s">
        <v>7</v>
      </c>
      <c r="E442" t="s">
        <v>36</v>
      </c>
      <c r="F442" t="s">
        <v>9</v>
      </c>
    </row>
    <row r="443" spans="1:6">
      <c r="A443">
        <v>442</v>
      </c>
      <c r="B443">
        <v>29</v>
      </c>
      <c r="C443" t="s">
        <v>6</v>
      </c>
      <c r="D443" t="s">
        <v>21</v>
      </c>
      <c r="E443" t="s">
        <v>20</v>
      </c>
      <c r="F443" t="s">
        <v>13</v>
      </c>
    </row>
    <row r="444" spans="1:6">
      <c r="A444">
        <v>443</v>
      </c>
      <c r="B444">
        <v>53</v>
      </c>
      <c r="C444" t="s">
        <v>10</v>
      </c>
      <c r="D444" t="s">
        <v>7</v>
      </c>
      <c r="E444" t="s">
        <v>22</v>
      </c>
      <c r="F444" t="s">
        <v>9</v>
      </c>
    </row>
    <row r="445" spans="1:6">
      <c r="A445">
        <v>444</v>
      </c>
      <c r="B445">
        <v>37</v>
      </c>
      <c r="C445" t="s">
        <v>6</v>
      </c>
      <c r="D445" t="s">
        <v>15</v>
      </c>
      <c r="E445" t="s">
        <v>14</v>
      </c>
      <c r="F445" t="s">
        <v>13</v>
      </c>
    </row>
    <row r="446" spans="1:6">
      <c r="A446">
        <v>445</v>
      </c>
      <c r="B446">
        <v>74</v>
      </c>
      <c r="C446" t="s">
        <v>10</v>
      </c>
      <c r="D446" t="s">
        <v>7</v>
      </c>
      <c r="E446" t="s">
        <v>35</v>
      </c>
      <c r="F446" t="s">
        <v>9</v>
      </c>
    </row>
    <row r="447" spans="1:6">
      <c r="A447">
        <v>446</v>
      </c>
      <c r="B447">
        <v>33</v>
      </c>
      <c r="C447" t="s">
        <v>6</v>
      </c>
      <c r="D447" t="s">
        <v>17</v>
      </c>
      <c r="E447" t="s">
        <v>8</v>
      </c>
      <c r="F447" t="s">
        <v>13</v>
      </c>
    </row>
    <row r="448" spans="1:6">
      <c r="A448">
        <v>447</v>
      </c>
      <c r="B448">
        <v>58</v>
      </c>
      <c r="C448" t="s">
        <v>10</v>
      </c>
      <c r="D448" t="s">
        <v>7</v>
      </c>
      <c r="E448" t="s">
        <v>24</v>
      </c>
      <c r="F448" t="s">
        <v>9</v>
      </c>
    </row>
    <row r="449" spans="1:6">
      <c r="A449">
        <v>448</v>
      </c>
      <c r="B449">
        <v>41</v>
      </c>
      <c r="C449" t="s">
        <v>6</v>
      </c>
      <c r="D449" t="s">
        <v>15</v>
      </c>
      <c r="E449" t="s">
        <v>27</v>
      </c>
      <c r="F449" t="s">
        <v>13</v>
      </c>
    </row>
    <row r="450" spans="1:6">
      <c r="A450">
        <v>449</v>
      </c>
      <c r="B450">
        <v>72</v>
      </c>
      <c r="C450" t="s">
        <v>10</v>
      </c>
      <c r="D450" t="s">
        <v>7</v>
      </c>
      <c r="E450" t="s">
        <v>16</v>
      </c>
      <c r="F450" t="s">
        <v>9</v>
      </c>
    </row>
    <row r="451" spans="1:6">
      <c r="A451">
        <v>450</v>
      </c>
      <c r="B451">
        <v>30</v>
      </c>
      <c r="C451" t="s">
        <v>6</v>
      </c>
      <c r="D451" t="s">
        <v>19</v>
      </c>
      <c r="E451" t="s">
        <v>32</v>
      </c>
      <c r="F451" t="s">
        <v>13</v>
      </c>
    </row>
    <row r="452" spans="1:6">
      <c r="A452">
        <v>451</v>
      </c>
      <c r="B452">
        <v>63</v>
      </c>
      <c r="C452" t="s">
        <v>10</v>
      </c>
      <c r="D452" t="s">
        <v>17</v>
      </c>
      <c r="E452" t="s">
        <v>31</v>
      </c>
      <c r="F452" t="s">
        <v>9</v>
      </c>
    </row>
    <row r="453" spans="1:6">
      <c r="A453">
        <v>452</v>
      </c>
      <c r="B453">
        <v>46</v>
      </c>
      <c r="C453" t="s">
        <v>6</v>
      </c>
      <c r="D453" t="s">
        <v>7</v>
      </c>
      <c r="E453" t="s">
        <v>28</v>
      </c>
      <c r="F453" t="s">
        <v>13</v>
      </c>
    </row>
    <row r="454" spans="1:6">
      <c r="A454">
        <v>453</v>
      </c>
      <c r="B454">
        <v>27</v>
      </c>
      <c r="C454" t="s">
        <v>10</v>
      </c>
      <c r="D454" t="s">
        <v>15</v>
      </c>
      <c r="E454" t="s">
        <v>30</v>
      </c>
      <c r="F454" t="s">
        <v>13</v>
      </c>
    </row>
    <row r="455" spans="1:6">
      <c r="A455">
        <v>454</v>
      </c>
      <c r="B455">
        <v>77</v>
      </c>
      <c r="C455" t="s">
        <v>6</v>
      </c>
      <c r="D455" t="s">
        <v>7</v>
      </c>
      <c r="E455" t="s">
        <v>33</v>
      </c>
      <c r="F455" t="s">
        <v>9</v>
      </c>
    </row>
    <row r="456" spans="1:6">
      <c r="A456">
        <v>455</v>
      </c>
      <c r="B456">
        <v>39</v>
      </c>
      <c r="C456" t="s">
        <v>10</v>
      </c>
      <c r="D456" t="s">
        <v>11</v>
      </c>
      <c r="E456" t="s">
        <v>22</v>
      </c>
      <c r="F456" t="s">
        <v>13</v>
      </c>
    </row>
    <row r="457" spans="1:6">
      <c r="A457">
        <v>456</v>
      </c>
      <c r="B457">
        <v>55</v>
      </c>
      <c r="C457" t="s">
        <v>6</v>
      </c>
      <c r="D457" t="s">
        <v>7</v>
      </c>
      <c r="E457" t="s">
        <v>34</v>
      </c>
      <c r="F457" t="s">
        <v>9</v>
      </c>
    </row>
    <row r="458" spans="1:6">
      <c r="A458">
        <v>457</v>
      </c>
      <c r="B458">
        <v>34</v>
      </c>
      <c r="C458" t="s">
        <v>10</v>
      </c>
      <c r="D458" t="s">
        <v>15</v>
      </c>
      <c r="E458" t="s">
        <v>18</v>
      </c>
      <c r="F458" t="s">
        <v>13</v>
      </c>
    </row>
    <row r="459" spans="1:6">
      <c r="A459">
        <v>458</v>
      </c>
      <c r="B459">
        <v>69</v>
      </c>
      <c r="C459" t="s">
        <v>6</v>
      </c>
      <c r="D459" t="s">
        <v>7</v>
      </c>
      <c r="E459" t="s">
        <v>16</v>
      </c>
      <c r="F459" t="s">
        <v>9</v>
      </c>
    </row>
    <row r="460" spans="1:6">
      <c r="A460">
        <v>459</v>
      </c>
      <c r="B460">
        <v>31</v>
      </c>
      <c r="C460" t="s">
        <v>10</v>
      </c>
      <c r="D460" t="s">
        <v>17</v>
      </c>
      <c r="E460" t="s">
        <v>36</v>
      </c>
      <c r="F460" t="s">
        <v>13</v>
      </c>
    </row>
    <row r="461" spans="1:6">
      <c r="A461">
        <v>460</v>
      </c>
      <c r="B461">
        <v>80</v>
      </c>
      <c r="C461" t="s">
        <v>6</v>
      </c>
      <c r="D461" t="s">
        <v>7</v>
      </c>
      <c r="E461" t="s">
        <v>20</v>
      </c>
      <c r="F461" t="s">
        <v>9</v>
      </c>
    </row>
    <row r="462" spans="1:6">
      <c r="A462">
        <v>461</v>
      </c>
      <c r="B462">
        <v>43</v>
      </c>
      <c r="C462" t="s">
        <v>10</v>
      </c>
      <c r="D462" t="s">
        <v>15</v>
      </c>
      <c r="E462" t="s">
        <v>8</v>
      </c>
      <c r="F462" t="s">
        <v>13</v>
      </c>
    </row>
    <row r="463" spans="1:6">
      <c r="A463">
        <v>462</v>
      </c>
      <c r="B463">
        <v>24</v>
      </c>
      <c r="C463" t="s">
        <v>6</v>
      </c>
      <c r="D463" t="s">
        <v>7</v>
      </c>
      <c r="E463" t="s">
        <v>24</v>
      </c>
      <c r="F463" t="s">
        <v>13</v>
      </c>
    </row>
    <row r="464" spans="1:6">
      <c r="A464">
        <v>463</v>
      </c>
      <c r="B464">
        <v>60</v>
      </c>
      <c r="C464" t="s">
        <v>10</v>
      </c>
      <c r="D464" t="s">
        <v>21</v>
      </c>
      <c r="E464" t="s">
        <v>26</v>
      </c>
      <c r="F464" t="s">
        <v>9</v>
      </c>
    </row>
    <row r="465" spans="1:6">
      <c r="A465">
        <v>464</v>
      </c>
      <c r="B465">
        <v>38</v>
      </c>
      <c r="C465" t="s">
        <v>6</v>
      </c>
      <c r="D465" t="s">
        <v>7</v>
      </c>
      <c r="E465" t="s">
        <v>22</v>
      </c>
      <c r="F465" t="s">
        <v>13</v>
      </c>
    </row>
    <row r="466" spans="1:6">
      <c r="A466">
        <v>465</v>
      </c>
      <c r="B466">
        <v>57</v>
      </c>
      <c r="C466" t="s">
        <v>10</v>
      </c>
      <c r="D466" t="s">
        <v>15</v>
      </c>
      <c r="E466" t="s">
        <v>32</v>
      </c>
      <c r="F466" t="s">
        <v>9</v>
      </c>
    </row>
    <row r="467" spans="1:6">
      <c r="A467">
        <v>466</v>
      </c>
      <c r="B467">
        <v>29</v>
      </c>
      <c r="C467" t="s">
        <v>6</v>
      </c>
      <c r="D467" t="s">
        <v>19</v>
      </c>
      <c r="E467" t="s">
        <v>27</v>
      </c>
      <c r="F467" t="s">
        <v>13</v>
      </c>
    </row>
    <row r="468" spans="1:6">
      <c r="A468">
        <v>467</v>
      </c>
      <c r="B468">
        <v>73</v>
      </c>
      <c r="C468" t="s">
        <v>10</v>
      </c>
      <c r="D468" t="s">
        <v>7</v>
      </c>
      <c r="E468" t="s">
        <v>16</v>
      </c>
      <c r="F468" t="s">
        <v>9</v>
      </c>
    </row>
    <row r="469" spans="1:6">
      <c r="A469">
        <v>468</v>
      </c>
      <c r="B469">
        <v>45</v>
      </c>
      <c r="C469" t="s">
        <v>6</v>
      </c>
      <c r="D469" t="s">
        <v>17</v>
      </c>
      <c r="E469" t="s">
        <v>30</v>
      </c>
      <c r="F469" t="s">
        <v>13</v>
      </c>
    </row>
    <row r="470" spans="1:6">
      <c r="A470">
        <v>469</v>
      </c>
      <c r="B470">
        <v>36</v>
      </c>
      <c r="C470" t="s">
        <v>10</v>
      </c>
      <c r="D470" t="s">
        <v>7</v>
      </c>
      <c r="E470" t="s">
        <v>31</v>
      </c>
      <c r="F470" t="s">
        <v>13</v>
      </c>
    </row>
    <row r="471" spans="1:6">
      <c r="A471">
        <v>470</v>
      </c>
      <c r="B471">
        <v>67</v>
      </c>
      <c r="C471" t="s">
        <v>6</v>
      </c>
      <c r="D471" t="s">
        <v>7</v>
      </c>
      <c r="E471" t="s">
        <v>28</v>
      </c>
      <c r="F471" t="s">
        <v>9</v>
      </c>
    </row>
    <row r="472" spans="1:6">
      <c r="A472">
        <v>471</v>
      </c>
      <c r="B472">
        <v>32</v>
      </c>
      <c r="C472" t="s">
        <v>10</v>
      </c>
      <c r="D472" t="s">
        <v>15</v>
      </c>
      <c r="E472" t="s">
        <v>34</v>
      </c>
      <c r="F472" t="s">
        <v>13</v>
      </c>
    </row>
    <row r="473" spans="1:6">
      <c r="A473">
        <v>472</v>
      </c>
      <c r="B473">
        <v>59</v>
      </c>
      <c r="C473" t="s">
        <v>6</v>
      </c>
      <c r="D473" t="s">
        <v>7</v>
      </c>
      <c r="E473" t="s">
        <v>33</v>
      </c>
      <c r="F473" t="s">
        <v>9</v>
      </c>
    </row>
    <row r="474" spans="1:6">
      <c r="A474">
        <v>473</v>
      </c>
      <c r="B474">
        <v>40</v>
      </c>
      <c r="C474" t="s">
        <v>10</v>
      </c>
      <c r="D474" t="s">
        <v>11</v>
      </c>
      <c r="E474" t="s">
        <v>22</v>
      </c>
      <c r="F474" t="s">
        <v>13</v>
      </c>
    </row>
    <row r="475" spans="1:6">
      <c r="A475">
        <v>474</v>
      </c>
      <c r="B475">
        <v>75</v>
      </c>
      <c r="C475" t="s">
        <v>6</v>
      </c>
      <c r="D475" t="s">
        <v>7</v>
      </c>
      <c r="E475" t="s">
        <v>36</v>
      </c>
      <c r="F475" t="s">
        <v>9</v>
      </c>
    </row>
    <row r="476" spans="1:6">
      <c r="A476">
        <v>475</v>
      </c>
      <c r="B476">
        <v>28</v>
      </c>
      <c r="C476" t="s">
        <v>10</v>
      </c>
      <c r="D476" t="s">
        <v>15</v>
      </c>
      <c r="E476" t="s">
        <v>18</v>
      </c>
      <c r="F476" t="s">
        <v>13</v>
      </c>
    </row>
    <row r="477" spans="1:6">
      <c r="A477">
        <v>476</v>
      </c>
      <c r="B477">
        <v>62</v>
      </c>
      <c r="C477" t="s">
        <v>6</v>
      </c>
      <c r="D477" t="s">
        <v>7</v>
      </c>
      <c r="E477" t="s">
        <v>16</v>
      </c>
      <c r="F477" t="s">
        <v>9</v>
      </c>
    </row>
    <row r="478" spans="1:6">
      <c r="A478">
        <v>477</v>
      </c>
      <c r="B478">
        <v>47</v>
      </c>
      <c r="C478" t="s">
        <v>10</v>
      </c>
      <c r="D478" t="s">
        <v>17</v>
      </c>
      <c r="E478" t="s">
        <v>14</v>
      </c>
      <c r="F478" t="s">
        <v>13</v>
      </c>
    </row>
    <row r="479" spans="1:6">
      <c r="A479">
        <v>478</v>
      </c>
      <c r="B479">
        <v>34</v>
      </c>
      <c r="C479" t="s">
        <v>6</v>
      </c>
      <c r="D479" t="s">
        <v>7</v>
      </c>
      <c r="E479" t="s">
        <v>20</v>
      </c>
      <c r="F479" t="s">
        <v>13</v>
      </c>
    </row>
    <row r="480" spans="1:6">
      <c r="A480">
        <v>479</v>
      </c>
      <c r="B480">
        <v>71</v>
      </c>
      <c r="C480" t="s">
        <v>10</v>
      </c>
      <c r="D480" t="s">
        <v>7</v>
      </c>
      <c r="E480" t="s">
        <v>8</v>
      </c>
      <c r="F480" t="s">
        <v>9</v>
      </c>
    </row>
    <row r="481" spans="1:6">
      <c r="A481">
        <v>480</v>
      </c>
      <c r="B481">
        <v>30</v>
      </c>
      <c r="C481" t="s">
        <v>6</v>
      </c>
      <c r="D481" t="s">
        <v>15</v>
      </c>
      <c r="E481" t="s">
        <v>24</v>
      </c>
      <c r="F481" t="s">
        <v>13</v>
      </c>
    </row>
    <row r="482" spans="1:6">
      <c r="A482">
        <v>481</v>
      </c>
      <c r="B482">
        <v>64</v>
      </c>
      <c r="C482" t="s">
        <v>10</v>
      </c>
      <c r="D482" t="s">
        <v>7</v>
      </c>
      <c r="E482" t="s">
        <v>35</v>
      </c>
      <c r="F482" t="s">
        <v>9</v>
      </c>
    </row>
    <row r="483" spans="1:6">
      <c r="A483">
        <v>482</v>
      </c>
      <c r="B483">
        <v>42</v>
      </c>
      <c r="C483" t="s">
        <v>6</v>
      </c>
      <c r="D483" t="s">
        <v>17</v>
      </c>
      <c r="E483" t="s">
        <v>22</v>
      </c>
      <c r="F483" t="s">
        <v>13</v>
      </c>
    </row>
    <row r="484" spans="1:6">
      <c r="A484">
        <v>483</v>
      </c>
      <c r="B484">
        <v>58</v>
      </c>
      <c r="C484" t="s">
        <v>10</v>
      </c>
      <c r="D484" t="s">
        <v>7</v>
      </c>
      <c r="E484" t="s">
        <v>32</v>
      </c>
      <c r="F484" t="s">
        <v>9</v>
      </c>
    </row>
    <row r="485" spans="1:6">
      <c r="A485">
        <v>484</v>
      </c>
      <c r="B485">
        <v>37</v>
      </c>
      <c r="C485" t="s">
        <v>6</v>
      </c>
      <c r="D485" t="s">
        <v>15</v>
      </c>
      <c r="E485" t="s">
        <v>27</v>
      </c>
      <c r="F485" t="s">
        <v>13</v>
      </c>
    </row>
    <row r="486" spans="1:6">
      <c r="A486">
        <v>485</v>
      </c>
      <c r="B486">
        <v>76</v>
      </c>
      <c r="C486" t="s">
        <v>10</v>
      </c>
      <c r="D486" t="s">
        <v>7</v>
      </c>
      <c r="E486" t="s">
        <v>16</v>
      </c>
      <c r="F486" t="s">
        <v>9</v>
      </c>
    </row>
    <row r="487" spans="1:6">
      <c r="A487">
        <v>486</v>
      </c>
      <c r="B487">
        <v>33</v>
      </c>
      <c r="C487" t="s">
        <v>6</v>
      </c>
      <c r="D487" t="s">
        <v>21</v>
      </c>
      <c r="E487" t="s">
        <v>30</v>
      </c>
      <c r="F487" t="s">
        <v>13</v>
      </c>
    </row>
    <row r="488" spans="1:6">
      <c r="A488">
        <v>487</v>
      </c>
      <c r="B488">
        <v>55</v>
      </c>
      <c r="C488" t="s">
        <v>10</v>
      </c>
      <c r="D488" t="s">
        <v>7</v>
      </c>
      <c r="E488" t="s">
        <v>31</v>
      </c>
      <c r="F488" t="s">
        <v>9</v>
      </c>
    </row>
    <row r="489" spans="1:6">
      <c r="A489">
        <v>488</v>
      </c>
      <c r="B489">
        <v>41</v>
      </c>
      <c r="C489" t="s">
        <v>6</v>
      </c>
      <c r="D489" t="s">
        <v>15</v>
      </c>
      <c r="E489" t="s">
        <v>28</v>
      </c>
      <c r="F489" t="s">
        <v>13</v>
      </c>
    </row>
    <row r="490" spans="1:6">
      <c r="A490">
        <v>489</v>
      </c>
      <c r="B490">
        <v>68</v>
      </c>
      <c r="C490" t="s">
        <v>10</v>
      </c>
      <c r="D490" t="s">
        <v>7</v>
      </c>
      <c r="E490" t="s">
        <v>36</v>
      </c>
      <c r="F490" t="s">
        <v>9</v>
      </c>
    </row>
    <row r="491" spans="1:6">
      <c r="A491">
        <v>490</v>
      </c>
      <c r="B491">
        <v>29</v>
      </c>
      <c r="C491" t="s">
        <v>6</v>
      </c>
      <c r="D491" t="s">
        <v>17</v>
      </c>
      <c r="E491" t="s">
        <v>33</v>
      </c>
      <c r="F491" t="s">
        <v>13</v>
      </c>
    </row>
    <row r="492" spans="1:6">
      <c r="A492">
        <v>491</v>
      </c>
      <c r="B492">
        <v>63</v>
      </c>
      <c r="C492" t="s">
        <v>10</v>
      </c>
      <c r="D492" t="s">
        <v>7</v>
      </c>
      <c r="E492" t="s">
        <v>22</v>
      </c>
      <c r="F492" t="s">
        <v>9</v>
      </c>
    </row>
    <row r="493" spans="1:6">
      <c r="A493">
        <v>492</v>
      </c>
      <c r="B493">
        <v>46</v>
      </c>
      <c r="C493" t="s">
        <v>6</v>
      </c>
      <c r="D493" t="s">
        <v>15</v>
      </c>
      <c r="E493" t="s">
        <v>34</v>
      </c>
      <c r="F493" t="s">
        <v>13</v>
      </c>
    </row>
    <row r="494" spans="1:6">
      <c r="A494">
        <v>493</v>
      </c>
      <c r="B494">
        <v>27</v>
      </c>
      <c r="C494" t="s">
        <v>10</v>
      </c>
      <c r="D494" t="s">
        <v>19</v>
      </c>
      <c r="E494" t="s">
        <v>18</v>
      </c>
      <c r="F494" t="s">
        <v>13</v>
      </c>
    </row>
    <row r="495" spans="1:6">
      <c r="A495">
        <v>494</v>
      </c>
      <c r="B495">
        <v>74</v>
      </c>
      <c r="C495" t="s">
        <v>6</v>
      </c>
      <c r="D495" t="s">
        <v>7</v>
      </c>
      <c r="E495" t="s">
        <v>16</v>
      </c>
      <c r="F495" t="s">
        <v>9</v>
      </c>
    </row>
    <row r="496" spans="1:6">
      <c r="A496">
        <v>495</v>
      </c>
      <c r="B496">
        <v>35</v>
      </c>
      <c r="C496" t="s">
        <v>10</v>
      </c>
      <c r="D496" t="s">
        <v>11</v>
      </c>
      <c r="E496" t="s">
        <v>14</v>
      </c>
      <c r="F496" t="s">
        <v>13</v>
      </c>
    </row>
    <row r="497" spans="1:6">
      <c r="A497">
        <v>496</v>
      </c>
      <c r="B497">
        <v>59</v>
      </c>
      <c r="C497" t="s">
        <v>6</v>
      </c>
      <c r="D497" t="s">
        <v>7</v>
      </c>
      <c r="E497" t="s">
        <v>20</v>
      </c>
      <c r="F497" t="s">
        <v>9</v>
      </c>
    </row>
    <row r="498" spans="1:6">
      <c r="A498">
        <v>497</v>
      </c>
      <c r="B498">
        <v>38</v>
      </c>
      <c r="C498" t="s">
        <v>10</v>
      </c>
      <c r="D498" t="s">
        <v>15</v>
      </c>
      <c r="E498" t="s">
        <v>8</v>
      </c>
      <c r="F498" t="s">
        <v>13</v>
      </c>
    </row>
    <row r="499" spans="1:6">
      <c r="A499">
        <v>498</v>
      </c>
      <c r="B499">
        <v>70</v>
      </c>
      <c r="C499" t="s">
        <v>6</v>
      </c>
      <c r="D499" t="s">
        <v>7</v>
      </c>
      <c r="E499" t="s">
        <v>24</v>
      </c>
      <c r="F499" t="s">
        <v>9</v>
      </c>
    </row>
    <row r="500" spans="1:6">
      <c r="A500">
        <v>499</v>
      </c>
      <c r="B500">
        <v>31</v>
      </c>
      <c r="C500" t="s">
        <v>10</v>
      </c>
      <c r="D500" t="s">
        <v>17</v>
      </c>
      <c r="E500" t="s">
        <v>26</v>
      </c>
      <c r="F500" t="s">
        <v>13</v>
      </c>
    </row>
    <row r="501" spans="1:6">
      <c r="A501">
        <v>500</v>
      </c>
      <c r="B501">
        <v>79</v>
      </c>
      <c r="C501" t="s">
        <v>6</v>
      </c>
      <c r="D501" t="s">
        <v>7</v>
      </c>
      <c r="E501" t="s">
        <v>28</v>
      </c>
      <c r="F501" t="s">
        <v>9</v>
      </c>
    </row>
    <row r="502" spans="1:6">
      <c r="A502">
        <v>501</v>
      </c>
      <c r="B502">
        <v>52</v>
      </c>
      <c r="C502" t="s">
        <v>10</v>
      </c>
      <c r="D502" t="s">
        <v>7</v>
      </c>
      <c r="E502" t="s">
        <v>8</v>
      </c>
      <c r="F502" t="s">
        <v>9</v>
      </c>
    </row>
    <row r="503" spans="1:6">
      <c r="A503">
        <v>502</v>
      </c>
      <c r="B503">
        <v>36</v>
      </c>
      <c r="C503" t="s">
        <v>6</v>
      </c>
      <c r="D503" t="s">
        <v>15</v>
      </c>
      <c r="E503" t="s">
        <v>24</v>
      </c>
      <c r="F503" t="s">
        <v>13</v>
      </c>
    </row>
    <row r="504" spans="1:6">
      <c r="A504">
        <v>503</v>
      </c>
      <c r="B504">
        <v>74</v>
      </c>
      <c r="C504" t="s">
        <v>10</v>
      </c>
      <c r="D504" t="s">
        <v>7</v>
      </c>
      <c r="E504" t="s">
        <v>26</v>
      </c>
      <c r="F504" t="s">
        <v>9</v>
      </c>
    </row>
    <row r="505" spans="1:6">
      <c r="A505">
        <v>504</v>
      </c>
      <c r="B505">
        <v>29</v>
      </c>
      <c r="C505" t="s">
        <v>6</v>
      </c>
      <c r="D505" t="s">
        <v>11</v>
      </c>
      <c r="E505" t="s">
        <v>22</v>
      </c>
      <c r="F505" t="s">
        <v>13</v>
      </c>
    </row>
    <row r="506" spans="1:6">
      <c r="A506">
        <v>505</v>
      </c>
      <c r="B506">
        <v>63</v>
      </c>
      <c r="C506" t="s">
        <v>10</v>
      </c>
      <c r="D506" t="s">
        <v>17</v>
      </c>
      <c r="E506" t="s">
        <v>34</v>
      </c>
      <c r="F506" t="s">
        <v>9</v>
      </c>
    </row>
    <row r="507" spans="1:6">
      <c r="A507">
        <v>506</v>
      </c>
      <c r="B507">
        <v>45</v>
      </c>
      <c r="C507" t="s">
        <v>6</v>
      </c>
      <c r="D507" t="s">
        <v>7</v>
      </c>
      <c r="E507" t="s">
        <v>20</v>
      </c>
      <c r="F507" t="s">
        <v>13</v>
      </c>
    </row>
    <row r="508" spans="1:6">
      <c r="A508">
        <v>507</v>
      </c>
      <c r="B508">
        <v>58</v>
      </c>
      <c r="C508" t="s">
        <v>10</v>
      </c>
      <c r="D508" t="s">
        <v>15</v>
      </c>
      <c r="E508" t="s">
        <v>16</v>
      </c>
      <c r="F508" t="s">
        <v>9</v>
      </c>
    </row>
    <row r="509" spans="1:6">
      <c r="A509">
        <v>508</v>
      </c>
      <c r="B509">
        <v>33</v>
      </c>
      <c r="C509" t="s">
        <v>6</v>
      </c>
      <c r="D509" t="s">
        <v>19</v>
      </c>
      <c r="E509" t="s">
        <v>30</v>
      </c>
      <c r="F509" t="s">
        <v>13</v>
      </c>
    </row>
    <row r="510" spans="1:6">
      <c r="A510">
        <v>509</v>
      </c>
      <c r="B510">
        <v>71</v>
      </c>
      <c r="C510" t="s">
        <v>10</v>
      </c>
      <c r="D510" t="s">
        <v>7</v>
      </c>
      <c r="E510" t="s">
        <v>18</v>
      </c>
      <c r="F510" t="s">
        <v>9</v>
      </c>
    </row>
    <row r="511" spans="1:6">
      <c r="A511">
        <v>510</v>
      </c>
      <c r="B511">
        <v>27</v>
      </c>
      <c r="C511" t="s">
        <v>6</v>
      </c>
      <c r="D511" t="s">
        <v>21</v>
      </c>
      <c r="E511" t="s">
        <v>28</v>
      </c>
      <c r="F511" t="s">
        <v>13</v>
      </c>
    </row>
    <row r="512" spans="1:6">
      <c r="A512">
        <v>511</v>
      </c>
      <c r="B512">
        <v>54</v>
      </c>
      <c r="C512" t="s">
        <v>10</v>
      </c>
      <c r="D512" t="s">
        <v>7</v>
      </c>
      <c r="E512" t="s">
        <v>32</v>
      </c>
      <c r="F512" t="s">
        <v>9</v>
      </c>
    </row>
    <row r="513" spans="1:6">
      <c r="A513">
        <v>512</v>
      </c>
      <c r="B513">
        <v>39</v>
      </c>
      <c r="C513" t="s">
        <v>6</v>
      </c>
      <c r="D513" t="s">
        <v>15</v>
      </c>
      <c r="E513" t="s">
        <v>27</v>
      </c>
      <c r="F513" t="s">
        <v>13</v>
      </c>
    </row>
    <row r="514" spans="1:6">
      <c r="A514">
        <v>513</v>
      </c>
      <c r="B514">
        <v>66</v>
      </c>
      <c r="C514" t="s">
        <v>10</v>
      </c>
      <c r="D514" t="s">
        <v>7</v>
      </c>
      <c r="E514" t="s">
        <v>22</v>
      </c>
      <c r="F514" t="s">
        <v>9</v>
      </c>
    </row>
    <row r="515" spans="1:6">
      <c r="A515">
        <v>514</v>
      </c>
      <c r="B515">
        <v>31</v>
      </c>
      <c r="C515" t="s">
        <v>6</v>
      </c>
      <c r="D515" t="s">
        <v>17</v>
      </c>
      <c r="E515" t="s">
        <v>36</v>
      </c>
      <c r="F515" t="s">
        <v>13</v>
      </c>
    </row>
    <row r="516" spans="1:6">
      <c r="A516">
        <v>515</v>
      </c>
      <c r="B516">
        <v>78</v>
      </c>
      <c r="C516" t="s">
        <v>10</v>
      </c>
      <c r="D516" t="s">
        <v>7</v>
      </c>
      <c r="E516" t="s">
        <v>31</v>
      </c>
      <c r="F516" t="s">
        <v>9</v>
      </c>
    </row>
    <row r="517" spans="1:6">
      <c r="A517">
        <v>516</v>
      </c>
      <c r="B517">
        <v>42</v>
      </c>
      <c r="C517" t="s">
        <v>6</v>
      </c>
      <c r="D517" t="s">
        <v>11</v>
      </c>
      <c r="E517" t="s">
        <v>8</v>
      </c>
      <c r="F517" t="s">
        <v>13</v>
      </c>
    </row>
    <row r="518" spans="1:6">
      <c r="A518">
        <v>517</v>
      </c>
      <c r="B518">
        <v>57</v>
      </c>
      <c r="C518" t="s">
        <v>10</v>
      </c>
      <c r="D518" t="s">
        <v>7</v>
      </c>
      <c r="E518" t="s">
        <v>24</v>
      </c>
      <c r="F518" t="s">
        <v>9</v>
      </c>
    </row>
    <row r="519" spans="1:6">
      <c r="A519">
        <v>518</v>
      </c>
      <c r="B519">
        <v>36</v>
      </c>
      <c r="C519" t="s">
        <v>6</v>
      </c>
      <c r="D519" t="s">
        <v>15</v>
      </c>
      <c r="E519" t="s">
        <v>33</v>
      </c>
      <c r="F519" t="s">
        <v>13</v>
      </c>
    </row>
    <row r="520" spans="1:6">
      <c r="A520">
        <v>519</v>
      </c>
      <c r="B520">
        <v>69</v>
      </c>
      <c r="C520" t="s">
        <v>10</v>
      </c>
      <c r="D520" t="s">
        <v>7</v>
      </c>
      <c r="E520" t="s">
        <v>16</v>
      </c>
      <c r="F520" t="s">
        <v>9</v>
      </c>
    </row>
    <row r="521" spans="1:6">
      <c r="A521">
        <v>520</v>
      </c>
      <c r="B521">
        <v>25</v>
      </c>
      <c r="C521" t="s">
        <v>6</v>
      </c>
      <c r="D521" t="s">
        <v>19</v>
      </c>
      <c r="E521" t="s">
        <v>14</v>
      </c>
      <c r="F521" t="s">
        <v>13</v>
      </c>
    </row>
    <row r="522" spans="1:6">
      <c r="A522">
        <v>521</v>
      </c>
      <c r="B522">
        <v>62</v>
      </c>
      <c r="C522" t="s">
        <v>10</v>
      </c>
      <c r="D522" t="s">
        <v>17</v>
      </c>
      <c r="E522" t="s">
        <v>35</v>
      </c>
      <c r="F522" t="s">
        <v>9</v>
      </c>
    </row>
    <row r="523" spans="1:6">
      <c r="A523">
        <v>522</v>
      </c>
      <c r="B523">
        <v>48</v>
      </c>
      <c r="C523" t="s">
        <v>6</v>
      </c>
      <c r="D523" t="s">
        <v>7</v>
      </c>
      <c r="E523" t="s">
        <v>22</v>
      </c>
      <c r="F523" t="s">
        <v>13</v>
      </c>
    </row>
    <row r="524" spans="1:6">
      <c r="A524">
        <v>523</v>
      </c>
      <c r="B524">
        <v>30</v>
      </c>
      <c r="C524" t="s">
        <v>10</v>
      </c>
      <c r="D524" t="s">
        <v>15</v>
      </c>
      <c r="E524" t="s">
        <v>30</v>
      </c>
      <c r="F524" t="s">
        <v>13</v>
      </c>
    </row>
    <row r="525" spans="1:6">
      <c r="A525">
        <v>524</v>
      </c>
      <c r="B525">
        <v>75</v>
      </c>
      <c r="C525" t="s">
        <v>6</v>
      </c>
      <c r="D525" t="s">
        <v>7</v>
      </c>
      <c r="E525" t="s">
        <v>20</v>
      </c>
      <c r="F525" t="s">
        <v>9</v>
      </c>
    </row>
    <row r="526" spans="1:6">
      <c r="A526">
        <v>525</v>
      </c>
      <c r="B526">
        <v>41</v>
      </c>
      <c r="C526" t="s">
        <v>10</v>
      </c>
      <c r="D526" t="s">
        <v>21</v>
      </c>
      <c r="E526" t="s">
        <v>28</v>
      </c>
      <c r="F526" t="s">
        <v>13</v>
      </c>
    </row>
    <row r="527" spans="1:6">
      <c r="A527">
        <v>526</v>
      </c>
      <c r="B527">
        <v>59</v>
      </c>
      <c r="C527" t="s">
        <v>6</v>
      </c>
      <c r="D527" t="s">
        <v>7</v>
      </c>
      <c r="E527" t="s">
        <v>32</v>
      </c>
      <c r="F527" t="s">
        <v>9</v>
      </c>
    </row>
    <row r="528" spans="1:6">
      <c r="A528">
        <v>527</v>
      </c>
      <c r="B528">
        <v>38</v>
      </c>
      <c r="C528" t="s">
        <v>10</v>
      </c>
      <c r="D528" t="s">
        <v>15</v>
      </c>
      <c r="E528" t="s">
        <v>18</v>
      </c>
      <c r="F528" t="s">
        <v>13</v>
      </c>
    </row>
    <row r="529" spans="1:6">
      <c r="A529">
        <v>528</v>
      </c>
      <c r="B529">
        <v>73</v>
      </c>
      <c r="C529" t="s">
        <v>6</v>
      </c>
      <c r="D529" t="s">
        <v>7</v>
      </c>
      <c r="E529" t="s">
        <v>16</v>
      </c>
      <c r="F529" t="s">
        <v>9</v>
      </c>
    </row>
    <row r="530" spans="1:6">
      <c r="A530">
        <v>529</v>
      </c>
      <c r="B530">
        <v>28</v>
      </c>
      <c r="C530" t="s">
        <v>10</v>
      </c>
      <c r="D530" t="s">
        <v>17</v>
      </c>
      <c r="E530" t="s">
        <v>36</v>
      </c>
      <c r="F530" t="s">
        <v>13</v>
      </c>
    </row>
    <row r="531" spans="1:6">
      <c r="A531">
        <v>530</v>
      </c>
      <c r="B531">
        <v>64</v>
      </c>
      <c r="C531" t="s">
        <v>6</v>
      </c>
      <c r="D531" t="s">
        <v>7</v>
      </c>
      <c r="E531" t="s">
        <v>27</v>
      </c>
      <c r="F531" t="s">
        <v>9</v>
      </c>
    </row>
    <row r="532" spans="1:6">
      <c r="A532">
        <v>531</v>
      </c>
      <c r="B532">
        <v>47</v>
      </c>
      <c r="C532" t="s">
        <v>10</v>
      </c>
      <c r="D532" t="s">
        <v>15</v>
      </c>
      <c r="E532" t="s">
        <v>8</v>
      </c>
      <c r="F532" t="s">
        <v>13</v>
      </c>
    </row>
    <row r="533" spans="1:6">
      <c r="A533">
        <v>532</v>
      </c>
      <c r="B533">
        <v>26</v>
      </c>
      <c r="C533" t="s">
        <v>6</v>
      </c>
      <c r="D533" t="s">
        <v>19</v>
      </c>
      <c r="E533" t="s">
        <v>24</v>
      </c>
      <c r="F533" t="s">
        <v>13</v>
      </c>
    </row>
    <row r="534" spans="1:6">
      <c r="A534">
        <v>533</v>
      </c>
      <c r="B534">
        <v>70</v>
      </c>
      <c r="C534" t="s">
        <v>10</v>
      </c>
      <c r="D534" t="s">
        <v>7</v>
      </c>
      <c r="E534" t="s">
        <v>31</v>
      </c>
      <c r="F534" t="s">
        <v>9</v>
      </c>
    </row>
    <row r="535" spans="1:6">
      <c r="A535">
        <v>534</v>
      </c>
      <c r="B535">
        <v>35</v>
      </c>
      <c r="C535" t="s">
        <v>6</v>
      </c>
      <c r="D535" t="s">
        <v>11</v>
      </c>
      <c r="E535" t="s">
        <v>22</v>
      </c>
      <c r="F535" t="s">
        <v>13</v>
      </c>
    </row>
    <row r="536" spans="1:6">
      <c r="A536">
        <v>535</v>
      </c>
      <c r="B536">
        <v>61</v>
      </c>
      <c r="C536" t="s">
        <v>10</v>
      </c>
      <c r="D536" t="s">
        <v>7</v>
      </c>
      <c r="E536" t="s">
        <v>34</v>
      </c>
      <c r="F536" t="s">
        <v>9</v>
      </c>
    </row>
    <row r="537" spans="1:6">
      <c r="A537">
        <v>536</v>
      </c>
      <c r="B537">
        <v>44</v>
      </c>
      <c r="C537" t="s">
        <v>6</v>
      </c>
      <c r="D537" t="s">
        <v>15</v>
      </c>
      <c r="E537" t="s">
        <v>33</v>
      </c>
      <c r="F537" t="s">
        <v>13</v>
      </c>
    </row>
    <row r="538" spans="1:6">
      <c r="A538">
        <v>537</v>
      </c>
      <c r="B538">
        <v>79</v>
      </c>
      <c r="C538" t="s">
        <v>10</v>
      </c>
      <c r="D538" t="s">
        <v>7</v>
      </c>
      <c r="E538" t="s">
        <v>16</v>
      </c>
      <c r="F538" t="s">
        <v>9</v>
      </c>
    </row>
    <row r="539" spans="1:6">
      <c r="A539">
        <v>538</v>
      </c>
      <c r="B539">
        <v>32</v>
      </c>
      <c r="C539" t="s">
        <v>6</v>
      </c>
      <c r="D539" t="s">
        <v>17</v>
      </c>
      <c r="E539" t="s">
        <v>30</v>
      </c>
      <c r="F539" t="s">
        <v>13</v>
      </c>
    </row>
    <row r="540" spans="1:6">
      <c r="A540">
        <v>539</v>
      </c>
      <c r="B540">
        <v>56</v>
      </c>
      <c r="C540" t="s">
        <v>10</v>
      </c>
      <c r="D540" t="s">
        <v>7</v>
      </c>
      <c r="E540" t="s">
        <v>18</v>
      </c>
      <c r="F540" t="s">
        <v>9</v>
      </c>
    </row>
    <row r="541" spans="1:6">
      <c r="A541">
        <v>540</v>
      </c>
      <c r="B541">
        <v>40</v>
      </c>
      <c r="C541" t="s">
        <v>6</v>
      </c>
      <c r="D541" t="s">
        <v>15</v>
      </c>
      <c r="E541" t="s">
        <v>28</v>
      </c>
      <c r="F541" t="s">
        <v>13</v>
      </c>
    </row>
    <row r="542" spans="1:6">
      <c r="A542">
        <v>541</v>
      </c>
      <c r="B542">
        <v>68</v>
      </c>
      <c r="C542" t="s">
        <v>10</v>
      </c>
      <c r="D542" t="s">
        <v>7</v>
      </c>
      <c r="E542" t="s">
        <v>36</v>
      </c>
      <c r="F542" t="s">
        <v>9</v>
      </c>
    </row>
    <row r="543" spans="1:6">
      <c r="A543">
        <v>542</v>
      </c>
      <c r="B543">
        <v>29</v>
      </c>
      <c r="C543" t="s">
        <v>6</v>
      </c>
      <c r="D543" t="s">
        <v>21</v>
      </c>
      <c r="E543" t="s">
        <v>20</v>
      </c>
      <c r="F543" t="s">
        <v>13</v>
      </c>
    </row>
    <row r="544" spans="1:6">
      <c r="A544">
        <v>543</v>
      </c>
      <c r="B544">
        <v>53</v>
      </c>
      <c r="C544" t="s">
        <v>10</v>
      </c>
      <c r="D544" t="s">
        <v>7</v>
      </c>
      <c r="E544" t="s">
        <v>22</v>
      </c>
      <c r="F544" t="s">
        <v>9</v>
      </c>
    </row>
    <row r="545" spans="1:6">
      <c r="A545">
        <v>544</v>
      </c>
      <c r="B545">
        <v>37</v>
      </c>
      <c r="C545" t="s">
        <v>6</v>
      </c>
      <c r="D545" t="s">
        <v>15</v>
      </c>
      <c r="E545" t="s">
        <v>14</v>
      </c>
      <c r="F545" t="s">
        <v>13</v>
      </c>
    </row>
    <row r="546" spans="1:6">
      <c r="A546">
        <v>545</v>
      </c>
      <c r="B546">
        <v>74</v>
      </c>
      <c r="C546" t="s">
        <v>10</v>
      </c>
      <c r="D546" t="s">
        <v>7</v>
      </c>
      <c r="E546" t="s">
        <v>35</v>
      </c>
      <c r="F546" t="s">
        <v>9</v>
      </c>
    </row>
    <row r="547" spans="1:6">
      <c r="A547">
        <v>546</v>
      </c>
      <c r="B547">
        <v>33</v>
      </c>
      <c r="C547" t="s">
        <v>6</v>
      </c>
      <c r="D547" t="s">
        <v>17</v>
      </c>
      <c r="E547" t="s">
        <v>8</v>
      </c>
      <c r="F547" t="s">
        <v>13</v>
      </c>
    </row>
    <row r="548" spans="1:6">
      <c r="A548">
        <v>547</v>
      </c>
      <c r="B548">
        <v>58</v>
      </c>
      <c r="C548" t="s">
        <v>10</v>
      </c>
      <c r="D548" t="s">
        <v>7</v>
      </c>
      <c r="E548" t="s">
        <v>24</v>
      </c>
      <c r="F548" t="s">
        <v>9</v>
      </c>
    </row>
    <row r="549" spans="1:6">
      <c r="A549">
        <v>548</v>
      </c>
      <c r="B549">
        <v>41</v>
      </c>
      <c r="C549" t="s">
        <v>6</v>
      </c>
      <c r="D549" t="s">
        <v>15</v>
      </c>
      <c r="E549" t="s">
        <v>27</v>
      </c>
      <c r="F549" t="s">
        <v>13</v>
      </c>
    </row>
    <row r="550" spans="1:6">
      <c r="A550">
        <v>549</v>
      </c>
      <c r="B550">
        <v>72</v>
      </c>
      <c r="C550" t="s">
        <v>10</v>
      </c>
      <c r="D550" t="s">
        <v>7</v>
      </c>
      <c r="E550" t="s">
        <v>16</v>
      </c>
      <c r="F550" t="s">
        <v>9</v>
      </c>
    </row>
    <row r="551" spans="1:6">
      <c r="A551">
        <v>550</v>
      </c>
      <c r="B551">
        <v>30</v>
      </c>
      <c r="C551" t="s">
        <v>6</v>
      </c>
      <c r="D551" t="s">
        <v>19</v>
      </c>
      <c r="E551" t="s">
        <v>32</v>
      </c>
      <c r="F551" t="s">
        <v>13</v>
      </c>
    </row>
    <row r="552" spans="1:6">
      <c r="A552">
        <v>551</v>
      </c>
      <c r="B552">
        <v>63</v>
      </c>
      <c r="C552" t="s">
        <v>10</v>
      </c>
      <c r="D552" t="s">
        <v>17</v>
      </c>
      <c r="E552" t="s">
        <v>31</v>
      </c>
      <c r="F552" t="s">
        <v>9</v>
      </c>
    </row>
    <row r="553" spans="1:6">
      <c r="A553">
        <v>552</v>
      </c>
      <c r="B553">
        <v>46</v>
      </c>
      <c r="C553" t="s">
        <v>6</v>
      </c>
      <c r="D553" t="s">
        <v>7</v>
      </c>
      <c r="E553" t="s">
        <v>28</v>
      </c>
      <c r="F553" t="s">
        <v>13</v>
      </c>
    </row>
    <row r="554" spans="1:6">
      <c r="A554">
        <v>553</v>
      </c>
      <c r="B554">
        <v>27</v>
      </c>
      <c r="C554" t="s">
        <v>10</v>
      </c>
      <c r="D554" t="s">
        <v>15</v>
      </c>
      <c r="E554" t="s">
        <v>30</v>
      </c>
      <c r="F554" t="s">
        <v>13</v>
      </c>
    </row>
    <row r="555" spans="1:6">
      <c r="A555">
        <v>554</v>
      </c>
      <c r="B555">
        <v>77</v>
      </c>
      <c r="C555" t="s">
        <v>6</v>
      </c>
      <c r="D555" t="s">
        <v>7</v>
      </c>
      <c r="E555" t="s">
        <v>33</v>
      </c>
      <c r="F555" t="s">
        <v>9</v>
      </c>
    </row>
    <row r="556" spans="1:6">
      <c r="A556">
        <v>555</v>
      </c>
      <c r="B556">
        <v>39</v>
      </c>
      <c r="C556" t="s">
        <v>10</v>
      </c>
      <c r="D556" t="s">
        <v>11</v>
      </c>
      <c r="E556" t="s">
        <v>22</v>
      </c>
      <c r="F556" t="s">
        <v>13</v>
      </c>
    </row>
    <row r="557" spans="1:6">
      <c r="A557">
        <v>556</v>
      </c>
      <c r="B557">
        <v>55</v>
      </c>
      <c r="C557" t="s">
        <v>6</v>
      </c>
      <c r="D557" t="s">
        <v>7</v>
      </c>
      <c r="E557" t="s">
        <v>34</v>
      </c>
      <c r="F557" t="s">
        <v>9</v>
      </c>
    </row>
    <row r="558" spans="1:6">
      <c r="A558">
        <v>557</v>
      </c>
      <c r="B558">
        <v>34</v>
      </c>
      <c r="C558" t="s">
        <v>10</v>
      </c>
      <c r="D558" t="s">
        <v>15</v>
      </c>
      <c r="E558" t="s">
        <v>18</v>
      </c>
      <c r="F558" t="s">
        <v>13</v>
      </c>
    </row>
    <row r="559" spans="1:6">
      <c r="A559">
        <v>558</v>
      </c>
      <c r="B559">
        <v>69</v>
      </c>
      <c r="C559" t="s">
        <v>6</v>
      </c>
      <c r="D559" t="s">
        <v>7</v>
      </c>
      <c r="E559" t="s">
        <v>16</v>
      </c>
      <c r="F559" t="s">
        <v>9</v>
      </c>
    </row>
    <row r="560" spans="1:6">
      <c r="A560">
        <v>559</v>
      </c>
      <c r="B560">
        <v>31</v>
      </c>
      <c r="C560" t="s">
        <v>10</v>
      </c>
      <c r="D560" t="s">
        <v>17</v>
      </c>
      <c r="E560" t="s">
        <v>36</v>
      </c>
      <c r="F560" t="s">
        <v>13</v>
      </c>
    </row>
    <row r="561" spans="1:6">
      <c r="A561">
        <v>560</v>
      </c>
      <c r="B561">
        <v>80</v>
      </c>
      <c r="C561" t="s">
        <v>6</v>
      </c>
      <c r="D561" t="s">
        <v>7</v>
      </c>
      <c r="E561" t="s">
        <v>20</v>
      </c>
      <c r="F561" t="s">
        <v>9</v>
      </c>
    </row>
    <row r="562" spans="1:6">
      <c r="A562">
        <v>561</v>
      </c>
      <c r="B562">
        <v>43</v>
      </c>
      <c r="C562" t="s">
        <v>10</v>
      </c>
      <c r="D562" t="s">
        <v>15</v>
      </c>
      <c r="E562" t="s">
        <v>8</v>
      </c>
      <c r="F562" t="s">
        <v>13</v>
      </c>
    </row>
    <row r="563" spans="1:6">
      <c r="A563">
        <v>562</v>
      </c>
      <c r="B563">
        <v>24</v>
      </c>
      <c r="C563" t="s">
        <v>6</v>
      </c>
      <c r="D563" t="s">
        <v>7</v>
      </c>
      <c r="E563" t="s">
        <v>24</v>
      </c>
      <c r="F563" t="s">
        <v>13</v>
      </c>
    </row>
    <row r="564" spans="1:6">
      <c r="A564">
        <v>563</v>
      </c>
      <c r="B564">
        <v>60</v>
      </c>
      <c r="C564" t="s">
        <v>10</v>
      </c>
      <c r="D564" t="s">
        <v>21</v>
      </c>
      <c r="E564" t="s">
        <v>26</v>
      </c>
      <c r="F564" t="s">
        <v>9</v>
      </c>
    </row>
    <row r="565" spans="1:6">
      <c r="A565">
        <v>564</v>
      </c>
      <c r="B565">
        <v>38</v>
      </c>
      <c r="C565" t="s">
        <v>6</v>
      </c>
      <c r="D565" t="s">
        <v>7</v>
      </c>
      <c r="E565" t="s">
        <v>22</v>
      </c>
      <c r="F565" t="s">
        <v>13</v>
      </c>
    </row>
    <row r="566" spans="1:6">
      <c r="A566">
        <v>565</v>
      </c>
      <c r="B566">
        <v>57</v>
      </c>
      <c r="C566" t="s">
        <v>10</v>
      </c>
      <c r="D566" t="s">
        <v>15</v>
      </c>
      <c r="E566" t="s">
        <v>32</v>
      </c>
      <c r="F566" t="s">
        <v>9</v>
      </c>
    </row>
    <row r="567" spans="1:6">
      <c r="A567">
        <v>566</v>
      </c>
      <c r="B567">
        <v>29</v>
      </c>
      <c r="C567" t="s">
        <v>6</v>
      </c>
      <c r="D567" t="s">
        <v>19</v>
      </c>
      <c r="E567" t="s">
        <v>27</v>
      </c>
      <c r="F567" t="s">
        <v>13</v>
      </c>
    </row>
    <row r="568" spans="1:6">
      <c r="A568">
        <v>567</v>
      </c>
      <c r="B568">
        <v>73</v>
      </c>
      <c r="C568" t="s">
        <v>10</v>
      </c>
      <c r="D568" t="s">
        <v>7</v>
      </c>
      <c r="E568" t="s">
        <v>16</v>
      </c>
      <c r="F568" t="s">
        <v>9</v>
      </c>
    </row>
    <row r="569" spans="1:6">
      <c r="A569">
        <v>568</v>
      </c>
      <c r="B569">
        <v>45</v>
      </c>
      <c r="C569" t="s">
        <v>6</v>
      </c>
      <c r="D569" t="s">
        <v>17</v>
      </c>
      <c r="E569" t="s">
        <v>30</v>
      </c>
      <c r="F569" t="s">
        <v>13</v>
      </c>
    </row>
    <row r="570" spans="1:6">
      <c r="A570">
        <v>569</v>
      </c>
      <c r="B570">
        <v>36</v>
      </c>
      <c r="C570" t="s">
        <v>10</v>
      </c>
      <c r="D570" t="s">
        <v>7</v>
      </c>
      <c r="E570" t="s">
        <v>31</v>
      </c>
      <c r="F570" t="s">
        <v>13</v>
      </c>
    </row>
    <row r="571" spans="1:6">
      <c r="A571">
        <v>570</v>
      </c>
      <c r="B571">
        <v>67</v>
      </c>
      <c r="C571" t="s">
        <v>6</v>
      </c>
      <c r="D571" t="s">
        <v>7</v>
      </c>
      <c r="E571" t="s">
        <v>28</v>
      </c>
      <c r="F571" t="s">
        <v>9</v>
      </c>
    </row>
    <row r="572" spans="1:6">
      <c r="A572">
        <v>571</v>
      </c>
      <c r="B572">
        <v>32</v>
      </c>
      <c r="C572" t="s">
        <v>10</v>
      </c>
      <c r="D572" t="s">
        <v>15</v>
      </c>
      <c r="E572" t="s">
        <v>34</v>
      </c>
      <c r="F572" t="s">
        <v>13</v>
      </c>
    </row>
    <row r="573" spans="1:6">
      <c r="A573">
        <v>572</v>
      </c>
      <c r="B573">
        <v>59</v>
      </c>
      <c r="C573" t="s">
        <v>6</v>
      </c>
      <c r="D573" t="s">
        <v>7</v>
      </c>
      <c r="E573" t="s">
        <v>33</v>
      </c>
      <c r="F573" t="s">
        <v>9</v>
      </c>
    </row>
    <row r="574" spans="1:6">
      <c r="A574">
        <v>573</v>
      </c>
      <c r="B574">
        <v>40</v>
      </c>
      <c r="C574" t="s">
        <v>10</v>
      </c>
      <c r="D574" t="s">
        <v>11</v>
      </c>
      <c r="E574" t="s">
        <v>22</v>
      </c>
      <c r="F574" t="s">
        <v>13</v>
      </c>
    </row>
    <row r="575" spans="1:6">
      <c r="A575">
        <v>574</v>
      </c>
      <c r="B575">
        <v>75</v>
      </c>
      <c r="C575" t="s">
        <v>6</v>
      </c>
      <c r="D575" t="s">
        <v>7</v>
      </c>
      <c r="E575" t="s">
        <v>36</v>
      </c>
      <c r="F575" t="s">
        <v>9</v>
      </c>
    </row>
    <row r="576" spans="1:6">
      <c r="A576">
        <v>575</v>
      </c>
      <c r="B576">
        <v>28</v>
      </c>
      <c r="C576" t="s">
        <v>10</v>
      </c>
      <c r="D576" t="s">
        <v>15</v>
      </c>
      <c r="E576" t="s">
        <v>18</v>
      </c>
      <c r="F576" t="s">
        <v>13</v>
      </c>
    </row>
    <row r="577" spans="1:6">
      <c r="A577">
        <v>576</v>
      </c>
      <c r="B577">
        <v>62</v>
      </c>
      <c r="C577" t="s">
        <v>6</v>
      </c>
      <c r="D577" t="s">
        <v>7</v>
      </c>
      <c r="E577" t="s">
        <v>16</v>
      </c>
      <c r="F577" t="s">
        <v>9</v>
      </c>
    </row>
    <row r="578" spans="1:6">
      <c r="A578">
        <v>577</v>
      </c>
      <c r="B578">
        <v>47</v>
      </c>
      <c r="C578" t="s">
        <v>10</v>
      </c>
      <c r="D578" t="s">
        <v>17</v>
      </c>
      <c r="E578" t="s">
        <v>14</v>
      </c>
      <c r="F578" t="s">
        <v>13</v>
      </c>
    </row>
    <row r="579" spans="1:6">
      <c r="A579">
        <v>578</v>
      </c>
      <c r="B579">
        <v>34</v>
      </c>
      <c r="C579" t="s">
        <v>6</v>
      </c>
      <c r="D579" t="s">
        <v>7</v>
      </c>
      <c r="E579" t="s">
        <v>20</v>
      </c>
      <c r="F579" t="s">
        <v>13</v>
      </c>
    </row>
    <row r="580" spans="1:6">
      <c r="A580">
        <v>579</v>
      </c>
      <c r="B580">
        <v>71</v>
      </c>
      <c r="C580" t="s">
        <v>10</v>
      </c>
      <c r="D580" t="s">
        <v>7</v>
      </c>
      <c r="E580" t="s">
        <v>8</v>
      </c>
      <c r="F580" t="s">
        <v>9</v>
      </c>
    </row>
    <row r="581" spans="1:6">
      <c r="A581">
        <v>580</v>
      </c>
      <c r="B581">
        <v>30</v>
      </c>
      <c r="C581" t="s">
        <v>6</v>
      </c>
      <c r="D581" t="s">
        <v>15</v>
      </c>
      <c r="E581" t="s">
        <v>24</v>
      </c>
      <c r="F581" t="s">
        <v>13</v>
      </c>
    </row>
    <row r="582" spans="1:6">
      <c r="A582">
        <v>581</v>
      </c>
      <c r="B582">
        <v>64</v>
      </c>
      <c r="C582" t="s">
        <v>10</v>
      </c>
      <c r="D582" t="s">
        <v>7</v>
      </c>
      <c r="E582" t="s">
        <v>35</v>
      </c>
      <c r="F582" t="s">
        <v>9</v>
      </c>
    </row>
    <row r="583" spans="1:6">
      <c r="A583">
        <v>582</v>
      </c>
      <c r="B583">
        <v>42</v>
      </c>
      <c r="C583" t="s">
        <v>6</v>
      </c>
      <c r="D583" t="s">
        <v>17</v>
      </c>
      <c r="E583" t="s">
        <v>22</v>
      </c>
      <c r="F583" t="s">
        <v>13</v>
      </c>
    </row>
    <row r="584" spans="1:6">
      <c r="A584">
        <v>583</v>
      </c>
      <c r="B584">
        <v>58</v>
      </c>
      <c r="C584" t="s">
        <v>10</v>
      </c>
      <c r="D584" t="s">
        <v>7</v>
      </c>
      <c r="E584" t="s">
        <v>32</v>
      </c>
      <c r="F584" t="s">
        <v>9</v>
      </c>
    </row>
    <row r="585" spans="1:6">
      <c r="A585">
        <v>584</v>
      </c>
      <c r="B585">
        <v>37</v>
      </c>
      <c r="C585" t="s">
        <v>6</v>
      </c>
      <c r="D585" t="s">
        <v>15</v>
      </c>
      <c r="E585" t="s">
        <v>27</v>
      </c>
      <c r="F585" t="s">
        <v>13</v>
      </c>
    </row>
    <row r="586" spans="1:6">
      <c r="A586">
        <v>585</v>
      </c>
      <c r="B586">
        <v>76</v>
      </c>
      <c r="C586" t="s">
        <v>10</v>
      </c>
      <c r="D586" t="s">
        <v>7</v>
      </c>
      <c r="E586" t="s">
        <v>16</v>
      </c>
      <c r="F586" t="s">
        <v>9</v>
      </c>
    </row>
    <row r="587" spans="1:6">
      <c r="A587">
        <v>586</v>
      </c>
      <c r="B587">
        <v>33</v>
      </c>
      <c r="C587" t="s">
        <v>6</v>
      </c>
      <c r="D587" t="s">
        <v>21</v>
      </c>
      <c r="E587" t="s">
        <v>30</v>
      </c>
      <c r="F587" t="s">
        <v>13</v>
      </c>
    </row>
    <row r="588" spans="1:6">
      <c r="A588">
        <v>587</v>
      </c>
      <c r="B588">
        <v>55</v>
      </c>
      <c r="C588" t="s">
        <v>10</v>
      </c>
      <c r="D588" t="s">
        <v>7</v>
      </c>
      <c r="E588" t="s">
        <v>31</v>
      </c>
      <c r="F588" t="s">
        <v>9</v>
      </c>
    </row>
    <row r="589" spans="1:6">
      <c r="A589">
        <v>588</v>
      </c>
      <c r="B589">
        <v>41</v>
      </c>
      <c r="C589" t="s">
        <v>6</v>
      </c>
      <c r="D589" t="s">
        <v>15</v>
      </c>
      <c r="E589" t="s">
        <v>28</v>
      </c>
      <c r="F589" t="s">
        <v>13</v>
      </c>
    </row>
    <row r="590" spans="1:6">
      <c r="A590">
        <v>589</v>
      </c>
      <c r="B590">
        <v>68</v>
      </c>
      <c r="C590" t="s">
        <v>10</v>
      </c>
      <c r="D590" t="s">
        <v>7</v>
      </c>
      <c r="E590" t="s">
        <v>36</v>
      </c>
      <c r="F590" t="s">
        <v>9</v>
      </c>
    </row>
    <row r="591" spans="1:6">
      <c r="A591">
        <v>590</v>
      </c>
      <c r="B591">
        <v>29</v>
      </c>
      <c r="C591" t="s">
        <v>6</v>
      </c>
      <c r="D591" t="s">
        <v>17</v>
      </c>
      <c r="E591" t="s">
        <v>33</v>
      </c>
      <c r="F591" t="s">
        <v>13</v>
      </c>
    </row>
    <row r="592" spans="1:6">
      <c r="A592">
        <v>591</v>
      </c>
      <c r="B592">
        <v>63</v>
      </c>
      <c r="C592" t="s">
        <v>10</v>
      </c>
      <c r="D592" t="s">
        <v>7</v>
      </c>
      <c r="E592" t="s">
        <v>22</v>
      </c>
      <c r="F592" t="s">
        <v>9</v>
      </c>
    </row>
    <row r="593" spans="1:6">
      <c r="A593">
        <v>592</v>
      </c>
      <c r="B593">
        <v>46</v>
      </c>
      <c r="C593" t="s">
        <v>6</v>
      </c>
      <c r="D593" t="s">
        <v>15</v>
      </c>
      <c r="E593" t="s">
        <v>34</v>
      </c>
      <c r="F593" t="s">
        <v>13</v>
      </c>
    </row>
    <row r="594" spans="1:6">
      <c r="A594">
        <v>593</v>
      </c>
      <c r="B594">
        <v>27</v>
      </c>
      <c r="C594" t="s">
        <v>10</v>
      </c>
      <c r="D594" t="s">
        <v>19</v>
      </c>
      <c r="E594" t="s">
        <v>18</v>
      </c>
      <c r="F594" t="s">
        <v>13</v>
      </c>
    </row>
    <row r="595" spans="1:6">
      <c r="A595">
        <v>594</v>
      </c>
      <c r="B595">
        <v>74</v>
      </c>
      <c r="C595" t="s">
        <v>6</v>
      </c>
      <c r="D595" t="s">
        <v>7</v>
      </c>
      <c r="E595" t="s">
        <v>16</v>
      </c>
      <c r="F595" t="s">
        <v>9</v>
      </c>
    </row>
    <row r="596" spans="1:6">
      <c r="A596">
        <v>595</v>
      </c>
      <c r="B596">
        <v>35</v>
      </c>
      <c r="C596" t="s">
        <v>10</v>
      </c>
      <c r="D596" t="s">
        <v>11</v>
      </c>
      <c r="E596" t="s">
        <v>14</v>
      </c>
      <c r="F596" t="s">
        <v>13</v>
      </c>
    </row>
    <row r="597" spans="1:6">
      <c r="A597">
        <v>596</v>
      </c>
      <c r="B597">
        <v>59</v>
      </c>
      <c r="C597" t="s">
        <v>6</v>
      </c>
      <c r="D597" t="s">
        <v>7</v>
      </c>
      <c r="E597" t="s">
        <v>20</v>
      </c>
      <c r="F597" t="s">
        <v>9</v>
      </c>
    </row>
    <row r="598" spans="1:6">
      <c r="A598">
        <v>597</v>
      </c>
      <c r="B598">
        <v>38</v>
      </c>
      <c r="C598" t="s">
        <v>10</v>
      </c>
      <c r="D598" t="s">
        <v>15</v>
      </c>
      <c r="E598" t="s">
        <v>8</v>
      </c>
      <c r="F598" t="s">
        <v>13</v>
      </c>
    </row>
    <row r="599" spans="1:6">
      <c r="A599">
        <v>598</v>
      </c>
      <c r="B599">
        <v>70</v>
      </c>
      <c r="C599" t="s">
        <v>6</v>
      </c>
      <c r="D599" t="s">
        <v>7</v>
      </c>
      <c r="E599" t="s">
        <v>24</v>
      </c>
      <c r="F599" t="s">
        <v>9</v>
      </c>
    </row>
    <row r="600" spans="1:6">
      <c r="A600">
        <v>599</v>
      </c>
      <c r="B600">
        <v>31</v>
      </c>
      <c r="C600" t="s">
        <v>10</v>
      </c>
      <c r="D600" t="s">
        <v>17</v>
      </c>
      <c r="E600" t="s">
        <v>26</v>
      </c>
      <c r="F600" t="s">
        <v>13</v>
      </c>
    </row>
    <row r="601" spans="1:6">
      <c r="A601">
        <v>600</v>
      </c>
      <c r="B601">
        <v>79</v>
      </c>
      <c r="C601" t="s">
        <v>6</v>
      </c>
      <c r="D601" t="s">
        <v>7</v>
      </c>
      <c r="E601" t="s">
        <v>28</v>
      </c>
      <c r="F601" t="s">
        <v>9</v>
      </c>
    </row>
    <row r="602" spans="1:6">
      <c r="A602">
        <v>601</v>
      </c>
      <c r="B602">
        <v>52</v>
      </c>
      <c r="C602" t="s">
        <v>10</v>
      </c>
      <c r="D602" t="s">
        <v>7</v>
      </c>
      <c r="E602" t="s">
        <v>8</v>
      </c>
      <c r="F602" t="s">
        <v>9</v>
      </c>
    </row>
    <row r="603" spans="1:6">
      <c r="A603">
        <v>602</v>
      </c>
      <c r="B603">
        <v>36</v>
      </c>
      <c r="C603" t="s">
        <v>6</v>
      </c>
      <c r="D603" t="s">
        <v>15</v>
      </c>
      <c r="E603" t="s">
        <v>24</v>
      </c>
      <c r="F603" t="s">
        <v>13</v>
      </c>
    </row>
    <row r="604" spans="1:6">
      <c r="A604">
        <v>603</v>
      </c>
      <c r="B604">
        <v>74</v>
      </c>
      <c r="C604" t="s">
        <v>10</v>
      </c>
      <c r="D604" t="s">
        <v>7</v>
      </c>
      <c r="E604" t="s">
        <v>26</v>
      </c>
      <c r="F604" t="s">
        <v>9</v>
      </c>
    </row>
    <row r="605" spans="1:6">
      <c r="A605">
        <v>604</v>
      </c>
      <c r="B605">
        <v>29</v>
      </c>
      <c r="C605" t="s">
        <v>6</v>
      </c>
      <c r="D605" t="s">
        <v>11</v>
      </c>
      <c r="E605" t="s">
        <v>22</v>
      </c>
      <c r="F605" t="s">
        <v>13</v>
      </c>
    </row>
    <row r="606" spans="1:6">
      <c r="A606">
        <v>605</v>
      </c>
      <c r="B606">
        <v>63</v>
      </c>
      <c r="C606" t="s">
        <v>10</v>
      </c>
      <c r="D606" t="s">
        <v>17</v>
      </c>
      <c r="E606" t="s">
        <v>34</v>
      </c>
      <c r="F606" t="s">
        <v>9</v>
      </c>
    </row>
    <row r="607" spans="1:6">
      <c r="A607">
        <v>606</v>
      </c>
      <c r="B607">
        <v>45</v>
      </c>
      <c r="C607" t="s">
        <v>6</v>
      </c>
      <c r="D607" t="s">
        <v>7</v>
      </c>
      <c r="E607" t="s">
        <v>20</v>
      </c>
      <c r="F607" t="s">
        <v>13</v>
      </c>
    </row>
    <row r="608" spans="1:6">
      <c r="A608">
        <v>607</v>
      </c>
      <c r="B608">
        <v>58</v>
      </c>
      <c r="C608" t="s">
        <v>10</v>
      </c>
      <c r="D608" t="s">
        <v>15</v>
      </c>
      <c r="E608" t="s">
        <v>16</v>
      </c>
      <c r="F608" t="s">
        <v>9</v>
      </c>
    </row>
    <row r="609" spans="1:6">
      <c r="A609">
        <v>608</v>
      </c>
      <c r="B609">
        <v>33</v>
      </c>
      <c r="C609" t="s">
        <v>6</v>
      </c>
      <c r="D609" t="s">
        <v>19</v>
      </c>
      <c r="E609" t="s">
        <v>30</v>
      </c>
      <c r="F609" t="s">
        <v>13</v>
      </c>
    </row>
    <row r="610" spans="1:6">
      <c r="A610">
        <v>609</v>
      </c>
      <c r="B610">
        <v>71</v>
      </c>
      <c r="C610" t="s">
        <v>10</v>
      </c>
      <c r="D610" t="s">
        <v>7</v>
      </c>
      <c r="E610" t="s">
        <v>18</v>
      </c>
      <c r="F610" t="s">
        <v>9</v>
      </c>
    </row>
    <row r="611" spans="1:6">
      <c r="A611">
        <v>610</v>
      </c>
      <c r="B611">
        <v>27</v>
      </c>
      <c r="C611" t="s">
        <v>6</v>
      </c>
      <c r="D611" t="s">
        <v>21</v>
      </c>
      <c r="E611" t="s">
        <v>28</v>
      </c>
      <c r="F611" t="s">
        <v>13</v>
      </c>
    </row>
    <row r="612" spans="1:6">
      <c r="A612">
        <v>611</v>
      </c>
      <c r="B612">
        <v>54</v>
      </c>
      <c r="C612" t="s">
        <v>10</v>
      </c>
      <c r="D612" t="s">
        <v>7</v>
      </c>
      <c r="E612" t="s">
        <v>32</v>
      </c>
      <c r="F612" t="s">
        <v>9</v>
      </c>
    </row>
    <row r="613" spans="1:6">
      <c r="A613">
        <v>612</v>
      </c>
      <c r="B613">
        <v>39</v>
      </c>
      <c r="C613" t="s">
        <v>6</v>
      </c>
      <c r="D613" t="s">
        <v>15</v>
      </c>
      <c r="E613" t="s">
        <v>27</v>
      </c>
      <c r="F613" t="s">
        <v>13</v>
      </c>
    </row>
    <row r="614" spans="1:6">
      <c r="A614">
        <v>613</v>
      </c>
      <c r="B614">
        <v>66</v>
      </c>
      <c r="C614" t="s">
        <v>10</v>
      </c>
      <c r="D614" t="s">
        <v>7</v>
      </c>
      <c r="E614" t="s">
        <v>22</v>
      </c>
      <c r="F614" t="s">
        <v>9</v>
      </c>
    </row>
    <row r="615" spans="1:6">
      <c r="A615">
        <v>614</v>
      </c>
      <c r="B615">
        <v>31</v>
      </c>
      <c r="C615" t="s">
        <v>6</v>
      </c>
      <c r="D615" t="s">
        <v>17</v>
      </c>
      <c r="E615" t="s">
        <v>36</v>
      </c>
      <c r="F615" t="s">
        <v>13</v>
      </c>
    </row>
    <row r="616" spans="1:6">
      <c r="A616">
        <v>615</v>
      </c>
      <c r="B616">
        <v>78</v>
      </c>
      <c r="C616" t="s">
        <v>10</v>
      </c>
      <c r="D616" t="s">
        <v>7</v>
      </c>
      <c r="E616" t="s">
        <v>31</v>
      </c>
      <c r="F616" t="s">
        <v>9</v>
      </c>
    </row>
    <row r="617" spans="1:6">
      <c r="A617">
        <v>616</v>
      </c>
      <c r="B617">
        <v>42</v>
      </c>
      <c r="C617" t="s">
        <v>6</v>
      </c>
      <c r="D617" t="s">
        <v>11</v>
      </c>
      <c r="E617" t="s">
        <v>8</v>
      </c>
      <c r="F617" t="s">
        <v>13</v>
      </c>
    </row>
    <row r="618" spans="1:6">
      <c r="A618">
        <v>617</v>
      </c>
      <c r="B618">
        <v>57</v>
      </c>
      <c r="C618" t="s">
        <v>10</v>
      </c>
      <c r="D618" t="s">
        <v>7</v>
      </c>
      <c r="E618" t="s">
        <v>24</v>
      </c>
      <c r="F618" t="s">
        <v>9</v>
      </c>
    </row>
    <row r="619" spans="1:6">
      <c r="A619">
        <v>618</v>
      </c>
      <c r="B619">
        <v>36</v>
      </c>
      <c r="C619" t="s">
        <v>6</v>
      </c>
      <c r="D619" t="s">
        <v>15</v>
      </c>
      <c r="E619" t="s">
        <v>33</v>
      </c>
      <c r="F619" t="s">
        <v>13</v>
      </c>
    </row>
    <row r="620" spans="1:6">
      <c r="A620">
        <v>619</v>
      </c>
      <c r="B620">
        <v>69</v>
      </c>
      <c r="C620" t="s">
        <v>10</v>
      </c>
      <c r="D620" t="s">
        <v>7</v>
      </c>
      <c r="E620" t="s">
        <v>16</v>
      </c>
      <c r="F620" t="s">
        <v>9</v>
      </c>
    </row>
    <row r="621" spans="1:6">
      <c r="A621">
        <v>620</v>
      </c>
      <c r="B621">
        <v>25</v>
      </c>
      <c r="C621" t="s">
        <v>6</v>
      </c>
      <c r="D621" t="s">
        <v>19</v>
      </c>
      <c r="E621" t="s">
        <v>14</v>
      </c>
      <c r="F621" t="s">
        <v>13</v>
      </c>
    </row>
    <row r="622" spans="1:6">
      <c r="A622">
        <v>621</v>
      </c>
      <c r="B622">
        <v>62</v>
      </c>
      <c r="C622" t="s">
        <v>10</v>
      </c>
      <c r="D622" t="s">
        <v>17</v>
      </c>
      <c r="E622" t="s">
        <v>35</v>
      </c>
      <c r="F622" t="s">
        <v>9</v>
      </c>
    </row>
    <row r="623" spans="1:6">
      <c r="A623">
        <v>622</v>
      </c>
      <c r="B623">
        <v>48</v>
      </c>
      <c r="C623" t="s">
        <v>6</v>
      </c>
      <c r="D623" t="s">
        <v>7</v>
      </c>
      <c r="E623" t="s">
        <v>22</v>
      </c>
      <c r="F623" t="s">
        <v>13</v>
      </c>
    </row>
    <row r="624" spans="1:6">
      <c r="A624">
        <v>623</v>
      </c>
      <c r="B624">
        <v>30</v>
      </c>
      <c r="C624" t="s">
        <v>10</v>
      </c>
      <c r="D624" t="s">
        <v>15</v>
      </c>
      <c r="E624" t="s">
        <v>30</v>
      </c>
      <c r="F624" t="s">
        <v>13</v>
      </c>
    </row>
    <row r="625" spans="1:6">
      <c r="A625">
        <v>624</v>
      </c>
      <c r="B625">
        <v>75</v>
      </c>
      <c r="C625" t="s">
        <v>6</v>
      </c>
      <c r="D625" t="s">
        <v>7</v>
      </c>
      <c r="E625" t="s">
        <v>20</v>
      </c>
      <c r="F625" t="s">
        <v>9</v>
      </c>
    </row>
    <row r="626" spans="1:6">
      <c r="A626">
        <v>625</v>
      </c>
      <c r="B626">
        <v>41</v>
      </c>
      <c r="C626" t="s">
        <v>10</v>
      </c>
      <c r="D626" t="s">
        <v>21</v>
      </c>
      <c r="E626" t="s">
        <v>28</v>
      </c>
      <c r="F626" t="s">
        <v>13</v>
      </c>
    </row>
    <row r="627" spans="1:6">
      <c r="A627">
        <v>626</v>
      </c>
      <c r="B627">
        <v>59</v>
      </c>
      <c r="C627" t="s">
        <v>6</v>
      </c>
      <c r="D627" t="s">
        <v>7</v>
      </c>
      <c r="E627" t="s">
        <v>32</v>
      </c>
      <c r="F627" t="s">
        <v>9</v>
      </c>
    </row>
    <row r="628" spans="1:6">
      <c r="A628">
        <v>627</v>
      </c>
      <c r="B628">
        <v>38</v>
      </c>
      <c r="C628" t="s">
        <v>10</v>
      </c>
      <c r="D628" t="s">
        <v>15</v>
      </c>
      <c r="E628" t="s">
        <v>18</v>
      </c>
      <c r="F628" t="s">
        <v>13</v>
      </c>
    </row>
    <row r="629" spans="1:6">
      <c r="A629">
        <v>628</v>
      </c>
      <c r="B629">
        <v>73</v>
      </c>
      <c r="C629" t="s">
        <v>6</v>
      </c>
      <c r="D629" t="s">
        <v>7</v>
      </c>
      <c r="E629" t="s">
        <v>16</v>
      </c>
      <c r="F629" t="s">
        <v>9</v>
      </c>
    </row>
    <row r="630" spans="1:6">
      <c r="A630">
        <v>629</v>
      </c>
      <c r="B630">
        <v>28</v>
      </c>
      <c r="C630" t="s">
        <v>10</v>
      </c>
      <c r="D630" t="s">
        <v>17</v>
      </c>
      <c r="E630" t="s">
        <v>36</v>
      </c>
      <c r="F630" t="s">
        <v>13</v>
      </c>
    </row>
    <row r="631" spans="1:6">
      <c r="A631">
        <v>630</v>
      </c>
      <c r="B631">
        <v>64</v>
      </c>
      <c r="C631" t="s">
        <v>6</v>
      </c>
      <c r="D631" t="s">
        <v>7</v>
      </c>
      <c r="E631" t="s">
        <v>27</v>
      </c>
      <c r="F631" t="s">
        <v>9</v>
      </c>
    </row>
    <row r="632" spans="1:6">
      <c r="A632">
        <v>631</v>
      </c>
      <c r="B632">
        <v>47</v>
      </c>
      <c r="C632" t="s">
        <v>10</v>
      </c>
      <c r="D632" t="s">
        <v>15</v>
      </c>
      <c r="E632" t="s">
        <v>8</v>
      </c>
      <c r="F632" t="s">
        <v>13</v>
      </c>
    </row>
    <row r="633" spans="1:6">
      <c r="A633">
        <v>632</v>
      </c>
      <c r="B633">
        <v>26</v>
      </c>
      <c r="C633" t="s">
        <v>6</v>
      </c>
      <c r="D633" t="s">
        <v>19</v>
      </c>
      <c r="E633" t="s">
        <v>24</v>
      </c>
      <c r="F633" t="s">
        <v>13</v>
      </c>
    </row>
    <row r="634" spans="1:6">
      <c r="A634">
        <v>633</v>
      </c>
      <c r="B634">
        <v>70</v>
      </c>
      <c r="C634" t="s">
        <v>10</v>
      </c>
      <c r="D634" t="s">
        <v>7</v>
      </c>
      <c r="E634" t="s">
        <v>31</v>
      </c>
      <c r="F634" t="s">
        <v>9</v>
      </c>
    </row>
    <row r="635" spans="1:6">
      <c r="A635">
        <v>634</v>
      </c>
      <c r="B635">
        <v>35</v>
      </c>
      <c r="C635" t="s">
        <v>6</v>
      </c>
      <c r="D635" t="s">
        <v>11</v>
      </c>
      <c r="E635" t="s">
        <v>22</v>
      </c>
      <c r="F635" t="s">
        <v>13</v>
      </c>
    </row>
    <row r="636" spans="1:6">
      <c r="A636">
        <v>635</v>
      </c>
      <c r="B636">
        <v>61</v>
      </c>
      <c r="C636" t="s">
        <v>10</v>
      </c>
      <c r="D636" t="s">
        <v>7</v>
      </c>
      <c r="E636" t="s">
        <v>34</v>
      </c>
      <c r="F636" t="s">
        <v>9</v>
      </c>
    </row>
    <row r="637" spans="1:6">
      <c r="A637">
        <v>636</v>
      </c>
      <c r="B637">
        <v>44</v>
      </c>
      <c r="C637" t="s">
        <v>6</v>
      </c>
      <c r="D637" t="s">
        <v>15</v>
      </c>
      <c r="E637" t="s">
        <v>33</v>
      </c>
      <c r="F637" t="s">
        <v>13</v>
      </c>
    </row>
    <row r="638" spans="1:6">
      <c r="A638">
        <v>637</v>
      </c>
      <c r="B638">
        <v>79</v>
      </c>
      <c r="C638" t="s">
        <v>10</v>
      </c>
      <c r="D638" t="s">
        <v>7</v>
      </c>
      <c r="E638" t="s">
        <v>16</v>
      </c>
      <c r="F638" t="s">
        <v>9</v>
      </c>
    </row>
    <row r="639" spans="1:6">
      <c r="A639">
        <v>638</v>
      </c>
      <c r="B639">
        <v>32</v>
      </c>
      <c r="C639" t="s">
        <v>6</v>
      </c>
      <c r="D639" t="s">
        <v>17</v>
      </c>
      <c r="E639" t="s">
        <v>30</v>
      </c>
      <c r="F639" t="s">
        <v>13</v>
      </c>
    </row>
    <row r="640" spans="1:6">
      <c r="A640">
        <v>639</v>
      </c>
      <c r="B640">
        <v>56</v>
      </c>
      <c r="C640" t="s">
        <v>10</v>
      </c>
      <c r="D640" t="s">
        <v>7</v>
      </c>
      <c r="E640" t="s">
        <v>18</v>
      </c>
      <c r="F640" t="s">
        <v>9</v>
      </c>
    </row>
    <row r="641" spans="1:6">
      <c r="A641">
        <v>640</v>
      </c>
      <c r="B641">
        <v>40</v>
      </c>
      <c r="C641" t="s">
        <v>6</v>
      </c>
      <c r="D641" t="s">
        <v>15</v>
      </c>
      <c r="E641" t="s">
        <v>28</v>
      </c>
      <c r="F641" t="s">
        <v>13</v>
      </c>
    </row>
    <row r="642" spans="1:6">
      <c r="A642">
        <v>641</v>
      </c>
      <c r="B642">
        <v>68</v>
      </c>
      <c r="C642" t="s">
        <v>10</v>
      </c>
      <c r="D642" t="s">
        <v>7</v>
      </c>
      <c r="E642" t="s">
        <v>36</v>
      </c>
      <c r="F642" t="s">
        <v>9</v>
      </c>
    </row>
    <row r="643" spans="1:6">
      <c r="A643">
        <v>642</v>
      </c>
      <c r="B643">
        <v>29</v>
      </c>
      <c r="C643" t="s">
        <v>6</v>
      </c>
      <c r="D643" t="s">
        <v>21</v>
      </c>
      <c r="E643" t="s">
        <v>20</v>
      </c>
      <c r="F643" t="s">
        <v>13</v>
      </c>
    </row>
    <row r="644" spans="1:6">
      <c r="A644">
        <v>643</v>
      </c>
      <c r="B644">
        <v>53</v>
      </c>
      <c r="C644" t="s">
        <v>10</v>
      </c>
      <c r="D644" t="s">
        <v>7</v>
      </c>
      <c r="E644" t="s">
        <v>22</v>
      </c>
      <c r="F644" t="s">
        <v>9</v>
      </c>
    </row>
    <row r="645" spans="1:6">
      <c r="A645">
        <v>644</v>
      </c>
      <c r="B645">
        <v>37</v>
      </c>
      <c r="C645" t="s">
        <v>6</v>
      </c>
      <c r="D645" t="s">
        <v>15</v>
      </c>
      <c r="E645" t="s">
        <v>14</v>
      </c>
      <c r="F645" t="s">
        <v>13</v>
      </c>
    </row>
    <row r="646" spans="1:6">
      <c r="A646">
        <v>645</v>
      </c>
      <c r="B646">
        <v>74</v>
      </c>
      <c r="C646" t="s">
        <v>10</v>
      </c>
      <c r="D646" t="s">
        <v>7</v>
      </c>
      <c r="E646" t="s">
        <v>35</v>
      </c>
      <c r="F646" t="s">
        <v>9</v>
      </c>
    </row>
    <row r="647" spans="1:6">
      <c r="A647">
        <v>646</v>
      </c>
      <c r="B647">
        <v>33</v>
      </c>
      <c r="C647" t="s">
        <v>6</v>
      </c>
      <c r="D647" t="s">
        <v>17</v>
      </c>
      <c r="E647" t="s">
        <v>8</v>
      </c>
      <c r="F647" t="s">
        <v>13</v>
      </c>
    </row>
    <row r="648" spans="1:6">
      <c r="A648">
        <v>647</v>
      </c>
      <c r="B648">
        <v>58</v>
      </c>
      <c r="C648" t="s">
        <v>10</v>
      </c>
      <c r="D648" t="s">
        <v>7</v>
      </c>
      <c r="E648" t="s">
        <v>24</v>
      </c>
      <c r="F648" t="s">
        <v>9</v>
      </c>
    </row>
    <row r="649" spans="1:6">
      <c r="A649">
        <v>648</v>
      </c>
      <c r="B649">
        <v>41</v>
      </c>
      <c r="C649" t="s">
        <v>6</v>
      </c>
      <c r="D649" t="s">
        <v>15</v>
      </c>
      <c r="E649" t="s">
        <v>27</v>
      </c>
      <c r="F649" t="s">
        <v>13</v>
      </c>
    </row>
    <row r="650" spans="1:6">
      <c r="A650">
        <v>649</v>
      </c>
      <c r="B650">
        <v>72</v>
      </c>
      <c r="C650" t="s">
        <v>10</v>
      </c>
      <c r="D650" t="s">
        <v>7</v>
      </c>
      <c r="E650" t="s">
        <v>16</v>
      </c>
      <c r="F650" t="s">
        <v>9</v>
      </c>
    </row>
    <row r="651" spans="1:6">
      <c r="A651">
        <v>650</v>
      </c>
      <c r="B651">
        <v>30</v>
      </c>
      <c r="C651" t="s">
        <v>6</v>
      </c>
      <c r="D651" t="s">
        <v>19</v>
      </c>
      <c r="E651" t="s">
        <v>32</v>
      </c>
      <c r="F651" t="s">
        <v>13</v>
      </c>
    </row>
    <row r="652" spans="1:6">
      <c r="A652">
        <v>651</v>
      </c>
      <c r="B652">
        <v>63</v>
      </c>
      <c r="C652" t="s">
        <v>10</v>
      </c>
      <c r="D652" t="s">
        <v>17</v>
      </c>
      <c r="E652" t="s">
        <v>31</v>
      </c>
      <c r="F652" t="s">
        <v>9</v>
      </c>
    </row>
    <row r="653" spans="1:6">
      <c r="A653">
        <v>652</v>
      </c>
      <c r="B653">
        <v>46</v>
      </c>
      <c r="C653" t="s">
        <v>6</v>
      </c>
      <c r="D653" t="s">
        <v>7</v>
      </c>
      <c r="E653" t="s">
        <v>28</v>
      </c>
      <c r="F653" t="s">
        <v>13</v>
      </c>
    </row>
    <row r="654" spans="1:6">
      <c r="A654">
        <v>653</v>
      </c>
      <c r="B654">
        <v>27</v>
      </c>
      <c r="C654" t="s">
        <v>10</v>
      </c>
      <c r="D654" t="s">
        <v>15</v>
      </c>
      <c r="E654" t="s">
        <v>30</v>
      </c>
      <c r="F654" t="s">
        <v>13</v>
      </c>
    </row>
    <row r="655" spans="1:6">
      <c r="A655">
        <v>654</v>
      </c>
      <c r="B655">
        <v>77</v>
      </c>
      <c r="C655" t="s">
        <v>6</v>
      </c>
      <c r="D655" t="s">
        <v>7</v>
      </c>
      <c r="E655" t="s">
        <v>33</v>
      </c>
      <c r="F655" t="s">
        <v>9</v>
      </c>
    </row>
    <row r="656" spans="1:6">
      <c r="A656">
        <v>655</v>
      </c>
      <c r="B656">
        <v>39</v>
      </c>
      <c r="C656" t="s">
        <v>10</v>
      </c>
      <c r="D656" t="s">
        <v>11</v>
      </c>
      <c r="E656" t="s">
        <v>22</v>
      </c>
      <c r="F656" t="s">
        <v>13</v>
      </c>
    </row>
    <row r="657" spans="1:6">
      <c r="A657">
        <v>656</v>
      </c>
      <c r="B657">
        <v>55</v>
      </c>
      <c r="C657" t="s">
        <v>6</v>
      </c>
      <c r="D657" t="s">
        <v>7</v>
      </c>
      <c r="E657" t="s">
        <v>34</v>
      </c>
      <c r="F657" t="s">
        <v>9</v>
      </c>
    </row>
    <row r="658" spans="1:6">
      <c r="A658">
        <v>657</v>
      </c>
      <c r="B658">
        <v>34</v>
      </c>
      <c r="C658" t="s">
        <v>10</v>
      </c>
      <c r="D658" t="s">
        <v>15</v>
      </c>
      <c r="E658" t="s">
        <v>18</v>
      </c>
      <c r="F658" t="s">
        <v>13</v>
      </c>
    </row>
    <row r="659" spans="1:6">
      <c r="A659">
        <v>658</v>
      </c>
      <c r="B659">
        <v>69</v>
      </c>
      <c r="C659" t="s">
        <v>6</v>
      </c>
      <c r="D659" t="s">
        <v>7</v>
      </c>
      <c r="E659" t="s">
        <v>16</v>
      </c>
      <c r="F659" t="s">
        <v>9</v>
      </c>
    </row>
    <row r="660" spans="1:6">
      <c r="A660">
        <v>659</v>
      </c>
      <c r="B660">
        <v>31</v>
      </c>
      <c r="C660" t="s">
        <v>10</v>
      </c>
      <c r="D660" t="s">
        <v>17</v>
      </c>
      <c r="E660" t="s">
        <v>36</v>
      </c>
      <c r="F660" t="s">
        <v>13</v>
      </c>
    </row>
    <row r="661" spans="1:6">
      <c r="A661">
        <v>660</v>
      </c>
      <c r="B661">
        <v>80</v>
      </c>
      <c r="C661" t="s">
        <v>6</v>
      </c>
      <c r="D661" t="s">
        <v>7</v>
      </c>
      <c r="E661" t="s">
        <v>20</v>
      </c>
      <c r="F661" t="s">
        <v>9</v>
      </c>
    </row>
    <row r="662" spans="1:6">
      <c r="A662">
        <v>661</v>
      </c>
      <c r="B662">
        <v>43</v>
      </c>
      <c r="C662" t="s">
        <v>10</v>
      </c>
      <c r="D662" t="s">
        <v>15</v>
      </c>
      <c r="E662" t="s">
        <v>8</v>
      </c>
      <c r="F662" t="s">
        <v>13</v>
      </c>
    </row>
    <row r="663" spans="1:6">
      <c r="A663">
        <v>662</v>
      </c>
      <c r="B663">
        <v>24</v>
      </c>
      <c r="C663" t="s">
        <v>6</v>
      </c>
      <c r="D663" t="s">
        <v>7</v>
      </c>
      <c r="E663" t="s">
        <v>24</v>
      </c>
      <c r="F663" t="s">
        <v>13</v>
      </c>
    </row>
    <row r="664" spans="1:6">
      <c r="A664">
        <v>663</v>
      </c>
      <c r="B664">
        <v>60</v>
      </c>
      <c r="C664" t="s">
        <v>10</v>
      </c>
      <c r="D664" t="s">
        <v>21</v>
      </c>
      <c r="E664" t="s">
        <v>26</v>
      </c>
      <c r="F664" t="s">
        <v>9</v>
      </c>
    </row>
    <row r="665" spans="1:6">
      <c r="A665">
        <v>664</v>
      </c>
      <c r="B665">
        <v>38</v>
      </c>
      <c r="C665" t="s">
        <v>6</v>
      </c>
      <c r="D665" t="s">
        <v>7</v>
      </c>
      <c r="E665" t="s">
        <v>22</v>
      </c>
      <c r="F665" t="s">
        <v>13</v>
      </c>
    </row>
    <row r="666" spans="1:6">
      <c r="A666">
        <v>665</v>
      </c>
      <c r="B666">
        <v>57</v>
      </c>
      <c r="C666" t="s">
        <v>10</v>
      </c>
      <c r="D666" t="s">
        <v>15</v>
      </c>
      <c r="E666" t="s">
        <v>32</v>
      </c>
      <c r="F666" t="s">
        <v>9</v>
      </c>
    </row>
    <row r="667" spans="1:6">
      <c r="A667">
        <v>666</v>
      </c>
      <c r="B667">
        <v>29</v>
      </c>
      <c r="C667" t="s">
        <v>6</v>
      </c>
      <c r="D667" t="s">
        <v>19</v>
      </c>
      <c r="E667" t="s">
        <v>27</v>
      </c>
      <c r="F667" t="s">
        <v>13</v>
      </c>
    </row>
    <row r="668" spans="1:6">
      <c r="A668">
        <v>667</v>
      </c>
      <c r="B668">
        <v>73</v>
      </c>
      <c r="C668" t="s">
        <v>10</v>
      </c>
      <c r="D668" t="s">
        <v>7</v>
      </c>
      <c r="E668" t="s">
        <v>16</v>
      </c>
      <c r="F668" t="s">
        <v>9</v>
      </c>
    </row>
    <row r="669" spans="1:6">
      <c r="A669">
        <v>668</v>
      </c>
      <c r="B669">
        <v>45</v>
      </c>
      <c r="C669" t="s">
        <v>6</v>
      </c>
      <c r="D669" t="s">
        <v>17</v>
      </c>
      <c r="E669" t="s">
        <v>30</v>
      </c>
      <c r="F669" t="s">
        <v>13</v>
      </c>
    </row>
    <row r="670" spans="1:6">
      <c r="A670">
        <v>669</v>
      </c>
      <c r="B670">
        <v>36</v>
      </c>
      <c r="C670" t="s">
        <v>10</v>
      </c>
      <c r="D670" t="s">
        <v>7</v>
      </c>
      <c r="E670" t="s">
        <v>31</v>
      </c>
      <c r="F670" t="s">
        <v>13</v>
      </c>
    </row>
    <row r="671" spans="1:6">
      <c r="A671">
        <v>670</v>
      </c>
      <c r="B671">
        <v>67</v>
      </c>
      <c r="C671" t="s">
        <v>6</v>
      </c>
      <c r="D671" t="s">
        <v>7</v>
      </c>
      <c r="E671" t="s">
        <v>28</v>
      </c>
      <c r="F671" t="s">
        <v>9</v>
      </c>
    </row>
    <row r="672" spans="1:6">
      <c r="A672">
        <v>671</v>
      </c>
      <c r="B672">
        <v>32</v>
      </c>
      <c r="C672" t="s">
        <v>10</v>
      </c>
      <c r="D672" t="s">
        <v>15</v>
      </c>
      <c r="E672" t="s">
        <v>34</v>
      </c>
      <c r="F672" t="s">
        <v>13</v>
      </c>
    </row>
    <row r="673" spans="1:6">
      <c r="A673">
        <v>672</v>
      </c>
      <c r="B673">
        <v>59</v>
      </c>
      <c r="C673" t="s">
        <v>6</v>
      </c>
      <c r="D673" t="s">
        <v>7</v>
      </c>
      <c r="E673" t="s">
        <v>33</v>
      </c>
      <c r="F673" t="s">
        <v>9</v>
      </c>
    </row>
    <row r="674" spans="1:6">
      <c r="A674">
        <v>673</v>
      </c>
      <c r="B674">
        <v>40</v>
      </c>
      <c r="C674" t="s">
        <v>10</v>
      </c>
      <c r="D674" t="s">
        <v>11</v>
      </c>
      <c r="E674" t="s">
        <v>22</v>
      </c>
      <c r="F674" t="s">
        <v>13</v>
      </c>
    </row>
    <row r="675" spans="1:6">
      <c r="A675">
        <v>674</v>
      </c>
      <c r="B675">
        <v>75</v>
      </c>
      <c r="C675" t="s">
        <v>6</v>
      </c>
      <c r="D675" t="s">
        <v>7</v>
      </c>
      <c r="E675" t="s">
        <v>36</v>
      </c>
      <c r="F675" t="s">
        <v>9</v>
      </c>
    </row>
    <row r="676" spans="1:6">
      <c r="A676">
        <v>675</v>
      </c>
      <c r="B676">
        <v>28</v>
      </c>
      <c r="C676" t="s">
        <v>10</v>
      </c>
      <c r="D676" t="s">
        <v>15</v>
      </c>
      <c r="E676" t="s">
        <v>18</v>
      </c>
      <c r="F676" t="s">
        <v>13</v>
      </c>
    </row>
    <row r="677" spans="1:6">
      <c r="A677">
        <v>676</v>
      </c>
      <c r="B677">
        <v>62</v>
      </c>
      <c r="C677" t="s">
        <v>6</v>
      </c>
      <c r="D677" t="s">
        <v>7</v>
      </c>
      <c r="E677" t="s">
        <v>16</v>
      </c>
      <c r="F677" t="s">
        <v>9</v>
      </c>
    </row>
    <row r="678" spans="1:6">
      <c r="A678">
        <v>677</v>
      </c>
      <c r="B678">
        <v>47</v>
      </c>
      <c r="C678" t="s">
        <v>10</v>
      </c>
      <c r="D678" t="s">
        <v>17</v>
      </c>
      <c r="E678" t="s">
        <v>14</v>
      </c>
      <c r="F678" t="s">
        <v>13</v>
      </c>
    </row>
    <row r="679" spans="1:6">
      <c r="A679">
        <v>678</v>
      </c>
      <c r="B679">
        <v>34</v>
      </c>
      <c r="C679" t="s">
        <v>6</v>
      </c>
      <c r="D679" t="s">
        <v>7</v>
      </c>
      <c r="E679" t="s">
        <v>20</v>
      </c>
      <c r="F679" t="s">
        <v>13</v>
      </c>
    </row>
    <row r="680" spans="1:6">
      <c r="A680">
        <v>679</v>
      </c>
      <c r="B680">
        <v>71</v>
      </c>
      <c r="C680" t="s">
        <v>10</v>
      </c>
      <c r="D680" t="s">
        <v>7</v>
      </c>
      <c r="E680" t="s">
        <v>8</v>
      </c>
      <c r="F680" t="s">
        <v>9</v>
      </c>
    </row>
    <row r="681" spans="1:6">
      <c r="A681">
        <v>680</v>
      </c>
      <c r="B681">
        <v>30</v>
      </c>
      <c r="C681" t="s">
        <v>6</v>
      </c>
      <c r="D681" t="s">
        <v>15</v>
      </c>
      <c r="E681" t="s">
        <v>24</v>
      </c>
      <c r="F681" t="s">
        <v>13</v>
      </c>
    </row>
    <row r="682" spans="1:6">
      <c r="A682">
        <v>681</v>
      </c>
      <c r="B682">
        <v>64</v>
      </c>
      <c r="C682" t="s">
        <v>10</v>
      </c>
      <c r="D682" t="s">
        <v>7</v>
      </c>
      <c r="E682" t="s">
        <v>35</v>
      </c>
      <c r="F682" t="s">
        <v>9</v>
      </c>
    </row>
    <row r="683" spans="1:6">
      <c r="A683">
        <v>682</v>
      </c>
      <c r="B683">
        <v>42</v>
      </c>
      <c r="C683" t="s">
        <v>6</v>
      </c>
      <c r="D683" t="s">
        <v>17</v>
      </c>
      <c r="E683" t="s">
        <v>22</v>
      </c>
      <c r="F683" t="s">
        <v>13</v>
      </c>
    </row>
    <row r="684" spans="1:6">
      <c r="A684">
        <v>683</v>
      </c>
      <c r="B684">
        <v>58</v>
      </c>
      <c r="C684" t="s">
        <v>10</v>
      </c>
      <c r="D684" t="s">
        <v>7</v>
      </c>
      <c r="E684" t="s">
        <v>32</v>
      </c>
      <c r="F684" t="s">
        <v>9</v>
      </c>
    </row>
    <row r="685" spans="1:6">
      <c r="A685">
        <v>684</v>
      </c>
      <c r="B685">
        <v>37</v>
      </c>
      <c r="C685" t="s">
        <v>6</v>
      </c>
      <c r="D685" t="s">
        <v>15</v>
      </c>
      <c r="E685" t="s">
        <v>27</v>
      </c>
      <c r="F685" t="s">
        <v>13</v>
      </c>
    </row>
    <row r="686" spans="1:6">
      <c r="A686">
        <v>685</v>
      </c>
      <c r="B686">
        <v>76</v>
      </c>
      <c r="C686" t="s">
        <v>10</v>
      </c>
      <c r="D686" t="s">
        <v>7</v>
      </c>
      <c r="E686" t="s">
        <v>16</v>
      </c>
      <c r="F686" t="s">
        <v>9</v>
      </c>
    </row>
    <row r="687" spans="1:6">
      <c r="A687">
        <v>686</v>
      </c>
      <c r="B687">
        <v>33</v>
      </c>
      <c r="C687" t="s">
        <v>6</v>
      </c>
      <c r="D687" t="s">
        <v>21</v>
      </c>
      <c r="E687" t="s">
        <v>30</v>
      </c>
      <c r="F687" t="s">
        <v>13</v>
      </c>
    </row>
    <row r="688" spans="1:6">
      <c r="A688">
        <v>687</v>
      </c>
      <c r="B688">
        <v>55</v>
      </c>
      <c r="C688" t="s">
        <v>10</v>
      </c>
      <c r="D688" t="s">
        <v>7</v>
      </c>
      <c r="E688" t="s">
        <v>31</v>
      </c>
      <c r="F688" t="s">
        <v>9</v>
      </c>
    </row>
    <row r="689" spans="1:6">
      <c r="A689">
        <v>688</v>
      </c>
      <c r="B689">
        <v>41</v>
      </c>
      <c r="C689" t="s">
        <v>6</v>
      </c>
      <c r="D689" t="s">
        <v>15</v>
      </c>
      <c r="E689" t="s">
        <v>28</v>
      </c>
      <c r="F689" t="s">
        <v>13</v>
      </c>
    </row>
    <row r="690" spans="1:6">
      <c r="A690">
        <v>689</v>
      </c>
      <c r="B690">
        <v>68</v>
      </c>
      <c r="C690" t="s">
        <v>10</v>
      </c>
      <c r="D690" t="s">
        <v>7</v>
      </c>
      <c r="E690" t="s">
        <v>36</v>
      </c>
      <c r="F690" t="s">
        <v>9</v>
      </c>
    </row>
    <row r="691" spans="1:6">
      <c r="A691">
        <v>690</v>
      </c>
      <c r="B691">
        <v>29</v>
      </c>
      <c r="C691" t="s">
        <v>6</v>
      </c>
      <c r="D691" t="s">
        <v>17</v>
      </c>
      <c r="E691" t="s">
        <v>33</v>
      </c>
      <c r="F691" t="s">
        <v>13</v>
      </c>
    </row>
    <row r="692" spans="1:6">
      <c r="A692">
        <v>691</v>
      </c>
      <c r="B692">
        <v>63</v>
      </c>
      <c r="C692" t="s">
        <v>10</v>
      </c>
      <c r="D692" t="s">
        <v>7</v>
      </c>
      <c r="E692" t="s">
        <v>22</v>
      </c>
      <c r="F692" t="s">
        <v>9</v>
      </c>
    </row>
    <row r="693" spans="1:6">
      <c r="A693">
        <v>692</v>
      </c>
      <c r="B693">
        <v>46</v>
      </c>
      <c r="C693" t="s">
        <v>6</v>
      </c>
      <c r="D693" t="s">
        <v>15</v>
      </c>
      <c r="E693" t="s">
        <v>34</v>
      </c>
      <c r="F693" t="s">
        <v>13</v>
      </c>
    </row>
    <row r="694" spans="1:6">
      <c r="A694">
        <v>693</v>
      </c>
      <c r="B694">
        <v>27</v>
      </c>
      <c r="C694" t="s">
        <v>10</v>
      </c>
      <c r="D694" t="s">
        <v>19</v>
      </c>
      <c r="E694" t="s">
        <v>18</v>
      </c>
      <c r="F694" t="s">
        <v>13</v>
      </c>
    </row>
    <row r="695" spans="1:6">
      <c r="A695">
        <v>694</v>
      </c>
      <c r="B695">
        <v>74</v>
      </c>
      <c r="C695" t="s">
        <v>6</v>
      </c>
      <c r="D695" t="s">
        <v>7</v>
      </c>
      <c r="E695" t="s">
        <v>16</v>
      </c>
      <c r="F695" t="s">
        <v>9</v>
      </c>
    </row>
    <row r="696" spans="1:6">
      <c r="A696">
        <v>695</v>
      </c>
      <c r="B696">
        <v>35</v>
      </c>
      <c r="C696" t="s">
        <v>10</v>
      </c>
      <c r="D696" t="s">
        <v>11</v>
      </c>
      <c r="E696" t="s">
        <v>14</v>
      </c>
      <c r="F696" t="s">
        <v>13</v>
      </c>
    </row>
    <row r="697" spans="1:6">
      <c r="A697">
        <v>696</v>
      </c>
      <c r="B697">
        <v>59</v>
      </c>
      <c r="C697" t="s">
        <v>6</v>
      </c>
      <c r="D697" t="s">
        <v>7</v>
      </c>
      <c r="E697" t="s">
        <v>20</v>
      </c>
      <c r="F697" t="s">
        <v>9</v>
      </c>
    </row>
    <row r="698" spans="1:6">
      <c r="A698">
        <v>697</v>
      </c>
      <c r="B698">
        <v>38</v>
      </c>
      <c r="C698" t="s">
        <v>10</v>
      </c>
      <c r="D698" t="s">
        <v>15</v>
      </c>
      <c r="E698" t="s">
        <v>8</v>
      </c>
      <c r="F698" t="s">
        <v>13</v>
      </c>
    </row>
    <row r="699" spans="1:6">
      <c r="A699">
        <v>698</v>
      </c>
      <c r="B699">
        <v>70</v>
      </c>
      <c r="C699" t="s">
        <v>6</v>
      </c>
      <c r="D699" t="s">
        <v>7</v>
      </c>
      <c r="E699" t="s">
        <v>24</v>
      </c>
      <c r="F699" t="s">
        <v>9</v>
      </c>
    </row>
    <row r="700" spans="1:6">
      <c r="A700">
        <v>699</v>
      </c>
      <c r="B700">
        <v>31</v>
      </c>
      <c r="C700" t="s">
        <v>10</v>
      </c>
      <c r="D700" t="s">
        <v>17</v>
      </c>
      <c r="E700" t="s">
        <v>26</v>
      </c>
      <c r="F700" t="s">
        <v>13</v>
      </c>
    </row>
    <row r="701" spans="1:6">
      <c r="A701">
        <v>700</v>
      </c>
      <c r="B701">
        <v>79</v>
      </c>
      <c r="C701" t="s">
        <v>6</v>
      </c>
      <c r="D701" t="s">
        <v>7</v>
      </c>
      <c r="E701" t="s">
        <v>28</v>
      </c>
      <c r="F701" t="s">
        <v>9</v>
      </c>
    </row>
    <row r="702" spans="1:6">
      <c r="A702">
        <v>701</v>
      </c>
      <c r="B702">
        <v>52</v>
      </c>
      <c r="C702" t="s">
        <v>10</v>
      </c>
      <c r="D702" t="s">
        <v>7</v>
      </c>
      <c r="E702" t="s">
        <v>8</v>
      </c>
      <c r="F702" t="s">
        <v>9</v>
      </c>
    </row>
    <row r="703" spans="1:6">
      <c r="A703">
        <v>702</v>
      </c>
      <c r="B703">
        <v>36</v>
      </c>
      <c r="C703" t="s">
        <v>6</v>
      </c>
      <c r="D703" t="s">
        <v>15</v>
      </c>
      <c r="E703" t="s">
        <v>24</v>
      </c>
      <c r="F703" t="s">
        <v>13</v>
      </c>
    </row>
    <row r="704" spans="1:6">
      <c r="A704">
        <v>703</v>
      </c>
      <c r="B704">
        <v>74</v>
      </c>
      <c r="C704" t="s">
        <v>10</v>
      </c>
      <c r="D704" t="s">
        <v>7</v>
      </c>
      <c r="E704" t="s">
        <v>26</v>
      </c>
      <c r="F704" t="s">
        <v>9</v>
      </c>
    </row>
    <row r="705" spans="1:6">
      <c r="A705">
        <v>704</v>
      </c>
      <c r="B705">
        <v>29</v>
      </c>
      <c r="C705" t="s">
        <v>6</v>
      </c>
      <c r="D705" t="s">
        <v>11</v>
      </c>
      <c r="E705" t="s">
        <v>22</v>
      </c>
      <c r="F705" t="s">
        <v>13</v>
      </c>
    </row>
    <row r="706" spans="1:6">
      <c r="A706">
        <v>705</v>
      </c>
      <c r="B706">
        <v>63</v>
      </c>
      <c r="C706" t="s">
        <v>10</v>
      </c>
      <c r="D706" t="s">
        <v>17</v>
      </c>
      <c r="E706" t="s">
        <v>34</v>
      </c>
      <c r="F706" t="s">
        <v>9</v>
      </c>
    </row>
    <row r="707" spans="1:6">
      <c r="A707">
        <v>706</v>
      </c>
      <c r="B707">
        <v>45</v>
      </c>
      <c r="C707" t="s">
        <v>6</v>
      </c>
      <c r="D707" t="s">
        <v>7</v>
      </c>
      <c r="E707" t="s">
        <v>20</v>
      </c>
      <c r="F707" t="s">
        <v>13</v>
      </c>
    </row>
    <row r="708" spans="1:6">
      <c r="A708">
        <v>707</v>
      </c>
      <c r="B708">
        <v>58</v>
      </c>
      <c r="C708" t="s">
        <v>10</v>
      </c>
      <c r="D708" t="s">
        <v>15</v>
      </c>
      <c r="E708" t="s">
        <v>16</v>
      </c>
      <c r="F708" t="s">
        <v>9</v>
      </c>
    </row>
    <row r="709" spans="1:6">
      <c r="A709">
        <v>708</v>
      </c>
      <c r="B709">
        <v>33</v>
      </c>
      <c r="C709" t="s">
        <v>6</v>
      </c>
      <c r="D709" t="s">
        <v>19</v>
      </c>
      <c r="E709" t="s">
        <v>30</v>
      </c>
      <c r="F709" t="s">
        <v>13</v>
      </c>
    </row>
    <row r="710" spans="1:6">
      <c r="A710">
        <v>709</v>
      </c>
      <c r="B710">
        <v>71</v>
      </c>
      <c r="C710" t="s">
        <v>10</v>
      </c>
      <c r="D710" t="s">
        <v>7</v>
      </c>
      <c r="E710" t="s">
        <v>18</v>
      </c>
      <c r="F710" t="s">
        <v>9</v>
      </c>
    </row>
    <row r="711" spans="1:6">
      <c r="A711">
        <v>710</v>
      </c>
      <c r="B711">
        <v>27</v>
      </c>
      <c r="C711" t="s">
        <v>6</v>
      </c>
      <c r="D711" t="s">
        <v>21</v>
      </c>
      <c r="E711" t="s">
        <v>28</v>
      </c>
      <c r="F711" t="s">
        <v>13</v>
      </c>
    </row>
    <row r="712" spans="1:6">
      <c r="A712">
        <v>711</v>
      </c>
      <c r="B712">
        <v>54</v>
      </c>
      <c r="C712" t="s">
        <v>10</v>
      </c>
      <c r="D712" t="s">
        <v>7</v>
      </c>
      <c r="E712" t="s">
        <v>32</v>
      </c>
      <c r="F712" t="s">
        <v>9</v>
      </c>
    </row>
    <row r="713" spans="1:6">
      <c r="A713">
        <v>712</v>
      </c>
      <c r="B713">
        <v>39</v>
      </c>
      <c r="C713" t="s">
        <v>6</v>
      </c>
      <c r="D713" t="s">
        <v>15</v>
      </c>
      <c r="E713" t="s">
        <v>27</v>
      </c>
      <c r="F713" t="s">
        <v>13</v>
      </c>
    </row>
    <row r="714" spans="1:6">
      <c r="A714">
        <v>713</v>
      </c>
      <c r="B714">
        <v>66</v>
      </c>
      <c r="C714" t="s">
        <v>10</v>
      </c>
      <c r="D714" t="s">
        <v>7</v>
      </c>
      <c r="E714" t="s">
        <v>22</v>
      </c>
      <c r="F714" t="s">
        <v>9</v>
      </c>
    </row>
    <row r="715" spans="1:6">
      <c r="A715">
        <v>714</v>
      </c>
      <c r="B715">
        <v>31</v>
      </c>
      <c r="C715" t="s">
        <v>6</v>
      </c>
      <c r="D715" t="s">
        <v>17</v>
      </c>
      <c r="E715" t="s">
        <v>36</v>
      </c>
      <c r="F715" t="s">
        <v>13</v>
      </c>
    </row>
    <row r="716" spans="1:6">
      <c r="A716">
        <v>715</v>
      </c>
      <c r="B716">
        <v>78</v>
      </c>
      <c r="C716" t="s">
        <v>10</v>
      </c>
      <c r="D716" t="s">
        <v>7</v>
      </c>
      <c r="E716" t="s">
        <v>31</v>
      </c>
      <c r="F716" t="s">
        <v>9</v>
      </c>
    </row>
    <row r="717" spans="1:6">
      <c r="A717">
        <v>716</v>
      </c>
      <c r="B717">
        <v>42</v>
      </c>
      <c r="C717" t="s">
        <v>6</v>
      </c>
      <c r="D717" t="s">
        <v>11</v>
      </c>
      <c r="E717" t="s">
        <v>8</v>
      </c>
      <c r="F717" t="s">
        <v>13</v>
      </c>
    </row>
    <row r="718" spans="1:6">
      <c r="A718">
        <v>717</v>
      </c>
      <c r="B718">
        <v>57</v>
      </c>
      <c r="C718" t="s">
        <v>10</v>
      </c>
      <c r="D718" t="s">
        <v>7</v>
      </c>
      <c r="E718" t="s">
        <v>24</v>
      </c>
      <c r="F718" t="s">
        <v>9</v>
      </c>
    </row>
    <row r="719" spans="1:6">
      <c r="A719">
        <v>718</v>
      </c>
      <c r="B719">
        <v>36</v>
      </c>
      <c r="C719" t="s">
        <v>6</v>
      </c>
      <c r="D719" t="s">
        <v>15</v>
      </c>
      <c r="E719" t="s">
        <v>33</v>
      </c>
      <c r="F719" t="s">
        <v>13</v>
      </c>
    </row>
    <row r="720" spans="1:6">
      <c r="A720">
        <v>719</v>
      </c>
      <c r="B720">
        <v>69</v>
      </c>
      <c r="C720" t="s">
        <v>10</v>
      </c>
      <c r="D720" t="s">
        <v>7</v>
      </c>
      <c r="E720" t="s">
        <v>16</v>
      </c>
      <c r="F720" t="s">
        <v>9</v>
      </c>
    </row>
    <row r="721" spans="1:6">
      <c r="A721">
        <v>720</v>
      </c>
      <c r="B721">
        <v>25</v>
      </c>
      <c r="C721" t="s">
        <v>6</v>
      </c>
      <c r="D721" t="s">
        <v>19</v>
      </c>
      <c r="E721" t="s">
        <v>14</v>
      </c>
      <c r="F721" t="s">
        <v>13</v>
      </c>
    </row>
    <row r="722" spans="1:6">
      <c r="A722">
        <v>721</v>
      </c>
      <c r="B722">
        <v>62</v>
      </c>
      <c r="C722" t="s">
        <v>10</v>
      </c>
      <c r="D722" t="s">
        <v>17</v>
      </c>
      <c r="E722" t="s">
        <v>35</v>
      </c>
      <c r="F722" t="s">
        <v>9</v>
      </c>
    </row>
    <row r="723" spans="1:6">
      <c r="A723">
        <v>722</v>
      </c>
      <c r="B723">
        <v>48</v>
      </c>
      <c r="C723" t="s">
        <v>6</v>
      </c>
      <c r="D723" t="s">
        <v>7</v>
      </c>
      <c r="E723" t="s">
        <v>22</v>
      </c>
      <c r="F723" t="s">
        <v>13</v>
      </c>
    </row>
    <row r="724" spans="1:6">
      <c r="A724">
        <v>723</v>
      </c>
      <c r="B724">
        <v>30</v>
      </c>
      <c r="C724" t="s">
        <v>10</v>
      </c>
      <c r="D724" t="s">
        <v>15</v>
      </c>
      <c r="E724" t="s">
        <v>30</v>
      </c>
      <c r="F724" t="s">
        <v>13</v>
      </c>
    </row>
    <row r="725" spans="1:6">
      <c r="A725">
        <v>724</v>
      </c>
      <c r="B725">
        <v>75</v>
      </c>
      <c r="C725" t="s">
        <v>6</v>
      </c>
      <c r="D725" t="s">
        <v>7</v>
      </c>
      <c r="E725" t="s">
        <v>20</v>
      </c>
      <c r="F725" t="s">
        <v>9</v>
      </c>
    </row>
    <row r="726" spans="1:6">
      <c r="A726">
        <v>725</v>
      </c>
      <c r="B726">
        <v>41</v>
      </c>
      <c r="C726" t="s">
        <v>10</v>
      </c>
      <c r="D726" t="s">
        <v>21</v>
      </c>
      <c r="E726" t="s">
        <v>28</v>
      </c>
      <c r="F726" t="s">
        <v>13</v>
      </c>
    </row>
    <row r="727" spans="1:6">
      <c r="A727">
        <v>726</v>
      </c>
      <c r="B727">
        <v>59</v>
      </c>
      <c r="C727" t="s">
        <v>6</v>
      </c>
      <c r="D727" t="s">
        <v>7</v>
      </c>
      <c r="E727" t="s">
        <v>32</v>
      </c>
      <c r="F727" t="s">
        <v>9</v>
      </c>
    </row>
    <row r="728" spans="1:6">
      <c r="A728">
        <v>727</v>
      </c>
      <c r="B728">
        <v>38</v>
      </c>
      <c r="C728" t="s">
        <v>10</v>
      </c>
      <c r="D728" t="s">
        <v>15</v>
      </c>
      <c r="E728" t="s">
        <v>18</v>
      </c>
      <c r="F728" t="s">
        <v>13</v>
      </c>
    </row>
    <row r="729" spans="1:6">
      <c r="A729">
        <v>728</v>
      </c>
      <c r="B729">
        <v>73</v>
      </c>
      <c r="C729" t="s">
        <v>6</v>
      </c>
      <c r="D729" t="s">
        <v>7</v>
      </c>
      <c r="E729" t="s">
        <v>16</v>
      </c>
      <c r="F729" t="s">
        <v>9</v>
      </c>
    </row>
    <row r="730" spans="1:6">
      <c r="A730">
        <v>729</v>
      </c>
      <c r="B730">
        <v>28</v>
      </c>
      <c r="C730" t="s">
        <v>10</v>
      </c>
      <c r="D730" t="s">
        <v>17</v>
      </c>
      <c r="E730" t="s">
        <v>36</v>
      </c>
      <c r="F730" t="s">
        <v>13</v>
      </c>
    </row>
    <row r="731" spans="1:6">
      <c r="A731">
        <v>730</v>
      </c>
      <c r="B731">
        <v>64</v>
      </c>
      <c r="C731" t="s">
        <v>6</v>
      </c>
      <c r="D731" t="s">
        <v>7</v>
      </c>
      <c r="E731" t="s">
        <v>27</v>
      </c>
      <c r="F731" t="s">
        <v>9</v>
      </c>
    </row>
    <row r="732" spans="1:6">
      <c r="A732">
        <v>731</v>
      </c>
      <c r="B732">
        <v>47</v>
      </c>
      <c r="C732" t="s">
        <v>10</v>
      </c>
      <c r="D732" t="s">
        <v>15</v>
      </c>
      <c r="E732" t="s">
        <v>8</v>
      </c>
      <c r="F732" t="s">
        <v>13</v>
      </c>
    </row>
    <row r="733" spans="1:6">
      <c r="A733">
        <v>732</v>
      </c>
      <c r="B733">
        <v>26</v>
      </c>
      <c r="C733" t="s">
        <v>6</v>
      </c>
      <c r="D733" t="s">
        <v>19</v>
      </c>
      <c r="E733" t="s">
        <v>24</v>
      </c>
      <c r="F733" t="s">
        <v>13</v>
      </c>
    </row>
    <row r="734" spans="1:6">
      <c r="A734">
        <v>733</v>
      </c>
      <c r="B734">
        <v>70</v>
      </c>
      <c r="C734" t="s">
        <v>10</v>
      </c>
      <c r="D734" t="s">
        <v>7</v>
      </c>
      <c r="E734" t="s">
        <v>31</v>
      </c>
      <c r="F734" t="s">
        <v>9</v>
      </c>
    </row>
    <row r="735" spans="1:6">
      <c r="A735">
        <v>734</v>
      </c>
      <c r="B735">
        <v>35</v>
      </c>
      <c r="C735" t="s">
        <v>6</v>
      </c>
      <c r="D735" t="s">
        <v>11</v>
      </c>
      <c r="E735" t="s">
        <v>22</v>
      </c>
      <c r="F735" t="s">
        <v>13</v>
      </c>
    </row>
    <row r="736" spans="1:6">
      <c r="A736">
        <v>735</v>
      </c>
      <c r="B736">
        <v>61</v>
      </c>
      <c r="C736" t="s">
        <v>10</v>
      </c>
      <c r="D736" t="s">
        <v>7</v>
      </c>
      <c r="E736" t="s">
        <v>34</v>
      </c>
      <c r="F736" t="s">
        <v>9</v>
      </c>
    </row>
    <row r="737" spans="1:6">
      <c r="A737">
        <v>736</v>
      </c>
      <c r="B737">
        <v>44</v>
      </c>
      <c r="C737" t="s">
        <v>6</v>
      </c>
      <c r="D737" t="s">
        <v>15</v>
      </c>
      <c r="E737" t="s">
        <v>33</v>
      </c>
      <c r="F737" t="s">
        <v>13</v>
      </c>
    </row>
    <row r="738" spans="1:6">
      <c r="A738">
        <v>737</v>
      </c>
      <c r="B738">
        <v>79</v>
      </c>
      <c r="C738" t="s">
        <v>10</v>
      </c>
      <c r="D738" t="s">
        <v>7</v>
      </c>
      <c r="E738" t="s">
        <v>16</v>
      </c>
      <c r="F738" t="s">
        <v>9</v>
      </c>
    </row>
    <row r="739" spans="1:6">
      <c r="A739">
        <v>738</v>
      </c>
      <c r="B739">
        <v>32</v>
      </c>
      <c r="C739" t="s">
        <v>6</v>
      </c>
      <c r="D739" t="s">
        <v>17</v>
      </c>
      <c r="E739" t="s">
        <v>30</v>
      </c>
      <c r="F739" t="s">
        <v>13</v>
      </c>
    </row>
    <row r="740" spans="1:6">
      <c r="A740">
        <v>739</v>
      </c>
      <c r="B740">
        <v>56</v>
      </c>
      <c r="C740" t="s">
        <v>10</v>
      </c>
      <c r="D740" t="s">
        <v>7</v>
      </c>
      <c r="E740" t="s">
        <v>18</v>
      </c>
      <c r="F740" t="s">
        <v>9</v>
      </c>
    </row>
    <row r="741" spans="1:6">
      <c r="A741">
        <v>740</v>
      </c>
      <c r="B741">
        <v>40</v>
      </c>
      <c r="C741" t="s">
        <v>6</v>
      </c>
      <c r="D741" t="s">
        <v>15</v>
      </c>
      <c r="E741" t="s">
        <v>28</v>
      </c>
      <c r="F741" t="s">
        <v>13</v>
      </c>
    </row>
    <row r="742" spans="1:6">
      <c r="A742">
        <v>741</v>
      </c>
      <c r="B742">
        <v>68</v>
      </c>
      <c r="C742" t="s">
        <v>10</v>
      </c>
      <c r="D742" t="s">
        <v>7</v>
      </c>
      <c r="E742" t="s">
        <v>36</v>
      </c>
      <c r="F742" t="s">
        <v>9</v>
      </c>
    </row>
    <row r="743" spans="1:6">
      <c r="A743">
        <v>742</v>
      </c>
      <c r="B743">
        <v>29</v>
      </c>
      <c r="C743" t="s">
        <v>6</v>
      </c>
      <c r="D743" t="s">
        <v>21</v>
      </c>
      <c r="E743" t="s">
        <v>20</v>
      </c>
      <c r="F743" t="s">
        <v>13</v>
      </c>
    </row>
    <row r="744" spans="1:6">
      <c r="A744">
        <v>743</v>
      </c>
      <c r="B744">
        <v>53</v>
      </c>
      <c r="C744" t="s">
        <v>10</v>
      </c>
      <c r="D744" t="s">
        <v>7</v>
      </c>
      <c r="E744" t="s">
        <v>22</v>
      </c>
      <c r="F744" t="s">
        <v>9</v>
      </c>
    </row>
    <row r="745" spans="1:6">
      <c r="A745">
        <v>744</v>
      </c>
      <c r="B745">
        <v>37</v>
      </c>
      <c r="C745" t="s">
        <v>6</v>
      </c>
      <c r="D745" t="s">
        <v>15</v>
      </c>
      <c r="E745" t="s">
        <v>14</v>
      </c>
      <c r="F745" t="s">
        <v>13</v>
      </c>
    </row>
    <row r="746" spans="1:6">
      <c r="A746">
        <v>745</v>
      </c>
      <c r="B746">
        <v>74</v>
      </c>
      <c r="C746" t="s">
        <v>10</v>
      </c>
      <c r="D746" t="s">
        <v>7</v>
      </c>
      <c r="E746" t="s">
        <v>35</v>
      </c>
      <c r="F746" t="s">
        <v>9</v>
      </c>
    </row>
    <row r="747" spans="1:6">
      <c r="A747">
        <v>746</v>
      </c>
      <c r="B747">
        <v>33</v>
      </c>
      <c r="C747" t="s">
        <v>6</v>
      </c>
      <c r="D747" t="s">
        <v>17</v>
      </c>
      <c r="E747" t="s">
        <v>8</v>
      </c>
      <c r="F747" t="s">
        <v>13</v>
      </c>
    </row>
    <row r="748" spans="1:6">
      <c r="A748">
        <v>747</v>
      </c>
      <c r="B748">
        <v>58</v>
      </c>
      <c r="C748" t="s">
        <v>10</v>
      </c>
      <c r="D748" t="s">
        <v>7</v>
      </c>
      <c r="E748" t="s">
        <v>24</v>
      </c>
      <c r="F748" t="s">
        <v>9</v>
      </c>
    </row>
    <row r="749" spans="1:6">
      <c r="A749">
        <v>748</v>
      </c>
      <c r="B749">
        <v>41</v>
      </c>
      <c r="C749" t="s">
        <v>6</v>
      </c>
      <c r="D749" t="s">
        <v>15</v>
      </c>
      <c r="E749" t="s">
        <v>27</v>
      </c>
      <c r="F749" t="s">
        <v>13</v>
      </c>
    </row>
    <row r="750" spans="1:6">
      <c r="A750">
        <v>749</v>
      </c>
      <c r="B750">
        <v>72</v>
      </c>
      <c r="C750" t="s">
        <v>10</v>
      </c>
      <c r="D750" t="s">
        <v>7</v>
      </c>
      <c r="E750" t="s">
        <v>16</v>
      </c>
      <c r="F750" t="s">
        <v>9</v>
      </c>
    </row>
    <row r="751" spans="1:6">
      <c r="A751">
        <v>750</v>
      </c>
      <c r="B751">
        <v>30</v>
      </c>
      <c r="C751" t="s">
        <v>6</v>
      </c>
      <c r="D751" t="s">
        <v>19</v>
      </c>
      <c r="E751" t="s">
        <v>32</v>
      </c>
      <c r="F751" t="s">
        <v>13</v>
      </c>
    </row>
    <row r="752" spans="1:6">
      <c r="A752">
        <v>751</v>
      </c>
      <c r="B752">
        <v>63</v>
      </c>
      <c r="C752" t="s">
        <v>10</v>
      </c>
      <c r="D752" t="s">
        <v>17</v>
      </c>
      <c r="E752" t="s">
        <v>31</v>
      </c>
      <c r="F752" t="s">
        <v>9</v>
      </c>
    </row>
    <row r="753" spans="1:6">
      <c r="A753">
        <v>752</v>
      </c>
      <c r="B753">
        <v>46</v>
      </c>
      <c r="C753" t="s">
        <v>6</v>
      </c>
      <c r="D753" t="s">
        <v>7</v>
      </c>
      <c r="E753" t="s">
        <v>28</v>
      </c>
      <c r="F753" t="s">
        <v>13</v>
      </c>
    </row>
    <row r="754" spans="1:6">
      <c r="A754">
        <v>753</v>
      </c>
      <c r="B754">
        <v>27</v>
      </c>
      <c r="C754" t="s">
        <v>10</v>
      </c>
      <c r="D754" t="s">
        <v>15</v>
      </c>
      <c r="E754" t="s">
        <v>30</v>
      </c>
      <c r="F754" t="s">
        <v>13</v>
      </c>
    </row>
    <row r="755" spans="1:6">
      <c r="A755">
        <v>754</v>
      </c>
      <c r="B755">
        <v>77</v>
      </c>
      <c r="C755" t="s">
        <v>6</v>
      </c>
      <c r="D755" t="s">
        <v>7</v>
      </c>
      <c r="E755" t="s">
        <v>33</v>
      </c>
      <c r="F755" t="s">
        <v>9</v>
      </c>
    </row>
    <row r="756" spans="1:6">
      <c r="A756">
        <v>755</v>
      </c>
      <c r="B756">
        <v>39</v>
      </c>
      <c r="C756" t="s">
        <v>10</v>
      </c>
      <c r="D756" t="s">
        <v>11</v>
      </c>
      <c r="E756" t="s">
        <v>22</v>
      </c>
      <c r="F756" t="s">
        <v>13</v>
      </c>
    </row>
    <row r="757" spans="1:6">
      <c r="A757">
        <v>756</v>
      </c>
      <c r="B757">
        <v>55</v>
      </c>
      <c r="C757" t="s">
        <v>6</v>
      </c>
      <c r="D757" t="s">
        <v>7</v>
      </c>
      <c r="E757" t="s">
        <v>34</v>
      </c>
      <c r="F757" t="s">
        <v>9</v>
      </c>
    </row>
    <row r="758" spans="1:6">
      <c r="A758">
        <v>757</v>
      </c>
      <c r="B758">
        <v>34</v>
      </c>
      <c r="C758" t="s">
        <v>10</v>
      </c>
      <c r="D758" t="s">
        <v>15</v>
      </c>
      <c r="E758" t="s">
        <v>18</v>
      </c>
      <c r="F758" t="s">
        <v>13</v>
      </c>
    </row>
    <row r="759" spans="1:6">
      <c r="A759">
        <v>758</v>
      </c>
      <c r="B759">
        <v>69</v>
      </c>
      <c r="C759" t="s">
        <v>6</v>
      </c>
      <c r="D759" t="s">
        <v>7</v>
      </c>
      <c r="E759" t="s">
        <v>16</v>
      </c>
      <c r="F759" t="s">
        <v>9</v>
      </c>
    </row>
    <row r="760" spans="1:6">
      <c r="A760">
        <v>759</v>
      </c>
      <c r="B760">
        <v>31</v>
      </c>
      <c r="C760" t="s">
        <v>10</v>
      </c>
      <c r="D760" t="s">
        <v>17</v>
      </c>
      <c r="E760" t="s">
        <v>36</v>
      </c>
      <c r="F760" t="s">
        <v>13</v>
      </c>
    </row>
    <row r="761" spans="1:6">
      <c r="A761">
        <v>760</v>
      </c>
      <c r="B761">
        <v>80</v>
      </c>
      <c r="C761" t="s">
        <v>6</v>
      </c>
      <c r="D761" t="s">
        <v>7</v>
      </c>
      <c r="E761" t="s">
        <v>20</v>
      </c>
      <c r="F761" t="s">
        <v>9</v>
      </c>
    </row>
    <row r="762" spans="1:6">
      <c r="A762">
        <v>761</v>
      </c>
      <c r="B762">
        <v>43</v>
      </c>
      <c r="C762" t="s">
        <v>10</v>
      </c>
      <c r="D762" t="s">
        <v>15</v>
      </c>
      <c r="E762" t="s">
        <v>8</v>
      </c>
      <c r="F762" t="s">
        <v>13</v>
      </c>
    </row>
    <row r="763" spans="1:6">
      <c r="A763">
        <v>762</v>
      </c>
      <c r="B763">
        <v>24</v>
      </c>
      <c r="C763" t="s">
        <v>6</v>
      </c>
      <c r="D763" t="s">
        <v>7</v>
      </c>
      <c r="E763" t="s">
        <v>24</v>
      </c>
      <c r="F763" t="s">
        <v>13</v>
      </c>
    </row>
    <row r="764" spans="1:6">
      <c r="A764">
        <v>763</v>
      </c>
      <c r="B764">
        <v>60</v>
      </c>
      <c r="C764" t="s">
        <v>10</v>
      </c>
      <c r="D764" t="s">
        <v>21</v>
      </c>
      <c r="E764" t="s">
        <v>26</v>
      </c>
      <c r="F764" t="s">
        <v>9</v>
      </c>
    </row>
    <row r="765" spans="1:6">
      <c r="A765">
        <v>764</v>
      </c>
      <c r="B765">
        <v>38</v>
      </c>
      <c r="C765" t="s">
        <v>6</v>
      </c>
      <c r="D765" t="s">
        <v>7</v>
      </c>
      <c r="E765" t="s">
        <v>22</v>
      </c>
      <c r="F765" t="s">
        <v>13</v>
      </c>
    </row>
    <row r="766" spans="1:6">
      <c r="A766">
        <v>765</v>
      </c>
      <c r="B766">
        <v>57</v>
      </c>
      <c r="C766" t="s">
        <v>10</v>
      </c>
      <c r="D766" t="s">
        <v>15</v>
      </c>
      <c r="E766" t="s">
        <v>32</v>
      </c>
      <c r="F766" t="s">
        <v>9</v>
      </c>
    </row>
    <row r="767" spans="1:6">
      <c r="A767">
        <v>766</v>
      </c>
      <c r="B767">
        <v>29</v>
      </c>
      <c r="C767" t="s">
        <v>6</v>
      </c>
      <c r="D767" t="s">
        <v>19</v>
      </c>
      <c r="E767" t="s">
        <v>27</v>
      </c>
      <c r="F767" t="s">
        <v>13</v>
      </c>
    </row>
    <row r="768" spans="1:6">
      <c r="A768">
        <v>767</v>
      </c>
      <c r="B768">
        <v>73</v>
      </c>
      <c r="C768" t="s">
        <v>10</v>
      </c>
      <c r="D768" t="s">
        <v>7</v>
      </c>
      <c r="E768" t="s">
        <v>16</v>
      </c>
      <c r="F768" t="s">
        <v>9</v>
      </c>
    </row>
    <row r="769" spans="1:6">
      <c r="A769">
        <v>768</v>
      </c>
      <c r="B769">
        <v>45</v>
      </c>
      <c r="C769" t="s">
        <v>6</v>
      </c>
      <c r="D769" t="s">
        <v>17</v>
      </c>
      <c r="E769" t="s">
        <v>30</v>
      </c>
      <c r="F769" t="s">
        <v>13</v>
      </c>
    </row>
    <row r="770" spans="1:6">
      <c r="A770">
        <v>769</v>
      </c>
      <c r="B770">
        <v>36</v>
      </c>
      <c r="C770" t="s">
        <v>10</v>
      </c>
      <c r="D770" t="s">
        <v>7</v>
      </c>
      <c r="E770" t="s">
        <v>31</v>
      </c>
      <c r="F770" t="s">
        <v>13</v>
      </c>
    </row>
    <row r="771" spans="1:6">
      <c r="A771">
        <v>770</v>
      </c>
      <c r="B771">
        <v>67</v>
      </c>
      <c r="C771" t="s">
        <v>6</v>
      </c>
      <c r="D771" t="s">
        <v>7</v>
      </c>
      <c r="E771" t="s">
        <v>28</v>
      </c>
      <c r="F771" t="s">
        <v>9</v>
      </c>
    </row>
    <row r="772" spans="1:6">
      <c r="A772">
        <v>771</v>
      </c>
      <c r="B772">
        <v>32</v>
      </c>
      <c r="C772" t="s">
        <v>10</v>
      </c>
      <c r="D772" t="s">
        <v>15</v>
      </c>
      <c r="E772" t="s">
        <v>34</v>
      </c>
      <c r="F772" t="s">
        <v>13</v>
      </c>
    </row>
    <row r="773" spans="1:6">
      <c r="A773">
        <v>772</v>
      </c>
      <c r="B773">
        <v>59</v>
      </c>
      <c r="C773" t="s">
        <v>6</v>
      </c>
      <c r="D773" t="s">
        <v>7</v>
      </c>
      <c r="E773" t="s">
        <v>33</v>
      </c>
      <c r="F773" t="s">
        <v>9</v>
      </c>
    </row>
    <row r="774" spans="1:6">
      <c r="A774">
        <v>773</v>
      </c>
      <c r="B774">
        <v>40</v>
      </c>
      <c r="C774" t="s">
        <v>10</v>
      </c>
      <c r="D774" t="s">
        <v>11</v>
      </c>
      <c r="E774" t="s">
        <v>22</v>
      </c>
      <c r="F774" t="s">
        <v>13</v>
      </c>
    </row>
    <row r="775" spans="1:6">
      <c r="A775">
        <v>774</v>
      </c>
      <c r="B775">
        <v>75</v>
      </c>
      <c r="C775" t="s">
        <v>6</v>
      </c>
      <c r="D775" t="s">
        <v>7</v>
      </c>
      <c r="E775" t="s">
        <v>36</v>
      </c>
      <c r="F775" t="s">
        <v>9</v>
      </c>
    </row>
    <row r="776" spans="1:6">
      <c r="A776">
        <v>775</v>
      </c>
      <c r="B776">
        <v>28</v>
      </c>
      <c r="C776" t="s">
        <v>10</v>
      </c>
      <c r="D776" t="s">
        <v>15</v>
      </c>
      <c r="E776" t="s">
        <v>18</v>
      </c>
      <c r="F776" t="s">
        <v>13</v>
      </c>
    </row>
    <row r="777" spans="1:6">
      <c r="A777">
        <v>776</v>
      </c>
      <c r="B777">
        <v>62</v>
      </c>
      <c r="C777" t="s">
        <v>6</v>
      </c>
      <c r="D777" t="s">
        <v>7</v>
      </c>
      <c r="E777" t="s">
        <v>16</v>
      </c>
      <c r="F777" t="s">
        <v>9</v>
      </c>
    </row>
    <row r="778" spans="1:6">
      <c r="A778">
        <v>777</v>
      </c>
      <c r="B778">
        <v>47</v>
      </c>
      <c r="C778" t="s">
        <v>10</v>
      </c>
      <c r="D778" t="s">
        <v>17</v>
      </c>
      <c r="E778" t="s">
        <v>14</v>
      </c>
      <c r="F778" t="s">
        <v>13</v>
      </c>
    </row>
    <row r="779" spans="1:6">
      <c r="A779">
        <v>778</v>
      </c>
      <c r="B779">
        <v>34</v>
      </c>
      <c r="C779" t="s">
        <v>6</v>
      </c>
      <c r="D779" t="s">
        <v>7</v>
      </c>
      <c r="E779" t="s">
        <v>20</v>
      </c>
      <c r="F779" t="s">
        <v>13</v>
      </c>
    </row>
    <row r="780" spans="1:6">
      <c r="A780">
        <v>779</v>
      </c>
      <c r="B780">
        <v>71</v>
      </c>
      <c r="C780" t="s">
        <v>10</v>
      </c>
      <c r="D780" t="s">
        <v>7</v>
      </c>
      <c r="E780" t="s">
        <v>8</v>
      </c>
      <c r="F780" t="s">
        <v>9</v>
      </c>
    </row>
    <row r="781" spans="1:6">
      <c r="A781">
        <v>780</v>
      </c>
      <c r="B781">
        <v>30</v>
      </c>
      <c r="C781" t="s">
        <v>6</v>
      </c>
      <c r="D781" t="s">
        <v>15</v>
      </c>
      <c r="E781" t="s">
        <v>24</v>
      </c>
      <c r="F781" t="s">
        <v>13</v>
      </c>
    </row>
    <row r="782" spans="1:6">
      <c r="A782">
        <v>781</v>
      </c>
      <c r="B782">
        <v>64</v>
      </c>
      <c r="C782" t="s">
        <v>10</v>
      </c>
      <c r="D782" t="s">
        <v>7</v>
      </c>
      <c r="E782" t="s">
        <v>35</v>
      </c>
      <c r="F782" t="s">
        <v>9</v>
      </c>
    </row>
    <row r="783" spans="1:6">
      <c r="A783">
        <v>782</v>
      </c>
      <c r="B783">
        <v>42</v>
      </c>
      <c r="C783" t="s">
        <v>6</v>
      </c>
      <c r="D783" t="s">
        <v>17</v>
      </c>
      <c r="E783" t="s">
        <v>22</v>
      </c>
      <c r="F783" t="s">
        <v>13</v>
      </c>
    </row>
    <row r="784" spans="1:6">
      <c r="A784">
        <v>783</v>
      </c>
      <c r="B784">
        <v>58</v>
      </c>
      <c r="C784" t="s">
        <v>10</v>
      </c>
      <c r="D784" t="s">
        <v>7</v>
      </c>
      <c r="E784" t="s">
        <v>32</v>
      </c>
      <c r="F784" t="s">
        <v>9</v>
      </c>
    </row>
    <row r="785" spans="1:6">
      <c r="A785">
        <v>784</v>
      </c>
      <c r="B785">
        <v>37</v>
      </c>
      <c r="C785" t="s">
        <v>6</v>
      </c>
      <c r="D785" t="s">
        <v>15</v>
      </c>
      <c r="E785" t="s">
        <v>27</v>
      </c>
      <c r="F785" t="s">
        <v>13</v>
      </c>
    </row>
    <row r="786" spans="1:6">
      <c r="A786">
        <v>785</v>
      </c>
      <c r="B786">
        <v>76</v>
      </c>
      <c r="C786" t="s">
        <v>10</v>
      </c>
      <c r="D786" t="s">
        <v>7</v>
      </c>
      <c r="E786" t="s">
        <v>16</v>
      </c>
      <c r="F786" t="s">
        <v>9</v>
      </c>
    </row>
    <row r="787" spans="1:6">
      <c r="A787">
        <v>786</v>
      </c>
      <c r="B787">
        <v>33</v>
      </c>
      <c r="C787" t="s">
        <v>6</v>
      </c>
      <c r="D787" t="s">
        <v>21</v>
      </c>
      <c r="E787" t="s">
        <v>30</v>
      </c>
      <c r="F787" t="s">
        <v>13</v>
      </c>
    </row>
    <row r="788" spans="1:6">
      <c r="A788">
        <v>787</v>
      </c>
      <c r="B788">
        <v>55</v>
      </c>
      <c r="C788" t="s">
        <v>10</v>
      </c>
      <c r="D788" t="s">
        <v>7</v>
      </c>
      <c r="E788" t="s">
        <v>31</v>
      </c>
      <c r="F788" t="s">
        <v>9</v>
      </c>
    </row>
    <row r="789" spans="1:6">
      <c r="A789">
        <v>788</v>
      </c>
      <c r="B789">
        <v>41</v>
      </c>
      <c r="C789" t="s">
        <v>6</v>
      </c>
      <c r="D789" t="s">
        <v>15</v>
      </c>
      <c r="E789" t="s">
        <v>28</v>
      </c>
      <c r="F789" t="s">
        <v>13</v>
      </c>
    </row>
    <row r="790" spans="1:6">
      <c r="A790">
        <v>789</v>
      </c>
      <c r="B790">
        <v>68</v>
      </c>
      <c r="C790" t="s">
        <v>10</v>
      </c>
      <c r="D790" t="s">
        <v>7</v>
      </c>
      <c r="E790" t="s">
        <v>36</v>
      </c>
      <c r="F790" t="s">
        <v>9</v>
      </c>
    </row>
    <row r="791" spans="1:6">
      <c r="A791">
        <v>790</v>
      </c>
      <c r="B791">
        <v>29</v>
      </c>
      <c r="C791" t="s">
        <v>6</v>
      </c>
      <c r="D791" t="s">
        <v>17</v>
      </c>
      <c r="E791" t="s">
        <v>33</v>
      </c>
      <c r="F791" t="s">
        <v>13</v>
      </c>
    </row>
    <row r="792" spans="1:6">
      <c r="A792">
        <v>791</v>
      </c>
      <c r="B792">
        <v>63</v>
      </c>
      <c r="C792" t="s">
        <v>10</v>
      </c>
      <c r="D792" t="s">
        <v>7</v>
      </c>
      <c r="E792" t="s">
        <v>22</v>
      </c>
      <c r="F792" t="s">
        <v>9</v>
      </c>
    </row>
    <row r="793" spans="1:6">
      <c r="A793">
        <v>792</v>
      </c>
      <c r="B793">
        <v>46</v>
      </c>
      <c r="C793" t="s">
        <v>6</v>
      </c>
      <c r="D793" t="s">
        <v>15</v>
      </c>
      <c r="E793" t="s">
        <v>34</v>
      </c>
      <c r="F793" t="s">
        <v>13</v>
      </c>
    </row>
    <row r="794" spans="1:6">
      <c r="A794">
        <v>793</v>
      </c>
      <c r="B794">
        <v>27</v>
      </c>
      <c r="C794" t="s">
        <v>10</v>
      </c>
      <c r="D794" t="s">
        <v>19</v>
      </c>
      <c r="E794" t="s">
        <v>18</v>
      </c>
      <c r="F794" t="s">
        <v>13</v>
      </c>
    </row>
    <row r="795" spans="1:6">
      <c r="A795">
        <v>794</v>
      </c>
      <c r="B795">
        <v>74</v>
      </c>
      <c r="C795" t="s">
        <v>6</v>
      </c>
      <c r="D795" t="s">
        <v>7</v>
      </c>
      <c r="E795" t="s">
        <v>16</v>
      </c>
      <c r="F795" t="s">
        <v>9</v>
      </c>
    </row>
    <row r="796" spans="1:6">
      <c r="A796">
        <v>795</v>
      </c>
      <c r="B796">
        <v>35</v>
      </c>
      <c r="C796" t="s">
        <v>10</v>
      </c>
      <c r="D796" t="s">
        <v>11</v>
      </c>
      <c r="E796" t="s">
        <v>14</v>
      </c>
      <c r="F796" t="s">
        <v>13</v>
      </c>
    </row>
    <row r="797" spans="1:6">
      <c r="A797">
        <v>796</v>
      </c>
      <c r="B797">
        <v>59</v>
      </c>
      <c r="C797" t="s">
        <v>6</v>
      </c>
      <c r="D797" t="s">
        <v>7</v>
      </c>
      <c r="E797" t="s">
        <v>20</v>
      </c>
      <c r="F797" t="s">
        <v>9</v>
      </c>
    </row>
    <row r="798" spans="1:6">
      <c r="A798">
        <v>797</v>
      </c>
      <c r="B798">
        <v>38</v>
      </c>
      <c r="C798" t="s">
        <v>10</v>
      </c>
      <c r="D798" t="s">
        <v>15</v>
      </c>
      <c r="E798" t="s">
        <v>8</v>
      </c>
      <c r="F798" t="s">
        <v>13</v>
      </c>
    </row>
    <row r="799" spans="1:6">
      <c r="A799">
        <v>798</v>
      </c>
      <c r="B799">
        <v>70</v>
      </c>
      <c r="C799" t="s">
        <v>6</v>
      </c>
      <c r="D799" t="s">
        <v>7</v>
      </c>
      <c r="E799" t="s">
        <v>24</v>
      </c>
      <c r="F799" t="s">
        <v>9</v>
      </c>
    </row>
    <row r="800" spans="1:6">
      <c r="A800">
        <v>799</v>
      </c>
      <c r="B800">
        <v>31</v>
      </c>
      <c r="C800" t="s">
        <v>10</v>
      </c>
      <c r="D800" t="s">
        <v>17</v>
      </c>
      <c r="E800" t="s">
        <v>26</v>
      </c>
      <c r="F800" t="s">
        <v>13</v>
      </c>
    </row>
    <row r="801" spans="1:6">
      <c r="A801">
        <v>800</v>
      </c>
      <c r="B801">
        <v>79</v>
      </c>
      <c r="C801" t="s">
        <v>6</v>
      </c>
      <c r="D801" t="s">
        <v>7</v>
      </c>
      <c r="E801" t="s">
        <v>28</v>
      </c>
      <c r="F801" t="s">
        <v>9</v>
      </c>
    </row>
    <row r="802" spans="1:6">
      <c r="A802">
        <v>801</v>
      </c>
      <c r="B802">
        <v>52</v>
      </c>
      <c r="C802" t="s">
        <v>10</v>
      </c>
      <c r="D802" t="s">
        <v>7</v>
      </c>
      <c r="E802" t="s">
        <v>8</v>
      </c>
      <c r="F802" t="s">
        <v>9</v>
      </c>
    </row>
    <row r="803" spans="1:6">
      <c r="A803">
        <v>802</v>
      </c>
      <c r="B803">
        <v>36</v>
      </c>
      <c r="C803" t="s">
        <v>6</v>
      </c>
      <c r="D803" t="s">
        <v>15</v>
      </c>
      <c r="E803" t="s">
        <v>24</v>
      </c>
      <c r="F803" t="s">
        <v>13</v>
      </c>
    </row>
    <row r="804" spans="1:6">
      <c r="A804">
        <v>803</v>
      </c>
      <c r="B804">
        <v>74</v>
      </c>
      <c r="C804" t="s">
        <v>10</v>
      </c>
      <c r="D804" t="s">
        <v>7</v>
      </c>
      <c r="E804" t="s">
        <v>26</v>
      </c>
      <c r="F804" t="s">
        <v>9</v>
      </c>
    </row>
    <row r="805" spans="1:6">
      <c r="A805">
        <v>804</v>
      </c>
      <c r="B805">
        <v>29</v>
      </c>
      <c r="C805" t="s">
        <v>6</v>
      </c>
      <c r="D805" t="s">
        <v>11</v>
      </c>
      <c r="E805" t="s">
        <v>22</v>
      </c>
      <c r="F805" t="s">
        <v>13</v>
      </c>
    </row>
    <row r="806" spans="1:6">
      <c r="A806">
        <v>805</v>
      </c>
      <c r="B806">
        <v>63</v>
      </c>
      <c r="C806" t="s">
        <v>10</v>
      </c>
      <c r="D806" t="s">
        <v>17</v>
      </c>
      <c r="E806" t="s">
        <v>34</v>
      </c>
      <c r="F806" t="s">
        <v>9</v>
      </c>
    </row>
    <row r="807" spans="1:6">
      <c r="A807">
        <v>806</v>
      </c>
      <c r="B807">
        <v>45</v>
      </c>
      <c r="C807" t="s">
        <v>6</v>
      </c>
      <c r="D807" t="s">
        <v>7</v>
      </c>
      <c r="E807" t="s">
        <v>20</v>
      </c>
      <c r="F807" t="s">
        <v>13</v>
      </c>
    </row>
    <row r="808" spans="1:6">
      <c r="A808">
        <v>807</v>
      </c>
      <c r="B808">
        <v>58</v>
      </c>
      <c r="C808" t="s">
        <v>10</v>
      </c>
      <c r="D808" t="s">
        <v>15</v>
      </c>
      <c r="E808" t="s">
        <v>16</v>
      </c>
      <c r="F808" t="s">
        <v>9</v>
      </c>
    </row>
    <row r="809" spans="1:6">
      <c r="A809">
        <v>808</v>
      </c>
      <c r="B809">
        <v>33</v>
      </c>
      <c r="C809" t="s">
        <v>6</v>
      </c>
      <c r="D809" t="s">
        <v>19</v>
      </c>
      <c r="E809" t="s">
        <v>30</v>
      </c>
      <c r="F809" t="s">
        <v>13</v>
      </c>
    </row>
    <row r="810" spans="1:6">
      <c r="A810">
        <v>809</v>
      </c>
      <c r="B810">
        <v>71</v>
      </c>
      <c r="C810" t="s">
        <v>10</v>
      </c>
      <c r="D810" t="s">
        <v>7</v>
      </c>
      <c r="E810" t="s">
        <v>18</v>
      </c>
      <c r="F810" t="s">
        <v>9</v>
      </c>
    </row>
    <row r="811" spans="1:6">
      <c r="A811">
        <v>810</v>
      </c>
      <c r="B811">
        <v>27</v>
      </c>
      <c r="C811" t="s">
        <v>6</v>
      </c>
      <c r="D811" t="s">
        <v>21</v>
      </c>
      <c r="E811" t="s">
        <v>28</v>
      </c>
      <c r="F811" t="s">
        <v>13</v>
      </c>
    </row>
    <row r="812" spans="1:6">
      <c r="A812">
        <v>811</v>
      </c>
      <c r="B812">
        <v>54</v>
      </c>
      <c r="C812" t="s">
        <v>10</v>
      </c>
      <c r="D812" t="s">
        <v>7</v>
      </c>
      <c r="E812" t="s">
        <v>32</v>
      </c>
      <c r="F812" t="s">
        <v>9</v>
      </c>
    </row>
    <row r="813" spans="1:6">
      <c r="A813">
        <v>812</v>
      </c>
      <c r="B813">
        <v>39</v>
      </c>
      <c r="C813" t="s">
        <v>6</v>
      </c>
      <c r="D813" t="s">
        <v>15</v>
      </c>
      <c r="E813" t="s">
        <v>27</v>
      </c>
      <c r="F813" t="s">
        <v>13</v>
      </c>
    </row>
    <row r="814" spans="1:6">
      <c r="A814">
        <v>813</v>
      </c>
      <c r="B814">
        <v>66</v>
      </c>
      <c r="C814" t="s">
        <v>10</v>
      </c>
      <c r="D814" t="s">
        <v>7</v>
      </c>
      <c r="E814" t="s">
        <v>22</v>
      </c>
      <c r="F814" t="s">
        <v>9</v>
      </c>
    </row>
    <row r="815" spans="1:6">
      <c r="A815">
        <v>814</v>
      </c>
      <c r="B815">
        <v>31</v>
      </c>
      <c r="C815" t="s">
        <v>6</v>
      </c>
      <c r="D815" t="s">
        <v>17</v>
      </c>
      <c r="E815" t="s">
        <v>36</v>
      </c>
      <c r="F815" t="s">
        <v>13</v>
      </c>
    </row>
    <row r="816" spans="1:6">
      <c r="A816">
        <v>815</v>
      </c>
      <c r="B816">
        <v>78</v>
      </c>
      <c r="C816" t="s">
        <v>10</v>
      </c>
      <c r="D816" t="s">
        <v>7</v>
      </c>
      <c r="E816" t="s">
        <v>31</v>
      </c>
      <c r="F816" t="s">
        <v>9</v>
      </c>
    </row>
    <row r="817" spans="1:6">
      <c r="A817">
        <v>816</v>
      </c>
      <c r="B817">
        <v>42</v>
      </c>
      <c r="C817" t="s">
        <v>6</v>
      </c>
      <c r="D817" t="s">
        <v>11</v>
      </c>
      <c r="E817" t="s">
        <v>8</v>
      </c>
      <c r="F817" t="s">
        <v>13</v>
      </c>
    </row>
    <row r="818" spans="1:6">
      <c r="A818">
        <v>817</v>
      </c>
      <c r="B818">
        <v>57</v>
      </c>
      <c r="C818" t="s">
        <v>10</v>
      </c>
      <c r="D818" t="s">
        <v>7</v>
      </c>
      <c r="E818" t="s">
        <v>24</v>
      </c>
      <c r="F818" t="s">
        <v>9</v>
      </c>
    </row>
    <row r="819" spans="1:6">
      <c r="A819">
        <v>818</v>
      </c>
      <c r="B819">
        <v>36</v>
      </c>
      <c r="C819" t="s">
        <v>6</v>
      </c>
      <c r="D819" t="s">
        <v>15</v>
      </c>
      <c r="E819" t="s">
        <v>33</v>
      </c>
      <c r="F819" t="s">
        <v>13</v>
      </c>
    </row>
    <row r="820" spans="1:6">
      <c r="A820">
        <v>819</v>
      </c>
      <c r="B820">
        <v>69</v>
      </c>
      <c r="C820" t="s">
        <v>10</v>
      </c>
      <c r="D820" t="s">
        <v>7</v>
      </c>
      <c r="E820" t="s">
        <v>16</v>
      </c>
      <c r="F820" t="s">
        <v>9</v>
      </c>
    </row>
    <row r="821" spans="1:6">
      <c r="A821">
        <v>820</v>
      </c>
      <c r="B821">
        <v>25</v>
      </c>
      <c r="C821" t="s">
        <v>6</v>
      </c>
      <c r="D821" t="s">
        <v>19</v>
      </c>
      <c r="E821" t="s">
        <v>14</v>
      </c>
      <c r="F821" t="s">
        <v>13</v>
      </c>
    </row>
    <row r="822" spans="1:6">
      <c r="A822">
        <v>821</v>
      </c>
      <c r="B822">
        <v>62</v>
      </c>
      <c r="C822" t="s">
        <v>10</v>
      </c>
      <c r="D822" t="s">
        <v>17</v>
      </c>
      <c r="E822" t="s">
        <v>35</v>
      </c>
      <c r="F822" t="s">
        <v>9</v>
      </c>
    </row>
    <row r="823" spans="1:6">
      <c r="A823">
        <v>822</v>
      </c>
      <c r="B823">
        <v>48</v>
      </c>
      <c r="C823" t="s">
        <v>6</v>
      </c>
      <c r="D823" t="s">
        <v>7</v>
      </c>
      <c r="E823" t="s">
        <v>22</v>
      </c>
      <c r="F823" t="s">
        <v>13</v>
      </c>
    </row>
    <row r="824" spans="1:6">
      <c r="A824">
        <v>823</v>
      </c>
      <c r="B824">
        <v>30</v>
      </c>
      <c r="C824" t="s">
        <v>10</v>
      </c>
      <c r="D824" t="s">
        <v>15</v>
      </c>
      <c r="E824" t="s">
        <v>30</v>
      </c>
      <c r="F824" t="s">
        <v>13</v>
      </c>
    </row>
    <row r="825" spans="1:6">
      <c r="A825">
        <v>824</v>
      </c>
      <c r="B825">
        <v>75</v>
      </c>
      <c r="C825" t="s">
        <v>6</v>
      </c>
      <c r="D825" t="s">
        <v>7</v>
      </c>
      <c r="E825" t="s">
        <v>20</v>
      </c>
      <c r="F825" t="s">
        <v>9</v>
      </c>
    </row>
    <row r="826" spans="1:6">
      <c r="A826">
        <v>825</v>
      </c>
      <c r="B826">
        <v>41</v>
      </c>
      <c r="C826" t="s">
        <v>10</v>
      </c>
      <c r="D826" t="s">
        <v>21</v>
      </c>
      <c r="E826" t="s">
        <v>28</v>
      </c>
      <c r="F826" t="s">
        <v>13</v>
      </c>
    </row>
    <row r="827" spans="1:6">
      <c r="A827">
        <v>826</v>
      </c>
      <c r="B827">
        <v>59</v>
      </c>
      <c r="C827" t="s">
        <v>6</v>
      </c>
      <c r="D827" t="s">
        <v>7</v>
      </c>
      <c r="E827" t="s">
        <v>32</v>
      </c>
      <c r="F827" t="s">
        <v>9</v>
      </c>
    </row>
    <row r="828" spans="1:6">
      <c r="A828">
        <v>827</v>
      </c>
      <c r="B828">
        <v>38</v>
      </c>
      <c r="C828" t="s">
        <v>10</v>
      </c>
      <c r="D828" t="s">
        <v>15</v>
      </c>
      <c r="E828" t="s">
        <v>18</v>
      </c>
      <c r="F828" t="s">
        <v>13</v>
      </c>
    </row>
    <row r="829" spans="1:6">
      <c r="A829">
        <v>828</v>
      </c>
      <c r="B829">
        <v>73</v>
      </c>
      <c r="C829" t="s">
        <v>6</v>
      </c>
      <c r="D829" t="s">
        <v>7</v>
      </c>
      <c r="E829" t="s">
        <v>16</v>
      </c>
      <c r="F829" t="s">
        <v>9</v>
      </c>
    </row>
    <row r="830" spans="1:6">
      <c r="A830">
        <v>829</v>
      </c>
      <c r="B830">
        <v>28</v>
      </c>
      <c r="C830" t="s">
        <v>10</v>
      </c>
      <c r="D830" t="s">
        <v>17</v>
      </c>
      <c r="E830" t="s">
        <v>36</v>
      </c>
      <c r="F830" t="s">
        <v>13</v>
      </c>
    </row>
    <row r="831" spans="1:6">
      <c r="A831">
        <v>830</v>
      </c>
      <c r="B831">
        <v>64</v>
      </c>
      <c r="C831" t="s">
        <v>6</v>
      </c>
      <c r="D831" t="s">
        <v>7</v>
      </c>
      <c r="E831" t="s">
        <v>27</v>
      </c>
      <c r="F831" t="s">
        <v>9</v>
      </c>
    </row>
    <row r="832" spans="1:6">
      <c r="A832">
        <v>831</v>
      </c>
      <c r="B832">
        <v>47</v>
      </c>
      <c r="C832" t="s">
        <v>10</v>
      </c>
      <c r="D832" t="s">
        <v>15</v>
      </c>
      <c r="E832" t="s">
        <v>8</v>
      </c>
      <c r="F832" t="s">
        <v>13</v>
      </c>
    </row>
    <row r="833" spans="1:6">
      <c r="A833">
        <v>832</v>
      </c>
      <c r="B833">
        <v>26</v>
      </c>
      <c r="C833" t="s">
        <v>6</v>
      </c>
      <c r="D833" t="s">
        <v>19</v>
      </c>
      <c r="E833" t="s">
        <v>24</v>
      </c>
      <c r="F833" t="s">
        <v>13</v>
      </c>
    </row>
    <row r="834" spans="1:6">
      <c r="A834">
        <v>833</v>
      </c>
      <c r="B834">
        <v>70</v>
      </c>
      <c r="C834" t="s">
        <v>10</v>
      </c>
      <c r="D834" t="s">
        <v>7</v>
      </c>
      <c r="E834" t="s">
        <v>31</v>
      </c>
      <c r="F834" t="s">
        <v>9</v>
      </c>
    </row>
    <row r="835" spans="1:6">
      <c r="A835">
        <v>834</v>
      </c>
      <c r="B835">
        <v>35</v>
      </c>
      <c r="C835" t="s">
        <v>6</v>
      </c>
      <c r="D835" t="s">
        <v>11</v>
      </c>
      <c r="E835" t="s">
        <v>22</v>
      </c>
      <c r="F835" t="s">
        <v>13</v>
      </c>
    </row>
    <row r="836" spans="1:6">
      <c r="A836">
        <v>835</v>
      </c>
      <c r="B836">
        <v>61</v>
      </c>
      <c r="C836" t="s">
        <v>10</v>
      </c>
      <c r="D836" t="s">
        <v>7</v>
      </c>
      <c r="E836" t="s">
        <v>34</v>
      </c>
      <c r="F836" t="s">
        <v>9</v>
      </c>
    </row>
    <row r="837" spans="1:6">
      <c r="A837">
        <v>836</v>
      </c>
      <c r="B837">
        <v>44</v>
      </c>
      <c r="C837" t="s">
        <v>6</v>
      </c>
      <c r="D837" t="s">
        <v>15</v>
      </c>
      <c r="E837" t="s">
        <v>33</v>
      </c>
      <c r="F837" t="s">
        <v>13</v>
      </c>
    </row>
    <row r="838" spans="1:6">
      <c r="A838">
        <v>837</v>
      </c>
      <c r="B838">
        <v>79</v>
      </c>
      <c r="C838" t="s">
        <v>10</v>
      </c>
      <c r="D838" t="s">
        <v>7</v>
      </c>
      <c r="E838" t="s">
        <v>16</v>
      </c>
      <c r="F838" t="s">
        <v>9</v>
      </c>
    </row>
    <row r="839" spans="1:6">
      <c r="A839">
        <v>838</v>
      </c>
      <c r="B839">
        <v>32</v>
      </c>
      <c r="C839" t="s">
        <v>6</v>
      </c>
      <c r="D839" t="s">
        <v>17</v>
      </c>
      <c r="E839" t="s">
        <v>30</v>
      </c>
      <c r="F839" t="s">
        <v>13</v>
      </c>
    </row>
    <row r="840" spans="1:6">
      <c r="A840">
        <v>839</v>
      </c>
      <c r="B840">
        <v>56</v>
      </c>
      <c r="C840" t="s">
        <v>10</v>
      </c>
      <c r="D840" t="s">
        <v>7</v>
      </c>
      <c r="E840" t="s">
        <v>18</v>
      </c>
      <c r="F840" t="s">
        <v>9</v>
      </c>
    </row>
    <row r="841" spans="1:6">
      <c r="A841">
        <v>840</v>
      </c>
      <c r="B841">
        <v>40</v>
      </c>
      <c r="C841" t="s">
        <v>6</v>
      </c>
      <c r="D841" t="s">
        <v>15</v>
      </c>
      <c r="E841" t="s">
        <v>28</v>
      </c>
      <c r="F841" t="s">
        <v>13</v>
      </c>
    </row>
    <row r="842" spans="1:6">
      <c r="A842">
        <v>841</v>
      </c>
      <c r="B842">
        <v>68</v>
      </c>
      <c r="C842" t="s">
        <v>10</v>
      </c>
      <c r="D842" t="s">
        <v>7</v>
      </c>
      <c r="E842" t="s">
        <v>36</v>
      </c>
      <c r="F842" t="s">
        <v>9</v>
      </c>
    </row>
    <row r="843" spans="1:6">
      <c r="A843">
        <v>842</v>
      </c>
      <c r="B843">
        <v>29</v>
      </c>
      <c r="C843" t="s">
        <v>6</v>
      </c>
      <c r="D843" t="s">
        <v>21</v>
      </c>
      <c r="E843" t="s">
        <v>20</v>
      </c>
      <c r="F843" t="s">
        <v>13</v>
      </c>
    </row>
    <row r="844" spans="1:6">
      <c r="A844">
        <v>843</v>
      </c>
      <c r="B844">
        <v>53</v>
      </c>
      <c r="C844" t="s">
        <v>10</v>
      </c>
      <c r="D844" t="s">
        <v>7</v>
      </c>
      <c r="E844" t="s">
        <v>22</v>
      </c>
      <c r="F844" t="s">
        <v>9</v>
      </c>
    </row>
    <row r="845" spans="1:6">
      <c r="A845">
        <v>844</v>
      </c>
      <c r="B845">
        <v>37</v>
      </c>
      <c r="C845" t="s">
        <v>6</v>
      </c>
      <c r="D845" t="s">
        <v>15</v>
      </c>
      <c r="E845" t="s">
        <v>14</v>
      </c>
      <c r="F845" t="s">
        <v>13</v>
      </c>
    </row>
    <row r="846" spans="1:6">
      <c r="A846">
        <v>845</v>
      </c>
      <c r="B846">
        <v>74</v>
      </c>
      <c r="C846" t="s">
        <v>10</v>
      </c>
      <c r="D846" t="s">
        <v>7</v>
      </c>
      <c r="E846" t="s">
        <v>35</v>
      </c>
      <c r="F846" t="s">
        <v>9</v>
      </c>
    </row>
    <row r="847" spans="1:6">
      <c r="A847">
        <v>846</v>
      </c>
      <c r="B847">
        <v>33</v>
      </c>
      <c r="C847" t="s">
        <v>6</v>
      </c>
      <c r="D847" t="s">
        <v>17</v>
      </c>
      <c r="E847" t="s">
        <v>8</v>
      </c>
      <c r="F847" t="s">
        <v>13</v>
      </c>
    </row>
    <row r="848" spans="1:6">
      <c r="A848">
        <v>847</v>
      </c>
      <c r="B848">
        <v>58</v>
      </c>
      <c r="C848" t="s">
        <v>10</v>
      </c>
      <c r="D848" t="s">
        <v>7</v>
      </c>
      <c r="E848" t="s">
        <v>24</v>
      </c>
      <c r="F848" t="s">
        <v>9</v>
      </c>
    </row>
    <row r="849" spans="1:6">
      <c r="A849">
        <v>848</v>
      </c>
      <c r="B849">
        <v>41</v>
      </c>
      <c r="C849" t="s">
        <v>6</v>
      </c>
      <c r="D849" t="s">
        <v>15</v>
      </c>
      <c r="E849" t="s">
        <v>27</v>
      </c>
      <c r="F849" t="s">
        <v>13</v>
      </c>
    </row>
    <row r="850" spans="1:6">
      <c r="A850">
        <v>849</v>
      </c>
      <c r="B850">
        <v>72</v>
      </c>
      <c r="C850" t="s">
        <v>10</v>
      </c>
      <c r="D850" t="s">
        <v>7</v>
      </c>
      <c r="E850" t="s">
        <v>16</v>
      </c>
      <c r="F850" t="s">
        <v>9</v>
      </c>
    </row>
    <row r="851" spans="1:6">
      <c r="A851">
        <v>850</v>
      </c>
      <c r="B851">
        <v>30</v>
      </c>
      <c r="C851" t="s">
        <v>6</v>
      </c>
      <c r="D851" t="s">
        <v>19</v>
      </c>
      <c r="E851" t="s">
        <v>32</v>
      </c>
      <c r="F851" t="s">
        <v>13</v>
      </c>
    </row>
    <row r="852" spans="1:6">
      <c r="A852">
        <v>851</v>
      </c>
      <c r="B852">
        <v>63</v>
      </c>
      <c r="C852" t="s">
        <v>10</v>
      </c>
      <c r="D852" t="s">
        <v>17</v>
      </c>
      <c r="E852" t="s">
        <v>31</v>
      </c>
      <c r="F852" t="s">
        <v>9</v>
      </c>
    </row>
    <row r="853" spans="1:6">
      <c r="A853">
        <v>852</v>
      </c>
      <c r="B853">
        <v>46</v>
      </c>
      <c r="C853" t="s">
        <v>6</v>
      </c>
      <c r="D853" t="s">
        <v>7</v>
      </c>
      <c r="E853" t="s">
        <v>28</v>
      </c>
      <c r="F853" t="s">
        <v>13</v>
      </c>
    </row>
    <row r="854" spans="1:6">
      <c r="A854">
        <v>853</v>
      </c>
      <c r="B854">
        <v>27</v>
      </c>
      <c r="C854" t="s">
        <v>10</v>
      </c>
      <c r="D854" t="s">
        <v>15</v>
      </c>
      <c r="E854" t="s">
        <v>30</v>
      </c>
      <c r="F854" t="s">
        <v>13</v>
      </c>
    </row>
    <row r="855" spans="1:6">
      <c r="A855">
        <v>854</v>
      </c>
      <c r="B855">
        <v>77</v>
      </c>
      <c r="C855" t="s">
        <v>6</v>
      </c>
      <c r="D855" t="s">
        <v>7</v>
      </c>
      <c r="E855" t="s">
        <v>33</v>
      </c>
      <c r="F855" t="s">
        <v>9</v>
      </c>
    </row>
    <row r="856" spans="1:6">
      <c r="A856">
        <v>855</v>
      </c>
      <c r="B856">
        <v>39</v>
      </c>
      <c r="C856" t="s">
        <v>10</v>
      </c>
      <c r="D856" t="s">
        <v>11</v>
      </c>
      <c r="E856" t="s">
        <v>22</v>
      </c>
      <c r="F856" t="s">
        <v>13</v>
      </c>
    </row>
    <row r="857" spans="1:6">
      <c r="A857">
        <v>856</v>
      </c>
      <c r="B857">
        <v>55</v>
      </c>
      <c r="C857" t="s">
        <v>6</v>
      </c>
      <c r="D857" t="s">
        <v>7</v>
      </c>
      <c r="E857" t="s">
        <v>34</v>
      </c>
      <c r="F857" t="s">
        <v>9</v>
      </c>
    </row>
    <row r="858" spans="1:6">
      <c r="A858">
        <v>857</v>
      </c>
      <c r="B858">
        <v>34</v>
      </c>
      <c r="C858" t="s">
        <v>10</v>
      </c>
      <c r="D858" t="s">
        <v>15</v>
      </c>
      <c r="E858" t="s">
        <v>18</v>
      </c>
      <c r="F858" t="s">
        <v>13</v>
      </c>
    </row>
    <row r="859" spans="1:6">
      <c r="A859">
        <v>858</v>
      </c>
      <c r="B859">
        <v>69</v>
      </c>
      <c r="C859" t="s">
        <v>6</v>
      </c>
      <c r="D859" t="s">
        <v>7</v>
      </c>
      <c r="E859" t="s">
        <v>16</v>
      </c>
      <c r="F859" t="s">
        <v>9</v>
      </c>
    </row>
    <row r="860" spans="1:6">
      <c r="A860">
        <v>859</v>
      </c>
      <c r="B860">
        <v>31</v>
      </c>
      <c r="C860" t="s">
        <v>10</v>
      </c>
      <c r="D860" t="s">
        <v>17</v>
      </c>
      <c r="E860" t="s">
        <v>36</v>
      </c>
      <c r="F860" t="s">
        <v>13</v>
      </c>
    </row>
    <row r="861" spans="1:6">
      <c r="A861">
        <v>860</v>
      </c>
      <c r="B861">
        <v>80</v>
      </c>
      <c r="C861" t="s">
        <v>6</v>
      </c>
      <c r="D861" t="s">
        <v>7</v>
      </c>
      <c r="E861" t="s">
        <v>20</v>
      </c>
      <c r="F861" t="s">
        <v>9</v>
      </c>
    </row>
    <row r="862" spans="1:6">
      <c r="A862">
        <v>861</v>
      </c>
      <c r="B862">
        <v>43</v>
      </c>
      <c r="C862" t="s">
        <v>10</v>
      </c>
      <c r="D862" t="s">
        <v>15</v>
      </c>
      <c r="E862" t="s">
        <v>8</v>
      </c>
      <c r="F862" t="s">
        <v>13</v>
      </c>
    </row>
    <row r="863" spans="1:6">
      <c r="A863">
        <v>862</v>
      </c>
      <c r="B863">
        <v>24</v>
      </c>
      <c r="C863" t="s">
        <v>6</v>
      </c>
      <c r="D863" t="s">
        <v>7</v>
      </c>
      <c r="E863" t="s">
        <v>24</v>
      </c>
      <c r="F863" t="s">
        <v>13</v>
      </c>
    </row>
    <row r="864" spans="1:6">
      <c r="A864">
        <v>863</v>
      </c>
      <c r="B864">
        <v>60</v>
      </c>
      <c r="C864" t="s">
        <v>10</v>
      </c>
      <c r="D864" t="s">
        <v>21</v>
      </c>
      <c r="E864" t="s">
        <v>26</v>
      </c>
      <c r="F864" t="s">
        <v>9</v>
      </c>
    </row>
    <row r="865" spans="1:6">
      <c r="A865">
        <v>864</v>
      </c>
      <c r="B865">
        <v>38</v>
      </c>
      <c r="C865" t="s">
        <v>6</v>
      </c>
      <c r="D865" t="s">
        <v>7</v>
      </c>
      <c r="E865" t="s">
        <v>22</v>
      </c>
      <c r="F865" t="s">
        <v>13</v>
      </c>
    </row>
    <row r="866" spans="1:6">
      <c r="A866">
        <v>865</v>
      </c>
      <c r="B866">
        <v>57</v>
      </c>
      <c r="C866" t="s">
        <v>10</v>
      </c>
      <c r="D866" t="s">
        <v>15</v>
      </c>
      <c r="E866" t="s">
        <v>32</v>
      </c>
      <c r="F866" t="s">
        <v>9</v>
      </c>
    </row>
    <row r="867" spans="1:6">
      <c r="A867">
        <v>866</v>
      </c>
      <c r="B867">
        <v>29</v>
      </c>
      <c r="C867" t="s">
        <v>6</v>
      </c>
      <c r="D867" t="s">
        <v>19</v>
      </c>
      <c r="E867" t="s">
        <v>27</v>
      </c>
      <c r="F867" t="s">
        <v>13</v>
      </c>
    </row>
    <row r="868" spans="1:6">
      <c r="A868">
        <v>867</v>
      </c>
      <c r="B868">
        <v>73</v>
      </c>
      <c r="C868" t="s">
        <v>10</v>
      </c>
      <c r="D868" t="s">
        <v>7</v>
      </c>
      <c r="E868" t="s">
        <v>16</v>
      </c>
      <c r="F868" t="s">
        <v>9</v>
      </c>
    </row>
    <row r="869" spans="1:6">
      <c r="A869">
        <v>868</v>
      </c>
      <c r="B869">
        <v>45</v>
      </c>
      <c r="C869" t="s">
        <v>6</v>
      </c>
      <c r="D869" t="s">
        <v>17</v>
      </c>
      <c r="E869" t="s">
        <v>30</v>
      </c>
      <c r="F869" t="s">
        <v>13</v>
      </c>
    </row>
    <row r="870" spans="1:6">
      <c r="A870">
        <v>869</v>
      </c>
      <c r="B870">
        <v>36</v>
      </c>
      <c r="C870" t="s">
        <v>10</v>
      </c>
      <c r="D870" t="s">
        <v>7</v>
      </c>
      <c r="E870" t="s">
        <v>31</v>
      </c>
      <c r="F870" t="s">
        <v>13</v>
      </c>
    </row>
    <row r="871" spans="1:6">
      <c r="A871">
        <v>870</v>
      </c>
      <c r="B871">
        <v>67</v>
      </c>
      <c r="C871" t="s">
        <v>6</v>
      </c>
      <c r="D871" t="s">
        <v>7</v>
      </c>
      <c r="E871" t="s">
        <v>28</v>
      </c>
      <c r="F871" t="s">
        <v>9</v>
      </c>
    </row>
    <row r="872" spans="1:6">
      <c r="A872">
        <v>871</v>
      </c>
      <c r="B872">
        <v>32</v>
      </c>
      <c r="C872" t="s">
        <v>10</v>
      </c>
      <c r="D872" t="s">
        <v>15</v>
      </c>
      <c r="E872" t="s">
        <v>34</v>
      </c>
      <c r="F872" t="s">
        <v>13</v>
      </c>
    </row>
    <row r="873" spans="1:6">
      <c r="A873">
        <v>872</v>
      </c>
      <c r="B873">
        <v>59</v>
      </c>
      <c r="C873" t="s">
        <v>6</v>
      </c>
      <c r="D873" t="s">
        <v>7</v>
      </c>
      <c r="E873" t="s">
        <v>33</v>
      </c>
      <c r="F873" t="s">
        <v>9</v>
      </c>
    </row>
    <row r="874" spans="1:6">
      <c r="A874">
        <v>873</v>
      </c>
      <c r="B874">
        <v>40</v>
      </c>
      <c r="C874" t="s">
        <v>10</v>
      </c>
      <c r="D874" t="s">
        <v>11</v>
      </c>
      <c r="E874" t="s">
        <v>22</v>
      </c>
      <c r="F874" t="s">
        <v>13</v>
      </c>
    </row>
    <row r="875" spans="1:6">
      <c r="A875">
        <v>874</v>
      </c>
      <c r="B875">
        <v>75</v>
      </c>
      <c r="C875" t="s">
        <v>6</v>
      </c>
      <c r="D875" t="s">
        <v>7</v>
      </c>
      <c r="E875" t="s">
        <v>36</v>
      </c>
      <c r="F875" t="s">
        <v>9</v>
      </c>
    </row>
    <row r="876" spans="1:6">
      <c r="A876">
        <v>875</v>
      </c>
      <c r="B876">
        <v>28</v>
      </c>
      <c r="C876" t="s">
        <v>10</v>
      </c>
      <c r="D876" t="s">
        <v>15</v>
      </c>
      <c r="E876" t="s">
        <v>18</v>
      </c>
      <c r="F876" t="s">
        <v>13</v>
      </c>
    </row>
    <row r="877" spans="1:6">
      <c r="A877">
        <v>876</v>
      </c>
      <c r="B877">
        <v>62</v>
      </c>
      <c r="C877" t="s">
        <v>6</v>
      </c>
      <c r="D877" t="s">
        <v>7</v>
      </c>
      <c r="E877" t="s">
        <v>16</v>
      </c>
      <c r="F877" t="s">
        <v>9</v>
      </c>
    </row>
    <row r="878" spans="1:6">
      <c r="A878">
        <v>877</v>
      </c>
      <c r="B878">
        <v>47</v>
      </c>
      <c r="C878" t="s">
        <v>10</v>
      </c>
      <c r="D878" t="s">
        <v>17</v>
      </c>
      <c r="E878" t="s">
        <v>14</v>
      </c>
      <c r="F878" t="s">
        <v>13</v>
      </c>
    </row>
    <row r="879" spans="1:6">
      <c r="A879">
        <v>878</v>
      </c>
      <c r="B879">
        <v>34</v>
      </c>
      <c r="C879" t="s">
        <v>6</v>
      </c>
      <c r="D879" t="s">
        <v>7</v>
      </c>
      <c r="E879" t="s">
        <v>20</v>
      </c>
      <c r="F879" t="s">
        <v>13</v>
      </c>
    </row>
    <row r="880" spans="1:6">
      <c r="A880">
        <v>879</v>
      </c>
      <c r="B880">
        <v>71</v>
      </c>
      <c r="C880" t="s">
        <v>10</v>
      </c>
      <c r="D880" t="s">
        <v>7</v>
      </c>
      <c r="E880" t="s">
        <v>8</v>
      </c>
      <c r="F880" t="s">
        <v>9</v>
      </c>
    </row>
    <row r="881" spans="1:6">
      <c r="A881">
        <v>880</v>
      </c>
      <c r="B881">
        <v>30</v>
      </c>
      <c r="C881" t="s">
        <v>6</v>
      </c>
      <c r="D881" t="s">
        <v>15</v>
      </c>
      <c r="E881" t="s">
        <v>24</v>
      </c>
      <c r="F881" t="s">
        <v>13</v>
      </c>
    </row>
    <row r="882" spans="1:6">
      <c r="A882">
        <v>881</v>
      </c>
      <c r="B882">
        <v>64</v>
      </c>
      <c r="C882" t="s">
        <v>10</v>
      </c>
      <c r="D882" t="s">
        <v>7</v>
      </c>
      <c r="E882" t="s">
        <v>35</v>
      </c>
      <c r="F882" t="s">
        <v>9</v>
      </c>
    </row>
    <row r="883" spans="1:6">
      <c r="A883">
        <v>882</v>
      </c>
      <c r="B883">
        <v>42</v>
      </c>
      <c r="C883" t="s">
        <v>6</v>
      </c>
      <c r="D883" t="s">
        <v>17</v>
      </c>
      <c r="E883" t="s">
        <v>22</v>
      </c>
      <c r="F883" t="s">
        <v>13</v>
      </c>
    </row>
    <row r="884" spans="1:6">
      <c r="A884">
        <v>883</v>
      </c>
      <c r="B884">
        <v>58</v>
      </c>
      <c r="C884" t="s">
        <v>10</v>
      </c>
      <c r="D884" t="s">
        <v>7</v>
      </c>
      <c r="E884" t="s">
        <v>32</v>
      </c>
      <c r="F884" t="s">
        <v>9</v>
      </c>
    </row>
    <row r="885" spans="1:6">
      <c r="A885">
        <v>884</v>
      </c>
      <c r="B885">
        <v>37</v>
      </c>
      <c r="C885" t="s">
        <v>6</v>
      </c>
      <c r="D885" t="s">
        <v>15</v>
      </c>
      <c r="E885" t="s">
        <v>27</v>
      </c>
      <c r="F885" t="s">
        <v>13</v>
      </c>
    </row>
    <row r="886" spans="1:6">
      <c r="A886">
        <v>885</v>
      </c>
      <c r="B886">
        <v>76</v>
      </c>
      <c r="C886" t="s">
        <v>10</v>
      </c>
      <c r="D886" t="s">
        <v>7</v>
      </c>
      <c r="E886" t="s">
        <v>16</v>
      </c>
      <c r="F886" t="s">
        <v>9</v>
      </c>
    </row>
    <row r="887" spans="1:6">
      <c r="A887">
        <v>886</v>
      </c>
      <c r="B887">
        <v>33</v>
      </c>
      <c r="C887" t="s">
        <v>6</v>
      </c>
      <c r="D887" t="s">
        <v>21</v>
      </c>
      <c r="E887" t="s">
        <v>30</v>
      </c>
      <c r="F887" t="s">
        <v>13</v>
      </c>
    </row>
    <row r="888" spans="1:6">
      <c r="A888">
        <v>887</v>
      </c>
      <c r="B888">
        <v>55</v>
      </c>
      <c r="C888" t="s">
        <v>10</v>
      </c>
      <c r="D888" t="s">
        <v>7</v>
      </c>
      <c r="E888" t="s">
        <v>31</v>
      </c>
      <c r="F888" t="s">
        <v>9</v>
      </c>
    </row>
    <row r="889" spans="1:6">
      <c r="A889">
        <v>888</v>
      </c>
      <c r="B889">
        <v>41</v>
      </c>
      <c r="C889" t="s">
        <v>6</v>
      </c>
      <c r="D889" t="s">
        <v>15</v>
      </c>
      <c r="E889" t="s">
        <v>28</v>
      </c>
      <c r="F889" t="s">
        <v>13</v>
      </c>
    </row>
    <row r="890" spans="1:6">
      <c r="A890">
        <v>889</v>
      </c>
      <c r="B890">
        <v>68</v>
      </c>
      <c r="C890" t="s">
        <v>10</v>
      </c>
      <c r="D890" t="s">
        <v>7</v>
      </c>
      <c r="E890" t="s">
        <v>36</v>
      </c>
      <c r="F890" t="s">
        <v>9</v>
      </c>
    </row>
    <row r="891" spans="1:6">
      <c r="A891">
        <v>890</v>
      </c>
      <c r="B891">
        <v>29</v>
      </c>
      <c r="C891" t="s">
        <v>6</v>
      </c>
      <c r="D891" t="s">
        <v>17</v>
      </c>
      <c r="E891" t="s">
        <v>33</v>
      </c>
      <c r="F891" t="s">
        <v>13</v>
      </c>
    </row>
    <row r="892" spans="1:6">
      <c r="A892">
        <v>891</v>
      </c>
      <c r="B892">
        <v>63</v>
      </c>
      <c r="C892" t="s">
        <v>10</v>
      </c>
      <c r="D892" t="s">
        <v>7</v>
      </c>
      <c r="E892" t="s">
        <v>22</v>
      </c>
      <c r="F892" t="s">
        <v>9</v>
      </c>
    </row>
    <row r="893" spans="1:6">
      <c r="A893">
        <v>892</v>
      </c>
      <c r="B893">
        <v>46</v>
      </c>
      <c r="C893" t="s">
        <v>6</v>
      </c>
      <c r="D893" t="s">
        <v>15</v>
      </c>
      <c r="E893" t="s">
        <v>34</v>
      </c>
      <c r="F893" t="s">
        <v>13</v>
      </c>
    </row>
    <row r="894" spans="1:6">
      <c r="A894">
        <v>893</v>
      </c>
      <c r="B894">
        <v>27</v>
      </c>
      <c r="C894" t="s">
        <v>10</v>
      </c>
      <c r="D894" t="s">
        <v>19</v>
      </c>
      <c r="E894" t="s">
        <v>18</v>
      </c>
      <c r="F894" t="s">
        <v>13</v>
      </c>
    </row>
    <row r="895" spans="1:6">
      <c r="A895">
        <v>894</v>
      </c>
      <c r="B895">
        <v>74</v>
      </c>
      <c r="C895" t="s">
        <v>6</v>
      </c>
      <c r="D895" t="s">
        <v>7</v>
      </c>
      <c r="E895" t="s">
        <v>16</v>
      </c>
      <c r="F895" t="s">
        <v>9</v>
      </c>
    </row>
    <row r="896" spans="1:6">
      <c r="A896">
        <v>895</v>
      </c>
      <c r="B896">
        <v>35</v>
      </c>
      <c r="C896" t="s">
        <v>10</v>
      </c>
      <c r="D896" t="s">
        <v>11</v>
      </c>
      <c r="E896" t="s">
        <v>14</v>
      </c>
      <c r="F896" t="s">
        <v>13</v>
      </c>
    </row>
    <row r="897" spans="1:6">
      <c r="A897">
        <v>896</v>
      </c>
      <c r="B897">
        <v>59</v>
      </c>
      <c r="C897" t="s">
        <v>6</v>
      </c>
      <c r="D897" t="s">
        <v>7</v>
      </c>
      <c r="E897" t="s">
        <v>20</v>
      </c>
      <c r="F897" t="s">
        <v>9</v>
      </c>
    </row>
    <row r="898" spans="1:6">
      <c r="A898">
        <v>897</v>
      </c>
      <c r="B898">
        <v>38</v>
      </c>
      <c r="C898" t="s">
        <v>10</v>
      </c>
      <c r="D898" t="s">
        <v>15</v>
      </c>
      <c r="E898" t="s">
        <v>8</v>
      </c>
      <c r="F898" t="s">
        <v>13</v>
      </c>
    </row>
    <row r="899" spans="1:6">
      <c r="A899">
        <v>898</v>
      </c>
      <c r="B899">
        <v>70</v>
      </c>
      <c r="C899" t="s">
        <v>6</v>
      </c>
      <c r="D899" t="s">
        <v>7</v>
      </c>
      <c r="E899" t="s">
        <v>24</v>
      </c>
      <c r="F899" t="s">
        <v>9</v>
      </c>
    </row>
    <row r="900" spans="1:6">
      <c r="A900">
        <v>899</v>
      </c>
      <c r="B900">
        <v>31</v>
      </c>
      <c r="C900" t="s">
        <v>10</v>
      </c>
      <c r="D900" t="s">
        <v>17</v>
      </c>
      <c r="E900" t="s">
        <v>26</v>
      </c>
      <c r="F900" t="s">
        <v>13</v>
      </c>
    </row>
    <row r="901" spans="1:6">
      <c r="A901">
        <v>900</v>
      </c>
      <c r="B901">
        <v>79</v>
      </c>
      <c r="C901" t="s">
        <v>6</v>
      </c>
      <c r="D901" t="s">
        <v>7</v>
      </c>
      <c r="E901" t="s">
        <v>28</v>
      </c>
      <c r="F901" t="s">
        <v>9</v>
      </c>
    </row>
    <row r="902" spans="1:6">
      <c r="A902">
        <v>901</v>
      </c>
      <c r="B902">
        <v>52</v>
      </c>
      <c r="C902" t="s">
        <v>10</v>
      </c>
      <c r="D902" t="s">
        <v>7</v>
      </c>
      <c r="E902" t="s">
        <v>8</v>
      </c>
      <c r="F902" t="s">
        <v>9</v>
      </c>
    </row>
    <row r="903" spans="1:6">
      <c r="A903">
        <v>902</v>
      </c>
      <c r="B903">
        <v>36</v>
      </c>
      <c r="C903" t="s">
        <v>6</v>
      </c>
      <c r="D903" t="s">
        <v>15</v>
      </c>
      <c r="E903" t="s">
        <v>24</v>
      </c>
      <c r="F903" t="s">
        <v>13</v>
      </c>
    </row>
    <row r="904" spans="1:6">
      <c r="A904">
        <v>903</v>
      </c>
      <c r="B904">
        <v>74</v>
      </c>
      <c r="C904" t="s">
        <v>10</v>
      </c>
      <c r="D904" t="s">
        <v>7</v>
      </c>
      <c r="E904" t="s">
        <v>26</v>
      </c>
      <c r="F904" t="s">
        <v>9</v>
      </c>
    </row>
    <row r="905" spans="1:6">
      <c r="A905">
        <v>904</v>
      </c>
      <c r="B905">
        <v>29</v>
      </c>
      <c r="C905" t="s">
        <v>6</v>
      </c>
      <c r="D905" t="s">
        <v>11</v>
      </c>
      <c r="E905" t="s">
        <v>22</v>
      </c>
      <c r="F905" t="s">
        <v>13</v>
      </c>
    </row>
    <row r="906" spans="1:6">
      <c r="A906">
        <v>905</v>
      </c>
      <c r="B906">
        <v>63</v>
      </c>
      <c r="C906" t="s">
        <v>10</v>
      </c>
      <c r="D906" t="s">
        <v>17</v>
      </c>
      <c r="E906" t="s">
        <v>34</v>
      </c>
      <c r="F906" t="s">
        <v>9</v>
      </c>
    </row>
    <row r="907" spans="1:6">
      <c r="A907">
        <v>906</v>
      </c>
      <c r="B907">
        <v>45</v>
      </c>
      <c r="C907" t="s">
        <v>6</v>
      </c>
      <c r="D907" t="s">
        <v>7</v>
      </c>
      <c r="E907" t="s">
        <v>20</v>
      </c>
      <c r="F907" t="s">
        <v>13</v>
      </c>
    </row>
    <row r="908" spans="1:6">
      <c r="A908">
        <v>907</v>
      </c>
      <c r="B908">
        <v>58</v>
      </c>
      <c r="C908" t="s">
        <v>10</v>
      </c>
      <c r="D908" t="s">
        <v>15</v>
      </c>
      <c r="E908" t="s">
        <v>16</v>
      </c>
      <c r="F908" t="s">
        <v>9</v>
      </c>
    </row>
    <row r="909" spans="1:6">
      <c r="A909">
        <v>908</v>
      </c>
      <c r="B909">
        <v>33</v>
      </c>
      <c r="C909" t="s">
        <v>6</v>
      </c>
      <c r="D909" t="s">
        <v>19</v>
      </c>
      <c r="E909" t="s">
        <v>30</v>
      </c>
      <c r="F909" t="s">
        <v>13</v>
      </c>
    </row>
    <row r="910" spans="1:6">
      <c r="A910">
        <v>909</v>
      </c>
      <c r="B910">
        <v>71</v>
      </c>
      <c r="C910" t="s">
        <v>10</v>
      </c>
      <c r="D910" t="s">
        <v>7</v>
      </c>
      <c r="E910" t="s">
        <v>18</v>
      </c>
      <c r="F910" t="s">
        <v>9</v>
      </c>
    </row>
    <row r="911" spans="1:6">
      <c r="A911">
        <v>910</v>
      </c>
      <c r="B911">
        <v>27</v>
      </c>
      <c r="C911" t="s">
        <v>6</v>
      </c>
      <c r="D911" t="s">
        <v>21</v>
      </c>
      <c r="E911" t="s">
        <v>28</v>
      </c>
      <c r="F911" t="s">
        <v>13</v>
      </c>
    </row>
    <row r="912" spans="1:6">
      <c r="A912">
        <v>911</v>
      </c>
      <c r="B912">
        <v>54</v>
      </c>
      <c r="C912" t="s">
        <v>10</v>
      </c>
      <c r="D912" t="s">
        <v>7</v>
      </c>
      <c r="E912" t="s">
        <v>32</v>
      </c>
      <c r="F912" t="s">
        <v>9</v>
      </c>
    </row>
    <row r="913" spans="1:6">
      <c r="A913">
        <v>912</v>
      </c>
      <c r="B913">
        <v>39</v>
      </c>
      <c r="C913" t="s">
        <v>6</v>
      </c>
      <c r="D913" t="s">
        <v>15</v>
      </c>
      <c r="E913" t="s">
        <v>27</v>
      </c>
      <c r="F913" t="s">
        <v>13</v>
      </c>
    </row>
    <row r="914" spans="1:6">
      <c r="A914">
        <v>913</v>
      </c>
      <c r="B914">
        <v>66</v>
      </c>
      <c r="C914" t="s">
        <v>10</v>
      </c>
      <c r="D914" t="s">
        <v>7</v>
      </c>
      <c r="E914" t="s">
        <v>22</v>
      </c>
      <c r="F914" t="s">
        <v>9</v>
      </c>
    </row>
    <row r="915" spans="1:6">
      <c r="A915">
        <v>914</v>
      </c>
      <c r="B915">
        <v>31</v>
      </c>
      <c r="C915" t="s">
        <v>6</v>
      </c>
      <c r="D915" t="s">
        <v>17</v>
      </c>
      <c r="E915" t="s">
        <v>36</v>
      </c>
      <c r="F915" t="s">
        <v>13</v>
      </c>
    </row>
    <row r="916" spans="1:6">
      <c r="A916">
        <v>915</v>
      </c>
      <c r="B916">
        <v>78</v>
      </c>
      <c r="C916" t="s">
        <v>10</v>
      </c>
      <c r="D916" t="s">
        <v>7</v>
      </c>
      <c r="E916" t="s">
        <v>31</v>
      </c>
      <c r="F916" t="s">
        <v>9</v>
      </c>
    </row>
    <row r="917" spans="1:6">
      <c r="A917">
        <v>916</v>
      </c>
      <c r="B917">
        <v>42</v>
      </c>
      <c r="C917" t="s">
        <v>6</v>
      </c>
      <c r="D917" t="s">
        <v>11</v>
      </c>
      <c r="E917" t="s">
        <v>8</v>
      </c>
      <c r="F917" t="s">
        <v>13</v>
      </c>
    </row>
    <row r="918" spans="1:6">
      <c r="A918">
        <v>917</v>
      </c>
      <c r="B918">
        <v>57</v>
      </c>
      <c r="C918" t="s">
        <v>10</v>
      </c>
      <c r="D918" t="s">
        <v>7</v>
      </c>
      <c r="E918" t="s">
        <v>24</v>
      </c>
      <c r="F918" t="s">
        <v>9</v>
      </c>
    </row>
    <row r="919" spans="1:6">
      <c r="A919">
        <v>918</v>
      </c>
      <c r="B919">
        <v>36</v>
      </c>
      <c r="C919" t="s">
        <v>6</v>
      </c>
      <c r="D919" t="s">
        <v>15</v>
      </c>
      <c r="E919" t="s">
        <v>33</v>
      </c>
      <c r="F919" t="s">
        <v>13</v>
      </c>
    </row>
    <row r="920" spans="1:6">
      <c r="A920">
        <v>919</v>
      </c>
      <c r="B920">
        <v>69</v>
      </c>
      <c r="C920" t="s">
        <v>10</v>
      </c>
      <c r="D920" t="s">
        <v>7</v>
      </c>
      <c r="E920" t="s">
        <v>16</v>
      </c>
      <c r="F920" t="s">
        <v>9</v>
      </c>
    </row>
    <row r="921" spans="1:6">
      <c r="A921">
        <v>920</v>
      </c>
      <c r="B921">
        <v>25</v>
      </c>
      <c r="C921" t="s">
        <v>6</v>
      </c>
      <c r="D921" t="s">
        <v>19</v>
      </c>
      <c r="E921" t="s">
        <v>14</v>
      </c>
      <c r="F921" t="s">
        <v>13</v>
      </c>
    </row>
    <row r="922" spans="1:6">
      <c r="A922">
        <v>921</v>
      </c>
      <c r="B922">
        <v>62</v>
      </c>
      <c r="C922" t="s">
        <v>10</v>
      </c>
      <c r="D922" t="s">
        <v>17</v>
      </c>
      <c r="E922" t="s">
        <v>35</v>
      </c>
      <c r="F922" t="s">
        <v>9</v>
      </c>
    </row>
    <row r="923" spans="1:6">
      <c r="A923">
        <v>922</v>
      </c>
      <c r="B923">
        <v>48</v>
      </c>
      <c r="C923" t="s">
        <v>6</v>
      </c>
      <c r="D923" t="s">
        <v>7</v>
      </c>
      <c r="E923" t="s">
        <v>22</v>
      </c>
      <c r="F923" t="s">
        <v>13</v>
      </c>
    </row>
    <row r="924" spans="1:6">
      <c r="A924">
        <v>923</v>
      </c>
      <c r="B924">
        <v>30</v>
      </c>
      <c r="C924" t="s">
        <v>10</v>
      </c>
      <c r="D924" t="s">
        <v>15</v>
      </c>
      <c r="E924" t="s">
        <v>30</v>
      </c>
      <c r="F924" t="s">
        <v>13</v>
      </c>
    </row>
    <row r="925" spans="1:6">
      <c r="A925">
        <v>924</v>
      </c>
      <c r="B925">
        <v>75</v>
      </c>
      <c r="C925" t="s">
        <v>6</v>
      </c>
      <c r="D925" t="s">
        <v>7</v>
      </c>
      <c r="E925" t="s">
        <v>20</v>
      </c>
      <c r="F925" t="s">
        <v>9</v>
      </c>
    </row>
    <row r="926" spans="1:6">
      <c r="A926">
        <v>925</v>
      </c>
      <c r="B926">
        <v>41</v>
      </c>
      <c r="C926" t="s">
        <v>10</v>
      </c>
      <c r="D926" t="s">
        <v>21</v>
      </c>
      <c r="E926" t="s">
        <v>28</v>
      </c>
      <c r="F926" t="s">
        <v>13</v>
      </c>
    </row>
    <row r="927" spans="1:6">
      <c r="A927">
        <v>926</v>
      </c>
      <c r="B927">
        <v>59</v>
      </c>
      <c r="C927" t="s">
        <v>6</v>
      </c>
      <c r="D927" t="s">
        <v>7</v>
      </c>
      <c r="E927" t="s">
        <v>32</v>
      </c>
      <c r="F927" t="s">
        <v>9</v>
      </c>
    </row>
    <row r="928" spans="1:6">
      <c r="A928">
        <v>927</v>
      </c>
      <c r="B928">
        <v>38</v>
      </c>
      <c r="C928" t="s">
        <v>10</v>
      </c>
      <c r="D928" t="s">
        <v>15</v>
      </c>
      <c r="E928" t="s">
        <v>18</v>
      </c>
      <c r="F928" t="s">
        <v>13</v>
      </c>
    </row>
    <row r="929" spans="1:6">
      <c r="A929">
        <v>928</v>
      </c>
      <c r="B929">
        <v>73</v>
      </c>
      <c r="C929" t="s">
        <v>6</v>
      </c>
      <c r="D929" t="s">
        <v>7</v>
      </c>
      <c r="E929" t="s">
        <v>16</v>
      </c>
      <c r="F929" t="s">
        <v>9</v>
      </c>
    </row>
    <row r="930" spans="1:6">
      <c r="A930">
        <v>929</v>
      </c>
      <c r="B930">
        <v>28</v>
      </c>
      <c r="C930" t="s">
        <v>10</v>
      </c>
      <c r="D930" t="s">
        <v>17</v>
      </c>
      <c r="E930" t="s">
        <v>36</v>
      </c>
      <c r="F930" t="s">
        <v>13</v>
      </c>
    </row>
    <row r="931" spans="1:6">
      <c r="A931">
        <v>930</v>
      </c>
      <c r="B931">
        <v>64</v>
      </c>
      <c r="C931" t="s">
        <v>6</v>
      </c>
      <c r="D931" t="s">
        <v>7</v>
      </c>
      <c r="E931" t="s">
        <v>27</v>
      </c>
      <c r="F931" t="s">
        <v>9</v>
      </c>
    </row>
    <row r="932" spans="1:6">
      <c r="A932">
        <v>931</v>
      </c>
      <c r="B932">
        <v>47</v>
      </c>
      <c r="C932" t="s">
        <v>10</v>
      </c>
      <c r="D932" t="s">
        <v>15</v>
      </c>
      <c r="E932" t="s">
        <v>8</v>
      </c>
      <c r="F932" t="s">
        <v>13</v>
      </c>
    </row>
    <row r="933" spans="1:6">
      <c r="A933">
        <v>932</v>
      </c>
      <c r="B933">
        <v>26</v>
      </c>
      <c r="C933" t="s">
        <v>6</v>
      </c>
      <c r="D933" t="s">
        <v>19</v>
      </c>
      <c r="E933" t="s">
        <v>24</v>
      </c>
      <c r="F933" t="s">
        <v>13</v>
      </c>
    </row>
    <row r="934" spans="1:6">
      <c r="A934">
        <v>933</v>
      </c>
      <c r="B934">
        <v>70</v>
      </c>
      <c r="C934" t="s">
        <v>10</v>
      </c>
      <c r="D934" t="s">
        <v>7</v>
      </c>
      <c r="E934" t="s">
        <v>31</v>
      </c>
      <c r="F934" t="s">
        <v>9</v>
      </c>
    </row>
    <row r="935" spans="1:6">
      <c r="A935">
        <v>934</v>
      </c>
      <c r="B935">
        <v>35</v>
      </c>
      <c r="C935" t="s">
        <v>6</v>
      </c>
      <c r="D935" t="s">
        <v>11</v>
      </c>
      <c r="E935" t="s">
        <v>22</v>
      </c>
      <c r="F935" t="s">
        <v>13</v>
      </c>
    </row>
    <row r="936" spans="1:6">
      <c r="A936">
        <v>935</v>
      </c>
      <c r="B936">
        <v>61</v>
      </c>
      <c r="C936" t="s">
        <v>10</v>
      </c>
      <c r="D936" t="s">
        <v>7</v>
      </c>
      <c r="E936" t="s">
        <v>34</v>
      </c>
      <c r="F936" t="s">
        <v>9</v>
      </c>
    </row>
    <row r="937" spans="1:6">
      <c r="A937">
        <v>936</v>
      </c>
      <c r="B937">
        <v>44</v>
      </c>
      <c r="C937" t="s">
        <v>6</v>
      </c>
      <c r="D937" t="s">
        <v>15</v>
      </c>
      <c r="E937" t="s">
        <v>33</v>
      </c>
      <c r="F937" t="s">
        <v>13</v>
      </c>
    </row>
    <row r="938" spans="1:6">
      <c r="A938">
        <v>937</v>
      </c>
      <c r="B938">
        <v>79</v>
      </c>
      <c r="C938" t="s">
        <v>10</v>
      </c>
      <c r="D938" t="s">
        <v>7</v>
      </c>
      <c r="E938" t="s">
        <v>16</v>
      </c>
      <c r="F938" t="s">
        <v>9</v>
      </c>
    </row>
    <row r="939" spans="1:6">
      <c r="A939">
        <v>938</v>
      </c>
      <c r="B939">
        <v>32</v>
      </c>
      <c r="C939" t="s">
        <v>6</v>
      </c>
      <c r="D939" t="s">
        <v>17</v>
      </c>
      <c r="E939" t="s">
        <v>30</v>
      </c>
      <c r="F939" t="s">
        <v>13</v>
      </c>
    </row>
    <row r="940" spans="1:6">
      <c r="A940">
        <v>939</v>
      </c>
      <c r="B940">
        <v>56</v>
      </c>
      <c r="C940" t="s">
        <v>10</v>
      </c>
      <c r="D940" t="s">
        <v>7</v>
      </c>
      <c r="E940" t="s">
        <v>18</v>
      </c>
      <c r="F940" t="s">
        <v>9</v>
      </c>
    </row>
    <row r="941" spans="1:6">
      <c r="A941">
        <v>940</v>
      </c>
      <c r="B941">
        <v>40</v>
      </c>
      <c r="C941" t="s">
        <v>6</v>
      </c>
      <c r="D941" t="s">
        <v>15</v>
      </c>
      <c r="E941" t="s">
        <v>28</v>
      </c>
      <c r="F941" t="s">
        <v>13</v>
      </c>
    </row>
    <row r="942" spans="1:6">
      <c r="A942">
        <v>941</v>
      </c>
      <c r="B942">
        <v>68</v>
      </c>
      <c r="C942" t="s">
        <v>10</v>
      </c>
      <c r="D942" t="s">
        <v>7</v>
      </c>
      <c r="E942" t="s">
        <v>36</v>
      </c>
      <c r="F942" t="s">
        <v>9</v>
      </c>
    </row>
    <row r="943" spans="1:6">
      <c r="A943">
        <v>942</v>
      </c>
      <c r="B943">
        <v>29</v>
      </c>
      <c r="C943" t="s">
        <v>6</v>
      </c>
      <c r="D943" t="s">
        <v>21</v>
      </c>
      <c r="E943" t="s">
        <v>20</v>
      </c>
      <c r="F943" t="s">
        <v>13</v>
      </c>
    </row>
    <row r="944" spans="1:6">
      <c r="A944">
        <v>943</v>
      </c>
      <c r="B944">
        <v>53</v>
      </c>
      <c r="C944" t="s">
        <v>10</v>
      </c>
      <c r="D944" t="s">
        <v>7</v>
      </c>
      <c r="E944" t="s">
        <v>22</v>
      </c>
      <c r="F944" t="s">
        <v>9</v>
      </c>
    </row>
    <row r="945" spans="1:6">
      <c r="A945">
        <v>944</v>
      </c>
      <c r="B945">
        <v>37</v>
      </c>
      <c r="C945" t="s">
        <v>6</v>
      </c>
      <c r="D945" t="s">
        <v>15</v>
      </c>
      <c r="E945" t="s">
        <v>14</v>
      </c>
      <c r="F945" t="s">
        <v>13</v>
      </c>
    </row>
    <row r="946" spans="1:6">
      <c r="A946">
        <v>945</v>
      </c>
      <c r="B946">
        <v>74</v>
      </c>
      <c r="C946" t="s">
        <v>10</v>
      </c>
      <c r="D946" t="s">
        <v>7</v>
      </c>
      <c r="E946" t="s">
        <v>35</v>
      </c>
      <c r="F946" t="s">
        <v>9</v>
      </c>
    </row>
    <row r="947" spans="1:6">
      <c r="A947">
        <v>946</v>
      </c>
      <c r="B947">
        <v>33</v>
      </c>
      <c r="C947" t="s">
        <v>6</v>
      </c>
      <c r="D947" t="s">
        <v>17</v>
      </c>
      <c r="E947" t="s">
        <v>8</v>
      </c>
      <c r="F947" t="s">
        <v>13</v>
      </c>
    </row>
    <row r="948" spans="1:6">
      <c r="A948">
        <v>947</v>
      </c>
      <c r="B948">
        <v>58</v>
      </c>
      <c r="C948" t="s">
        <v>10</v>
      </c>
      <c r="D948" t="s">
        <v>7</v>
      </c>
      <c r="E948" t="s">
        <v>24</v>
      </c>
      <c r="F948" t="s">
        <v>9</v>
      </c>
    </row>
    <row r="949" spans="1:6">
      <c r="A949">
        <v>948</v>
      </c>
      <c r="B949">
        <v>41</v>
      </c>
      <c r="C949" t="s">
        <v>6</v>
      </c>
      <c r="D949" t="s">
        <v>15</v>
      </c>
      <c r="E949" t="s">
        <v>27</v>
      </c>
      <c r="F949" t="s">
        <v>13</v>
      </c>
    </row>
    <row r="950" spans="1:6">
      <c r="A950">
        <v>949</v>
      </c>
      <c r="B950">
        <v>72</v>
      </c>
      <c r="C950" t="s">
        <v>10</v>
      </c>
      <c r="D950" t="s">
        <v>7</v>
      </c>
      <c r="E950" t="s">
        <v>16</v>
      </c>
      <c r="F950" t="s">
        <v>9</v>
      </c>
    </row>
    <row r="951" spans="1:6">
      <c r="A951">
        <v>950</v>
      </c>
      <c r="B951">
        <v>30</v>
      </c>
      <c r="C951" t="s">
        <v>6</v>
      </c>
      <c r="D951" t="s">
        <v>19</v>
      </c>
      <c r="E951" t="s">
        <v>32</v>
      </c>
      <c r="F951" t="s">
        <v>13</v>
      </c>
    </row>
    <row r="952" spans="1:6">
      <c r="A952">
        <v>951</v>
      </c>
      <c r="B952">
        <v>63</v>
      </c>
      <c r="C952" t="s">
        <v>10</v>
      </c>
      <c r="D952" t="s">
        <v>17</v>
      </c>
      <c r="E952" t="s">
        <v>31</v>
      </c>
      <c r="F952" t="s">
        <v>9</v>
      </c>
    </row>
    <row r="953" spans="1:6">
      <c r="A953">
        <v>952</v>
      </c>
      <c r="B953">
        <v>46</v>
      </c>
      <c r="C953" t="s">
        <v>6</v>
      </c>
      <c r="D953" t="s">
        <v>7</v>
      </c>
      <c r="E953" t="s">
        <v>28</v>
      </c>
      <c r="F953" t="s">
        <v>13</v>
      </c>
    </row>
    <row r="954" spans="1:6">
      <c r="A954">
        <v>953</v>
      </c>
      <c r="B954">
        <v>27</v>
      </c>
      <c r="C954" t="s">
        <v>10</v>
      </c>
      <c r="D954" t="s">
        <v>15</v>
      </c>
      <c r="E954" t="s">
        <v>30</v>
      </c>
      <c r="F954" t="s">
        <v>13</v>
      </c>
    </row>
    <row r="955" spans="1:6">
      <c r="A955">
        <v>954</v>
      </c>
      <c r="B955">
        <v>77</v>
      </c>
      <c r="C955" t="s">
        <v>6</v>
      </c>
      <c r="D955" t="s">
        <v>7</v>
      </c>
      <c r="E955" t="s">
        <v>33</v>
      </c>
      <c r="F955" t="s">
        <v>9</v>
      </c>
    </row>
    <row r="956" spans="1:6">
      <c r="A956">
        <v>955</v>
      </c>
      <c r="B956">
        <v>39</v>
      </c>
      <c r="C956" t="s">
        <v>10</v>
      </c>
      <c r="D956" t="s">
        <v>11</v>
      </c>
      <c r="E956" t="s">
        <v>22</v>
      </c>
      <c r="F956" t="s">
        <v>13</v>
      </c>
    </row>
    <row r="957" spans="1:6">
      <c r="A957">
        <v>956</v>
      </c>
      <c r="B957">
        <v>55</v>
      </c>
      <c r="C957" t="s">
        <v>6</v>
      </c>
      <c r="D957" t="s">
        <v>7</v>
      </c>
      <c r="E957" t="s">
        <v>34</v>
      </c>
      <c r="F957" t="s">
        <v>9</v>
      </c>
    </row>
    <row r="958" spans="1:6">
      <c r="A958">
        <v>957</v>
      </c>
      <c r="B958">
        <v>34</v>
      </c>
      <c r="C958" t="s">
        <v>10</v>
      </c>
      <c r="D958" t="s">
        <v>15</v>
      </c>
      <c r="E958" t="s">
        <v>18</v>
      </c>
      <c r="F958" t="s">
        <v>13</v>
      </c>
    </row>
    <row r="959" spans="1:6">
      <c r="A959">
        <v>958</v>
      </c>
      <c r="B959">
        <v>69</v>
      </c>
      <c r="C959" t="s">
        <v>6</v>
      </c>
      <c r="D959" t="s">
        <v>7</v>
      </c>
      <c r="E959" t="s">
        <v>16</v>
      </c>
      <c r="F959" t="s">
        <v>9</v>
      </c>
    </row>
    <row r="960" spans="1:6">
      <c r="A960">
        <v>959</v>
      </c>
      <c r="B960">
        <v>31</v>
      </c>
      <c r="C960" t="s">
        <v>10</v>
      </c>
      <c r="D960" t="s">
        <v>17</v>
      </c>
      <c r="E960" t="s">
        <v>36</v>
      </c>
      <c r="F960" t="s">
        <v>13</v>
      </c>
    </row>
    <row r="961" spans="1:6">
      <c r="A961">
        <v>960</v>
      </c>
      <c r="B961">
        <v>80</v>
      </c>
      <c r="C961" t="s">
        <v>6</v>
      </c>
      <c r="D961" t="s">
        <v>7</v>
      </c>
      <c r="E961" t="s">
        <v>20</v>
      </c>
      <c r="F961" t="s">
        <v>9</v>
      </c>
    </row>
    <row r="962" spans="1:6">
      <c r="A962">
        <v>961</v>
      </c>
      <c r="B962">
        <v>43</v>
      </c>
      <c r="C962" t="s">
        <v>10</v>
      </c>
      <c r="D962" t="s">
        <v>15</v>
      </c>
      <c r="E962" t="s">
        <v>8</v>
      </c>
      <c r="F962" t="s">
        <v>13</v>
      </c>
    </row>
    <row r="963" spans="1:6">
      <c r="A963">
        <v>962</v>
      </c>
      <c r="B963">
        <v>24</v>
      </c>
      <c r="C963" t="s">
        <v>6</v>
      </c>
      <c r="D963" t="s">
        <v>7</v>
      </c>
      <c r="E963" t="s">
        <v>24</v>
      </c>
      <c r="F963" t="s">
        <v>13</v>
      </c>
    </row>
    <row r="964" spans="1:6">
      <c r="A964">
        <v>963</v>
      </c>
      <c r="B964">
        <v>60</v>
      </c>
      <c r="C964" t="s">
        <v>10</v>
      </c>
      <c r="D964" t="s">
        <v>21</v>
      </c>
      <c r="E964" t="s">
        <v>26</v>
      </c>
      <c r="F964" t="s">
        <v>9</v>
      </c>
    </row>
    <row r="965" spans="1:6">
      <c r="A965">
        <v>964</v>
      </c>
      <c r="B965">
        <v>38</v>
      </c>
      <c r="C965" t="s">
        <v>6</v>
      </c>
      <c r="D965" t="s">
        <v>7</v>
      </c>
      <c r="E965" t="s">
        <v>22</v>
      </c>
      <c r="F965" t="s">
        <v>13</v>
      </c>
    </row>
    <row r="966" spans="1:6">
      <c r="A966">
        <v>965</v>
      </c>
      <c r="B966">
        <v>57</v>
      </c>
      <c r="C966" t="s">
        <v>10</v>
      </c>
      <c r="D966" t="s">
        <v>15</v>
      </c>
      <c r="E966" t="s">
        <v>32</v>
      </c>
      <c r="F966" t="s">
        <v>9</v>
      </c>
    </row>
    <row r="967" spans="1:6">
      <c r="A967">
        <v>966</v>
      </c>
      <c r="B967">
        <v>29</v>
      </c>
      <c r="C967" t="s">
        <v>6</v>
      </c>
      <c r="D967" t="s">
        <v>19</v>
      </c>
      <c r="E967" t="s">
        <v>27</v>
      </c>
      <c r="F967" t="s">
        <v>13</v>
      </c>
    </row>
    <row r="968" spans="1:6">
      <c r="A968">
        <v>967</v>
      </c>
      <c r="B968">
        <v>73</v>
      </c>
      <c r="C968" t="s">
        <v>10</v>
      </c>
      <c r="D968" t="s">
        <v>7</v>
      </c>
      <c r="E968" t="s">
        <v>16</v>
      </c>
      <c r="F968" t="s">
        <v>9</v>
      </c>
    </row>
    <row r="969" spans="1:6">
      <c r="A969">
        <v>968</v>
      </c>
      <c r="B969">
        <v>45</v>
      </c>
      <c r="C969" t="s">
        <v>6</v>
      </c>
      <c r="D969" t="s">
        <v>17</v>
      </c>
      <c r="E969" t="s">
        <v>30</v>
      </c>
      <c r="F969" t="s">
        <v>13</v>
      </c>
    </row>
    <row r="970" spans="1:6">
      <c r="A970">
        <v>969</v>
      </c>
      <c r="B970">
        <v>36</v>
      </c>
      <c r="C970" t="s">
        <v>10</v>
      </c>
      <c r="D970" t="s">
        <v>7</v>
      </c>
      <c r="E970" t="s">
        <v>31</v>
      </c>
      <c r="F970" t="s">
        <v>13</v>
      </c>
    </row>
    <row r="971" spans="1:6">
      <c r="A971">
        <v>970</v>
      </c>
      <c r="B971">
        <v>67</v>
      </c>
      <c r="C971" t="s">
        <v>6</v>
      </c>
      <c r="D971" t="s">
        <v>7</v>
      </c>
      <c r="E971" t="s">
        <v>28</v>
      </c>
      <c r="F971" t="s">
        <v>9</v>
      </c>
    </row>
    <row r="972" spans="1:6">
      <c r="A972">
        <v>971</v>
      </c>
      <c r="B972">
        <v>32</v>
      </c>
      <c r="C972" t="s">
        <v>10</v>
      </c>
      <c r="D972" t="s">
        <v>15</v>
      </c>
      <c r="E972" t="s">
        <v>34</v>
      </c>
      <c r="F972" t="s">
        <v>13</v>
      </c>
    </row>
    <row r="973" spans="1:6">
      <c r="A973">
        <v>972</v>
      </c>
      <c r="B973">
        <v>59</v>
      </c>
      <c r="C973" t="s">
        <v>6</v>
      </c>
      <c r="D973" t="s">
        <v>7</v>
      </c>
      <c r="E973" t="s">
        <v>33</v>
      </c>
      <c r="F973" t="s">
        <v>9</v>
      </c>
    </row>
    <row r="974" spans="1:6">
      <c r="A974">
        <v>973</v>
      </c>
      <c r="B974">
        <v>40</v>
      </c>
      <c r="C974" t="s">
        <v>10</v>
      </c>
      <c r="D974" t="s">
        <v>11</v>
      </c>
      <c r="E974" t="s">
        <v>22</v>
      </c>
      <c r="F974" t="s">
        <v>13</v>
      </c>
    </row>
    <row r="975" spans="1:6">
      <c r="A975">
        <v>974</v>
      </c>
      <c r="B975">
        <v>75</v>
      </c>
      <c r="C975" t="s">
        <v>6</v>
      </c>
      <c r="D975" t="s">
        <v>7</v>
      </c>
      <c r="E975" t="s">
        <v>36</v>
      </c>
      <c r="F975" t="s">
        <v>9</v>
      </c>
    </row>
    <row r="976" spans="1:6">
      <c r="A976">
        <v>975</v>
      </c>
      <c r="B976">
        <v>28</v>
      </c>
      <c r="C976" t="s">
        <v>10</v>
      </c>
      <c r="D976" t="s">
        <v>15</v>
      </c>
      <c r="E976" t="s">
        <v>18</v>
      </c>
      <c r="F976" t="s">
        <v>13</v>
      </c>
    </row>
    <row r="977" spans="1:6">
      <c r="A977">
        <v>976</v>
      </c>
      <c r="B977">
        <v>62</v>
      </c>
      <c r="C977" t="s">
        <v>6</v>
      </c>
      <c r="D977" t="s">
        <v>7</v>
      </c>
      <c r="E977" t="s">
        <v>16</v>
      </c>
      <c r="F977" t="s">
        <v>9</v>
      </c>
    </row>
    <row r="978" spans="1:6">
      <c r="A978">
        <v>977</v>
      </c>
      <c r="B978">
        <v>47</v>
      </c>
      <c r="C978" t="s">
        <v>10</v>
      </c>
      <c r="D978" t="s">
        <v>17</v>
      </c>
      <c r="E978" t="s">
        <v>14</v>
      </c>
      <c r="F978" t="s">
        <v>13</v>
      </c>
    </row>
    <row r="979" spans="1:6">
      <c r="A979">
        <v>978</v>
      </c>
      <c r="B979">
        <v>34</v>
      </c>
      <c r="C979" t="s">
        <v>6</v>
      </c>
      <c r="D979" t="s">
        <v>7</v>
      </c>
      <c r="E979" t="s">
        <v>20</v>
      </c>
      <c r="F979" t="s">
        <v>13</v>
      </c>
    </row>
    <row r="980" spans="1:6">
      <c r="A980">
        <v>979</v>
      </c>
      <c r="B980">
        <v>71</v>
      </c>
      <c r="C980" t="s">
        <v>10</v>
      </c>
      <c r="D980" t="s">
        <v>7</v>
      </c>
      <c r="E980" t="s">
        <v>8</v>
      </c>
      <c r="F980" t="s">
        <v>9</v>
      </c>
    </row>
    <row r="981" spans="1:6">
      <c r="A981">
        <v>980</v>
      </c>
      <c r="B981">
        <v>30</v>
      </c>
      <c r="C981" t="s">
        <v>6</v>
      </c>
      <c r="D981" t="s">
        <v>15</v>
      </c>
      <c r="E981" t="s">
        <v>24</v>
      </c>
      <c r="F981" t="s">
        <v>13</v>
      </c>
    </row>
    <row r="982" spans="1:6">
      <c r="A982">
        <v>981</v>
      </c>
      <c r="B982">
        <v>64</v>
      </c>
      <c r="C982" t="s">
        <v>10</v>
      </c>
      <c r="D982" t="s">
        <v>7</v>
      </c>
      <c r="E982" t="s">
        <v>35</v>
      </c>
      <c r="F982" t="s">
        <v>9</v>
      </c>
    </row>
    <row r="983" spans="1:6">
      <c r="A983">
        <v>982</v>
      </c>
      <c r="B983">
        <v>42</v>
      </c>
      <c r="C983" t="s">
        <v>6</v>
      </c>
      <c r="D983" t="s">
        <v>17</v>
      </c>
      <c r="E983" t="s">
        <v>22</v>
      </c>
      <c r="F983" t="s">
        <v>13</v>
      </c>
    </row>
    <row r="984" spans="1:6">
      <c r="A984">
        <v>983</v>
      </c>
      <c r="B984">
        <v>58</v>
      </c>
      <c r="C984" t="s">
        <v>10</v>
      </c>
      <c r="D984" t="s">
        <v>7</v>
      </c>
      <c r="E984" t="s">
        <v>32</v>
      </c>
      <c r="F984" t="s">
        <v>9</v>
      </c>
    </row>
    <row r="985" spans="1:6">
      <c r="A985">
        <v>984</v>
      </c>
      <c r="B985">
        <v>37</v>
      </c>
      <c r="C985" t="s">
        <v>6</v>
      </c>
      <c r="D985" t="s">
        <v>15</v>
      </c>
      <c r="E985" t="s">
        <v>27</v>
      </c>
      <c r="F985" t="s">
        <v>13</v>
      </c>
    </row>
    <row r="986" spans="1:6">
      <c r="A986">
        <v>985</v>
      </c>
      <c r="B986">
        <v>76</v>
      </c>
      <c r="C986" t="s">
        <v>10</v>
      </c>
      <c r="D986" t="s">
        <v>7</v>
      </c>
      <c r="E986" t="s">
        <v>16</v>
      </c>
      <c r="F986" t="s">
        <v>9</v>
      </c>
    </row>
    <row r="987" spans="1:6">
      <c r="A987">
        <v>986</v>
      </c>
      <c r="B987">
        <v>33</v>
      </c>
      <c r="C987" t="s">
        <v>6</v>
      </c>
      <c r="D987" t="s">
        <v>21</v>
      </c>
      <c r="E987" t="s">
        <v>30</v>
      </c>
      <c r="F987" t="s">
        <v>13</v>
      </c>
    </row>
    <row r="988" spans="1:6">
      <c r="A988">
        <v>987</v>
      </c>
      <c r="B988">
        <v>55</v>
      </c>
      <c r="C988" t="s">
        <v>10</v>
      </c>
      <c r="D988" t="s">
        <v>7</v>
      </c>
      <c r="E988" t="s">
        <v>31</v>
      </c>
      <c r="F988" t="s">
        <v>9</v>
      </c>
    </row>
    <row r="989" spans="1:6">
      <c r="A989">
        <v>988</v>
      </c>
      <c r="B989">
        <v>41</v>
      </c>
      <c r="C989" t="s">
        <v>6</v>
      </c>
      <c r="D989" t="s">
        <v>15</v>
      </c>
      <c r="E989" t="s">
        <v>28</v>
      </c>
      <c r="F989" t="s">
        <v>13</v>
      </c>
    </row>
    <row r="990" spans="1:6">
      <c r="A990">
        <v>989</v>
      </c>
      <c r="B990">
        <v>68</v>
      </c>
      <c r="C990" t="s">
        <v>10</v>
      </c>
      <c r="D990" t="s">
        <v>7</v>
      </c>
      <c r="E990" t="s">
        <v>36</v>
      </c>
      <c r="F990" t="s">
        <v>9</v>
      </c>
    </row>
    <row r="991" spans="1:6">
      <c r="A991">
        <v>990</v>
      </c>
      <c r="B991">
        <v>29</v>
      </c>
      <c r="C991" t="s">
        <v>6</v>
      </c>
      <c r="D991" t="s">
        <v>17</v>
      </c>
      <c r="E991" t="s">
        <v>33</v>
      </c>
      <c r="F991" t="s">
        <v>13</v>
      </c>
    </row>
    <row r="992" spans="1:6">
      <c r="A992">
        <v>991</v>
      </c>
      <c r="B992">
        <v>63</v>
      </c>
      <c r="C992" t="s">
        <v>10</v>
      </c>
      <c r="D992" t="s">
        <v>7</v>
      </c>
      <c r="E992" t="s">
        <v>22</v>
      </c>
      <c r="F992" t="s">
        <v>9</v>
      </c>
    </row>
    <row r="993" spans="1:6">
      <c r="A993">
        <v>992</v>
      </c>
      <c r="B993">
        <v>46</v>
      </c>
      <c r="C993" t="s">
        <v>6</v>
      </c>
      <c r="D993" t="s">
        <v>15</v>
      </c>
      <c r="E993" t="s">
        <v>34</v>
      </c>
      <c r="F993" t="s">
        <v>13</v>
      </c>
    </row>
    <row r="994" spans="1:6">
      <c r="A994">
        <v>993</v>
      </c>
      <c r="B994">
        <v>27</v>
      </c>
      <c r="C994" t="s">
        <v>10</v>
      </c>
      <c r="D994" t="s">
        <v>19</v>
      </c>
      <c r="E994" t="s">
        <v>18</v>
      </c>
      <c r="F994" t="s">
        <v>13</v>
      </c>
    </row>
    <row r="995" spans="1:6">
      <c r="A995">
        <v>994</v>
      </c>
      <c r="B995">
        <v>74</v>
      </c>
      <c r="C995" t="s">
        <v>6</v>
      </c>
      <c r="D995" t="s">
        <v>7</v>
      </c>
      <c r="E995" t="s">
        <v>16</v>
      </c>
      <c r="F995" t="s">
        <v>9</v>
      </c>
    </row>
    <row r="996" spans="1:6">
      <c r="A996">
        <v>995</v>
      </c>
      <c r="B996">
        <v>35</v>
      </c>
      <c r="C996" t="s">
        <v>10</v>
      </c>
      <c r="D996" t="s">
        <v>11</v>
      </c>
      <c r="E996" t="s">
        <v>14</v>
      </c>
      <c r="F996" t="s">
        <v>13</v>
      </c>
    </row>
    <row r="997" spans="1:6">
      <c r="A997">
        <v>996</v>
      </c>
      <c r="B997">
        <v>59</v>
      </c>
      <c r="C997" t="s">
        <v>6</v>
      </c>
      <c r="D997" t="s">
        <v>7</v>
      </c>
      <c r="E997" t="s">
        <v>20</v>
      </c>
      <c r="F997" t="s">
        <v>9</v>
      </c>
    </row>
    <row r="998" spans="1:6">
      <c r="A998">
        <v>997</v>
      </c>
      <c r="B998">
        <v>38</v>
      </c>
      <c r="C998" t="s">
        <v>10</v>
      </c>
      <c r="D998" t="s">
        <v>15</v>
      </c>
      <c r="E998" t="s">
        <v>8</v>
      </c>
      <c r="F998" t="s">
        <v>13</v>
      </c>
    </row>
    <row r="999" spans="1:6">
      <c r="A999">
        <v>998</v>
      </c>
      <c r="B999">
        <v>70</v>
      </c>
      <c r="C999" t="s">
        <v>6</v>
      </c>
      <c r="D999" t="s">
        <v>7</v>
      </c>
      <c r="E999" t="s">
        <v>24</v>
      </c>
      <c r="F999" t="s">
        <v>9</v>
      </c>
    </row>
    <row r="1000" spans="1:6">
      <c r="A1000">
        <v>999</v>
      </c>
      <c r="B1000">
        <v>31</v>
      </c>
      <c r="C1000" t="s">
        <v>10</v>
      </c>
      <c r="D1000" t="s">
        <v>17</v>
      </c>
      <c r="E1000" t="s">
        <v>26</v>
      </c>
      <c r="F1000" t="s">
        <v>13</v>
      </c>
    </row>
    <row r="1001" spans="1:6">
      <c r="A1001">
        <v>1000</v>
      </c>
      <c r="B1001">
        <v>79</v>
      </c>
      <c r="C1001" t="s">
        <v>6</v>
      </c>
      <c r="D1001" t="s">
        <v>7</v>
      </c>
      <c r="E1001" t="s">
        <v>28</v>
      </c>
      <c r="F1001" t="s">
        <v>9</v>
      </c>
    </row>
  </sheetData>
  <autoFilter ref="A1:F1" xr:uid="{D97FEAA0-288A-460C-AE7E-B28B3FD56F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E222-E90D-4D0E-B18E-3F126DFE8048}">
  <dimension ref="A3:B17"/>
  <sheetViews>
    <sheetView tabSelected="1" topLeftCell="B3" workbookViewId="0">
      <selection activeCell="J21" sqref="J21"/>
    </sheetView>
  </sheetViews>
  <sheetFormatPr defaultRowHeight="15"/>
  <cols>
    <col min="1" max="1" width="17" bestFit="1" customWidth="1"/>
    <col min="2" max="2" width="29.5703125" bestFit="1" customWidth="1"/>
  </cols>
  <sheetData>
    <row r="3" spans="1:2">
      <c r="A3" s="3" t="s">
        <v>37</v>
      </c>
      <c r="B3" t="s">
        <v>38</v>
      </c>
    </row>
    <row r="4" spans="1:2">
      <c r="A4" t="s">
        <v>39</v>
      </c>
      <c r="B4" s="5">
        <v>99.169230769230765</v>
      </c>
    </row>
    <row r="5" spans="1:2">
      <c r="A5" t="s">
        <v>40</v>
      </c>
      <c r="B5" s="5">
        <v>49.639344262295083</v>
      </c>
    </row>
    <row r="6" spans="1:2">
      <c r="A6" t="s">
        <v>41</v>
      </c>
      <c r="B6" s="5">
        <v>102.9047619047619</v>
      </c>
    </row>
    <row r="7" spans="1:2">
      <c r="A7" t="s">
        <v>42</v>
      </c>
      <c r="B7" s="5">
        <v>31.015873015873016</v>
      </c>
    </row>
    <row r="8" spans="1:2">
      <c r="A8" t="s">
        <v>43</v>
      </c>
      <c r="B8" s="5">
        <v>36.73770491803279</v>
      </c>
    </row>
    <row r="9" spans="1:2">
      <c r="A9" t="s">
        <v>44</v>
      </c>
      <c r="B9" s="5">
        <v>43.476190476190474</v>
      </c>
    </row>
    <row r="10" spans="1:2">
      <c r="A10" t="s">
        <v>45</v>
      </c>
      <c r="B10" s="5">
        <v>107.53125</v>
      </c>
    </row>
    <row r="11" spans="1:2">
      <c r="A11" t="s">
        <v>46</v>
      </c>
      <c r="B11" s="5">
        <v>32.3125</v>
      </c>
    </row>
    <row r="12" spans="1:2">
      <c r="A12" t="s">
        <v>47</v>
      </c>
      <c r="B12" s="5">
        <v>32.065573770491802</v>
      </c>
    </row>
    <row r="13" spans="1:2">
      <c r="A13" t="s">
        <v>48</v>
      </c>
      <c r="B13" s="5">
        <v>36.40625</v>
      </c>
    </row>
    <row r="14" spans="1:2">
      <c r="A14" t="s">
        <v>49</v>
      </c>
      <c r="B14" s="5">
        <v>114</v>
      </c>
    </row>
    <row r="15" spans="1:2">
      <c r="A15" t="s">
        <v>50</v>
      </c>
      <c r="B15" s="5">
        <v>33.453125</v>
      </c>
    </row>
    <row r="16" spans="1:2">
      <c r="A16" t="s">
        <v>51</v>
      </c>
      <c r="B16" s="5">
        <v>106.08196721311475</v>
      </c>
    </row>
    <row r="17" spans="1:2">
      <c r="A17" t="s">
        <v>52</v>
      </c>
      <c r="B17" s="5">
        <v>63.55079559363525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3353-CA52-4D7A-807B-ECA726E40C00}">
  <dimension ref="A3:E8"/>
  <sheetViews>
    <sheetView workbookViewId="0">
      <selection activeCell="T10" sqref="T10"/>
    </sheetView>
  </sheetViews>
  <sheetFormatPr defaultRowHeight="15"/>
  <cols>
    <col min="1" max="1" width="20.5703125" bestFit="1" customWidth="1"/>
    <col min="2" max="2" width="17.85546875" bestFit="1" customWidth="1"/>
    <col min="3" max="3" width="11" bestFit="1" customWidth="1"/>
    <col min="4" max="4" width="8.42578125" bestFit="1" customWidth="1"/>
    <col min="5" max="5" width="11.42578125" bestFit="1" customWidth="1"/>
  </cols>
  <sheetData>
    <row r="3" spans="1:5">
      <c r="A3" s="3" t="s">
        <v>53</v>
      </c>
      <c r="B3" s="3" t="s">
        <v>54</v>
      </c>
    </row>
    <row r="4" spans="1:5">
      <c r="A4" s="3" t="s">
        <v>55</v>
      </c>
      <c r="B4" t="s">
        <v>56</v>
      </c>
      <c r="C4" t="s">
        <v>57</v>
      </c>
      <c r="D4" t="s">
        <v>58</v>
      </c>
      <c r="E4" t="s">
        <v>52</v>
      </c>
    </row>
    <row r="5" spans="1:5">
      <c r="A5" t="s">
        <v>59</v>
      </c>
      <c r="C5">
        <v>1</v>
      </c>
      <c r="E5">
        <v>1</v>
      </c>
    </row>
    <row r="6" spans="1:5">
      <c r="A6" t="s">
        <v>60</v>
      </c>
      <c r="B6">
        <v>411</v>
      </c>
      <c r="C6">
        <v>288</v>
      </c>
      <c r="D6">
        <v>47</v>
      </c>
      <c r="E6">
        <v>746</v>
      </c>
    </row>
    <row r="7" spans="1:5">
      <c r="A7" t="s">
        <v>61</v>
      </c>
      <c r="B7">
        <v>30</v>
      </c>
      <c r="C7">
        <v>26</v>
      </c>
      <c r="D7">
        <v>14</v>
      </c>
      <c r="E7">
        <v>70</v>
      </c>
    </row>
    <row r="8" spans="1:5">
      <c r="A8" t="s">
        <v>52</v>
      </c>
      <c r="B8">
        <v>441</v>
      </c>
      <c r="C8">
        <v>315</v>
      </c>
      <c r="D8">
        <v>61</v>
      </c>
      <c r="E8">
        <v>817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6120-E006-47AB-80AA-32712F513DF3}">
  <dimension ref="A3:B23"/>
  <sheetViews>
    <sheetView topLeftCell="A3" workbookViewId="0">
      <selection activeCell="A3" sqref="A3"/>
    </sheetView>
  </sheetViews>
  <sheetFormatPr defaultRowHeight="15"/>
  <cols>
    <col min="1" max="1" width="15.140625" bestFit="1" customWidth="1"/>
    <col min="2" max="2" width="29.5703125" bestFit="1" customWidth="1"/>
    <col min="3" max="3" width="20.5703125" bestFit="1" customWidth="1"/>
  </cols>
  <sheetData>
    <row r="3" spans="1:2">
      <c r="A3" s="3" t="s">
        <v>62</v>
      </c>
      <c r="B3" t="s">
        <v>38</v>
      </c>
    </row>
    <row r="4" spans="1:2">
      <c r="A4">
        <v>7</v>
      </c>
      <c r="B4">
        <v>28</v>
      </c>
    </row>
    <row r="5" spans="1:2">
      <c r="A5">
        <v>8</v>
      </c>
      <c r="B5">
        <v>119</v>
      </c>
    </row>
    <row r="6" spans="1:2">
      <c r="A6">
        <v>9</v>
      </c>
      <c r="B6">
        <v>27</v>
      </c>
    </row>
    <row r="7" spans="1:2">
      <c r="A7">
        <v>10</v>
      </c>
      <c r="B7">
        <v>95.75</v>
      </c>
    </row>
    <row r="8" spans="1:2">
      <c r="A8">
        <v>11</v>
      </c>
      <c r="B8" s="7">
        <v>54.333333333333336</v>
      </c>
    </row>
    <row r="9" spans="1:2">
      <c r="A9">
        <v>12</v>
      </c>
      <c r="B9" s="7">
        <v>25.166666666666668</v>
      </c>
    </row>
    <row r="10" spans="1:2">
      <c r="A10">
        <v>13</v>
      </c>
      <c r="B10" s="7">
        <v>101.66666666666667</v>
      </c>
    </row>
    <row r="11" spans="1:2">
      <c r="A11">
        <v>14</v>
      </c>
      <c r="B11">
        <v>73</v>
      </c>
    </row>
    <row r="12" spans="1:2">
      <c r="A12">
        <v>15</v>
      </c>
      <c r="B12">
        <v>106</v>
      </c>
    </row>
    <row r="13" spans="1:2">
      <c r="A13">
        <v>16</v>
      </c>
      <c r="B13">
        <v>21.4</v>
      </c>
    </row>
    <row r="14" spans="1:2">
      <c r="A14">
        <v>17</v>
      </c>
      <c r="B14">
        <v>18.5</v>
      </c>
    </row>
    <row r="15" spans="1:2">
      <c r="A15">
        <v>18</v>
      </c>
      <c r="B15">
        <v>44</v>
      </c>
    </row>
    <row r="16" spans="1:2">
      <c r="A16">
        <v>19</v>
      </c>
      <c r="B16">
        <v>19</v>
      </c>
    </row>
    <row r="17" spans="1:2">
      <c r="A17">
        <v>20</v>
      </c>
      <c r="B17">
        <v>43</v>
      </c>
    </row>
    <row r="18" spans="1:2">
      <c r="A18">
        <v>21</v>
      </c>
      <c r="B18">
        <v>10</v>
      </c>
    </row>
    <row r="19" spans="1:2">
      <c r="A19">
        <v>22</v>
      </c>
      <c r="B19">
        <v>135</v>
      </c>
    </row>
    <row r="20" spans="1:2">
      <c r="A20">
        <v>23</v>
      </c>
      <c r="B20">
        <v>120</v>
      </c>
    </row>
    <row r="21" spans="1:2">
      <c r="A21">
        <v>24</v>
      </c>
      <c r="B21">
        <v>103.5</v>
      </c>
    </row>
    <row r="22" spans="1:2">
      <c r="A22" t="s">
        <v>63</v>
      </c>
      <c r="B22" s="7">
        <v>63.720207253886009</v>
      </c>
    </row>
    <row r="23" spans="1:2">
      <c r="A23" t="s">
        <v>52</v>
      </c>
      <c r="B23">
        <v>63.55079559363525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C139-6E07-4B9F-9BC2-53FC2D93C9BB}">
  <dimension ref="A3:C17"/>
  <sheetViews>
    <sheetView topLeftCell="A2" workbookViewId="0">
      <selection activeCell="H14" sqref="H14"/>
    </sheetView>
  </sheetViews>
  <sheetFormatPr defaultRowHeight="15"/>
  <cols>
    <col min="1" max="1" width="17" bestFit="1" customWidth="1"/>
    <col min="2" max="2" width="29.5703125" bestFit="1" customWidth="1"/>
    <col min="3" max="3" width="22.85546875" bestFit="1" customWidth="1"/>
  </cols>
  <sheetData>
    <row r="3" spans="1:3">
      <c r="A3" s="3" t="s">
        <v>37</v>
      </c>
      <c r="B3" t="s">
        <v>38</v>
      </c>
      <c r="C3" t="s">
        <v>64</v>
      </c>
    </row>
    <row r="4" spans="1:3">
      <c r="A4" t="s">
        <v>39</v>
      </c>
      <c r="B4">
        <v>99.169230769230765</v>
      </c>
      <c r="C4">
        <v>42</v>
      </c>
    </row>
    <row r="5" spans="1:3">
      <c r="A5" t="s">
        <v>40</v>
      </c>
      <c r="B5">
        <v>49.639344262295083</v>
      </c>
      <c r="C5">
        <v>38</v>
      </c>
    </row>
    <row r="6" spans="1:3">
      <c r="A6" t="s">
        <v>41</v>
      </c>
      <c r="B6">
        <v>102.9047619047619</v>
      </c>
      <c r="C6">
        <v>20</v>
      </c>
    </row>
    <row r="7" spans="1:3">
      <c r="A7" t="s">
        <v>42</v>
      </c>
      <c r="B7">
        <v>31.015873015873016</v>
      </c>
      <c r="C7">
        <v>29</v>
      </c>
    </row>
    <row r="8" spans="1:3">
      <c r="A8" t="s">
        <v>43</v>
      </c>
      <c r="B8">
        <v>36.73770491803279</v>
      </c>
      <c r="C8">
        <v>44</v>
      </c>
    </row>
    <row r="9" spans="1:3">
      <c r="A9" t="s">
        <v>44</v>
      </c>
      <c r="B9">
        <v>43.476190476190474</v>
      </c>
      <c r="C9">
        <v>46</v>
      </c>
    </row>
    <row r="10" spans="1:3">
      <c r="A10" t="s">
        <v>45</v>
      </c>
      <c r="B10">
        <v>107.53125</v>
      </c>
      <c r="C10">
        <v>34</v>
      </c>
    </row>
    <row r="11" spans="1:3">
      <c r="A11" t="s">
        <v>46</v>
      </c>
      <c r="B11">
        <v>32.3125</v>
      </c>
      <c r="C11">
        <v>32</v>
      </c>
    </row>
    <row r="12" spans="1:3">
      <c r="A12" t="s">
        <v>47</v>
      </c>
      <c r="B12">
        <v>32.065573770491802</v>
      </c>
      <c r="C12">
        <v>28</v>
      </c>
    </row>
    <row r="13" spans="1:3">
      <c r="A13" t="s">
        <v>48</v>
      </c>
      <c r="B13">
        <v>36.40625</v>
      </c>
      <c r="C13">
        <v>40</v>
      </c>
    </row>
    <row r="14" spans="1:3">
      <c r="A14" t="s">
        <v>49</v>
      </c>
      <c r="B14">
        <v>114</v>
      </c>
      <c r="C14">
        <v>30</v>
      </c>
    </row>
    <row r="15" spans="1:3">
      <c r="A15" t="s">
        <v>50</v>
      </c>
      <c r="B15">
        <v>33.453125</v>
      </c>
      <c r="C15">
        <v>26</v>
      </c>
    </row>
    <row r="16" spans="1:3">
      <c r="A16" t="s">
        <v>51</v>
      </c>
      <c r="B16">
        <v>106.08196721311475</v>
      </c>
      <c r="C16">
        <v>36</v>
      </c>
    </row>
    <row r="17" spans="1:3">
      <c r="A17" t="s">
        <v>52</v>
      </c>
      <c r="B17">
        <v>63.55079559363525</v>
      </c>
      <c r="C17">
        <v>34.221542227662177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34A0-0D11-465A-98D6-81657FC1A8FC}">
  <dimension ref="A1:O818"/>
  <sheetViews>
    <sheetView workbookViewId="0">
      <pane ySplit="1" topLeftCell="C2" activePane="bottomLeft" state="frozen"/>
      <selection pane="bottomLeft" activeCell="P2" sqref="P2"/>
    </sheetView>
  </sheetViews>
  <sheetFormatPr defaultRowHeight="15"/>
  <cols>
    <col min="1" max="1" width="13.7109375" customWidth="1"/>
    <col min="2" max="2" width="17.5703125" customWidth="1"/>
    <col min="3" max="3" width="16.7109375" customWidth="1"/>
    <col min="4" max="4" width="18.5703125" style="1" customWidth="1"/>
    <col min="5" max="5" width="18.28515625" style="1" customWidth="1"/>
    <col min="6" max="6" width="14.5703125" customWidth="1"/>
    <col min="7" max="7" width="17" customWidth="1"/>
    <col min="8" max="8" width="20.28515625" customWidth="1"/>
    <col min="9" max="9" width="13.85546875" customWidth="1"/>
    <col min="10" max="10" width="20.42578125" customWidth="1"/>
    <col min="11" max="11" width="25.140625" customWidth="1"/>
    <col min="12" max="12" width="12.140625" customWidth="1"/>
    <col min="14" max="15" width="11.140625" bestFit="1" customWidth="1"/>
  </cols>
  <sheetData>
    <row r="1" spans="1:15" s="2" customFormat="1">
      <c r="A1" s="2" t="s">
        <v>65</v>
      </c>
      <c r="B1" s="2" t="s">
        <v>0</v>
      </c>
      <c r="C1" s="2" t="s">
        <v>37</v>
      </c>
      <c r="D1" s="4" t="s">
        <v>66</v>
      </c>
      <c r="E1" s="4" t="s">
        <v>67</v>
      </c>
      <c r="F1" s="2" t="s">
        <v>54</v>
      </c>
      <c r="G1" s="2" t="s">
        <v>68</v>
      </c>
      <c r="H1" s="2" t="s">
        <v>69</v>
      </c>
      <c r="I1" s="2" t="s">
        <v>55</v>
      </c>
      <c r="J1" s="2" t="s">
        <v>70</v>
      </c>
      <c r="K1" s="2" t="s">
        <v>71</v>
      </c>
      <c r="L1" s="2" t="s">
        <v>62</v>
      </c>
      <c r="M1" t="s">
        <v>72</v>
      </c>
    </row>
    <row r="2" spans="1:15">
      <c r="A2">
        <v>1</v>
      </c>
      <c r="B2">
        <v>482</v>
      </c>
      <c r="C2" t="s">
        <v>39</v>
      </c>
      <c r="D2" s="1">
        <v>45660</v>
      </c>
      <c r="F2" t="s">
        <v>57</v>
      </c>
      <c r="G2">
        <v>2</v>
      </c>
      <c r="H2">
        <v>122</v>
      </c>
      <c r="I2" t="s">
        <v>60</v>
      </c>
      <c r="J2">
        <f>G2*(H2/30)</f>
        <v>8.1333333333333329</v>
      </c>
      <c r="K2" t="str">
        <f>TEXT(D2, "dd/mm/yyyy")&amp;C2</f>
        <v>03/01/2025A&amp;E (Emergency)</v>
      </c>
      <c r="L2">
        <f>VLOOKUP(K2, Sheet2!$A$2:$B$4186, 2,FALSE)</f>
        <v>22</v>
      </c>
      <c r="M2">
        <f>VLOOKUP(C2,Depts!$B$1:$D$16,3,FALSE)</f>
        <v>42</v>
      </c>
      <c r="O2" s="1"/>
    </row>
    <row r="3" spans="1:15">
      <c r="A3">
        <v>2</v>
      </c>
      <c r="B3">
        <v>119</v>
      </c>
      <c r="C3" t="s">
        <v>43</v>
      </c>
      <c r="D3" s="1">
        <v>45661</v>
      </c>
      <c r="E3" s="1">
        <v>45666</v>
      </c>
      <c r="F3" t="s">
        <v>56</v>
      </c>
      <c r="G3">
        <v>5</v>
      </c>
      <c r="H3">
        <v>14</v>
      </c>
      <c r="I3" t="s">
        <v>60</v>
      </c>
      <c r="J3">
        <f t="shared" ref="J3:J66" si="0">G3*(H3/30)</f>
        <v>2.3333333333333335</v>
      </c>
      <c r="K3" t="str">
        <f t="shared" ref="K3:K66" si="1">TEXT(D3, "dd/mm/yyyy")&amp;C3</f>
        <v>04/01/2025General Surgery</v>
      </c>
      <c r="L3">
        <f>VLOOKUP(K3, Sheet2!$A$2:$B$4186, 2,FALSE)</f>
        <v>15</v>
      </c>
      <c r="M3">
        <f>VLOOKUP(C3,Depts!$B$1:$D$16,3,FALSE)</f>
        <v>44</v>
      </c>
      <c r="O3" s="1"/>
    </row>
    <row r="4" spans="1:15">
      <c r="A4">
        <v>3</v>
      </c>
      <c r="B4">
        <v>877</v>
      </c>
      <c r="C4" t="s">
        <v>47</v>
      </c>
      <c r="D4" s="1">
        <v>45662</v>
      </c>
      <c r="E4" s="1">
        <v>45669</v>
      </c>
      <c r="F4" t="s">
        <v>56</v>
      </c>
      <c r="G4">
        <v>7</v>
      </c>
      <c r="H4">
        <v>20</v>
      </c>
      <c r="I4" t="s">
        <v>60</v>
      </c>
      <c r="J4">
        <f t="shared" si="0"/>
        <v>4.6666666666666661</v>
      </c>
      <c r="K4" t="str">
        <f t="shared" si="1"/>
        <v>05/01/2025Oncology</v>
      </c>
      <c r="L4">
        <f>VLOOKUP(K4, Sheet2!$A$2:$B$4186, 2,FALSE)</f>
        <v>12</v>
      </c>
      <c r="M4">
        <f>VLOOKUP(C4,Depts!$B$1:$D$16,3,FALSE)</f>
        <v>28</v>
      </c>
      <c r="O4" s="1"/>
    </row>
    <row r="5" spans="1:15">
      <c r="A5">
        <v>4</v>
      </c>
      <c r="B5">
        <v>54</v>
      </c>
      <c r="C5" t="s">
        <v>51</v>
      </c>
      <c r="D5" s="1">
        <v>45663</v>
      </c>
      <c r="E5" s="1">
        <v>45665</v>
      </c>
      <c r="F5" t="s">
        <v>57</v>
      </c>
      <c r="G5">
        <v>2</v>
      </c>
      <c r="H5">
        <v>230</v>
      </c>
      <c r="I5" t="s">
        <v>60</v>
      </c>
      <c r="J5">
        <f t="shared" si="0"/>
        <v>15.333333333333334</v>
      </c>
      <c r="K5" t="str">
        <f t="shared" si="1"/>
        <v>06/01/2025Respiratory</v>
      </c>
      <c r="L5">
        <f>VLOOKUP(K5, Sheet2!$A$2:$B$4186, 2,FALSE)</f>
        <v>15</v>
      </c>
      <c r="M5">
        <f>VLOOKUP(C5,Depts!$B$1:$D$16,3,FALSE)</f>
        <v>36</v>
      </c>
    </row>
    <row r="6" spans="1:15">
      <c r="A6">
        <v>5</v>
      </c>
      <c r="B6">
        <v>691</v>
      </c>
      <c r="C6" t="s">
        <v>50</v>
      </c>
      <c r="D6" s="1">
        <v>45663</v>
      </c>
      <c r="E6" s="1">
        <v>45668</v>
      </c>
      <c r="F6" t="s">
        <v>56</v>
      </c>
      <c r="G6">
        <v>5</v>
      </c>
      <c r="H6">
        <v>10</v>
      </c>
      <c r="I6" t="s">
        <v>61</v>
      </c>
      <c r="J6">
        <f t="shared" si="0"/>
        <v>1.6666666666666665</v>
      </c>
      <c r="K6" t="str">
        <f t="shared" si="1"/>
        <v>06/01/2025Renal Medicine</v>
      </c>
      <c r="L6">
        <f>VLOOKUP(K6, Sheet2!$A$2:$B$4186, 2,FALSE)</f>
        <v>21</v>
      </c>
      <c r="M6">
        <f>VLOOKUP(C6,Depts!$B$1:$D$16,3,FALSE)</f>
        <v>26</v>
      </c>
    </row>
    <row r="7" spans="1:15">
      <c r="A7">
        <v>6</v>
      </c>
      <c r="B7">
        <v>305</v>
      </c>
      <c r="C7" t="s">
        <v>40</v>
      </c>
      <c r="D7" s="1">
        <v>45664</v>
      </c>
      <c r="E7" s="1">
        <v>45667</v>
      </c>
      <c r="F7" t="s">
        <v>58</v>
      </c>
      <c r="G7">
        <v>3</v>
      </c>
      <c r="H7">
        <v>35</v>
      </c>
      <c r="I7" t="s">
        <v>60</v>
      </c>
      <c r="J7">
        <f t="shared" si="0"/>
        <v>3.5</v>
      </c>
      <c r="K7" t="str">
        <f t="shared" si="1"/>
        <v>07/01/2025Cardiology</v>
      </c>
      <c r="L7">
        <f>VLOOKUP(K7, Sheet2!$A$2:$B$4186, 2,FALSE)</f>
        <v>17</v>
      </c>
      <c r="M7">
        <f>VLOOKUP(C7,Depts!$B$1:$D$16,3,FALSE)</f>
        <v>38</v>
      </c>
    </row>
    <row r="8" spans="1:15">
      <c r="A8">
        <v>7</v>
      </c>
      <c r="B8">
        <v>812</v>
      </c>
      <c r="C8" t="s">
        <v>46</v>
      </c>
      <c r="D8" s="1">
        <v>45665</v>
      </c>
      <c r="E8" s="1">
        <v>45671</v>
      </c>
      <c r="F8" t="s">
        <v>56</v>
      </c>
      <c r="G8">
        <v>6</v>
      </c>
      <c r="H8">
        <v>2</v>
      </c>
      <c r="I8" t="s">
        <v>60</v>
      </c>
      <c r="J8">
        <f t="shared" si="0"/>
        <v>0.4</v>
      </c>
      <c r="K8" t="str">
        <f t="shared" si="1"/>
        <v>08/01/2025Neurology</v>
      </c>
      <c r="L8">
        <f>VLOOKUP(K8, Sheet2!$A$2:$B$4186, 2,FALSE)</f>
        <v>12</v>
      </c>
      <c r="M8">
        <f>VLOOKUP(C8,Depts!$B$1:$D$16,3,FALSE)</f>
        <v>32</v>
      </c>
    </row>
    <row r="9" spans="1:15">
      <c r="A9">
        <v>8</v>
      </c>
      <c r="B9">
        <v>147</v>
      </c>
      <c r="C9" t="s">
        <v>39</v>
      </c>
      <c r="D9" s="1">
        <v>45665</v>
      </c>
      <c r="E9" s="1">
        <v>45666</v>
      </c>
      <c r="F9" t="s">
        <v>57</v>
      </c>
      <c r="G9">
        <v>1</v>
      </c>
      <c r="H9">
        <v>21</v>
      </c>
      <c r="I9" t="s">
        <v>60</v>
      </c>
      <c r="J9">
        <f t="shared" si="0"/>
        <v>0.7</v>
      </c>
      <c r="K9" t="str">
        <f t="shared" si="1"/>
        <v>08/01/2025A&amp;E (Emergency)</v>
      </c>
      <c r="L9">
        <f>VLOOKUP(K9, Sheet2!$A$2:$B$4186, 2,FALSE)</f>
        <v>24</v>
      </c>
      <c r="M9">
        <f>VLOOKUP(C9,Depts!$B$1:$D$16,3,FALSE)</f>
        <v>42</v>
      </c>
    </row>
    <row r="10" spans="1:15">
      <c r="A10">
        <v>9</v>
      </c>
      <c r="B10">
        <v>529</v>
      </c>
      <c r="C10" t="s">
        <v>45</v>
      </c>
      <c r="D10" s="1">
        <v>45666</v>
      </c>
      <c r="E10" s="1">
        <v>45670</v>
      </c>
      <c r="F10" t="s">
        <v>56</v>
      </c>
      <c r="G10">
        <v>4</v>
      </c>
      <c r="H10">
        <v>29</v>
      </c>
      <c r="I10" t="s">
        <v>60</v>
      </c>
      <c r="J10">
        <f t="shared" si="0"/>
        <v>3.8666666666666667</v>
      </c>
      <c r="K10" t="str">
        <f t="shared" si="1"/>
        <v>09/01/2025Maternity</v>
      </c>
      <c r="L10">
        <f>VLOOKUP(K10, Sheet2!$A$2:$B$4186, 2,FALSE)</f>
        <v>12</v>
      </c>
      <c r="M10">
        <f>VLOOKUP(C10,Depts!$B$1:$D$16,3,FALSE)</f>
        <v>34</v>
      </c>
    </row>
    <row r="11" spans="1:15">
      <c r="A11">
        <v>10</v>
      </c>
      <c r="B11">
        <v>63</v>
      </c>
      <c r="C11" t="s">
        <v>48</v>
      </c>
      <c r="D11" s="1">
        <v>45667</v>
      </c>
      <c r="E11" s="1">
        <v>45672</v>
      </c>
      <c r="F11" t="s">
        <v>56</v>
      </c>
      <c r="G11">
        <v>5</v>
      </c>
      <c r="H11">
        <v>20</v>
      </c>
      <c r="I11" t="s">
        <v>60</v>
      </c>
      <c r="J11">
        <f t="shared" si="0"/>
        <v>3.333333333333333</v>
      </c>
      <c r="K11" t="str">
        <f t="shared" si="1"/>
        <v>10/01/2025Orthopaedics</v>
      </c>
      <c r="L11">
        <f>VLOOKUP(K11, Sheet2!$A$2:$B$4186, 2,FALSE)</f>
        <v>13</v>
      </c>
      <c r="M11">
        <f>VLOOKUP(C11,Depts!$B$1:$D$16,3,FALSE)</f>
        <v>40</v>
      </c>
    </row>
    <row r="12" spans="1:15">
      <c r="A12">
        <v>11</v>
      </c>
      <c r="B12">
        <v>914</v>
      </c>
      <c r="C12" t="s">
        <v>49</v>
      </c>
      <c r="D12" s="1">
        <v>45667</v>
      </c>
      <c r="E12" s="1">
        <v>45669</v>
      </c>
      <c r="F12" t="s">
        <v>57</v>
      </c>
      <c r="G12">
        <v>2</v>
      </c>
      <c r="H12">
        <v>77</v>
      </c>
      <c r="I12" t="s">
        <v>60</v>
      </c>
      <c r="J12">
        <f t="shared" si="0"/>
        <v>5.1333333333333337</v>
      </c>
      <c r="K12" t="str">
        <f t="shared" si="1"/>
        <v>10/01/2025Paediatrics</v>
      </c>
      <c r="L12">
        <f>VLOOKUP(K12, Sheet2!$A$2:$B$4186, 2,FALSE)</f>
        <v>10</v>
      </c>
      <c r="M12">
        <f>VLOOKUP(C12,Depts!$B$1:$D$16,3,FALSE)</f>
        <v>30</v>
      </c>
    </row>
    <row r="13" spans="1:15">
      <c r="A13">
        <v>12</v>
      </c>
      <c r="B13">
        <v>372</v>
      </c>
      <c r="C13" t="s">
        <v>42</v>
      </c>
      <c r="D13" s="1">
        <v>45668</v>
      </c>
      <c r="E13" s="1">
        <v>45673</v>
      </c>
      <c r="F13" t="s">
        <v>56</v>
      </c>
      <c r="G13">
        <v>5</v>
      </c>
      <c r="H13">
        <v>43</v>
      </c>
      <c r="I13" t="s">
        <v>60</v>
      </c>
      <c r="J13">
        <f t="shared" si="0"/>
        <v>7.166666666666667</v>
      </c>
      <c r="K13" t="str">
        <f t="shared" si="1"/>
        <v>11/01/2025Gastroenterology</v>
      </c>
      <c r="L13">
        <f>VLOOKUP(K13, Sheet2!$A$2:$B$4186, 2,FALSE)</f>
        <v>7</v>
      </c>
      <c r="M13">
        <f>VLOOKUP(C13,Depts!$B$1:$D$16,3,FALSE)</f>
        <v>29</v>
      </c>
    </row>
    <row r="14" spans="1:15">
      <c r="A14">
        <v>13</v>
      </c>
      <c r="B14">
        <v>250</v>
      </c>
      <c r="C14" t="s">
        <v>41</v>
      </c>
      <c r="D14" s="1">
        <v>45669</v>
      </c>
      <c r="E14" s="1">
        <v>45671</v>
      </c>
      <c r="F14" t="s">
        <v>57</v>
      </c>
      <c r="G14">
        <v>2</v>
      </c>
      <c r="H14">
        <v>238</v>
      </c>
      <c r="I14" t="s">
        <v>60</v>
      </c>
      <c r="J14">
        <f t="shared" si="0"/>
        <v>15.866666666666667</v>
      </c>
      <c r="K14" t="str">
        <f t="shared" si="1"/>
        <v>12/01/2025ENT</v>
      </c>
      <c r="L14">
        <f>VLOOKUP(K14, Sheet2!$A$2:$B$4186, 2,FALSE)</f>
        <v>10</v>
      </c>
      <c r="M14">
        <f>VLOOKUP(C14,Depts!$B$1:$D$16,3,FALSE)</f>
        <v>20</v>
      </c>
    </row>
    <row r="15" spans="1:15">
      <c r="A15">
        <v>14</v>
      </c>
      <c r="B15">
        <v>701</v>
      </c>
      <c r="C15" t="s">
        <v>44</v>
      </c>
      <c r="D15" s="1">
        <v>45669</v>
      </c>
      <c r="E15" s="1">
        <v>45675</v>
      </c>
      <c r="F15" t="s">
        <v>56</v>
      </c>
      <c r="G15">
        <v>6</v>
      </c>
      <c r="H15">
        <v>41</v>
      </c>
      <c r="I15" t="s">
        <v>60</v>
      </c>
      <c r="J15">
        <f t="shared" si="0"/>
        <v>8.1999999999999993</v>
      </c>
      <c r="K15" t="str">
        <f t="shared" si="1"/>
        <v>12/01/2025Geriatrics</v>
      </c>
      <c r="L15">
        <f>VLOOKUP(K15, Sheet2!$A$2:$B$4186, 2,FALSE)</f>
        <v>12</v>
      </c>
      <c r="M15">
        <f>VLOOKUP(C15,Depts!$B$1:$D$16,3,FALSE)</f>
        <v>46</v>
      </c>
    </row>
    <row r="16" spans="1:15">
      <c r="A16">
        <v>15</v>
      </c>
      <c r="B16">
        <v>84</v>
      </c>
      <c r="C16" t="s">
        <v>51</v>
      </c>
      <c r="D16" s="1">
        <v>45670</v>
      </c>
      <c r="E16" s="1">
        <v>45672</v>
      </c>
      <c r="F16" t="s">
        <v>57</v>
      </c>
      <c r="G16">
        <v>2</v>
      </c>
      <c r="H16">
        <v>207</v>
      </c>
      <c r="I16" t="s">
        <v>60</v>
      </c>
      <c r="J16">
        <f t="shared" si="0"/>
        <v>13.8</v>
      </c>
      <c r="K16" t="str">
        <f t="shared" si="1"/>
        <v>13/01/2025Respiratory</v>
      </c>
      <c r="L16">
        <f>VLOOKUP(K16, Sheet2!$A$2:$B$4186, 2,FALSE)</f>
        <v>15</v>
      </c>
      <c r="M16">
        <f>VLOOKUP(C16,Depts!$B$1:$D$16,3,FALSE)</f>
        <v>36</v>
      </c>
    </row>
    <row r="17" spans="1:13">
      <c r="A17">
        <v>16</v>
      </c>
      <c r="B17">
        <v>560</v>
      </c>
      <c r="C17" t="s">
        <v>43</v>
      </c>
      <c r="D17" s="1">
        <v>45671</v>
      </c>
      <c r="E17" s="1">
        <v>45676</v>
      </c>
      <c r="F17" t="s">
        <v>56</v>
      </c>
      <c r="G17">
        <v>5</v>
      </c>
      <c r="H17">
        <v>43</v>
      </c>
      <c r="I17" t="s">
        <v>60</v>
      </c>
      <c r="J17">
        <f t="shared" si="0"/>
        <v>7.166666666666667</v>
      </c>
      <c r="K17" t="str">
        <f t="shared" si="1"/>
        <v>14/01/2025General Surgery</v>
      </c>
      <c r="L17">
        <f>VLOOKUP(K17, Sheet2!$A$2:$B$4186, 2,FALSE)</f>
        <v>20</v>
      </c>
      <c r="M17">
        <f>VLOOKUP(C17,Depts!$B$1:$D$16,3,FALSE)</f>
        <v>44</v>
      </c>
    </row>
    <row r="18" spans="1:13">
      <c r="A18">
        <v>17</v>
      </c>
      <c r="B18">
        <v>933</v>
      </c>
      <c r="C18" t="s">
        <v>40</v>
      </c>
      <c r="D18" s="1">
        <v>45671</v>
      </c>
      <c r="E18" s="1">
        <v>45674</v>
      </c>
      <c r="F18" t="s">
        <v>58</v>
      </c>
      <c r="G18">
        <v>3</v>
      </c>
      <c r="H18">
        <v>2</v>
      </c>
      <c r="I18" t="s">
        <v>61</v>
      </c>
      <c r="J18">
        <f t="shared" si="0"/>
        <v>0.2</v>
      </c>
      <c r="K18" t="str">
        <f t="shared" si="1"/>
        <v>14/01/2025Cardiology</v>
      </c>
      <c r="L18">
        <f>VLOOKUP(K18, Sheet2!$A$2:$B$4186, 2,FALSE)</f>
        <v>17</v>
      </c>
      <c r="M18">
        <f>VLOOKUP(C18,Depts!$B$1:$D$16,3,FALSE)</f>
        <v>38</v>
      </c>
    </row>
    <row r="19" spans="1:13">
      <c r="A19">
        <v>18</v>
      </c>
      <c r="B19">
        <v>318</v>
      </c>
      <c r="C19" t="s">
        <v>47</v>
      </c>
      <c r="D19" s="1">
        <v>45672</v>
      </c>
      <c r="E19" s="1">
        <v>45677</v>
      </c>
      <c r="F19" t="s">
        <v>56</v>
      </c>
      <c r="G19">
        <v>5</v>
      </c>
      <c r="H19">
        <v>6</v>
      </c>
      <c r="I19" t="s">
        <v>60</v>
      </c>
      <c r="J19">
        <f t="shared" si="0"/>
        <v>1</v>
      </c>
      <c r="K19" t="str">
        <f t="shared" si="1"/>
        <v>15/01/2025Oncology</v>
      </c>
      <c r="L19">
        <f>VLOOKUP(K19, Sheet2!$A$2:$B$4186, 2,FALSE)</f>
        <v>16</v>
      </c>
      <c r="M19">
        <f>VLOOKUP(C19,Depts!$B$1:$D$16,3,FALSE)</f>
        <v>28</v>
      </c>
    </row>
    <row r="20" spans="1:13">
      <c r="A20">
        <v>19</v>
      </c>
      <c r="B20">
        <v>41</v>
      </c>
      <c r="C20" t="s">
        <v>39</v>
      </c>
      <c r="D20" s="1">
        <v>45672</v>
      </c>
      <c r="E20" s="1">
        <v>45673</v>
      </c>
      <c r="F20" t="s">
        <v>57</v>
      </c>
      <c r="G20">
        <v>1</v>
      </c>
      <c r="H20">
        <v>186</v>
      </c>
      <c r="I20" t="s">
        <v>60</v>
      </c>
      <c r="J20">
        <f t="shared" si="0"/>
        <v>6.2</v>
      </c>
      <c r="K20" t="str">
        <f t="shared" si="1"/>
        <v>15/01/2025A&amp;E (Emergency)</v>
      </c>
      <c r="L20">
        <f>VLOOKUP(K20, Sheet2!$A$2:$B$4186, 2,FALSE)</f>
        <v>24</v>
      </c>
      <c r="M20">
        <f>VLOOKUP(C20,Depts!$B$1:$D$16,3,FALSE)</f>
        <v>42</v>
      </c>
    </row>
    <row r="21" spans="1:13">
      <c r="A21">
        <v>20</v>
      </c>
      <c r="B21">
        <v>688</v>
      </c>
      <c r="C21" t="s">
        <v>50</v>
      </c>
      <c r="D21" s="1">
        <v>45673</v>
      </c>
      <c r="E21" s="1">
        <v>45678</v>
      </c>
      <c r="F21" t="s">
        <v>56</v>
      </c>
      <c r="G21">
        <v>5</v>
      </c>
      <c r="H21">
        <v>24</v>
      </c>
      <c r="I21" t="s">
        <v>61</v>
      </c>
      <c r="J21">
        <f t="shared" si="0"/>
        <v>4</v>
      </c>
      <c r="K21" t="str">
        <f t="shared" si="1"/>
        <v>16/01/2025Renal Medicine</v>
      </c>
      <c r="L21">
        <f>VLOOKUP(K21, Sheet2!$A$2:$B$4186, 2,FALSE)</f>
        <v>19</v>
      </c>
      <c r="M21">
        <f>VLOOKUP(C21,Depts!$B$1:$D$16,3,FALSE)</f>
        <v>26</v>
      </c>
    </row>
    <row r="22" spans="1:13">
      <c r="A22">
        <v>21</v>
      </c>
      <c r="B22">
        <v>502</v>
      </c>
      <c r="C22" t="s">
        <v>46</v>
      </c>
      <c r="D22" s="1">
        <v>45674</v>
      </c>
      <c r="E22" s="1">
        <v>45680</v>
      </c>
      <c r="F22" t="s">
        <v>56</v>
      </c>
      <c r="G22">
        <v>6</v>
      </c>
      <c r="H22">
        <v>8</v>
      </c>
      <c r="I22" t="s">
        <v>60</v>
      </c>
      <c r="J22">
        <f t="shared" si="0"/>
        <v>1.6</v>
      </c>
      <c r="K22" t="str">
        <f t="shared" si="1"/>
        <v>17/01/2025Neurology</v>
      </c>
      <c r="L22">
        <f>VLOOKUP(K22, Sheet2!$A$2:$B$4186, 2,FALSE)</f>
        <v>11</v>
      </c>
      <c r="M22">
        <f>VLOOKUP(C22,Depts!$B$1:$D$16,3,FALSE)</f>
        <v>32</v>
      </c>
    </row>
    <row r="23" spans="1:13">
      <c r="A23">
        <v>22</v>
      </c>
      <c r="B23">
        <v>159</v>
      </c>
      <c r="C23" t="s">
        <v>45</v>
      </c>
      <c r="D23" s="1">
        <v>45674</v>
      </c>
      <c r="E23" s="1">
        <v>45676</v>
      </c>
      <c r="F23" t="s">
        <v>57</v>
      </c>
      <c r="G23">
        <v>2</v>
      </c>
      <c r="H23">
        <v>149</v>
      </c>
      <c r="I23" t="s">
        <v>60</v>
      </c>
      <c r="J23">
        <f t="shared" si="0"/>
        <v>9.9333333333333336</v>
      </c>
      <c r="K23" t="str">
        <f t="shared" si="1"/>
        <v>17/01/2025Maternity</v>
      </c>
      <c r="L23">
        <f>VLOOKUP(K23, Sheet2!$A$2:$B$4186, 2,FALSE)</f>
        <v>11</v>
      </c>
      <c r="M23">
        <f>VLOOKUP(C23,Depts!$B$1:$D$16,3,FALSE)</f>
        <v>34</v>
      </c>
    </row>
    <row r="24" spans="1:13">
      <c r="A24">
        <v>23</v>
      </c>
      <c r="B24">
        <v>847</v>
      </c>
      <c r="C24" t="s">
        <v>48</v>
      </c>
      <c r="D24" s="1">
        <v>45675</v>
      </c>
      <c r="E24" s="1">
        <v>45680</v>
      </c>
      <c r="F24" t="s">
        <v>56</v>
      </c>
      <c r="G24">
        <v>5</v>
      </c>
      <c r="H24">
        <v>6</v>
      </c>
      <c r="I24" t="s">
        <v>60</v>
      </c>
      <c r="J24">
        <f t="shared" si="0"/>
        <v>1</v>
      </c>
      <c r="K24" t="str">
        <f t="shared" si="1"/>
        <v>18/01/2025Orthopaedics</v>
      </c>
      <c r="L24">
        <f>VLOOKUP(K24, Sheet2!$A$2:$B$4186, 2,FALSE)</f>
        <v>11</v>
      </c>
      <c r="M24">
        <f>VLOOKUP(C24,Depts!$B$1:$D$16,3,FALSE)</f>
        <v>40</v>
      </c>
    </row>
    <row r="25" spans="1:13">
      <c r="A25">
        <v>24</v>
      </c>
      <c r="B25">
        <v>294</v>
      </c>
      <c r="C25" t="s">
        <v>49</v>
      </c>
      <c r="D25" s="1">
        <v>45675</v>
      </c>
      <c r="E25" s="1">
        <v>45677</v>
      </c>
      <c r="F25" t="s">
        <v>57</v>
      </c>
      <c r="G25">
        <v>2</v>
      </c>
      <c r="H25">
        <v>27</v>
      </c>
      <c r="I25" t="s">
        <v>60</v>
      </c>
      <c r="J25">
        <f t="shared" si="0"/>
        <v>1.8</v>
      </c>
      <c r="K25" t="str">
        <f t="shared" si="1"/>
        <v>18/01/2025Paediatrics</v>
      </c>
      <c r="L25">
        <f>VLOOKUP(K25, Sheet2!$A$2:$B$4186, 2,FALSE)</f>
        <v>9</v>
      </c>
      <c r="M25">
        <f>VLOOKUP(C25,Depts!$B$1:$D$16,3,FALSE)</f>
        <v>30</v>
      </c>
    </row>
    <row r="26" spans="1:13">
      <c r="A26">
        <v>25</v>
      </c>
      <c r="B26">
        <v>763</v>
      </c>
      <c r="C26" t="s">
        <v>42</v>
      </c>
      <c r="D26" s="1">
        <v>45676</v>
      </c>
      <c r="E26" s="1">
        <v>45681</v>
      </c>
      <c r="F26" t="s">
        <v>56</v>
      </c>
      <c r="G26">
        <v>5</v>
      </c>
      <c r="H26">
        <v>13</v>
      </c>
      <c r="I26" t="s">
        <v>60</v>
      </c>
      <c r="J26">
        <f t="shared" si="0"/>
        <v>2.166666666666667</v>
      </c>
      <c r="K26" t="str">
        <f t="shared" si="1"/>
        <v>19/01/2025Gastroenterology</v>
      </c>
      <c r="L26">
        <f>VLOOKUP(K26, Sheet2!$A$2:$B$4186, 2,FALSE)</f>
        <v>7</v>
      </c>
      <c r="M26">
        <f>VLOOKUP(C26,Depts!$B$1:$D$16,3,FALSE)</f>
        <v>29</v>
      </c>
    </row>
    <row r="27" spans="1:13">
      <c r="A27">
        <v>26</v>
      </c>
      <c r="B27">
        <v>37</v>
      </c>
      <c r="C27" t="s">
        <v>41</v>
      </c>
      <c r="D27" s="1">
        <v>45677</v>
      </c>
      <c r="E27" s="1">
        <v>45679</v>
      </c>
      <c r="F27" t="s">
        <v>57</v>
      </c>
      <c r="G27">
        <v>2</v>
      </c>
      <c r="H27">
        <v>69</v>
      </c>
      <c r="I27" t="s">
        <v>60</v>
      </c>
      <c r="J27">
        <f t="shared" si="0"/>
        <v>4.5999999999999996</v>
      </c>
      <c r="K27" t="str">
        <f t="shared" si="1"/>
        <v>20/01/2025ENT</v>
      </c>
      <c r="L27">
        <f>VLOOKUP(K27, Sheet2!$A$2:$B$4186, 2,FALSE)</f>
        <v>13</v>
      </c>
      <c r="M27">
        <f>VLOOKUP(C27,Depts!$B$1:$D$16,3,FALSE)</f>
        <v>20</v>
      </c>
    </row>
    <row r="28" spans="1:13">
      <c r="A28">
        <v>27</v>
      </c>
      <c r="B28">
        <v>580</v>
      </c>
      <c r="C28" t="s">
        <v>44</v>
      </c>
      <c r="D28" s="1">
        <v>45677</v>
      </c>
      <c r="E28" s="1">
        <v>45683</v>
      </c>
      <c r="F28" t="s">
        <v>56</v>
      </c>
      <c r="G28">
        <v>6</v>
      </c>
      <c r="H28">
        <v>1</v>
      </c>
      <c r="I28" t="s">
        <v>60</v>
      </c>
      <c r="J28">
        <f t="shared" si="0"/>
        <v>0.2</v>
      </c>
      <c r="K28" t="str">
        <f t="shared" si="1"/>
        <v>20/01/2025Geriatrics</v>
      </c>
      <c r="L28">
        <f>VLOOKUP(K28, Sheet2!$A$2:$B$4186, 2,FALSE)</f>
        <v>16</v>
      </c>
      <c r="M28">
        <f>VLOOKUP(C28,Depts!$B$1:$D$16,3,FALSE)</f>
        <v>46</v>
      </c>
    </row>
    <row r="29" spans="1:13">
      <c r="A29">
        <v>28</v>
      </c>
      <c r="B29">
        <v>421</v>
      </c>
      <c r="C29" t="s">
        <v>51</v>
      </c>
      <c r="D29" s="1">
        <v>45678</v>
      </c>
      <c r="E29" s="1">
        <v>45680</v>
      </c>
      <c r="F29" t="s">
        <v>57</v>
      </c>
      <c r="G29">
        <v>2</v>
      </c>
      <c r="H29">
        <v>73</v>
      </c>
      <c r="I29" t="s">
        <v>60</v>
      </c>
      <c r="J29">
        <f t="shared" si="0"/>
        <v>4.8666666666666663</v>
      </c>
      <c r="K29" t="str">
        <f t="shared" si="1"/>
        <v>21/01/2025Respiratory</v>
      </c>
      <c r="L29">
        <f>VLOOKUP(K29, Sheet2!$A$2:$B$4186, 2,FALSE)</f>
        <v>14</v>
      </c>
      <c r="M29">
        <f>VLOOKUP(C29,Depts!$B$1:$D$16,3,FALSE)</f>
        <v>36</v>
      </c>
    </row>
    <row r="30" spans="1:13">
      <c r="A30">
        <v>29</v>
      </c>
      <c r="B30">
        <v>906</v>
      </c>
      <c r="C30" t="s">
        <v>43</v>
      </c>
      <c r="D30" s="1">
        <v>45679</v>
      </c>
      <c r="E30" s="1">
        <v>45684</v>
      </c>
      <c r="F30" t="s">
        <v>56</v>
      </c>
      <c r="G30">
        <v>5</v>
      </c>
      <c r="H30">
        <v>28</v>
      </c>
      <c r="I30" t="s">
        <v>61</v>
      </c>
      <c r="J30">
        <f t="shared" si="0"/>
        <v>4.666666666666667</v>
      </c>
      <c r="K30" t="str">
        <f t="shared" si="1"/>
        <v>22/01/2025General Surgery</v>
      </c>
      <c r="L30">
        <f>VLOOKUP(K30, Sheet2!$A$2:$B$4186, 2,FALSE)</f>
        <v>19</v>
      </c>
      <c r="M30">
        <f>VLOOKUP(C30,Depts!$B$1:$D$16,3,FALSE)</f>
        <v>44</v>
      </c>
    </row>
    <row r="31" spans="1:13">
      <c r="A31">
        <v>30</v>
      </c>
      <c r="B31">
        <v>178</v>
      </c>
      <c r="C31" t="s">
        <v>40</v>
      </c>
      <c r="D31" s="1">
        <v>45679</v>
      </c>
      <c r="E31" s="1">
        <v>45682</v>
      </c>
      <c r="F31" t="s">
        <v>58</v>
      </c>
      <c r="G31">
        <v>3</v>
      </c>
      <c r="H31">
        <v>25</v>
      </c>
      <c r="I31" t="s">
        <v>60</v>
      </c>
      <c r="J31">
        <f t="shared" si="0"/>
        <v>2.5</v>
      </c>
      <c r="K31" t="str">
        <f t="shared" si="1"/>
        <v>22/01/2025Cardiology</v>
      </c>
      <c r="L31">
        <f>VLOOKUP(K31, Sheet2!$A$2:$B$4186, 2,FALSE)</f>
        <v>16</v>
      </c>
      <c r="M31">
        <f>VLOOKUP(C31,Depts!$B$1:$D$16,3,FALSE)</f>
        <v>38</v>
      </c>
    </row>
    <row r="32" spans="1:13">
      <c r="A32">
        <v>31</v>
      </c>
      <c r="B32">
        <v>664</v>
      </c>
      <c r="C32" t="s">
        <v>47</v>
      </c>
      <c r="D32" s="1">
        <v>45680</v>
      </c>
      <c r="E32" s="1">
        <v>45685</v>
      </c>
      <c r="F32" t="s">
        <v>56</v>
      </c>
      <c r="G32">
        <v>5</v>
      </c>
      <c r="H32">
        <v>43</v>
      </c>
      <c r="I32" t="s">
        <v>60</v>
      </c>
      <c r="J32">
        <f t="shared" si="0"/>
        <v>7.166666666666667</v>
      </c>
      <c r="K32" t="str">
        <f t="shared" si="1"/>
        <v>23/01/2025Oncology</v>
      </c>
      <c r="L32">
        <f>VLOOKUP(K32, Sheet2!$A$2:$B$4186, 2,FALSE)</f>
        <v>16</v>
      </c>
      <c r="M32">
        <f>VLOOKUP(C32,Depts!$B$1:$D$16,3,FALSE)</f>
        <v>28</v>
      </c>
    </row>
    <row r="33" spans="1:14">
      <c r="A33">
        <v>32</v>
      </c>
      <c r="B33">
        <v>323</v>
      </c>
      <c r="C33" t="s">
        <v>39</v>
      </c>
      <c r="D33" s="1">
        <v>45680</v>
      </c>
      <c r="E33" s="1">
        <v>45681</v>
      </c>
      <c r="F33" t="s">
        <v>57</v>
      </c>
      <c r="G33">
        <v>1</v>
      </c>
      <c r="H33">
        <v>120</v>
      </c>
      <c r="I33" t="s">
        <v>61</v>
      </c>
      <c r="J33">
        <f t="shared" si="0"/>
        <v>4</v>
      </c>
      <c r="K33" t="str">
        <f t="shared" si="1"/>
        <v>23/01/2025A&amp;E (Emergency)</v>
      </c>
      <c r="L33">
        <f>VLOOKUP(K33, Sheet2!$A$2:$B$4186, 2,FALSE)</f>
        <v>23</v>
      </c>
      <c r="M33">
        <f>VLOOKUP(C33,Depts!$B$1:$D$16,3,FALSE)</f>
        <v>42</v>
      </c>
    </row>
    <row r="34" spans="1:14">
      <c r="A34">
        <v>33</v>
      </c>
      <c r="B34">
        <v>391</v>
      </c>
      <c r="C34" t="s">
        <v>50</v>
      </c>
      <c r="D34" s="1">
        <v>45681</v>
      </c>
      <c r="E34" s="1">
        <v>45686</v>
      </c>
      <c r="F34" t="s">
        <v>56</v>
      </c>
      <c r="G34">
        <v>5</v>
      </c>
      <c r="H34">
        <v>44</v>
      </c>
      <c r="I34" t="s">
        <v>60</v>
      </c>
      <c r="J34">
        <f t="shared" si="0"/>
        <v>7.333333333333333</v>
      </c>
      <c r="K34" t="str">
        <f t="shared" si="1"/>
        <v>24/01/2025Renal Medicine</v>
      </c>
      <c r="L34">
        <f>VLOOKUP(K34, Sheet2!$A$2:$B$4186, 2,FALSE)</f>
        <v>18</v>
      </c>
      <c r="M34">
        <f>VLOOKUP(C34,Depts!$B$1:$D$16,3,FALSE)</f>
        <v>26</v>
      </c>
    </row>
    <row r="35" spans="1:14">
      <c r="A35">
        <v>34</v>
      </c>
      <c r="B35">
        <v>606</v>
      </c>
      <c r="C35" t="s">
        <v>46</v>
      </c>
      <c r="D35" s="1">
        <v>45682</v>
      </c>
      <c r="E35" s="1">
        <v>45688</v>
      </c>
      <c r="F35" t="s">
        <v>56</v>
      </c>
      <c r="G35">
        <v>6</v>
      </c>
      <c r="H35">
        <v>27</v>
      </c>
      <c r="I35" t="s">
        <v>60</v>
      </c>
      <c r="J35">
        <f t="shared" si="0"/>
        <v>5.4</v>
      </c>
      <c r="K35" t="str">
        <f t="shared" si="1"/>
        <v>25/01/2025Neurology</v>
      </c>
      <c r="L35">
        <f>VLOOKUP(K35, Sheet2!$A$2:$B$4186, 2,FALSE)</f>
        <v>9</v>
      </c>
      <c r="M35">
        <f>VLOOKUP(C35,Depts!$B$1:$D$16,3,FALSE)</f>
        <v>32</v>
      </c>
    </row>
    <row r="36" spans="1:14">
      <c r="A36">
        <v>35</v>
      </c>
      <c r="B36">
        <v>394</v>
      </c>
      <c r="C36" t="s">
        <v>45</v>
      </c>
      <c r="D36" s="1">
        <v>45682</v>
      </c>
      <c r="E36" s="1">
        <v>45684</v>
      </c>
      <c r="F36" t="s">
        <v>57</v>
      </c>
      <c r="G36">
        <v>2</v>
      </c>
      <c r="H36">
        <v>55</v>
      </c>
      <c r="I36" t="s">
        <v>60</v>
      </c>
      <c r="J36">
        <f t="shared" si="0"/>
        <v>3.6666666666666665</v>
      </c>
      <c r="K36" t="str">
        <f t="shared" si="1"/>
        <v>25/01/2025Maternity</v>
      </c>
      <c r="L36">
        <f>VLOOKUP(K36, Sheet2!$A$2:$B$4186, 2,FALSE)</f>
        <v>10</v>
      </c>
      <c r="M36">
        <f>VLOOKUP(C36,Depts!$B$1:$D$16,3,FALSE)</f>
        <v>34</v>
      </c>
    </row>
    <row r="37" spans="1:14">
      <c r="A37">
        <v>36</v>
      </c>
      <c r="B37">
        <v>654</v>
      </c>
      <c r="C37" t="s">
        <v>48</v>
      </c>
      <c r="D37" s="1">
        <v>45683</v>
      </c>
      <c r="E37" s="1">
        <v>45688</v>
      </c>
      <c r="F37" t="s">
        <v>56</v>
      </c>
      <c r="G37">
        <v>5</v>
      </c>
      <c r="H37">
        <v>13</v>
      </c>
      <c r="I37" t="s">
        <v>60</v>
      </c>
      <c r="J37">
        <f t="shared" si="0"/>
        <v>2.166666666666667</v>
      </c>
      <c r="K37" t="str">
        <f t="shared" si="1"/>
        <v>26/01/2025Orthopaedics</v>
      </c>
      <c r="L37">
        <f>VLOOKUP(K37, Sheet2!$A$2:$B$4186, 2,FALSE)</f>
        <v>10</v>
      </c>
      <c r="M37">
        <f>VLOOKUP(C37,Depts!$B$1:$D$16,3,FALSE)</f>
        <v>40</v>
      </c>
    </row>
    <row r="38" spans="1:14">
      <c r="A38">
        <v>37</v>
      </c>
      <c r="B38">
        <v>639</v>
      </c>
      <c r="C38" t="s">
        <v>49</v>
      </c>
      <c r="D38" s="1">
        <v>45683</v>
      </c>
      <c r="E38" s="1">
        <v>45685</v>
      </c>
      <c r="F38" t="s">
        <v>57</v>
      </c>
      <c r="G38">
        <v>2</v>
      </c>
      <c r="H38">
        <v>119</v>
      </c>
      <c r="I38" t="s">
        <v>60</v>
      </c>
      <c r="J38">
        <f t="shared" si="0"/>
        <v>7.9333333333333336</v>
      </c>
      <c r="K38" t="str">
        <f t="shared" si="1"/>
        <v>26/01/2025Paediatrics</v>
      </c>
      <c r="L38">
        <f>VLOOKUP(K38, Sheet2!$A$2:$B$4186, 2,FALSE)</f>
        <v>8</v>
      </c>
      <c r="M38">
        <f>VLOOKUP(C38,Depts!$B$1:$D$16,3,FALSE)</f>
        <v>30</v>
      </c>
    </row>
    <row r="39" spans="1:14">
      <c r="A39">
        <v>38</v>
      </c>
      <c r="B39">
        <v>459</v>
      </c>
      <c r="C39" t="s">
        <v>42</v>
      </c>
      <c r="D39" s="1">
        <v>45684</v>
      </c>
      <c r="E39" s="1">
        <v>45689</v>
      </c>
      <c r="F39" t="s">
        <v>56</v>
      </c>
      <c r="G39">
        <v>5</v>
      </c>
      <c r="H39">
        <v>17</v>
      </c>
      <c r="I39" t="s">
        <v>60</v>
      </c>
      <c r="J39">
        <f t="shared" si="0"/>
        <v>2.833333333333333</v>
      </c>
      <c r="K39" t="str">
        <f t="shared" si="1"/>
        <v>27/01/2025Gastroenterology</v>
      </c>
      <c r="L39">
        <f>VLOOKUP(K39, Sheet2!$A$2:$B$4186, 2,FALSE)</f>
        <v>12</v>
      </c>
      <c r="M39">
        <f>VLOOKUP(C39,Depts!$B$1:$D$16,3,FALSE)</f>
        <v>29</v>
      </c>
    </row>
    <row r="40" spans="1:14">
      <c r="A40">
        <v>39</v>
      </c>
      <c r="B40">
        <v>53</v>
      </c>
      <c r="C40" t="s">
        <v>41</v>
      </c>
      <c r="D40" s="1">
        <v>45685</v>
      </c>
      <c r="E40" s="1">
        <v>45687</v>
      </c>
      <c r="F40" t="s">
        <v>57</v>
      </c>
      <c r="G40">
        <v>2</v>
      </c>
      <c r="H40">
        <v>42</v>
      </c>
      <c r="I40" t="s">
        <v>60</v>
      </c>
      <c r="J40">
        <f t="shared" si="0"/>
        <v>2.8</v>
      </c>
      <c r="K40" t="str">
        <f t="shared" si="1"/>
        <v>28/01/2025ENT</v>
      </c>
      <c r="L40">
        <f>VLOOKUP(K40, Sheet2!$A$2:$B$4186, 2,FALSE)</f>
        <v>12</v>
      </c>
      <c r="M40">
        <f>VLOOKUP(C40,Depts!$B$1:$D$16,3,FALSE)</f>
        <v>20</v>
      </c>
    </row>
    <row r="41" spans="1:14">
      <c r="A41">
        <v>40</v>
      </c>
      <c r="B41">
        <v>551</v>
      </c>
      <c r="C41" t="s">
        <v>44</v>
      </c>
      <c r="D41" s="1">
        <v>45685</v>
      </c>
      <c r="E41" s="1">
        <v>45691</v>
      </c>
      <c r="F41" t="s">
        <v>56</v>
      </c>
      <c r="G41">
        <v>6</v>
      </c>
      <c r="H41">
        <v>38</v>
      </c>
      <c r="I41" t="s">
        <v>60</v>
      </c>
      <c r="J41">
        <f t="shared" si="0"/>
        <v>7.6</v>
      </c>
      <c r="K41" t="str">
        <f t="shared" si="1"/>
        <v>28/01/2025Geriatrics</v>
      </c>
      <c r="L41">
        <f>VLOOKUP(K41, Sheet2!$A$2:$B$4186, 2,FALSE)</f>
        <v>15</v>
      </c>
      <c r="M41">
        <f>VLOOKUP(C41,Depts!$B$1:$D$16,3,FALSE)</f>
        <v>46</v>
      </c>
    </row>
    <row r="42" spans="1:14">
      <c r="A42">
        <v>41</v>
      </c>
      <c r="B42">
        <v>402</v>
      </c>
      <c r="C42" t="s">
        <v>51</v>
      </c>
      <c r="D42" s="1">
        <v>45686</v>
      </c>
      <c r="E42" s="1">
        <v>45688</v>
      </c>
      <c r="F42" t="s">
        <v>57</v>
      </c>
      <c r="G42">
        <v>2</v>
      </c>
      <c r="H42">
        <v>216</v>
      </c>
      <c r="I42" t="s">
        <v>60</v>
      </c>
      <c r="J42">
        <f t="shared" si="0"/>
        <v>14.4</v>
      </c>
      <c r="K42" t="str">
        <f t="shared" si="1"/>
        <v>29/01/2025Respiratory</v>
      </c>
      <c r="L42">
        <f>VLOOKUP(K42, Sheet2!$A$2:$B$4186, 2,FALSE)</f>
        <v>13</v>
      </c>
      <c r="M42">
        <f>VLOOKUP(C42,Depts!$B$1:$D$16,3,FALSE)</f>
        <v>36</v>
      </c>
    </row>
    <row r="43" spans="1:14">
      <c r="A43">
        <v>42</v>
      </c>
      <c r="B43">
        <v>883</v>
      </c>
      <c r="C43" t="s">
        <v>43</v>
      </c>
      <c r="D43" s="1">
        <v>45687</v>
      </c>
      <c r="E43" s="1">
        <v>45692</v>
      </c>
      <c r="F43" t="s">
        <v>56</v>
      </c>
      <c r="G43">
        <v>5</v>
      </c>
      <c r="H43">
        <v>5</v>
      </c>
      <c r="I43" t="s">
        <v>60</v>
      </c>
      <c r="J43">
        <f t="shared" si="0"/>
        <v>0.83333333333333326</v>
      </c>
      <c r="K43" t="str">
        <f t="shared" si="1"/>
        <v>30/01/2025General Surgery</v>
      </c>
      <c r="L43">
        <f>VLOOKUP(K43, Sheet2!$A$2:$B$4186, 2,FALSE)</f>
        <v>19</v>
      </c>
      <c r="M43">
        <f>VLOOKUP(C43,Depts!$B$1:$D$16,3,FALSE)</f>
        <v>44</v>
      </c>
    </row>
    <row r="44" spans="1:14">
      <c r="A44">
        <v>43</v>
      </c>
      <c r="B44">
        <v>842</v>
      </c>
      <c r="C44" t="s">
        <v>40</v>
      </c>
      <c r="D44" s="1">
        <v>45687</v>
      </c>
      <c r="E44" s="1">
        <v>45690</v>
      </c>
      <c r="F44" t="s">
        <v>58</v>
      </c>
      <c r="G44">
        <v>3</v>
      </c>
      <c r="H44">
        <v>32</v>
      </c>
      <c r="I44" t="s">
        <v>60</v>
      </c>
      <c r="J44">
        <f t="shared" si="0"/>
        <v>3.2</v>
      </c>
      <c r="K44" t="str">
        <f t="shared" si="1"/>
        <v>30/01/2025Cardiology</v>
      </c>
      <c r="L44">
        <f>VLOOKUP(K44, Sheet2!$A$2:$B$4186, 2,FALSE)</f>
        <v>16</v>
      </c>
      <c r="M44">
        <f>VLOOKUP(C44,Depts!$B$1:$D$16,3,FALSE)</f>
        <v>38</v>
      </c>
    </row>
    <row r="45" spans="1:14">
      <c r="A45">
        <v>44</v>
      </c>
      <c r="B45">
        <v>557</v>
      </c>
      <c r="C45" t="s">
        <v>47</v>
      </c>
      <c r="D45" s="1">
        <v>45688</v>
      </c>
      <c r="E45" s="1">
        <v>45693</v>
      </c>
      <c r="F45" t="s">
        <v>56</v>
      </c>
      <c r="G45">
        <v>5</v>
      </c>
      <c r="H45">
        <v>41</v>
      </c>
      <c r="I45" t="s">
        <v>60</v>
      </c>
      <c r="J45">
        <f t="shared" si="0"/>
        <v>6.8333333333333339</v>
      </c>
      <c r="K45" t="str">
        <f t="shared" si="1"/>
        <v>31/01/2025Oncology</v>
      </c>
      <c r="L45">
        <f>VLOOKUP(K45, Sheet2!$A$2:$B$4186, 2,FALSE)</f>
        <v>15</v>
      </c>
      <c r="M45">
        <f>VLOOKUP(C45,Depts!$B$1:$D$16,3,FALSE)</f>
        <v>28</v>
      </c>
    </row>
    <row r="46" spans="1:14">
      <c r="A46">
        <v>45</v>
      </c>
      <c r="B46">
        <v>618</v>
      </c>
      <c r="C46" t="s">
        <v>39</v>
      </c>
      <c r="D46" s="1">
        <v>45688</v>
      </c>
      <c r="E46" s="1">
        <v>45689</v>
      </c>
      <c r="F46" t="s">
        <v>57</v>
      </c>
      <c r="G46">
        <v>1</v>
      </c>
      <c r="H46">
        <v>148</v>
      </c>
      <c r="I46" t="s">
        <v>60</v>
      </c>
      <c r="J46">
        <f t="shared" si="0"/>
        <v>4.9333333333333336</v>
      </c>
      <c r="K46" t="str">
        <f t="shared" si="1"/>
        <v>31/01/2025A&amp;E (Emergency)</v>
      </c>
      <c r="L46">
        <f>VLOOKUP(K46, Sheet2!$A$2:$B$4186, 2,FALSE)</f>
        <v>22</v>
      </c>
      <c r="M46">
        <f>VLOOKUP(C46,Depts!$B$1:$D$16,3,FALSE)</f>
        <v>42</v>
      </c>
    </row>
    <row r="47" spans="1:14">
      <c r="A47">
        <v>46</v>
      </c>
      <c r="B47">
        <v>675</v>
      </c>
      <c r="C47" t="s">
        <v>50</v>
      </c>
      <c r="D47" s="1">
        <v>45689</v>
      </c>
      <c r="E47" s="1">
        <v>45694</v>
      </c>
      <c r="F47" t="s">
        <v>56</v>
      </c>
      <c r="G47">
        <v>5</v>
      </c>
      <c r="H47">
        <v>23</v>
      </c>
      <c r="I47" t="s">
        <v>60</v>
      </c>
      <c r="J47">
        <f t="shared" si="0"/>
        <v>3.8333333333333335</v>
      </c>
      <c r="K47" t="str">
        <f t="shared" si="1"/>
        <v>01/02/2025Renal Medicine</v>
      </c>
      <c r="L47">
        <f>VLOOKUP(K47, Sheet2!$A$2:$B$4186, 2,FALSE)</f>
        <v>17</v>
      </c>
      <c r="M47">
        <f>VLOOKUP(C47,Depts!$B$1:$D$16,3,FALSE)</f>
        <v>26</v>
      </c>
      <c r="N47" s="1"/>
    </row>
    <row r="48" spans="1:14">
      <c r="A48">
        <v>47</v>
      </c>
      <c r="B48">
        <v>56</v>
      </c>
      <c r="C48" t="s">
        <v>46</v>
      </c>
      <c r="D48" s="1">
        <v>45690</v>
      </c>
      <c r="E48" s="1">
        <v>45696</v>
      </c>
      <c r="F48" t="s">
        <v>56</v>
      </c>
      <c r="G48">
        <v>6</v>
      </c>
      <c r="H48">
        <v>28</v>
      </c>
      <c r="I48" t="s">
        <v>60</v>
      </c>
      <c r="J48">
        <f t="shared" si="0"/>
        <v>5.6</v>
      </c>
      <c r="K48" t="str">
        <f t="shared" si="1"/>
        <v>02/02/2025Neurology</v>
      </c>
      <c r="L48">
        <f>VLOOKUP(K48, Sheet2!$A$2:$B$4186, 2,FALSE)</f>
        <v>9</v>
      </c>
      <c r="M48">
        <f>VLOOKUP(C48,Depts!$B$1:$D$16,3,FALSE)</f>
        <v>32</v>
      </c>
      <c r="N48" s="1" t="b">
        <f>ISNUMBER(D48)</f>
        <v>1</v>
      </c>
    </row>
    <row r="49" spans="1:14">
      <c r="A49">
        <v>48</v>
      </c>
      <c r="B49">
        <v>779</v>
      </c>
      <c r="C49" t="s">
        <v>45</v>
      </c>
      <c r="D49" s="1">
        <v>45690</v>
      </c>
      <c r="E49" s="1">
        <v>45692</v>
      </c>
      <c r="F49" t="s">
        <v>57</v>
      </c>
      <c r="G49">
        <v>2</v>
      </c>
      <c r="H49">
        <v>143</v>
      </c>
      <c r="I49" t="s">
        <v>60</v>
      </c>
      <c r="J49">
        <f t="shared" si="0"/>
        <v>9.5333333333333332</v>
      </c>
      <c r="K49" t="str">
        <f t="shared" si="1"/>
        <v>02/02/2025Maternity</v>
      </c>
      <c r="L49">
        <f>VLOOKUP(K49, Sheet2!$A$2:$B$4186, 2,FALSE)</f>
        <v>9</v>
      </c>
      <c r="M49">
        <f>VLOOKUP(C49,Depts!$B$1:$D$16,3,FALSE)</f>
        <v>34</v>
      </c>
      <c r="N49" s="1" t="b">
        <f t="shared" ref="N49:N112" si="2">ISNUMBER(D49)</f>
        <v>1</v>
      </c>
    </row>
    <row r="50" spans="1:14">
      <c r="A50">
        <v>49</v>
      </c>
      <c r="B50">
        <v>602</v>
      </c>
      <c r="C50" t="s">
        <v>48</v>
      </c>
      <c r="D50" s="1">
        <v>45691</v>
      </c>
      <c r="E50" s="1">
        <v>45696</v>
      </c>
      <c r="F50" t="s">
        <v>56</v>
      </c>
      <c r="G50">
        <v>5</v>
      </c>
      <c r="H50">
        <v>1</v>
      </c>
      <c r="I50" t="s">
        <v>60</v>
      </c>
      <c r="J50">
        <f t="shared" si="0"/>
        <v>0.16666666666666666</v>
      </c>
      <c r="K50" t="str">
        <f t="shared" si="1"/>
        <v>03/02/2025Orthopaedics</v>
      </c>
      <c r="L50">
        <f>VLOOKUP(K50, Sheet2!$A$2:$B$4186, 2,FALSE)</f>
        <v>16</v>
      </c>
      <c r="M50">
        <f>VLOOKUP(C50,Depts!$B$1:$D$16,3,FALSE)</f>
        <v>40</v>
      </c>
      <c r="N50" s="1" t="b">
        <f t="shared" si="2"/>
        <v>1</v>
      </c>
    </row>
    <row r="51" spans="1:14">
      <c r="A51">
        <v>50</v>
      </c>
      <c r="B51">
        <v>919</v>
      </c>
      <c r="C51" t="s">
        <v>49</v>
      </c>
      <c r="D51" s="1">
        <v>45691</v>
      </c>
      <c r="E51" s="1">
        <v>45693</v>
      </c>
      <c r="F51" t="s">
        <v>57</v>
      </c>
      <c r="G51">
        <v>2</v>
      </c>
      <c r="H51">
        <v>187</v>
      </c>
      <c r="I51" t="s">
        <v>60</v>
      </c>
      <c r="J51">
        <f t="shared" si="0"/>
        <v>12.466666666666667</v>
      </c>
      <c r="K51" t="str">
        <f t="shared" si="1"/>
        <v>03/02/2025Paediatrics</v>
      </c>
      <c r="L51">
        <f>VLOOKUP(K51, Sheet2!$A$2:$B$4186, 2,FALSE)</f>
        <v>13</v>
      </c>
      <c r="M51">
        <f>VLOOKUP(C51,Depts!$B$1:$D$16,3,FALSE)</f>
        <v>30</v>
      </c>
      <c r="N51" s="1" t="b">
        <f t="shared" si="2"/>
        <v>1</v>
      </c>
    </row>
    <row r="52" spans="1:14">
      <c r="A52">
        <v>51</v>
      </c>
      <c r="B52">
        <v>964</v>
      </c>
      <c r="C52" t="s">
        <v>42</v>
      </c>
      <c r="D52" s="1">
        <v>45692</v>
      </c>
      <c r="E52" s="1">
        <v>45697</v>
      </c>
      <c r="F52" t="s">
        <v>56</v>
      </c>
      <c r="G52">
        <v>5</v>
      </c>
      <c r="H52">
        <v>4</v>
      </c>
      <c r="I52" t="s">
        <v>60</v>
      </c>
      <c r="J52">
        <f t="shared" si="0"/>
        <v>0.66666666666666663</v>
      </c>
      <c r="K52" t="str">
        <f t="shared" si="1"/>
        <v>04/02/2025Gastroenterology</v>
      </c>
      <c r="L52">
        <f>VLOOKUP(K52, Sheet2!$A$2:$B$4186, 2,FALSE)</f>
        <v>11</v>
      </c>
      <c r="M52">
        <f>VLOOKUP(C52,Depts!$B$1:$D$16,3,FALSE)</f>
        <v>29</v>
      </c>
      <c r="N52" s="1" t="b">
        <f t="shared" si="2"/>
        <v>1</v>
      </c>
    </row>
    <row r="53" spans="1:14">
      <c r="A53">
        <v>52</v>
      </c>
      <c r="B53">
        <v>569</v>
      </c>
      <c r="C53" t="s">
        <v>41</v>
      </c>
      <c r="D53" s="1">
        <v>45693</v>
      </c>
      <c r="E53" s="1">
        <v>45695</v>
      </c>
      <c r="F53" t="s">
        <v>57</v>
      </c>
      <c r="G53">
        <v>2</v>
      </c>
      <c r="H53">
        <v>131</v>
      </c>
      <c r="I53" t="s">
        <v>60</v>
      </c>
      <c r="J53">
        <f t="shared" si="0"/>
        <v>8.7333333333333325</v>
      </c>
      <c r="K53" t="str">
        <f t="shared" si="1"/>
        <v>05/02/2025ENT</v>
      </c>
      <c r="L53">
        <f>VLOOKUP(K53, Sheet2!$A$2:$B$4186, 2,FALSE)</f>
        <v>12</v>
      </c>
      <c r="M53">
        <f>VLOOKUP(C53,Depts!$B$1:$D$16,3,FALSE)</f>
        <v>20</v>
      </c>
      <c r="N53" s="1" t="b">
        <f t="shared" si="2"/>
        <v>1</v>
      </c>
    </row>
    <row r="54" spans="1:14">
      <c r="A54">
        <v>53</v>
      </c>
      <c r="B54">
        <v>191</v>
      </c>
      <c r="C54" t="s">
        <v>44</v>
      </c>
      <c r="D54" s="1">
        <v>45693</v>
      </c>
      <c r="E54" s="1">
        <v>45699</v>
      </c>
      <c r="F54" t="s">
        <v>56</v>
      </c>
      <c r="G54">
        <v>6</v>
      </c>
      <c r="H54">
        <v>27</v>
      </c>
      <c r="I54" t="s">
        <v>60</v>
      </c>
      <c r="J54">
        <f t="shared" si="0"/>
        <v>5.4</v>
      </c>
      <c r="K54" t="str">
        <f t="shared" si="1"/>
        <v>05/02/2025Geriatrics</v>
      </c>
      <c r="L54">
        <f>VLOOKUP(K54, Sheet2!$A$2:$B$4186, 2,FALSE)</f>
        <v>14</v>
      </c>
      <c r="M54">
        <f>VLOOKUP(C54,Depts!$B$1:$D$16,3,FALSE)</f>
        <v>46</v>
      </c>
      <c r="N54" s="1" t="b">
        <f t="shared" si="2"/>
        <v>1</v>
      </c>
    </row>
    <row r="55" spans="1:14">
      <c r="A55">
        <v>54</v>
      </c>
      <c r="B55">
        <v>166</v>
      </c>
      <c r="C55" t="s">
        <v>51</v>
      </c>
      <c r="D55" s="1">
        <v>45694</v>
      </c>
      <c r="E55" s="1">
        <v>45696</v>
      </c>
      <c r="F55" t="s">
        <v>57</v>
      </c>
      <c r="G55">
        <v>2</v>
      </c>
      <c r="H55">
        <v>111</v>
      </c>
      <c r="I55" t="s">
        <v>60</v>
      </c>
      <c r="J55">
        <f t="shared" si="0"/>
        <v>7.4</v>
      </c>
      <c r="K55" t="str">
        <f t="shared" si="1"/>
        <v>06/02/2025Respiratory</v>
      </c>
      <c r="L55">
        <f>VLOOKUP(K55, Sheet2!$A$2:$B$4186, 2,FALSE)</f>
        <v>13</v>
      </c>
      <c r="M55">
        <f>VLOOKUP(C55,Depts!$B$1:$D$16,3,FALSE)</f>
        <v>36</v>
      </c>
      <c r="N55" s="1" t="b">
        <f t="shared" si="2"/>
        <v>1</v>
      </c>
    </row>
    <row r="56" spans="1:14">
      <c r="A56">
        <v>55</v>
      </c>
      <c r="B56">
        <v>873</v>
      </c>
      <c r="C56" t="s">
        <v>43</v>
      </c>
      <c r="D56" s="1">
        <v>45695</v>
      </c>
      <c r="E56" s="1">
        <v>45700</v>
      </c>
      <c r="F56" t="s">
        <v>56</v>
      </c>
      <c r="G56">
        <v>5</v>
      </c>
      <c r="H56">
        <v>19</v>
      </c>
      <c r="I56" t="s">
        <v>60</v>
      </c>
      <c r="J56">
        <f t="shared" si="0"/>
        <v>3.1666666666666665</v>
      </c>
      <c r="K56" t="str">
        <f t="shared" si="1"/>
        <v>07/02/2025General Surgery</v>
      </c>
      <c r="L56">
        <f>VLOOKUP(K56, Sheet2!$A$2:$B$4186, 2,FALSE)</f>
        <v>18</v>
      </c>
      <c r="M56">
        <f>VLOOKUP(C56,Depts!$B$1:$D$16,3,FALSE)</f>
        <v>44</v>
      </c>
      <c r="N56" s="1" t="b">
        <f t="shared" si="2"/>
        <v>1</v>
      </c>
    </row>
    <row r="57" spans="1:14">
      <c r="A57">
        <v>56</v>
      </c>
      <c r="B57">
        <v>926</v>
      </c>
      <c r="C57" t="s">
        <v>40</v>
      </c>
      <c r="D57" s="1">
        <v>45695</v>
      </c>
      <c r="E57" s="1">
        <v>45698</v>
      </c>
      <c r="F57" t="s">
        <v>58</v>
      </c>
      <c r="G57">
        <v>3</v>
      </c>
      <c r="H57">
        <v>40</v>
      </c>
      <c r="I57" t="s">
        <v>60</v>
      </c>
      <c r="J57">
        <f t="shared" si="0"/>
        <v>4</v>
      </c>
      <c r="K57" t="str">
        <f t="shared" si="1"/>
        <v>07/02/2025Cardiology</v>
      </c>
      <c r="L57">
        <f>VLOOKUP(K57, Sheet2!$A$2:$B$4186, 2,FALSE)</f>
        <v>15</v>
      </c>
      <c r="M57">
        <f>VLOOKUP(C57,Depts!$B$1:$D$16,3,FALSE)</f>
        <v>38</v>
      </c>
      <c r="N57" s="1" t="b">
        <f t="shared" si="2"/>
        <v>1</v>
      </c>
    </row>
    <row r="58" spans="1:14">
      <c r="A58">
        <v>57</v>
      </c>
      <c r="B58">
        <v>329</v>
      </c>
      <c r="C58" t="s">
        <v>47</v>
      </c>
      <c r="D58" s="1">
        <v>45696</v>
      </c>
      <c r="E58" s="1">
        <v>45701</v>
      </c>
      <c r="F58" t="s">
        <v>56</v>
      </c>
      <c r="G58">
        <v>5</v>
      </c>
      <c r="H58">
        <v>11</v>
      </c>
      <c r="I58" t="s">
        <v>60</v>
      </c>
      <c r="J58">
        <f t="shared" si="0"/>
        <v>1.8333333333333333</v>
      </c>
      <c r="K58" t="str">
        <f t="shared" si="1"/>
        <v>08/02/2025Oncology</v>
      </c>
      <c r="L58">
        <f>VLOOKUP(K58, Sheet2!$A$2:$B$4186, 2,FALSE)</f>
        <v>13</v>
      </c>
      <c r="M58">
        <f>VLOOKUP(C58,Depts!$B$1:$D$16,3,FALSE)</f>
        <v>28</v>
      </c>
      <c r="N58" s="1" t="b">
        <f t="shared" si="2"/>
        <v>1</v>
      </c>
    </row>
    <row r="59" spans="1:14">
      <c r="A59">
        <v>58</v>
      </c>
      <c r="B59">
        <v>401</v>
      </c>
      <c r="C59" t="s">
        <v>39</v>
      </c>
      <c r="D59" s="1">
        <v>45696</v>
      </c>
      <c r="E59" s="1">
        <v>45697</v>
      </c>
      <c r="F59" t="s">
        <v>57</v>
      </c>
      <c r="G59">
        <v>1</v>
      </c>
      <c r="H59">
        <v>192</v>
      </c>
      <c r="I59" t="s">
        <v>60</v>
      </c>
      <c r="J59">
        <f t="shared" si="0"/>
        <v>6.4</v>
      </c>
      <c r="K59" t="str">
        <f t="shared" si="1"/>
        <v>08/02/2025A&amp;E (Emergency)</v>
      </c>
      <c r="L59">
        <f>VLOOKUP(K59, Sheet2!$A$2:$B$4186, 2,FALSE)</f>
        <v>20</v>
      </c>
      <c r="M59">
        <f>VLOOKUP(C59,Depts!$B$1:$D$16,3,FALSE)</f>
        <v>42</v>
      </c>
      <c r="N59" s="1" t="b">
        <f t="shared" si="2"/>
        <v>1</v>
      </c>
    </row>
    <row r="60" spans="1:14">
      <c r="A60">
        <v>59</v>
      </c>
      <c r="B60">
        <v>325</v>
      </c>
      <c r="C60" t="s">
        <v>50</v>
      </c>
      <c r="D60" s="1">
        <v>45697</v>
      </c>
      <c r="E60" s="1">
        <v>45702</v>
      </c>
      <c r="F60" t="s">
        <v>56</v>
      </c>
      <c r="G60">
        <v>5</v>
      </c>
      <c r="H60">
        <v>22</v>
      </c>
      <c r="I60" t="s">
        <v>61</v>
      </c>
      <c r="J60">
        <f t="shared" si="0"/>
        <v>3.6666666666666665</v>
      </c>
      <c r="K60" t="str">
        <f t="shared" si="1"/>
        <v>09/02/2025Renal Medicine</v>
      </c>
      <c r="L60">
        <f>VLOOKUP(K60, Sheet2!$A$2:$B$4186, 2,FALSE)</f>
        <v>17</v>
      </c>
      <c r="M60">
        <f>VLOOKUP(C60,Depts!$B$1:$D$16,3,FALSE)</f>
        <v>26</v>
      </c>
      <c r="N60" s="1" t="b">
        <f t="shared" si="2"/>
        <v>1</v>
      </c>
    </row>
    <row r="61" spans="1:14">
      <c r="A61">
        <v>60</v>
      </c>
      <c r="B61">
        <v>910</v>
      </c>
      <c r="C61" t="s">
        <v>46</v>
      </c>
      <c r="D61" s="1">
        <v>45698</v>
      </c>
      <c r="E61" s="1">
        <v>45704</v>
      </c>
      <c r="F61" t="s">
        <v>56</v>
      </c>
      <c r="G61">
        <v>6</v>
      </c>
      <c r="H61">
        <v>43</v>
      </c>
      <c r="I61" t="s">
        <v>60</v>
      </c>
      <c r="J61">
        <f t="shared" si="0"/>
        <v>8.6</v>
      </c>
      <c r="K61" t="str">
        <f t="shared" si="1"/>
        <v>10/02/2025Neurology</v>
      </c>
      <c r="L61">
        <f>VLOOKUP(K61, Sheet2!$A$2:$B$4186, 2,FALSE)</f>
        <v>14</v>
      </c>
      <c r="M61">
        <f>VLOOKUP(C61,Depts!$B$1:$D$16,3,FALSE)</f>
        <v>32</v>
      </c>
      <c r="N61" s="1" t="b">
        <f t="shared" si="2"/>
        <v>1</v>
      </c>
    </row>
    <row r="62" spans="1:14">
      <c r="A62">
        <v>61</v>
      </c>
      <c r="B62">
        <v>844</v>
      </c>
      <c r="C62" t="s">
        <v>45</v>
      </c>
      <c r="D62" s="1">
        <v>45698</v>
      </c>
      <c r="E62" s="1">
        <v>45700</v>
      </c>
      <c r="F62" t="s">
        <v>57</v>
      </c>
      <c r="G62">
        <v>2</v>
      </c>
      <c r="H62">
        <v>126</v>
      </c>
      <c r="I62" t="s">
        <v>60</v>
      </c>
      <c r="J62">
        <f t="shared" si="0"/>
        <v>8.4</v>
      </c>
      <c r="K62" t="str">
        <f t="shared" si="1"/>
        <v>10/02/2025Maternity</v>
      </c>
      <c r="L62">
        <f>VLOOKUP(K62, Sheet2!$A$2:$B$4186, 2,FALSE)</f>
        <v>13</v>
      </c>
      <c r="M62">
        <f>VLOOKUP(C62,Depts!$B$1:$D$16,3,FALSE)</f>
        <v>34</v>
      </c>
      <c r="N62" s="1" t="b">
        <f t="shared" si="2"/>
        <v>1</v>
      </c>
    </row>
    <row r="63" spans="1:14">
      <c r="A63">
        <v>62</v>
      </c>
      <c r="B63">
        <v>568</v>
      </c>
      <c r="C63" t="s">
        <v>48</v>
      </c>
      <c r="D63" s="1">
        <v>45699</v>
      </c>
      <c r="E63" s="1">
        <v>45704</v>
      </c>
      <c r="F63" t="s">
        <v>56</v>
      </c>
      <c r="G63">
        <v>5</v>
      </c>
      <c r="H63">
        <v>22</v>
      </c>
      <c r="I63" t="s">
        <v>60</v>
      </c>
      <c r="J63">
        <f t="shared" si="0"/>
        <v>3.6666666666666665</v>
      </c>
      <c r="K63" t="str">
        <f t="shared" si="1"/>
        <v>11/02/2025Orthopaedics</v>
      </c>
      <c r="L63">
        <f>VLOOKUP(K63, Sheet2!$A$2:$B$4186, 2,FALSE)</f>
        <v>15</v>
      </c>
      <c r="M63">
        <f>VLOOKUP(C63,Depts!$B$1:$D$16,3,FALSE)</f>
        <v>40</v>
      </c>
      <c r="N63" s="1" t="b">
        <f t="shared" si="2"/>
        <v>1</v>
      </c>
    </row>
    <row r="64" spans="1:14">
      <c r="A64">
        <v>63</v>
      </c>
      <c r="B64">
        <v>702</v>
      </c>
      <c r="C64" t="s">
        <v>49</v>
      </c>
      <c r="D64" s="1">
        <v>45699</v>
      </c>
      <c r="E64" s="1">
        <v>45701</v>
      </c>
      <c r="F64" t="s">
        <v>57</v>
      </c>
      <c r="G64">
        <v>2</v>
      </c>
      <c r="H64">
        <v>120</v>
      </c>
      <c r="I64" t="s">
        <v>60</v>
      </c>
      <c r="J64">
        <f t="shared" si="0"/>
        <v>8</v>
      </c>
      <c r="K64" t="str">
        <f t="shared" si="1"/>
        <v>11/02/2025Paediatrics</v>
      </c>
      <c r="L64">
        <f>VLOOKUP(K64, Sheet2!$A$2:$B$4186, 2,FALSE)</f>
        <v>12</v>
      </c>
      <c r="M64">
        <f>VLOOKUP(C64,Depts!$B$1:$D$16,3,FALSE)</f>
        <v>30</v>
      </c>
      <c r="N64" s="1" t="b">
        <f t="shared" si="2"/>
        <v>1</v>
      </c>
    </row>
    <row r="65" spans="1:14">
      <c r="A65">
        <v>64</v>
      </c>
      <c r="B65">
        <v>577</v>
      </c>
      <c r="C65" t="s">
        <v>42</v>
      </c>
      <c r="D65" s="1">
        <v>45700</v>
      </c>
      <c r="E65" s="1">
        <v>45705</v>
      </c>
      <c r="F65" t="s">
        <v>56</v>
      </c>
      <c r="G65">
        <v>5</v>
      </c>
      <c r="H65">
        <v>44</v>
      </c>
      <c r="I65" t="s">
        <v>60</v>
      </c>
      <c r="J65">
        <f t="shared" si="0"/>
        <v>7.333333333333333</v>
      </c>
      <c r="K65" t="str">
        <f t="shared" si="1"/>
        <v>12/02/2025Gastroenterology</v>
      </c>
      <c r="L65">
        <f>VLOOKUP(K65, Sheet2!$A$2:$B$4186, 2,FALSE)</f>
        <v>10</v>
      </c>
      <c r="M65">
        <f>VLOOKUP(C65,Depts!$B$1:$D$16,3,FALSE)</f>
        <v>29</v>
      </c>
      <c r="N65" s="1" t="b">
        <f t="shared" si="2"/>
        <v>1</v>
      </c>
    </row>
    <row r="66" spans="1:14">
      <c r="A66">
        <v>65</v>
      </c>
      <c r="B66">
        <v>58</v>
      </c>
      <c r="C66" t="s">
        <v>41</v>
      </c>
      <c r="D66" s="1">
        <v>45701</v>
      </c>
      <c r="E66" s="1">
        <v>45703</v>
      </c>
      <c r="F66" t="s">
        <v>57</v>
      </c>
      <c r="G66">
        <v>2</v>
      </c>
      <c r="H66">
        <v>130</v>
      </c>
      <c r="I66" t="s">
        <v>60</v>
      </c>
      <c r="J66">
        <f t="shared" si="0"/>
        <v>8.6666666666666661</v>
      </c>
      <c r="K66" t="str">
        <f t="shared" si="1"/>
        <v>13/02/2025ENT</v>
      </c>
      <c r="L66">
        <f>VLOOKUP(K66, Sheet2!$A$2:$B$4186, 2,FALSE)</f>
        <v>12</v>
      </c>
      <c r="M66">
        <f>VLOOKUP(C66,Depts!$B$1:$D$16,3,FALSE)</f>
        <v>20</v>
      </c>
      <c r="N66" s="1" t="b">
        <f t="shared" si="2"/>
        <v>1</v>
      </c>
    </row>
    <row r="67" spans="1:14">
      <c r="A67">
        <v>66</v>
      </c>
      <c r="B67">
        <v>547</v>
      </c>
      <c r="C67" t="s">
        <v>44</v>
      </c>
      <c r="D67" s="1">
        <v>45701</v>
      </c>
      <c r="E67" s="1">
        <v>45707</v>
      </c>
      <c r="F67" t="s">
        <v>56</v>
      </c>
      <c r="G67">
        <v>6</v>
      </c>
      <c r="H67">
        <v>35</v>
      </c>
      <c r="I67" t="s">
        <v>60</v>
      </c>
      <c r="J67">
        <f t="shared" ref="J67:J130" si="3">G67*(H67/30)</f>
        <v>7</v>
      </c>
      <c r="K67" t="str">
        <f t="shared" ref="K67:K130" si="4">TEXT(D67, "dd/mm/yyyy")&amp;C67</f>
        <v>13/02/2025Geriatrics</v>
      </c>
      <c r="L67">
        <f>VLOOKUP(K67, Sheet2!$A$2:$B$4186, 2,FALSE)</f>
        <v>14</v>
      </c>
      <c r="M67">
        <f>VLOOKUP(C67,Depts!$B$1:$D$16,3,FALSE)</f>
        <v>46</v>
      </c>
      <c r="N67" s="1" t="b">
        <f t="shared" si="2"/>
        <v>1</v>
      </c>
    </row>
    <row r="68" spans="1:14">
      <c r="A68">
        <v>67</v>
      </c>
      <c r="B68">
        <v>617</v>
      </c>
      <c r="C68" t="s">
        <v>51</v>
      </c>
      <c r="D68" s="1">
        <v>45702</v>
      </c>
      <c r="E68" s="1">
        <v>45704</v>
      </c>
      <c r="F68" t="s">
        <v>57</v>
      </c>
      <c r="G68">
        <v>2</v>
      </c>
      <c r="H68">
        <v>228</v>
      </c>
      <c r="I68" t="s">
        <v>61</v>
      </c>
      <c r="J68">
        <f t="shared" si="3"/>
        <v>15.2</v>
      </c>
      <c r="K68" t="str">
        <f t="shared" si="4"/>
        <v>14/02/2025Respiratory</v>
      </c>
      <c r="L68">
        <f>VLOOKUP(K68, Sheet2!$A$2:$B$4186, 2,FALSE)</f>
        <v>12</v>
      </c>
      <c r="M68">
        <f>VLOOKUP(C68,Depts!$B$1:$D$16,3,FALSE)</f>
        <v>36</v>
      </c>
      <c r="N68" s="1" t="b">
        <f t="shared" si="2"/>
        <v>1</v>
      </c>
    </row>
    <row r="69" spans="1:14">
      <c r="A69">
        <v>68</v>
      </c>
      <c r="B69">
        <v>555</v>
      </c>
      <c r="C69" t="s">
        <v>43</v>
      </c>
      <c r="D69" s="1">
        <v>45703</v>
      </c>
      <c r="E69" s="1">
        <v>45708</v>
      </c>
      <c r="F69" t="s">
        <v>56</v>
      </c>
      <c r="G69">
        <v>5</v>
      </c>
      <c r="H69">
        <v>11</v>
      </c>
      <c r="I69" t="s">
        <v>60</v>
      </c>
      <c r="J69">
        <f t="shared" si="3"/>
        <v>1.8333333333333333</v>
      </c>
      <c r="K69" t="str">
        <f t="shared" si="4"/>
        <v>15/02/2025General Surgery</v>
      </c>
      <c r="L69">
        <f>VLOOKUP(K69, Sheet2!$A$2:$B$4186, 2,FALSE)</f>
        <v>15</v>
      </c>
      <c r="M69">
        <f>VLOOKUP(C69,Depts!$B$1:$D$16,3,FALSE)</f>
        <v>44</v>
      </c>
      <c r="N69" s="1" t="b">
        <f t="shared" si="2"/>
        <v>1</v>
      </c>
    </row>
    <row r="70" spans="1:14">
      <c r="A70">
        <v>69</v>
      </c>
      <c r="B70">
        <v>762</v>
      </c>
      <c r="C70" t="s">
        <v>40</v>
      </c>
      <c r="D70" s="1">
        <v>45703</v>
      </c>
      <c r="E70" s="1">
        <v>45706</v>
      </c>
      <c r="F70" t="s">
        <v>58</v>
      </c>
      <c r="G70">
        <v>3</v>
      </c>
      <c r="H70">
        <v>56</v>
      </c>
      <c r="I70" t="s">
        <v>61</v>
      </c>
      <c r="J70">
        <f t="shared" si="3"/>
        <v>5.6</v>
      </c>
      <c r="K70" t="str">
        <f t="shared" si="4"/>
        <v>15/02/2025Cardiology</v>
      </c>
      <c r="L70">
        <f>VLOOKUP(K70, Sheet2!$A$2:$B$4186, 2,FALSE)</f>
        <v>12</v>
      </c>
      <c r="M70">
        <f>VLOOKUP(C70,Depts!$B$1:$D$16,3,FALSE)</f>
        <v>38</v>
      </c>
      <c r="N70" s="1" t="b">
        <f t="shared" si="2"/>
        <v>1</v>
      </c>
    </row>
    <row r="71" spans="1:14">
      <c r="A71">
        <v>70</v>
      </c>
      <c r="B71">
        <v>724</v>
      </c>
      <c r="C71" t="s">
        <v>47</v>
      </c>
      <c r="D71" s="1">
        <v>45704</v>
      </c>
      <c r="E71" s="1">
        <v>45709</v>
      </c>
      <c r="F71" t="s">
        <v>56</v>
      </c>
      <c r="G71">
        <v>5</v>
      </c>
      <c r="H71">
        <v>41</v>
      </c>
      <c r="I71" t="s">
        <v>60</v>
      </c>
      <c r="J71">
        <f t="shared" si="3"/>
        <v>6.8333333333333339</v>
      </c>
      <c r="K71" t="str">
        <f t="shared" si="4"/>
        <v>16/02/2025Oncology</v>
      </c>
      <c r="L71">
        <f>VLOOKUP(K71, Sheet2!$A$2:$B$4186, 2,FALSE)</f>
        <v>12</v>
      </c>
      <c r="M71">
        <f>VLOOKUP(C71,Depts!$B$1:$D$16,3,FALSE)</f>
        <v>28</v>
      </c>
      <c r="N71" s="1" t="b">
        <f t="shared" si="2"/>
        <v>1</v>
      </c>
    </row>
    <row r="72" spans="1:14">
      <c r="A72">
        <v>71</v>
      </c>
      <c r="B72">
        <v>833</v>
      </c>
      <c r="C72" t="s">
        <v>39</v>
      </c>
      <c r="D72" s="1">
        <v>45704</v>
      </c>
      <c r="E72" s="1">
        <v>45705</v>
      </c>
      <c r="F72" t="s">
        <v>57</v>
      </c>
      <c r="G72">
        <v>1</v>
      </c>
      <c r="H72">
        <v>34</v>
      </c>
      <c r="I72" t="s">
        <v>60</v>
      </c>
      <c r="J72">
        <f t="shared" si="3"/>
        <v>1.1333333333333333</v>
      </c>
      <c r="K72" t="str">
        <f t="shared" si="4"/>
        <v>16/02/2025A&amp;E (Emergency)</v>
      </c>
      <c r="L72">
        <f>VLOOKUP(K72, Sheet2!$A$2:$B$4186, 2,FALSE)</f>
        <v>19</v>
      </c>
      <c r="M72">
        <f>VLOOKUP(C72,Depts!$B$1:$D$16,3,FALSE)</f>
        <v>42</v>
      </c>
      <c r="N72" s="1" t="b">
        <f t="shared" si="2"/>
        <v>1</v>
      </c>
    </row>
    <row r="73" spans="1:14">
      <c r="A73">
        <v>72</v>
      </c>
      <c r="B73">
        <v>408</v>
      </c>
      <c r="C73" t="s">
        <v>50</v>
      </c>
      <c r="D73" s="1">
        <v>45705</v>
      </c>
      <c r="E73" s="1">
        <v>45710</v>
      </c>
      <c r="F73" t="s">
        <v>56</v>
      </c>
      <c r="G73">
        <v>5</v>
      </c>
      <c r="H73">
        <v>42</v>
      </c>
      <c r="I73" t="s">
        <v>60</v>
      </c>
      <c r="J73">
        <f t="shared" si="3"/>
        <v>7</v>
      </c>
      <c r="K73" t="str">
        <f t="shared" si="4"/>
        <v>17/02/2025Renal Medicine</v>
      </c>
      <c r="L73">
        <f>VLOOKUP(K73, Sheet2!$A$2:$B$4186, 2,FALSE)</f>
        <v>21</v>
      </c>
      <c r="M73">
        <f>VLOOKUP(C73,Depts!$B$1:$D$16,3,FALSE)</f>
        <v>26</v>
      </c>
      <c r="N73" s="1" t="b">
        <f t="shared" si="2"/>
        <v>1</v>
      </c>
    </row>
    <row r="74" spans="1:14">
      <c r="A74">
        <v>73</v>
      </c>
      <c r="B74">
        <v>61</v>
      </c>
      <c r="C74" t="s">
        <v>46</v>
      </c>
      <c r="D74" s="1">
        <v>45706</v>
      </c>
      <c r="E74" s="1">
        <v>45712</v>
      </c>
      <c r="F74" t="s">
        <v>56</v>
      </c>
      <c r="G74">
        <v>6</v>
      </c>
      <c r="H74">
        <v>27</v>
      </c>
      <c r="I74" t="s">
        <v>60</v>
      </c>
      <c r="J74">
        <f t="shared" si="3"/>
        <v>5.4</v>
      </c>
      <c r="K74" t="str">
        <f t="shared" si="4"/>
        <v>18/02/2025Neurology</v>
      </c>
      <c r="L74">
        <f>VLOOKUP(K74, Sheet2!$A$2:$B$4186, 2,FALSE)</f>
        <v>13</v>
      </c>
      <c r="M74">
        <f>VLOOKUP(C74,Depts!$B$1:$D$16,3,FALSE)</f>
        <v>32</v>
      </c>
      <c r="N74" s="1" t="b">
        <f t="shared" si="2"/>
        <v>1</v>
      </c>
    </row>
    <row r="75" spans="1:14">
      <c r="A75">
        <v>74</v>
      </c>
      <c r="B75">
        <v>68</v>
      </c>
      <c r="C75" t="s">
        <v>45</v>
      </c>
      <c r="D75" s="1">
        <v>45706</v>
      </c>
      <c r="E75" s="1">
        <v>45708</v>
      </c>
      <c r="F75" t="s">
        <v>57</v>
      </c>
      <c r="G75">
        <v>2</v>
      </c>
      <c r="H75">
        <v>103</v>
      </c>
      <c r="I75" t="s">
        <v>60</v>
      </c>
      <c r="J75">
        <f t="shared" si="3"/>
        <v>6.8666666666666663</v>
      </c>
      <c r="K75" t="str">
        <f t="shared" si="4"/>
        <v>18/02/2025Maternity</v>
      </c>
      <c r="L75">
        <f>VLOOKUP(K75, Sheet2!$A$2:$B$4186, 2,FALSE)</f>
        <v>12</v>
      </c>
      <c r="M75">
        <f>VLOOKUP(C75,Depts!$B$1:$D$16,3,FALSE)</f>
        <v>34</v>
      </c>
      <c r="N75" s="1" t="b">
        <f t="shared" si="2"/>
        <v>1</v>
      </c>
    </row>
    <row r="76" spans="1:14">
      <c r="A76">
        <v>75</v>
      </c>
      <c r="B76">
        <v>992</v>
      </c>
      <c r="C76" t="s">
        <v>48</v>
      </c>
      <c r="D76" s="1">
        <v>45707</v>
      </c>
      <c r="E76" s="1">
        <v>45712</v>
      </c>
      <c r="F76" t="s">
        <v>56</v>
      </c>
      <c r="G76">
        <v>5</v>
      </c>
      <c r="H76">
        <v>44</v>
      </c>
      <c r="I76" t="s">
        <v>60</v>
      </c>
      <c r="J76">
        <f t="shared" si="3"/>
        <v>7.333333333333333</v>
      </c>
      <c r="K76" t="str">
        <f t="shared" si="4"/>
        <v>19/02/2025Orthopaedics</v>
      </c>
      <c r="L76">
        <f>VLOOKUP(K76, Sheet2!$A$2:$B$4186, 2,FALSE)</f>
        <v>14</v>
      </c>
      <c r="M76">
        <f>VLOOKUP(C76,Depts!$B$1:$D$16,3,FALSE)</f>
        <v>40</v>
      </c>
      <c r="N76" s="1" t="b">
        <f t="shared" si="2"/>
        <v>1</v>
      </c>
    </row>
    <row r="77" spans="1:14">
      <c r="A77">
        <v>76</v>
      </c>
      <c r="B77">
        <v>734</v>
      </c>
      <c r="C77" t="s">
        <v>49</v>
      </c>
      <c r="D77" s="1">
        <v>45707</v>
      </c>
      <c r="E77" s="1">
        <v>45709</v>
      </c>
      <c r="F77" t="s">
        <v>57</v>
      </c>
      <c r="G77">
        <v>2</v>
      </c>
      <c r="H77">
        <v>207</v>
      </c>
      <c r="I77" t="s">
        <v>60</v>
      </c>
      <c r="J77">
        <f t="shared" si="3"/>
        <v>13.8</v>
      </c>
      <c r="K77" t="str">
        <f t="shared" si="4"/>
        <v>19/02/2025Paediatrics</v>
      </c>
      <c r="L77">
        <f>VLOOKUP(K77, Sheet2!$A$2:$B$4186, 2,FALSE)</f>
        <v>11</v>
      </c>
      <c r="M77">
        <f>VLOOKUP(C77,Depts!$B$1:$D$16,3,FALSE)</f>
        <v>30</v>
      </c>
      <c r="N77" s="1" t="b">
        <f t="shared" si="2"/>
        <v>1</v>
      </c>
    </row>
    <row r="78" spans="1:14">
      <c r="A78">
        <v>77</v>
      </c>
      <c r="B78">
        <v>651</v>
      </c>
      <c r="C78" t="s">
        <v>42</v>
      </c>
      <c r="D78" s="1">
        <v>45708</v>
      </c>
      <c r="E78" s="1">
        <v>45713</v>
      </c>
      <c r="F78" t="s">
        <v>56</v>
      </c>
      <c r="G78">
        <v>5</v>
      </c>
      <c r="H78">
        <v>42</v>
      </c>
      <c r="I78" t="s">
        <v>60</v>
      </c>
      <c r="J78">
        <f t="shared" si="3"/>
        <v>7</v>
      </c>
      <c r="K78" t="str">
        <f t="shared" si="4"/>
        <v>20/02/2025Gastroenterology</v>
      </c>
      <c r="L78">
        <f>VLOOKUP(K78, Sheet2!$A$2:$B$4186, 2,FALSE)</f>
        <v>10</v>
      </c>
      <c r="M78">
        <f>VLOOKUP(C78,Depts!$B$1:$D$16,3,FALSE)</f>
        <v>29</v>
      </c>
      <c r="N78" s="1" t="b">
        <f t="shared" si="2"/>
        <v>1</v>
      </c>
    </row>
    <row r="79" spans="1:14">
      <c r="A79">
        <v>78</v>
      </c>
      <c r="B79">
        <v>442</v>
      </c>
      <c r="C79" t="s">
        <v>41</v>
      </c>
      <c r="D79" s="1">
        <v>45709</v>
      </c>
      <c r="E79" s="1">
        <v>45711</v>
      </c>
      <c r="F79" t="s">
        <v>57</v>
      </c>
      <c r="G79">
        <v>2</v>
      </c>
      <c r="H79">
        <v>38</v>
      </c>
      <c r="I79" t="s">
        <v>60</v>
      </c>
      <c r="J79">
        <f t="shared" si="3"/>
        <v>2.5333333333333332</v>
      </c>
      <c r="K79" t="str">
        <f t="shared" si="4"/>
        <v>21/02/2025ENT</v>
      </c>
      <c r="L79">
        <f>VLOOKUP(K79, Sheet2!$A$2:$B$4186, 2,FALSE)</f>
        <v>11</v>
      </c>
      <c r="M79">
        <f>VLOOKUP(C79,Depts!$B$1:$D$16,3,FALSE)</f>
        <v>20</v>
      </c>
      <c r="N79" s="1" t="b">
        <f t="shared" si="2"/>
        <v>1</v>
      </c>
    </row>
    <row r="80" spans="1:14">
      <c r="A80">
        <v>79</v>
      </c>
      <c r="B80">
        <v>646</v>
      </c>
      <c r="C80" t="s">
        <v>44</v>
      </c>
      <c r="D80" s="1">
        <v>45709</v>
      </c>
      <c r="E80" s="1">
        <v>45715</v>
      </c>
      <c r="F80" t="s">
        <v>56</v>
      </c>
      <c r="G80">
        <v>6</v>
      </c>
      <c r="H80">
        <v>43</v>
      </c>
      <c r="I80" t="s">
        <v>60</v>
      </c>
      <c r="J80">
        <f t="shared" si="3"/>
        <v>8.6</v>
      </c>
      <c r="K80" t="str">
        <f t="shared" si="4"/>
        <v>21/02/2025Geriatrics</v>
      </c>
      <c r="L80">
        <f>VLOOKUP(K80, Sheet2!$A$2:$B$4186, 2,FALSE)</f>
        <v>13</v>
      </c>
      <c r="M80">
        <f>VLOOKUP(C80,Depts!$B$1:$D$16,3,FALSE)</f>
        <v>46</v>
      </c>
      <c r="N80" s="1" t="b">
        <f t="shared" si="2"/>
        <v>1</v>
      </c>
    </row>
    <row r="81" spans="1:14">
      <c r="A81">
        <v>80</v>
      </c>
      <c r="B81">
        <v>214</v>
      </c>
      <c r="C81" t="s">
        <v>51</v>
      </c>
      <c r="D81" s="1">
        <v>45710</v>
      </c>
      <c r="E81" s="1">
        <v>45712</v>
      </c>
      <c r="F81" t="s">
        <v>57</v>
      </c>
      <c r="G81">
        <v>2</v>
      </c>
      <c r="H81">
        <v>228</v>
      </c>
      <c r="I81" t="s">
        <v>60</v>
      </c>
      <c r="J81">
        <f t="shared" si="3"/>
        <v>15.2</v>
      </c>
      <c r="K81" t="str">
        <f t="shared" si="4"/>
        <v>22/02/2025Respiratory</v>
      </c>
      <c r="L81">
        <f>VLOOKUP(K81, Sheet2!$A$2:$B$4186, 2,FALSE)</f>
        <v>9</v>
      </c>
      <c r="M81">
        <f>VLOOKUP(C81,Depts!$B$1:$D$16,3,FALSE)</f>
        <v>36</v>
      </c>
      <c r="N81" s="1" t="b">
        <f t="shared" si="2"/>
        <v>1</v>
      </c>
    </row>
    <row r="82" spans="1:14">
      <c r="A82">
        <v>81</v>
      </c>
      <c r="B82">
        <v>209</v>
      </c>
      <c r="C82" t="s">
        <v>43</v>
      </c>
      <c r="D82" s="1">
        <v>45711</v>
      </c>
      <c r="E82" s="1">
        <v>45716</v>
      </c>
      <c r="F82" t="s">
        <v>56</v>
      </c>
      <c r="G82">
        <v>5</v>
      </c>
      <c r="H82">
        <v>45</v>
      </c>
      <c r="I82" t="s">
        <v>60</v>
      </c>
      <c r="J82">
        <f t="shared" si="3"/>
        <v>7.5</v>
      </c>
      <c r="K82" t="str">
        <f t="shared" si="4"/>
        <v>23/02/2025General Surgery</v>
      </c>
      <c r="L82">
        <f>VLOOKUP(K82, Sheet2!$A$2:$B$4186, 2,FALSE)</f>
        <v>14</v>
      </c>
      <c r="M82">
        <f>VLOOKUP(C82,Depts!$B$1:$D$16,3,FALSE)</f>
        <v>44</v>
      </c>
      <c r="N82" s="1" t="b">
        <f t="shared" si="2"/>
        <v>1</v>
      </c>
    </row>
    <row r="83" spans="1:14">
      <c r="A83">
        <v>82</v>
      </c>
      <c r="B83">
        <v>752</v>
      </c>
      <c r="C83" t="s">
        <v>40</v>
      </c>
      <c r="D83" s="1">
        <v>45711</v>
      </c>
      <c r="E83" s="1">
        <v>45714</v>
      </c>
      <c r="F83" t="s">
        <v>58</v>
      </c>
      <c r="G83">
        <v>3</v>
      </c>
      <c r="H83">
        <v>34</v>
      </c>
      <c r="I83" t="s">
        <v>60</v>
      </c>
      <c r="J83">
        <f t="shared" si="3"/>
        <v>3.4</v>
      </c>
      <c r="K83" t="str">
        <f t="shared" si="4"/>
        <v>23/02/2025Cardiology</v>
      </c>
      <c r="L83">
        <f>VLOOKUP(K83, Sheet2!$A$2:$B$4186, 2,FALSE)</f>
        <v>11</v>
      </c>
      <c r="M83">
        <f>VLOOKUP(C83,Depts!$B$1:$D$16,3,FALSE)</f>
        <v>38</v>
      </c>
      <c r="N83" s="1" t="b">
        <f t="shared" si="2"/>
        <v>1</v>
      </c>
    </row>
    <row r="84" spans="1:14">
      <c r="A84">
        <v>83</v>
      </c>
      <c r="B84">
        <v>439</v>
      </c>
      <c r="C84" t="s">
        <v>47</v>
      </c>
      <c r="D84" s="1">
        <v>45712</v>
      </c>
      <c r="E84" s="1">
        <v>45717</v>
      </c>
      <c r="F84" t="s">
        <v>56</v>
      </c>
      <c r="G84">
        <v>5</v>
      </c>
      <c r="H84">
        <v>28</v>
      </c>
      <c r="I84" t="s">
        <v>60</v>
      </c>
      <c r="J84">
        <f t="shared" si="3"/>
        <v>4.666666666666667</v>
      </c>
      <c r="K84" t="str">
        <f t="shared" si="4"/>
        <v>24/02/2025Oncology</v>
      </c>
      <c r="L84">
        <f>VLOOKUP(K84, Sheet2!$A$2:$B$4186, 2,FALSE)</f>
        <v>18</v>
      </c>
      <c r="M84">
        <f>VLOOKUP(C84,Depts!$B$1:$D$16,3,FALSE)</f>
        <v>28</v>
      </c>
      <c r="N84" s="1" t="b">
        <f t="shared" si="2"/>
        <v>1</v>
      </c>
    </row>
    <row r="85" spans="1:14">
      <c r="A85">
        <v>84</v>
      </c>
      <c r="B85">
        <v>815</v>
      </c>
      <c r="C85" t="s">
        <v>39</v>
      </c>
      <c r="D85" s="1">
        <v>45712</v>
      </c>
      <c r="E85" s="1">
        <v>45713</v>
      </c>
      <c r="F85" t="s">
        <v>57</v>
      </c>
      <c r="G85">
        <v>1</v>
      </c>
      <c r="H85">
        <v>154</v>
      </c>
      <c r="I85" t="s">
        <v>60</v>
      </c>
      <c r="J85">
        <f t="shared" si="3"/>
        <v>5.1333333333333337</v>
      </c>
      <c r="K85" t="str">
        <f t="shared" si="4"/>
        <v>24/02/2025A&amp;E (Emergency)</v>
      </c>
      <c r="L85">
        <f>VLOOKUP(K85, Sheet2!$A$2:$B$4186, 2,FALSE)</f>
        <v>27</v>
      </c>
      <c r="M85">
        <f>VLOOKUP(C85,Depts!$B$1:$D$16,3,FALSE)</f>
        <v>42</v>
      </c>
      <c r="N85" s="1" t="b">
        <f t="shared" si="2"/>
        <v>1</v>
      </c>
    </row>
    <row r="86" spans="1:14">
      <c r="A86">
        <v>85</v>
      </c>
      <c r="B86">
        <v>861</v>
      </c>
      <c r="C86" t="s">
        <v>50</v>
      </c>
      <c r="D86" s="1">
        <v>45713</v>
      </c>
      <c r="E86" s="1">
        <v>45718</v>
      </c>
      <c r="F86" t="s">
        <v>56</v>
      </c>
      <c r="G86">
        <v>5</v>
      </c>
      <c r="H86">
        <v>20</v>
      </c>
      <c r="I86" t="s">
        <v>60</v>
      </c>
      <c r="J86">
        <f t="shared" si="3"/>
        <v>3.333333333333333</v>
      </c>
      <c r="K86" t="str">
        <f t="shared" si="4"/>
        <v>25/02/2025Renal Medicine</v>
      </c>
      <c r="L86">
        <f>VLOOKUP(K86, Sheet2!$A$2:$B$4186, 2,FALSE)</f>
        <v>20</v>
      </c>
      <c r="M86">
        <f>VLOOKUP(C86,Depts!$B$1:$D$16,3,FALSE)</f>
        <v>26</v>
      </c>
      <c r="N86" s="1" t="b">
        <f t="shared" si="2"/>
        <v>1</v>
      </c>
    </row>
    <row r="87" spans="1:14">
      <c r="A87">
        <v>86</v>
      </c>
      <c r="B87">
        <v>220</v>
      </c>
      <c r="C87" t="s">
        <v>46</v>
      </c>
      <c r="D87" s="1">
        <v>45714</v>
      </c>
      <c r="E87" s="1">
        <v>45720</v>
      </c>
      <c r="F87" t="s">
        <v>56</v>
      </c>
      <c r="G87">
        <v>6</v>
      </c>
      <c r="H87">
        <v>32</v>
      </c>
      <c r="I87" t="s">
        <v>60</v>
      </c>
      <c r="J87">
        <f t="shared" si="3"/>
        <v>6.4</v>
      </c>
      <c r="K87" t="str">
        <f t="shared" si="4"/>
        <v>26/02/2025Neurology</v>
      </c>
      <c r="L87">
        <f>VLOOKUP(K87, Sheet2!$A$2:$B$4186, 2,FALSE)</f>
        <v>12</v>
      </c>
      <c r="M87">
        <f>VLOOKUP(C87,Depts!$B$1:$D$16,3,FALSE)</f>
        <v>32</v>
      </c>
      <c r="N87" s="1" t="b">
        <f t="shared" si="2"/>
        <v>1</v>
      </c>
    </row>
    <row r="88" spans="1:14">
      <c r="A88">
        <v>87</v>
      </c>
      <c r="B88">
        <v>83</v>
      </c>
      <c r="C88" t="s">
        <v>45</v>
      </c>
      <c r="D88" s="1">
        <v>45714</v>
      </c>
      <c r="E88" s="1">
        <v>45716</v>
      </c>
      <c r="F88" t="s">
        <v>57</v>
      </c>
      <c r="G88">
        <v>2</v>
      </c>
      <c r="H88">
        <v>185</v>
      </c>
      <c r="I88" t="s">
        <v>60</v>
      </c>
      <c r="J88">
        <f t="shared" si="3"/>
        <v>12.333333333333334</v>
      </c>
      <c r="K88" t="str">
        <f t="shared" si="4"/>
        <v>26/02/2025Maternity</v>
      </c>
      <c r="L88">
        <f>VLOOKUP(K88, Sheet2!$A$2:$B$4186, 2,FALSE)</f>
        <v>12</v>
      </c>
      <c r="M88">
        <f>VLOOKUP(C88,Depts!$B$1:$D$16,3,FALSE)</f>
        <v>34</v>
      </c>
      <c r="N88" s="1" t="b">
        <f t="shared" si="2"/>
        <v>1</v>
      </c>
    </row>
    <row r="89" spans="1:14">
      <c r="A89">
        <v>88</v>
      </c>
      <c r="B89">
        <v>380</v>
      </c>
      <c r="C89" t="s">
        <v>48</v>
      </c>
      <c r="D89" s="1">
        <v>45715</v>
      </c>
      <c r="E89" s="1">
        <v>45720</v>
      </c>
      <c r="F89" t="s">
        <v>56</v>
      </c>
      <c r="G89">
        <v>5</v>
      </c>
      <c r="H89">
        <v>6</v>
      </c>
      <c r="I89" t="s">
        <v>61</v>
      </c>
      <c r="J89">
        <f t="shared" si="3"/>
        <v>1</v>
      </c>
      <c r="K89" t="str">
        <f t="shared" si="4"/>
        <v>27/02/2025Orthopaedics</v>
      </c>
      <c r="L89">
        <f>VLOOKUP(K89, Sheet2!$A$2:$B$4186, 2,FALSE)</f>
        <v>14</v>
      </c>
      <c r="M89">
        <f>VLOOKUP(C89,Depts!$B$1:$D$16,3,FALSE)</f>
        <v>40</v>
      </c>
      <c r="N89" s="1" t="b">
        <f t="shared" si="2"/>
        <v>1</v>
      </c>
    </row>
    <row r="90" spans="1:14">
      <c r="A90">
        <v>89</v>
      </c>
      <c r="B90">
        <v>686</v>
      </c>
      <c r="C90" t="s">
        <v>49</v>
      </c>
      <c r="D90" s="1">
        <v>45715</v>
      </c>
      <c r="E90" s="1">
        <v>45717</v>
      </c>
      <c r="F90" t="s">
        <v>57</v>
      </c>
      <c r="G90">
        <v>2</v>
      </c>
      <c r="H90">
        <v>99</v>
      </c>
      <c r="I90" t="s">
        <v>61</v>
      </c>
      <c r="J90">
        <f t="shared" si="3"/>
        <v>6.6</v>
      </c>
      <c r="K90" t="str">
        <f t="shared" si="4"/>
        <v>27/02/2025Paediatrics</v>
      </c>
      <c r="L90">
        <f>VLOOKUP(K90, Sheet2!$A$2:$B$4186, 2,FALSE)</f>
        <v>11</v>
      </c>
      <c r="M90">
        <f>VLOOKUP(C90,Depts!$B$1:$D$16,3,FALSE)</f>
        <v>30</v>
      </c>
      <c r="N90" s="1" t="b">
        <f t="shared" si="2"/>
        <v>1</v>
      </c>
    </row>
    <row r="91" spans="1:14">
      <c r="A91">
        <v>90</v>
      </c>
      <c r="B91">
        <v>344</v>
      </c>
      <c r="C91" t="s">
        <v>42</v>
      </c>
      <c r="D91" s="1">
        <v>45716</v>
      </c>
      <c r="E91" s="1">
        <v>45721</v>
      </c>
      <c r="F91" t="s">
        <v>56</v>
      </c>
      <c r="G91">
        <v>5</v>
      </c>
      <c r="H91">
        <v>38</v>
      </c>
      <c r="I91" t="s">
        <v>60</v>
      </c>
      <c r="J91">
        <f t="shared" si="3"/>
        <v>6.333333333333333</v>
      </c>
      <c r="K91" t="str">
        <f t="shared" si="4"/>
        <v>28/02/2025Gastroenterology</v>
      </c>
      <c r="L91">
        <f>VLOOKUP(K91, Sheet2!$A$2:$B$4186, 2,FALSE)</f>
        <v>9</v>
      </c>
      <c r="M91">
        <f>VLOOKUP(C91,Depts!$B$1:$D$16,3,FALSE)</f>
        <v>29</v>
      </c>
      <c r="N91" s="1" t="b">
        <f t="shared" si="2"/>
        <v>1</v>
      </c>
    </row>
    <row r="92" spans="1:14">
      <c r="A92">
        <v>91</v>
      </c>
      <c r="B92">
        <v>489</v>
      </c>
      <c r="C92" t="s">
        <v>41</v>
      </c>
      <c r="D92" s="1">
        <v>45717</v>
      </c>
      <c r="E92" s="1">
        <v>45719</v>
      </c>
      <c r="F92" t="s">
        <v>57</v>
      </c>
      <c r="G92">
        <v>2</v>
      </c>
      <c r="H92">
        <v>189</v>
      </c>
      <c r="I92" t="s">
        <v>60</v>
      </c>
      <c r="J92">
        <f t="shared" si="3"/>
        <v>12.6</v>
      </c>
      <c r="K92" t="str">
        <f t="shared" si="4"/>
        <v>01/03/2025ENT</v>
      </c>
      <c r="L92">
        <f>VLOOKUP(K92, Sheet2!$A$2:$B$4186, 2,FALSE)</f>
        <v>10</v>
      </c>
      <c r="M92">
        <f>VLOOKUP(C92,Depts!$B$1:$D$16,3,FALSE)</f>
        <v>20</v>
      </c>
      <c r="N92" s="1" t="b">
        <f t="shared" si="2"/>
        <v>1</v>
      </c>
    </row>
    <row r="93" spans="1:14">
      <c r="A93">
        <v>92</v>
      </c>
      <c r="B93">
        <v>604</v>
      </c>
      <c r="C93" t="s">
        <v>44</v>
      </c>
      <c r="D93" s="1">
        <v>45717</v>
      </c>
      <c r="E93" s="1">
        <v>45723</v>
      </c>
      <c r="F93" t="s">
        <v>56</v>
      </c>
      <c r="G93">
        <v>6</v>
      </c>
      <c r="H93">
        <v>12</v>
      </c>
      <c r="I93" t="s">
        <v>60</v>
      </c>
      <c r="J93">
        <f t="shared" si="3"/>
        <v>2.4000000000000004</v>
      </c>
      <c r="K93" t="str">
        <f t="shared" si="4"/>
        <v>01/03/2025Geriatrics</v>
      </c>
      <c r="L93">
        <f>VLOOKUP(K93, Sheet2!$A$2:$B$4186, 2,FALSE)</f>
        <v>12</v>
      </c>
      <c r="M93">
        <f>VLOOKUP(C93,Depts!$B$1:$D$16,3,FALSE)</f>
        <v>46</v>
      </c>
      <c r="N93" s="1" t="b">
        <f t="shared" si="2"/>
        <v>1</v>
      </c>
    </row>
    <row r="94" spans="1:14">
      <c r="A94">
        <v>93</v>
      </c>
      <c r="B94">
        <v>313</v>
      </c>
      <c r="C94" t="s">
        <v>51</v>
      </c>
      <c r="D94" s="1">
        <v>45718</v>
      </c>
      <c r="E94" s="1">
        <v>45720</v>
      </c>
      <c r="F94" t="s">
        <v>57</v>
      </c>
      <c r="G94">
        <v>2</v>
      </c>
      <c r="H94">
        <v>175</v>
      </c>
      <c r="I94" t="s">
        <v>60</v>
      </c>
      <c r="J94">
        <f t="shared" si="3"/>
        <v>11.666666666666666</v>
      </c>
      <c r="K94" t="str">
        <f t="shared" si="4"/>
        <v>02/03/2025Respiratory</v>
      </c>
      <c r="L94">
        <f>VLOOKUP(K94, Sheet2!$A$2:$B$4186, 2,FALSE)</f>
        <v>9</v>
      </c>
      <c r="M94">
        <f>VLOOKUP(C94,Depts!$B$1:$D$16,3,FALSE)</f>
        <v>36</v>
      </c>
      <c r="N94" s="1" t="b">
        <f t="shared" si="2"/>
        <v>1</v>
      </c>
    </row>
    <row r="95" spans="1:14">
      <c r="A95">
        <v>94</v>
      </c>
      <c r="B95">
        <v>360</v>
      </c>
      <c r="C95" t="s">
        <v>43</v>
      </c>
      <c r="D95" s="1">
        <v>45719</v>
      </c>
      <c r="E95" s="1">
        <v>45724</v>
      </c>
      <c r="F95" t="s">
        <v>56</v>
      </c>
      <c r="G95">
        <v>5</v>
      </c>
      <c r="H95">
        <v>27</v>
      </c>
      <c r="I95" t="s">
        <v>60</v>
      </c>
      <c r="J95">
        <f t="shared" si="3"/>
        <v>4.5</v>
      </c>
      <c r="K95" t="str">
        <f t="shared" si="4"/>
        <v>03/03/2025General Surgery</v>
      </c>
      <c r="L95">
        <f>VLOOKUP(K95, Sheet2!$A$2:$B$4186, 2,FALSE)</f>
        <v>22</v>
      </c>
      <c r="M95">
        <f>VLOOKUP(C95,Depts!$B$1:$D$16,3,FALSE)</f>
        <v>44</v>
      </c>
      <c r="N95" s="1" t="b">
        <f t="shared" si="2"/>
        <v>1</v>
      </c>
    </row>
    <row r="96" spans="1:14">
      <c r="A96">
        <v>95</v>
      </c>
      <c r="B96">
        <v>504</v>
      </c>
      <c r="C96" t="s">
        <v>40</v>
      </c>
      <c r="D96" s="1">
        <v>45719</v>
      </c>
      <c r="E96" s="1">
        <v>45722</v>
      </c>
      <c r="F96" t="s">
        <v>58</v>
      </c>
      <c r="G96">
        <v>3</v>
      </c>
      <c r="H96">
        <v>27</v>
      </c>
      <c r="I96" t="s">
        <v>60</v>
      </c>
      <c r="J96">
        <f t="shared" si="3"/>
        <v>2.7</v>
      </c>
      <c r="K96" t="str">
        <f t="shared" si="4"/>
        <v>03/03/2025Cardiology</v>
      </c>
      <c r="L96">
        <f>VLOOKUP(K96, Sheet2!$A$2:$B$4186, 2,FALSE)</f>
        <v>18</v>
      </c>
      <c r="M96">
        <f>VLOOKUP(C96,Depts!$B$1:$D$16,3,FALSE)</f>
        <v>38</v>
      </c>
      <c r="N96" s="1" t="b">
        <f t="shared" si="2"/>
        <v>1</v>
      </c>
    </row>
    <row r="97" spans="1:14">
      <c r="A97">
        <v>96</v>
      </c>
      <c r="B97">
        <v>819</v>
      </c>
      <c r="C97" t="s">
        <v>47</v>
      </c>
      <c r="D97" s="1">
        <v>45720</v>
      </c>
      <c r="E97" s="1">
        <v>45725</v>
      </c>
      <c r="F97" t="s">
        <v>56</v>
      </c>
      <c r="G97">
        <v>5</v>
      </c>
      <c r="H97">
        <v>44</v>
      </c>
      <c r="I97" t="s">
        <v>60</v>
      </c>
      <c r="J97">
        <f t="shared" si="3"/>
        <v>7.333333333333333</v>
      </c>
      <c r="K97" t="str">
        <f t="shared" si="4"/>
        <v>04/03/2025Oncology</v>
      </c>
      <c r="L97">
        <f>VLOOKUP(K97, Sheet2!$A$2:$B$4186, 2,FALSE)</f>
        <v>17</v>
      </c>
      <c r="M97">
        <f>VLOOKUP(C97,Depts!$B$1:$D$16,3,FALSE)</f>
        <v>28</v>
      </c>
      <c r="N97" s="1" t="b">
        <f t="shared" si="2"/>
        <v>1</v>
      </c>
    </row>
    <row r="98" spans="1:14">
      <c r="A98">
        <v>97</v>
      </c>
      <c r="B98">
        <v>552</v>
      </c>
      <c r="C98" t="s">
        <v>39</v>
      </c>
      <c r="D98" s="1">
        <v>45720</v>
      </c>
      <c r="E98" s="1">
        <v>45721</v>
      </c>
      <c r="F98" t="s">
        <v>57</v>
      </c>
      <c r="G98">
        <v>1</v>
      </c>
      <c r="H98">
        <v>24</v>
      </c>
      <c r="I98" t="s">
        <v>60</v>
      </c>
      <c r="J98">
        <f t="shared" si="3"/>
        <v>0.8</v>
      </c>
      <c r="K98" t="str">
        <f t="shared" si="4"/>
        <v>04/03/2025A&amp;E (Emergency)</v>
      </c>
      <c r="L98">
        <f>VLOOKUP(K98, Sheet2!$A$2:$B$4186, 2,FALSE)</f>
        <v>25</v>
      </c>
      <c r="M98">
        <f>VLOOKUP(C98,Depts!$B$1:$D$16,3,FALSE)</f>
        <v>42</v>
      </c>
      <c r="N98" s="1" t="b">
        <f t="shared" si="2"/>
        <v>1</v>
      </c>
    </row>
    <row r="99" spans="1:14">
      <c r="A99">
        <v>98</v>
      </c>
      <c r="B99">
        <v>71</v>
      </c>
      <c r="C99" t="s">
        <v>50</v>
      </c>
      <c r="D99" s="1">
        <v>45721</v>
      </c>
      <c r="E99" s="1">
        <v>45726</v>
      </c>
      <c r="F99" t="s">
        <v>56</v>
      </c>
      <c r="G99">
        <v>5</v>
      </c>
      <c r="H99">
        <v>37</v>
      </c>
      <c r="I99" t="s">
        <v>60</v>
      </c>
      <c r="J99">
        <f t="shared" si="3"/>
        <v>6.166666666666667</v>
      </c>
      <c r="K99" t="str">
        <f t="shared" si="4"/>
        <v>05/03/2025Renal Medicine</v>
      </c>
      <c r="L99">
        <f>VLOOKUP(K99, Sheet2!$A$2:$B$4186, 2,FALSE)</f>
        <v>19</v>
      </c>
      <c r="M99">
        <f>VLOOKUP(C99,Depts!$B$1:$D$16,3,FALSE)</f>
        <v>26</v>
      </c>
      <c r="N99" s="1" t="b">
        <f t="shared" si="2"/>
        <v>1</v>
      </c>
    </row>
    <row r="100" spans="1:14">
      <c r="A100">
        <v>99</v>
      </c>
      <c r="B100">
        <v>709</v>
      </c>
      <c r="C100" t="s">
        <v>46</v>
      </c>
      <c r="D100" s="1">
        <v>45722</v>
      </c>
      <c r="E100" s="1">
        <v>45728</v>
      </c>
      <c r="F100" t="s">
        <v>56</v>
      </c>
      <c r="G100">
        <v>6</v>
      </c>
      <c r="H100">
        <v>43</v>
      </c>
      <c r="I100" t="s">
        <v>60</v>
      </c>
      <c r="J100">
        <f t="shared" si="3"/>
        <v>8.6</v>
      </c>
      <c r="K100" t="str">
        <f t="shared" si="4"/>
        <v>06/03/2025Neurology</v>
      </c>
      <c r="L100">
        <f>VLOOKUP(K100, Sheet2!$A$2:$B$4186, 2,FALSE)</f>
        <v>12</v>
      </c>
      <c r="M100">
        <f>VLOOKUP(C100,Depts!$B$1:$D$16,3,FALSE)</f>
        <v>32</v>
      </c>
      <c r="N100" s="1" t="b">
        <f t="shared" si="2"/>
        <v>1</v>
      </c>
    </row>
    <row r="101" spans="1:14">
      <c r="A101">
        <v>100</v>
      </c>
      <c r="B101">
        <v>534</v>
      </c>
      <c r="C101" t="s">
        <v>45</v>
      </c>
      <c r="D101" s="1">
        <v>45722</v>
      </c>
      <c r="E101" s="1">
        <v>45724</v>
      </c>
      <c r="F101" t="s">
        <v>57</v>
      </c>
      <c r="G101">
        <v>2</v>
      </c>
      <c r="H101">
        <v>148</v>
      </c>
      <c r="I101" t="s">
        <v>60</v>
      </c>
      <c r="J101">
        <f t="shared" si="3"/>
        <v>9.8666666666666671</v>
      </c>
      <c r="K101" t="str">
        <f t="shared" si="4"/>
        <v>06/03/2025Maternity</v>
      </c>
      <c r="L101">
        <f>VLOOKUP(K101, Sheet2!$A$2:$B$4186, 2,FALSE)</f>
        <v>12</v>
      </c>
      <c r="M101">
        <f>VLOOKUP(C101,Depts!$B$1:$D$16,3,FALSE)</f>
        <v>34</v>
      </c>
      <c r="N101" s="1" t="b">
        <f t="shared" si="2"/>
        <v>1</v>
      </c>
    </row>
    <row r="102" spans="1:14">
      <c r="A102">
        <v>101</v>
      </c>
      <c r="B102">
        <v>624</v>
      </c>
      <c r="C102" t="s">
        <v>48</v>
      </c>
      <c r="D102" s="1">
        <v>45723</v>
      </c>
      <c r="E102" s="1">
        <v>45728</v>
      </c>
      <c r="F102" t="s">
        <v>56</v>
      </c>
      <c r="G102">
        <v>5</v>
      </c>
      <c r="H102">
        <v>34</v>
      </c>
      <c r="I102" t="s">
        <v>60</v>
      </c>
      <c r="J102">
        <f t="shared" si="3"/>
        <v>5.6666666666666661</v>
      </c>
      <c r="K102" t="str">
        <f t="shared" si="4"/>
        <v>07/03/2025Orthopaedics</v>
      </c>
      <c r="L102">
        <f>VLOOKUP(K102, Sheet2!$A$2:$B$4186, 2,FALSE)</f>
        <v>13</v>
      </c>
      <c r="M102">
        <f>VLOOKUP(C102,Depts!$B$1:$D$16,3,FALSE)</f>
        <v>40</v>
      </c>
      <c r="N102" s="1" t="b">
        <f t="shared" si="2"/>
        <v>1</v>
      </c>
    </row>
    <row r="103" spans="1:14">
      <c r="A103">
        <v>102</v>
      </c>
      <c r="B103">
        <v>689</v>
      </c>
      <c r="C103" t="s">
        <v>49</v>
      </c>
      <c r="D103" s="1">
        <v>45723</v>
      </c>
      <c r="E103" s="1">
        <v>45725</v>
      </c>
      <c r="F103" t="s">
        <v>57</v>
      </c>
      <c r="G103">
        <v>2</v>
      </c>
      <c r="H103">
        <v>238</v>
      </c>
      <c r="I103" t="s">
        <v>60</v>
      </c>
      <c r="J103">
        <f t="shared" si="3"/>
        <v>15.866666666666667</v>
      </c>
      <c r="K103" t="str">
        <f t="shared" si="4"/>
        <v>07/03/2025Paediatrics</v>
      </c>
      <c r="L103">
        <f>VLOOKUP(K103, Sheet2!$A$2:$B$4186, 2,FALSE)</f>
        <v>10</v>
      </c>
      <c r="M103">
        <f>VLOOKUP(C103,Depts!$B$1:$D$16,3,FALSE)</f>
        <v>30</v>
      </c>
      <c r="N103" s="1" t="b">
        <f t="shared" si="2"/>
        <v>1</v>
      </c>
    </row>
    <row r="104" spans="1:14">
      <c r="A104">
        <v>103</v>
      </c>
      <c r="B104">
        <v>556</v>
      </c>
      <c r="C104" t="s">
        <v>42</v>
      </c>
      <c r="D104" s="1">
        <v>45724</v>
      </c>
      <c r="E104" s="1">
        <v>45729</v>
      </c>
      <c r="F104" t="s">
        <v>56</v>
      </c>
      <c r="G104">
        <v>5</v>
      </c>
      <c r="H104">
        <v>15</v>
      </c>
      <c r="I104" t="s">
        <v>60</v>
      </c>
      <c r="J104">
        <f t="shared" si="3"/>
        <v>2.5</v>
      </c>
      <c r="K104" t="str">
        <f t="shared" si="4"/>
        <v>08/03/2025Gastroenterology</v>
      </c>
      <c r="L104">
        <f>VLOOKUP(K104, Sheet2!$A$2:$B$4186, 2,FALSE)</f>
        <v>7</v>
      </c>
      <c r="M104">
        <f>VLOOKUP(C104,Depts!$B$1:$D$16,3,FALSE)</f>
        <v>29</v>
      </c>
      <c r="N104" s="1" t="b">
        <f t="shared" si="2"/>
        <v>1</v>
      </c>
    </row>
    <row r="105" spans="1:14">
      <c r="A105">
        <v>104</v>
      </c>
      <c r="B105">
        <v>152</v>
      </c>
      <c r="C105" t="s">
        <v>41</v>
      </c>
      <c r="D105" s="1">
        <v>45725</v>
      </c>
      <c r="E105" s="1">
        <v>45727</v>
      </c>
      <c r="F105" t="s">
        <v>57</v>
      </c>
      <c r="G105">
        <v>2</v>
      </c>
      <c r="H105">
        <v>190</v>
      </c>
      <c r="I105" t="s">
        <v>60</v>
      </c>
      <c r="J105">
        <f t="shared" si="3"/>
        <v>12.666666666666666</v>
      </c>
      <c r="K105" t="str">
        <f t="shared" si="4"/>
        <v>09/03/2025ENT</v>
      </c>
      <c r="L105">
        <f>VLOOKUP(K105, Sheet2!$A$2:$B$4186, 2,FALSE)</f>
        <v>10</v>
      </c>
      <c r="M105">
        <f>VLOOKUP(C105,Depts!$B$1:$D$16,3,FALSE)</f>
        <v>20</v>
      </c>
      <c r="N105" s="1" t="b">
        <f t="shared" si="2"/>
        <v>1</v>
      </c>
    </row>
    <row r="106" spans="1:14">
      <c r="A106">
        <v>105</v>
      </c>
      <c r="B106">
        <v>745</v>
      </c>
      <c r="C106" t="s">
        <v>44</v>
      </c>
      <c r="D106" s="1">
        <v>45725</v>
      </c>
      <c r="E106" s="1">
        <v>45731</v>
      </c>
      <c r="F106" t="s">
        <v>56</v>
      </c>
      <c r="G106">
        <v>6</v>
      </c>
      <c r="H106">
        <v>1</v>
      </c>
      <c r="I106" t="s">
        <v>61</v>
      </c>
      <c r="J106">
        <f t="shared" si="3"/>
        <v>0.2</v>
      </c>
      <c r="K106" t="str">
        <f t="shared" si="4"/>
        <v>09/03/2025Geriatrics</v>
      </c>
      <c r="L106">
        <f>VLOOKUP(K106, Sheet2!$A$2:$B$4186, 2,FALSE)</f>
        <v>12</v>
      </c>
      <c r="M106">
        <f>VLOOKUP(C106,Depts!$B$1:$D$16,3,FALSE)</f>
        <v>46</v>
      </c>
      <c r="N106" s="1" t="b">
        <f t="shared" si="2"/>
        <v>1</v>
      </c>
    </row>
    <row r="107" spans="1:14">
      <c r="A107">
        <v>106</v>
      </c>
      <c r="B107">
        <v>423</v>
      </c>
      <c r="C107" t="s">
        <v>51</v>
      </c>
      <c r="D107" s="1">
        <v>45726</v>
      </c>
      <c r="E107" s="1">
        <v>45728</v>
      </c>
      <c r="F107" t="s">
        <v>57</v>
      </c>
      <c r="G107">
        <v>2</v>
      </c>
      <c r="H107">
        <v>217</v>
      </c>
      <c r="I107" t="s">
        <v>60</v>
      </c>
      <c r="J107">
        <f t="shared" si="3"/>
        <v>14.466666666666667</v>
      </c>
      <c r="K107" t="str">
        <f t="shared" si="4"/>
        <v>10/03/2025Respiratory</v>
      </c>
      <c r="L107">
        <f>VLOOKUP(K107, Sheet2!$A$2:$B$4186, 2,FALSE)</f>
        <v>15</v>
      </c>
      <c r="M107">
        <f>VLOOKUP(C107,Depts!$B$1:$D$16,3,FALSE)</f>
        <v>36</v>
      </c>
      <c r="N107" s="1" t="b">
        <f t="shared" si="2"/>
        <v>1</v>
      </c>
    </row>
    <row r="108" spans="1:14">
      <c r="A108">
        <v>107</v>
      </c>
      <c r="B108">
        <v>314</v>
      </c>
      <c r="C108" t="s">
        <v>43</v>
      </c>
      <c r="D108" s="1">
        <v>45727</v>
      </c>
      <c r="E108" s="1">
        <v>45732</v>
      </c>
      <c r="F108" t="s">
        <v>56</v>
      </c>
      <c r="G108">
        <v>5</v>
      </c>
      <c r="H108">
        <v>34</v>
      </c>
      <c r="I108" t="s">
        <v>60</v>
      </c>
      <c r="J108">
        <f t="shared" si="3"/>
        <v>5.6666666666666661</v>
      </c>
      <c r="K108" t="str">
        <f t="shared" si="4"/>
        <v>11/03/2025General Surgery</v>
      </c>
      <c r="L108">
        <f>VLOOKUP(K108, Sheet2!$A$2:$B$4186, 2,FALSE)</f>
        <v>20</v>
      </c>
      <c r="M108">
        <f>VLOOKUP(C108,Depts!$B$1:$D$16,3,FALSE)</f>
        <v>44</v>
      </c>
      <c r="N108" s="1" t="b">
        <f t="shared" si="2"/>
        <v>1</v>
      </c>
    </row>
    <row r="109" spans="1:14">
      <c r="A109">
        <v>108</v>
      </c>
      <c r="B109">
        <v>18</v>
      </c>
      <c r="C109" t="s">
        <v>40</v>
      </c>
      <c r="D109" s="1">
        <v>45727</v>
      </c>
      <c r="E109" s="1">
        <v>45730</v>
      </c>
      <c r="F109" t="s">
        <v>58</v>
      </c>
      <c r="G109">
        <v>3</v>
      </c>
      <c r="H109">
        <v>56</v>
      </c>
      <c r="I109" t="s">
        <v>61</v>
      </c>
      <c r="J109">
        <f t="shared" si="3"/>
        <v>5.6</v>
      </c>
      <c r="K109" t="str">
        <f t="shared" si="4"/>
        <v>11/03/2025Cardiology</v>
      </c>
      <c r="L109">
        <f>VLOOKUP(K109, Sheet2!$A$2:$B$4186, 2,FALSE)</f>
        <v>17</v>
      </c>
      <c r="M109">
        <f>VLOOKUP(C109,Depts!$B$1:$D$16,3,FALSE)</f>
        <v>38</v>
      </c>
      <c r="N109" s="1" t="b">
        <f t="shared" si="2"/>
        <v>1</v>
      </c>
    </row>
    <row r="110" spans="1:14">
      <c r="A110">
        <v>109</v>
      </c>
      <c r="B110">
        <v>24</v>
      </c>
      <c r="C110" t="s">
        <v>47</v>
      </c>
      <c r="D110" s="1">
        <v>45728</v>
      </c>
      <c r="E110" s="1">
        <v>45733</v>
      </c>
      <c r="F110" t="s">
        <v>56</v>
      </c>
      <c r="G110">
        <v>5</v>
      </c>
      <c r="H110">
        <v>14</v>
      </c>
      <c r="I110" t="s">
        <v>60</v>
      </c>
      <c r="J110">
        <f t="shared" si="3"/>
        <v>2.3333333333333335</v>
      </c>
      <c r="K110" t="str">
        <f t="shared" si="4"/>
        <v>12/03/2025Oncology</v>
      </c>
      <c r="L110">
        <f>VLOOKUP(K110, Sheet2!$A$2:$B$4186, 2,FALSE)</f>
        <v>16</v>
      </c>
      <c r="M110">
        <f>VLOOKUP(C110,Depts!$B$1:$D$16,3,FALSE)</f>
        <v>28</v>
      </c>
      <c r="N110" s="1" t="b">
        <f t="shared" si="2"/>
        <v>1</v>
      </c>
    </row>
    <row r="111" spans="1:14">
      <c r="A111">
        <v>110</v>
      </c>
      <c r="B111">
        <v>695</v>
      </c>
      <c r="C111" t="s">
        <v>39</v>
      </c>
      <c r="D111" s="1">
        <v>45728</v>
      </c>
      <c r="E111" s="1">
        <v>45729</v>
      </c>
      <c r="F111" t="s">
        <v>57</v>
      </c>
      <c r="G111">
        <v>1</v>
      </c>
      <c r="H111">
        <v>38</v>
      </c>
      <c r="I111" t="s">
        <v>60</v>
      </c>
      <c r="J111">
        <f t="shared" si="3"/>
        <v>1.2666666666666666</v>
      </c>
      <c r="K111" t="str">
        <f t="shared" si="4"/>
        <v>12/03/2025A&amp;E (Emergency)</v>
      </c>
      <c r="L111">
        <f>VLOOKUP(K111, Sheet2!$A$2:$B$4186, 2,FALSE)</f>
        <v>24</v>
      </c>
      <c r="M111">
        <f>VLOOKUP(C111,Depts!$B$1:$D$16,3,FALSE)</f>
        <v>42</v>
      </c>
      <c r="N111" s="1" t="b">
        <f t="shared" si="2"/>
        <v>1</v>
      </c>
    </row>
    <row r="112" spans="1:14">
      <c r="A112">
        <v>111</v>
      </c>
      <c r="B112">
        <v>268</v>
      </c>
      <c r="C112" t="s">
        <v>50</v>
      </c>
      <c r="D112" s="1">
        <v>45729</v>
      </c>
      <c r="E112" s="1">
        <v>45734</v>
      </c>
      <c r="F112" t="s">
        <v>56</v>
      </c>
      <c r="G112">
        <v>5</v>
      </c>
      <c r="H112">
        <v>25</v>
      </c>
      <c r="I112" t="s">
        <v>60</v>
      </c>
      <c r="J112">
        <f t="shared" si="3"/>
        <v>4.166666666666667</v>
      </c>
      <c r="K112" t="str">
        <f t="shared" si="4"/>
        <v>13/03/2025Renal Medicine</v>
      </c>
      <c r="L112">
        <f>VLOOKUP(K112, Sheet2!$A$2:$B$4186, 2,FALSE)</f>
        <v>19</v>
      </c>
      <c r="M112">
        <f>VLOOKUP(C112,Depts!$B$1:$D$16,3,FALSE)</f>
        <v>26</v>
      </c>
      <c r="N112" s="1" t="b">
        <f t="shared" si="2"/>
        <v>1</v>
      </c>
    </row>
    <row r="113" spans="1:14">
      <c r="A113">
        <v>112</v>
      </c>
      <c r="B113">
        <v>854</v>
      </c>
      <c r="C113" t="s">
        <v>46</v>
      </c>
      <c r="D113" s="1">
        <v>45730</v>
      </c>
      <c r="E113" s="1">
        <v>45736</v>
      </c>
      <c r="F113" t="s">
        <v>56</v>
      </c>
      <c r="G113">
        <v>6</v>
      </c>
      <c r="H113">
        <v>4</v>
      </c>
      <c r="I113" t="s">
        <v>60</v>
      </c>
      <c r="J113">
        <f t="shared" si="3"/>
        <v>0.8</v>
      </c>
      <c r="K113" t="str">
        <f t="shared" si="4"/>
        <v>14/03/2025Neurology</v>
      </c>
      <c r="L113">
        <f>VLOOKUP(K113, Sheet2!$A$2:$B$4186, 2,FALSE)</f>
        <v>11</v>
      </c>
      <c r="M113">
        <f>VLOOKUP(C113,Depts!$B$1:$D$16,3,FALSE)</f>
        <v>32</v>
      </c>
      <c r="N113" s="1" t="b">
        <f t="shared" ref="N113:N176" si="5">ISNUMBER(D113)</f>
        <v>1</v>
      </c>
    </row>
    <row r="114" spans="1:14">
      <c r="A114">
        <v>113</v>
      </c>
      <c r="B114">
        <v>875</v>
      </c>
      <c r="C114" t="s">
        <v>45</v>
      </c>
      <c r="D114" s="1">
        <v>45730</v>
      </c>
      <c r="E114" s="1">
        <v>45732</v>
      </c>
      <c r="F114" t="s">
        <v>57</v>
      </c>
      <c r="G114">
        <v>2</v>
      </c>
      <c r="H114">
        <v>185</v>
      </c>
      <c r="I114" t="s">
        <v>60</v>
      </c>
      <c r="J114">
        <f t="shared" si="3"/>
        <v>12.333333333333334</v>
      </c>
      <c r="K114" t="str">
        <f t="shared" si="4"/>
        <v>14/03/2025Maternity</v>
      </c>
      <c r="L114">
        <f>VLOOKUP(K114, Sheet2!$A$2:$B$4186, 2,FALSE)</f>
        <v>11</v>
      </c>
      <c r="M114">
        <f>VLOOKUP(C114,Depts!$B$1:$D$16,3,FALSE)</f>
        <v>34</v>
      </c>
      <c r="N114" s="1" t="b">
        <f t="shared" si="5"/>
        <v>1</v>
      </c>
    </row>
    <row r="115" spans="1:14">
      <c r="A115">
        <v>114</v>
      </c>
      <c r="B115">
        <v>831</v>
      </c>
      <c r="C115" t="s">
        <v>48</v>
      </c>
      <c r="D115" s="1">
        <v>45731</v>
      </c>
      <c r="E115" s="1">
        <v>45736</v>
      </c>
      <c r="F115" t="s">
        <v>56</v>
      </c>
      <c r="G115">
        <v>5</v>
      </c>
      <c r="H115">
        <v>23</v>
      </c>
      <c r="I115" t="s">
        <v>60</v>
      </c>
      <c r="J115">
        <f t="shared" si="3"/>
        <v>3.8333333333333335</v>
      </c>
      <c r="K115" t="str">
        <f t="shared" si="4"/>
        <v>15/03/2025Orthopaedics</v>
      </c>
      <c r="L115">
        <f>VLOOKUP(K115, Sheet2!$A$2:$B$4186, 2,FALSE)</f>
        <v>11</v>
      </c>
      <c r="M115">
        <f>VLOOKUP(C115,Depts!$B$1:$D$16,3,FALSE)</f>
        <v>40</v>
      </c>
      <c r="N115" s="1" t="b">
        <f t="shared" si="5"/>
        <v>1</v>
      </c>
    </row>
    <row r="116" spans="1:14">
      <c r="A116">
        <v>115</v>
      </c>
      <c r="B116">
        <v>73</v>
      </c>
      <c r="C116" t="s">
        <v>49</v>
      </c>
      <c r="D116" s="1">
        <v>45731</v>
      </c>
      <c r="E116" s="1">
        <v>45733</v>
      </c>
      <c r="F116" t="s">
        <v>57</v>
      </c>
      <c r="G116">
        <v>2</v>
      </c>
      <c r="H116">
        <v>63</v>
      </c>
      <c r="I116" t="s">
        <v>60</v>
      </c>
      <c r="J116">
        <f t="shared" si="3"/>
        <v>4.2</v>
      </c>
      <c r="K116" t="str">
        <f t="shared" si="4"/>
        <v>15/03/2025Paediatrics</v>
      </c>
      <c r="L116">
        <f>VLOOKUP(K116, Sheet2!$A$2:$B$4186, 2,FALSE)</f>
        <v>9</v>
      </c>
      <c r="M116">
        <f>VLOOKUP(C116,Depts!$B$1:$D$16,3,FALSE)</f>
        <v>30</v>
      </c>
      <c r="N116" s="1" t="b">
        <f t="shared" si="5"/>
        <v>1</v>
      </c>
    </row>
    <row r="117" spans="1:14">
      <c r="A117">
        <v>116</v>
      </c>
      <c r="B117">
        <v>92</v>
      </c>
      <c r="C117" t="s">
        <v>42</v>
      </c>
      <c r="D117" s="1">
        <v>45732</v>
      </c>
      <c r="E117" s="1">
        <v>45737</v>
      </c>
      <c r="F117" t="s">
        <v>56</v>
      </c>
      <c r="G117">
        <v>5</v>
      </c>
      <c r="H117">
        <v>13</v>
      </c>
      <c r="I117" t="s">
        <v>60</v>
      </c>
      <c r="J117">
        <f t="shared" si="3"/>
        <v>2.166666666666667</v>
      </c>
      <c r="K117" t="str">
        <f t="shared" si="4"/>
        <v>16/03/2025Gastroenterology</v>
      </c>
      <c r="L117">
        <f>VLOOKUP(K117, Sheet2!$A$2:$B$4186, 2,FALSE)</f>
        <v>7</v>
      </c>
      <c r="M117">
        <f>VLOOKUP(C117,Depts!$B$1:$D$16,3,FALSE)</f>
        <v>29</v>
      </c>
      <c r="N117" s="1" t="b">
        <f t="shared" si="5"/>
        <v>1</v>
      </c>
    </row>
    <row r="118" spans="1:14">
      <c r="A118">
        <v>117</v>
      </c>
      <c r="B118">
        <v>148</v>
      </c>
      <c r="C118" t="s">
        <v>41</v>
      </c>
      <c r="D118" s="1">
        <v>45733</v>
      </c>
      <c r="E118" s="1">
        <v>45735</v>
      </c>
      <c r="F118" t="s">
        <v>57</v>
      </c>
      <c r="G118">
        <v>2</v>
      </c>
      <c r="H118">
        <v>55</v>
      </c>
      <c r="I118" t="s">
        <v>60</v>
      </c>
      <c r="J118">
        <f t="shared" si="3"/>
        <v>3.6666666666666665</v>
      </c>
      <c r="K118" t="str">
        <f t="shared" si="4"/>
        <v>17/03/2025ENT</v>
      </c>
      <c r="L118">
        <f>VLOOKUP(K118, Sheet2!$A$2:$B$4186, 2,FALSE)</f>
        <v>13</v>
      </c>
      <c r="M118">
        <f>VLOOKUP(C118,Depts!$B$1:$D$16,3,FALSE)</f>
        <v>20</v>
      </c>
      <c r="N118" s="1" t="b">
        <f t="shared" si="5"/>
        <v>1</v>
      </c>
    </row>
    <row r="119" spans="1:14">
      <c r="A119">
        <v>118</v>
      </c>
      <c r="B119">
        <v>542</v>
      </c>
      <c r="C119" t="s">
        <v>44</v>
      </c>
      <c r="D119" s="1">
        <v>45733</v>
      </c>
      <c r="E119" s="1">
        <v>45739</v>
      </c>
      <c r="F119" t="s">
        <v>56</v>
      </c>
      <c r="G119">
        <v>6</v>
      </c>
      <c r="H119">
        <v>16</v>
      </c>
      <c r="I119" t="s">
        <v>60</v>
      </c>
      <c r="J119">
        <f t="shared" si="3"/>
        <v>3.2</v>
      </c>
      <c r="K119" t="str">
        <f t="shared" si="4"/>
        <v>17/03/2025Geriatrics</v>
      </c>
      <c r="L119">
        <f>VLOOKUP(K119, Sheet2!$A$2:$B$4186, 2,FALSE)</f>
        <v>16</v>
      </c>
      <c r="M119">
        <f>VLOOKUP(C119,Depts!$B$1:$D$16,3,FALSE)</f>
        <v>46</v>
      </c>
      <c r="N119" s="1" t="b">
        <f t="shared" si="5"/>
        <v>1</v>
      </c>
    </row>
    <row r="120" spans="1:14">
      <c r="A120">
        <v>119</v>
      </c>
      <c r="B120">
        <v>742</v>
      </c>
      <c r="C120" t="s">
        <v>51</v>
      </c>
      <c r="D120" s="1">
        <v>45734</v>
      </c>
      <c r="E120" s="1">
        <v>45736</v>
      </c>
      <c r="F120" t="s">
        <v>57</v>
      </c>
      <c r="G120">
        <v>2</v>
      </c>
      <c r="H120">
        <v>30</v>
      </c>
      <c r="I120" t="s">
        <v>60</v>
      </c>
      <c r="J120">
        <f t="shared" si="3"/>
        <v>2</v>
      </c>
      <c r="K120" t="str">
        <f t="shared" si="4"/>
        <v>18/03/2025Respiratory</v>
      </c>
      <c r="L120">
        <f>VLOOKUP(K120, Sheet2!$A$2:$B$4186, 2,FALSE)</f>
        <v>14</v>
      </c>
      <c r="M120">
        <f>VLOOKUP(C120,Depts!$B$1:$D$16,3,FALSE)</f>
        <v>36</v>
      </c>
      <c r="N120" s="1" t="b">
        <f t="shared" si="5"/>
        <v>1</v>
      </c>
    </row>
    <row r="121" spans="1:14">
      <c r="A121">
        <v>120</v>
      </c>
      <c r="B121">
        <v>443</v>
      </c>
      <c r="C121" t="s">
        <v>43</v>
      </c>
      <c r="D121" s="1">
        <v>45735</v>
      </c>
      <c r="E121" s="1">
        <v>45740</v>
      </c>
      <c r="F121" t="s">
        <v>56</v>
      </c>
      <c r="G121">
        <v>5</v>
      </c>
      <c r="H121">
        <v>14</v>
      </c>
      <c r="I121" t="s">
        <v>60</v>
      </c>
      <c r="J121">
        <f t="shared" si="3"/>
        <v>2.3333333333333335</v>
      </c>
      <c r="K121" t="str">
        <f t="shared" si="4"/>
        <v>19/03/2025General Surgery</v>
      </c>
      <c r="L121">
        <f>VLOOKUP(K121, Sheet2!$A$2:$B$4186, 2,FALSE)</f>
        <v>19</v>
      </c>
      <c r="M121">
        <f>VLOOKUP(C121,Depts!$B$1:$D$16,3,FALSE)</f>
        <v>44</v>
      </c>
      <c r="N121" s="1" t="b">
        <f t="shared" si="5"/>
        <v>1</v>
      </c>
    </row>
    <row r="122" spans="1:14">
      <c r="A122">
        <v>121</v>
      </c>
      <c r="B122">
        <v>507</v>
      </c>
      <c r="C122" t="s">
        <v>40</v>
      </c>
      <c r="D122" s="1">
        <v>45735</v>
      </c>
      <c r="E122" s="1">
        <v>45738</v>
      </c>
      <c r="F122" t="s">
        <v>58</v>
      </c>
      <c r="G122">
        <v>3</v>
      </c>
      <c r="H122">
        <v>58</v>
      </c>
      <c r="I122" t="s">
        <v>60</v>
      </c>
      <c r="J122">
        <f t="shared" si="3"/>
        <v>5.8</v>
      </c>
      <c r="K122" t="str">
        <f t="shared" si="4"/>
        <v>19/03/2025Cardiology</v>
      </c>
      <c r="L122">
        <f>VLOOKUP(K122, Sheet2!$A$2:$B$4186, 2,FALSE)</f>
        <v>16</v>
      </c>
      <c r="M122">
        <f>VLOOKUP(C122,Depts!$B$1:$D$16,3,FALSE)</f>
        <v>38</v>
      </c>
      <c r="N122" s="1" t="b">
        <f t="shared" si="5"/>
        <v>1</v>
      </c>
    </row>
    <row r="123" spans="1:14">
      <c r="A123">
        <v>122</v>
      </c>
      <c r="B123">
        <v>238</v>
      </c>
      <c r="C123" t="s">
        <v>47</v>
      </c>
      <c r="D123" s="1">
        <v>45736</v>
      </c>
      <c r="E123" s="1">
        <v>45741</v>
      </c>
      <c r="F123" t="s">
        <v>56</v>
      </c>
      <c r="G123">
        <v>5</v>
      </c>
      <c r="H123">
        <v>34</v>
      </c>
      <c r="I123" t="s">
        <v>60</v>
      </c>
      <c r="J123">
        <f t="shared" si="3"/>
        <v>5.6666666666666661</v>
      </c>
      <c r="K123" t="str">
        <f t="shared" si="4"/>
        <v>20/03/2025Oncology</v>
      </c>
      <c r="L123">
        <f>VLOOKUP(K123, Sheet2!$A$2:$B$4186, 2,FALSE)</f>
        <v>16</v>
      </c>
      <c r="M123">
        <f>VLOOKUP(C123,Depts!$B$1:$D$16,3,FALSE)</f>
        <v>28</v>
      </c>
      <c r="N123" s="1" t="b">
        <f t="shared" si="5"/>
        <v>1</v>
      </c>
    </row>
    <row r="124" spans="1:14">
      <c r="A124">
        <v>123</v>
      </c>
      <c r="B124">
        <v>989</v>
      </c>
      <c r="C124" t="s">
        <v>39</v>
      </c>
      <c r="D124" s="1">
        <v>45736</v>
      </c>
      <c r="E124" s="1">
        <v>45737</v>
      </c>
      <c r="F124" t="s">
        <v>57</v>
      </c>
      <c r="G124">
        <v>1</v>
      </c>
      <c r="H124">
        <v>146</v>
      </c>
      <c r="I124" t="s">
        <v>60</v>
      </c>
      <c r="J124">
        <f t="shared" si="3"/>
        <v>4.8666666666666663</v>
      </c>
      <c r="K124" t="str">
        <f t="shared" si="4"/>
        <v>20/03/2025A&amp;E (Emergency)</v>
      </c>
      <c r="L124">
        <f>VLOOKUP(K124, Sheet2!$A$2:$B$4186, 2,FALSE)</f>
        <v>23</v>
      </c>
      <c r="M124">
        <f>VLOOKUP(C124,Depts!$B$1:$D$16,3,FALSE)</f>
        <v>42</v>
      </c>
      <c r="N124" s="1" t="b">
        <f t="shared" si="5"/>
        <v>1</v>
      </c>
    </row>
    <row r="125" spans="1:14">
      <c r="A125">
        <v>124</v>
      </c>
      <c r="B125">
        <v>185</v>
      </c>
      <c r="C125" t="s">
        <v>50</v>
      </c>
      <c r="D125" s="1">
        <v>45737</v>
      </c>
      <c r="E125" s="1">
        <v>45742</v>
      </c>
      <c r="F125" t="s">
        <v>56</v>
      </c>
      <c r="G125">
        <v>5</v>
      </c>
      <c r="H125">
        <v>31</v>
      </c>
      <c r="I125" t="s">
        <v>60</v>
      </c>
      <c r="J125">
        <f t="shared" si="3"/>
        <v>5.166666666666667</v>
      </c>
      <c r="K125" t="str">
        <f t="shared" si="4"/>
        <v>21/03/2025Renal Medicine</v>
      </c>
      <c r="L125">
        <f>VLOOKUP(K125, Sheet2!$A$2:$B$4186, 2,FALSE)</f>
        <v>18</v>
      </c>
      <c r="M125">
        <f>VLOOKUP(C125,Depts!$B$1:$D$16,3,FALSE)</f>
        <v>26</v>
      </c>
      <c r="N125" s="1" t="b">
        <f t="shared" si="5"/>
        <v>1</v>
      </c>
    </row>
    <row r="126" spans="1:14">
      <c r="A126">
        <v>125</v>
      </c>
      <c r="B126">
        <v>720</v>
      </c>
      <c r="C126" t="s">
        <v>46</v>
      </c>
      <c r="D126" s="1">
        <v>45738</v>
      </c>
      <c r="E126" s="1">
        <v>45744</v>
      </c>
      <c r="F126" t="s">
        <v>56</v>
      </c>
      <c r="G126">
        <v>6</v>
      </c>
      <c r="H126">
        <v>15</v>
      </c>
      <c r="I126" t="s">
        <v>60</v>
      </c>
      <c r="J126">
        <f t="shared" si="3"/>
        <v>3</v>
      </c>
      <c r="K126" t="str">
        <f t="shared" si="4"/>
        <v>22/03/2025Neurology</v>
      </c>
      <c r="L126">
        <f>VLOOKUP(K126, Sheet2!$A$2:$B$4186, 2,FALSE)</f>
        <v>9</v>
      </c>
      <c r="M126">
        <f>VLOOKUP(C126,Depts!$B$1:$D$16,3,FALSE)</f>
        <v>32</v>
      </c>
      <c r="N126" s="1" t="b">
        <f t="shared" si="5"/>
        <v>1</v>
      </c>
    </row>
    <row r="127" spans="1:14">
      <c r="A127">
        <v>126</v>
      </c>
      <c r="B127">
        <v>897</v>
      </c>
      <c r="C127" t="s">
        <v>45</v>
      </c>
      <c r="D127" s="1">
        <v>45738</v>
      </c>
      <c r="E127" s="1">
        <v>45740</v>
      </c>
      <c r="F127" t="s">
        <v>57</v>
      </c>
      <c r="G127">
        <v>2</v>
      </c>
      <c r="H127">
        <v>216</v>
      </c>
      <c r="I127" t="s">
        <v>60</v>
      </c>
      <c r="J127">
        <f t="shared" si="3"/>
        <v>14.4</v>
      </c>
      <c r="K127" t="str">
        <f t="shared" si="4"/>
        <v>22/03/2025Maternity</v>
      </c>
      <c r="L127">
        <f>VLOOKUP(K127, Sheet2!$A$2:$B$4186, 2,FALSE)</f>
        <v>10</v>
      </c>
      <c r="M127">
        <f>VLOOKUP(C127,Depts!$B$1:$D$16,3,FALSE)</f>
        <v>34</v>
      </c>
      <c r="N127" s="1" t="b">
        <f t="shared" si="5"/>
        <v>1</v>
      </c>
    </row>
    <row r="128" spans="1:14">
      <c r="A128">
        <v>127</v>
      </c>
      <c r="B128">
        <v>15</v>
      </c>
      <c r="C128" t="s">
        <v>48</v>
      </c>
      <c r="D128" s="1">
        <v>45739</v>
      </c>
      <c r="E128" s="1">
        <v>45744</v>
      </c>
      <c r="F128" t="s">
        <v>56</v>
      </c>
      <c r="G128">
        <v>5</v>
      </c>
      <c r="H128">
        <v>2</v>
      </c>
      <c r="I128" t="s">
        <v>60</v>
      </c>
      <c r="J128">
        <f t="shared" si="3"/>
        <v>0.33333333333333331</v>
      </c>
      <c r="K128" t="str">
        <f t="shared" si="4"/>
        <v>23/03/2025Orthopaedics</v>
      </c>
      <c r="L128">
        <f>VLOOKUP(K128, Sheet2!$A$2:$B$4186, 2,FALSE)</f>
        <v>10</v>
      </c>
      <c r="M128">
        <f>VLOOKUP(C128,Depts!$B$1:$D$16,3,FALSE)</f>
        <v>40</v>
      </c>
      <c r="N128" s="1" t="b">
        <f t="shared" si="5"/>
        <v>1</v>
      </c>
    </row>
    <row r="129" spans="1:14">
      <c r="A129">
        <v>128</v>
      </c>
      <c r="B129">
        <v>162</v>
      </c>
      <c r="C129" t="s">
        <v>49</v>
      </c>
      <c r="D129" s="1">
        <v>45739</v>
      </c>
      <c r="E129" s="1">
        <v>45741</v>
      </c>
      <c r="F129" t="s">
        <v>57</v>
      </c>
      <c r="G129">
        <v>2</v>
      </c>
      <c r="H129">
        <v>175</v>
      </c>
      <c r="I129" t="s">
        <v>60</v>
      </c>
      <c r="J129">
        <f t="shared" si="3"/>
        <v>11.666666666666666</v>
      </c>
      <c r="K129" t="str">
        <f t="shared" si="4"/>
        <v>23/03/2025Paediatrics</v>
      </c>
      <c r="L129">
        <f>VLOOKUP(K129, Sheet2!$A$2:$B$4186, 2,FALSE)</f>
        <v>8</v>
      </c>
      <c r="M129">
        <f>VLOOKUP(C129,Depts!$B$1:$D$16,3,FALSE)</f>
        <v>30</v>
      </c>
      <c r="N129" s="1" t="b">
        <f t="shared" si="5"/>
        <v>1</v>
      </c>
    </row>
    <row r="130" spans="1:14">
      <c r="A130">
        <v>129</v>
      </c>
      <c r="B130">
        <v>564</v>
      </c>
      <c r="C130" t="s">
        <v>42</v>
      </c>
      <c r="D130" s="1">
        <v>45740</v>
      </c>
      <c r="E130" s="1">
        <v>45745</v>
      </c>
      <c r="F130" t="s">
        <v>56</v>
      </c>
      <c r="G130">
        <v>5</v>
      </c>
      <c r="H130">
        <v>44</v>
      </c>
      <c r="I130" t="s">
        <v>60</v>
      </c>
      <c r="J130">
        <f t="shared" si="3"/>
        <v>7.333333333333333</v>
      </c>
      <c r="K130" t="str">
        <f t="shared" si="4"/>
        <v>24/03/2025Gastroenterology</v>
      </c>
      <c r="L130">
        <f>VLOOKUP(K130, Sheet2!$A$2:$B$4186, 2,FALSE)</f>
        <v>12</v>
      </c>
      <c r="M130">
        <f>VLOOKUP(C130,Depts!$B$1:$D$16,3,FALSE)</f>
        <v>29</v>
      </c>
      <c r="N130" s="1" t="b">
        <f t="shared" si="5"/>
        <v>1</v>
      </c>
    </row>
    <row r="131" spans="1:14">
      <c r="A131">
        <v>130</v>
      </c>
      <c r="B131">
        <v>766</v>
      </c>
      <c r="C131" t="s">
        <v>41</v>
      </c>
      <c r="D131" s="1">
        <v>45741</v>
      </c>
      <c r="E131" s="1">
        <v>45743</v>
      </c>
      <c r="F131" t="s">
        <v>57</v>
      </c>
      <c r="G131">
        <v>2</v>
      </c>
      <c r="H131">
        <v>110</v>
      </c>
      <c r="I131" t="s">
        <v>60</v>
      </c>
      <c r="J131">
        <f t="shared" ref="J131:J194" si="6">G131*(H131/30)</f>
        <v>7.333333333333333</v>
      </c>
      <c r="K131" t="str">
        <f t="shared" ref="K131:K194" si="7">TEXT(D131, "dd/mm/yyyy")&amp;C131</f>
        <v>25/03/2025ENT</v>
      </c>
      <c r="L131">
        <f>VLOOKUP(K131, Sheet2!$A$2:$B$4186, 2,FALSE)</f>
        <v>12</v>
      </c>
      <c r="M131">
        <f>VLOOKUP(C131,Depts!$B$1:$D$16,3,FALSE)</f>
        <v>20</v>
      </c>
      <c r="N131" s="1" t="b">
        <f t="shared" si="5"/>
        <v>1</v>
      </c>
    </row>
    <row r="132" spans="1:14">
      <c r="A132">
        <v>131</v>
      </c>
      <c r="B132">
        <v>88</v>
      </c>
      <c r="C132" t="s">
        <v>44</v>
      </c>
      <c r="D132" s="1">
        <v>45741</v>
      </c>
      <c r="E132" s="1">
        <v>45747</v>
      </c>
      <c r="F132" t="s">
        <v>56</v>
      </c>
      <c r="G132">
        <v>6</v>
      </c>
      <c r="H132">
        <v>20</v>
      </c>
      <c r="I132" t="s">
        <v>60</v>
      </c>
      <c r="J132">
        <f t="shared" si="6"/>
        <v>4</v>
      </c>
      <c r="K132" t="str">
        <f t="shared" si="7"/>
        <v>25/03/2025Geriatrics</v>
      </c>
      <c r="L132">
        <f>VLOOKUP(K132, Sheet2!$A$2:$B$4186, 2,FALSE)</f>
        <v>15</v>
      </c>
      <c r="M132">
        <f>VLOOKUP(C132,Depts!$B$1:$D$16,3,FALSE)</f>
        <v>46</v>
      </c>
      <c r="N132" s="1" t="b">
        <f t="shared" si="5"/>
        <v>1</v>
      </c>
    </row>
    <row r="133" spans="1:14">
      <c r="A133">
        <v>132</v>
      </c>
      <c r="B133">
        <v>605</v>
      </c>
      <c r="C133" t="s">
        <v>51</v>
      </c>
      <c r="D133" s="1">
        <v>45742</v>
      </c>
      <c r="E133" s="1">
        <v>45744</v>
      </c>
      <c r="F133" t="s">
        <v>57</v>
      </c>
      <c r="G133">
        <v>2</v>
      </c>
      <c r="H133">
        <v>226</v>
      </c>
      <c r="I133" t="s">
        <v>60</v>
      </c>
      <c r="J133">
        <f t="shared" si="6"/>
        <v>15.066666666666666</v>
      </c>
      <c r="K133" t="str">
        <f t="shared" si="7"/>
        <v>26/03/2025Respiratory</v>
      </c>
      <c r="L133">
        <f>VLOOKUP(K133, Sheet2!$A$2:$B$4186, 2,FALSE)</f>
        <v>13</v>
      </c>
      <c r="M133">
        <f>VLOOKUP(C133,Depts!$B$1:$D$16,3,FALSE)</f>
        <v>36</v>
      </c>
      <c r="N133" s="1" t="b">
        <f t="shared" si="5"/>
        <v>1</v>
      </c>
    </row>
    <row r="134" spans="1:14">
      <c r="A134">
        <v>133</v>
      </c>
      <c r="B134">
        <v>398</v>
      </c>
      <c r="C134" t="s">
        <v>43</v>
      </c>
      <c r="D134" s="1">
        <v>45743</v>
      </c>
      <c r="E134" s="1">
        <v>45748</v>
      </c>
      <c r="F134" t="s">
        <v>56</v>
      </c>
      <c r="G134">
        <v>5</v>
      </c>
      <c r="H134">
        <v>39</v>
      </c>
      <c r="I134" t="s">
        <v>60</v>
      </c>
      <c r="J134">
        <f t="shared" si="6"/>
        <v>6.5</v>
      </c>
      <c r="K134" t="str">
        <f t="shared" si="7"/>
        <v>27/03/2025General Surgery</v>
      </c>
      <c r="L134">
        <f>VLOOKUP(K134, Sheet2!$A$2:$B$4186, 2,FALSE)</f>
        <v>19</v>
      </c>
      <c r="M134">
        <f>VLOOKUP(C134,Depts!$B$1:$D$16,3,FALSE)</f>
        <v>44</v>
      </c>
      <c r="N134" s="1" t="b">
        <f t="shared" si="5"/>
        <v>1</v>
      </c>
    </row>
    <row r="135" spans="1:14">
      <c r="A135">
        <v>134</v>
      </c>
      <c r="B135">
        <v>136</v>
      </c>
      <c r="C135" t="s">
        <v>40</v>
      </c>
      <c r="D135" s="1">
        <v>45743</v>
      </c>
      <c r="E135" s="1">
        <v>45746</v>
      </c>
      <c r="F135" t="s">
        <v>58</v>
      </c>
      <c r="G135">
        <v>3</v>
      </c>
      <c r="H135">
        <v>58</v>
      </c>
      <c r="I135" t="s">
        <v>60</v>
      </c>
      <c r="J135">
        <f t="shared" si="6"/>
        <v>5.8</v>
      </c>
      <c r="K135" t="str">
        <f t="shared" si="7"/>
        <v>27/03/2025Cardiology</v>
      </c>
      <c r="L135">
        <f>VLOOKUP(K135, Sheet2!$A$2:$B$4186, 2,FALSE)</f>
        <v>16</v>
      </c>
      <c r="M135">
        <f>VLOOKUP(C135,Depts!$B$1:$D$16,3,FALSE)</f>
        <v>38</v>
      </c>
      <c r="N135" s="1" t="b">
        <f t="shared" si="5"/>
        <v>1</v>
      </c>
    </row>
    <row r="136" spans="1:14">
      <c r="A136">
        <v>135</v>
      </c>
      <c r="B136">
        <v>16</v>
      </c>
      <c r="C136" t="s">
        <v>47</v>
      </c>
      <c r="D136" s="1">
        <v>45744</v>
      </c>
      <c r="E136" s="1">
        <v>45749</v>
      </c>
      <c r="F136" t="s">
        <v>56</v>
      </c>
      <c r="G136">
        <v>5</v>
      </c>
      <c r="H136">
        <v>16</v>
      </c>
      <c r="I136" t="s">
        <v>60</v>
      </c>
      <c r="J136">
        <f t="shared" si="6"/>
        <v>2.6666666666666665</v>
      </c>
      <c r="K136" t="str">
        <f t="shared" si="7"/>
        <v>28/03/2025Oncology</v>
      </c>
      <c r="L136">
        <f>VLOOKUP(K136, Sheet2!$A$2:$B$4186, 2,FALSE)</f>
        <v>15</v>
      </c>
      <c r="M136">
        <f>VLOOKUP(C136,Depts!$B$1:$D$16,3,FALSE)</f>
        <v>28</v>
      </c>
      <c r="N136" s="1" t="b">
        <f t="shared" si="5"/>
        <v>1</v>
      </c>
    </row>
    <row r="137" spans="1:14">
      <c r="A137">
        <v>136</v>
      </c>
      <c r="B137">
        <v>929</v>
      </c>
      <c r="C137" t="s">
        <v>39</v>
      </c>
      <c r="D137" s="1">
        <v>45744</v>
      </c>
      <c r="E137" s="1">
        <v>45745</v>
      </c>
      <c r="F137" t="s">
        <v>57</v>
      </c>
      <c r="G137">
        <v>1</v>
      </c>
      <c r="H137">
        <v>123</v>
      </c>
      <c r="I137" t="s">
        <v>60</v>
      </c>
      <c r="J137">
        <f t="shared" si="6"/>
        <v>4.0999999999999996</v>
      </c>
      <c r="K137" t="str">
        <f t="shared" si="7"/>
        <v>28/03/2025A&amp;E (Emergency)</v>
      </c>
      <c r="L137">
        <f>VLOOKUP(K137, Sheet2!$A$2:$B$4186, 2,FALSE)</f>
        <v>22</v>
      </c>
      <c r="M137">
        <f>VLOOKUP(C137,Depts!$B$1:$D$16,3,FALSE)</f>
        <v>42</v>
      </c>
      <c r="N137" s="1" t="b">
        <f t="shared" si="5"/>
        <v>1</v>
      </c>
    </row>
    <row r="138" spans="1:14">
      <c r="A138">
        <v>137</v>
      </c>
      <c r="B138">
        <v>846</v>
      </c>
      <c r="C138" t="s">
        <v>50</v>
      </c>
      <c r="D138" s="1">
        <v>45745</v>
      </c>
      <c r="E138" s="1">
        <v>45750</v>
      </c>
      <c r="F138" t="s">
        <v>56</v>
      </c>
      <c r="G138">
        <v>5</v>
      </c>
      <c r="H138">
        <v>36</v>
      </c>
      <c r="I138" t="s">
        <v>60</v>
      </c>
      <c r="J138">
        <f t="shared" si="6"/>
        <v>6</v>
      </c>
      <c r="K138" t="str">
        <f t="shared" si="7"/>
        <v>29/03/2025Renal Medicine</v>
      </c>
      <c r="L138">
        <f>VLOOKUP(K138, Sheet2!$A$2:$B$4186, 2,FALSE)</f>
        <v>17</v>
      </c>
      <c r="M138">
        <f>VLOOKUP(C138,Depts!$B$1:$D$16,3,FALSE)</f>
        <v>26</v>
      </c>
      <c r="N138" s="1" t="b">
        <f t="shared" si="5"/>
        <v>1</v>
      </c>
    </row>
    <row r="139" spans="1:14">
      <c r="A139">
        <v>138</v>
      </c>
      <c r="B139">
        <v>591</v>
      </c>
      <c r="C139" t="s">
        <v>46</v>
      </c>
      <c r="D139" s="1">
        <v>45746</v>
      </c>
      <c r="E139" s="1">
        <v>45752</v>
      </c>
      <c r="F139" t="s">
        <v>56</v>
      </c>
      <c r="G139">
        <v>6</v>
      </c>
      <c r="H139">
        <v>10</v>
      </c>
      <c r="I139" t="s">
        <v>60</v>
      </c>
      <c r="J139">
        <f t="shared" si="6"/>
        <v>2</v>
      </c>
      <c r="K139" t="str">
        <f t="shared" si="7"/>
        <v>30/03/2025Neurology</v>
      </c>
      <c r="L139">
        <f>VLOOKUP(K139, Sheet2!$A$2:$B$4186, 2,FALSE)</f>
        <v>9</v>
      </c>
      <c r="M139">
        <f>VLOOKUP(C139,Depts!$B$1:$D$16,3,FALSE)</f>
        <v>32</v>
      </c>
      <c r="N139" s="1" t="b">
        <f t="shared" si="5"/>
        <v>1</v>
      </c>
    </row>
    <row r="140" spans="1:14">
      <c r="A140">
        <v>139</v>
      </c>
      <c r="B140">
        <v>949</v>
      </c>
      <c r="C140" t="s">
        <v>45</v>
      </c>
      <c r="D140" s="1">
        <v>45746</v>
      </c>
      <c r="E140" s="1">
        <v>45748</v>
      </c>
      <c r="F140" t="s">
        <v>57</v>
      </c>
      <c r="G140">
        <v>2</v>
      </c>
      <c r="H140">
        <v>36</v>
      </c>
      <c r="I140" t="s">
        <v>60</v>
      </c>
      <c r="J140">
        <f t="shared" si="6"/>
        <v>2.4</v>
      </c>
      <c r="K140" t="str">
        <f t="shared" si="7"/>
        <v>30/03/2025Maternity</v>
      </c>
      <c r="L140">
        <f>VLOOKUP(K140, Sheet2!$A$2:$B$4186, 2,FALSE)</f>
        <v>9</v>
      </c>
      <c r="M140">
        <f>VLOOKUP(C140,Depts!$B$1:$D$16,3,FALSE)</f>
        <v>34</v>
      </c>
      <c r="N140" s="1" t="b">
        <f t="shared" si="5"/>
        <v>1</v>
      </c>
    </row>
    <row r="141" spans="1:14">
      <c r="A141">
        <v>140</v>
      </c>
      <c r="B141">
        <v>891</v>
      </c>
      <c r="C141" t="s">
        <v>48</v>
      </c>
      <c r="D141" s="1">
        <v>45747</v>
      </c>
      <c r="E141" s="1">
        <v>45752</v>
      </c>
      <c r="F141" t="s">
        <v>56</v>
      </c>
      <c r="G141">
        <v>5</v>
      </c>
      <c r="H141">
        <v>31</v>
      </c>
      <c r="I141" t="s">
        <v>60</v>
      </c>
      <c r="J141">
        <f t="shared" si="6"/>
        <v>5.166666666666667</v>
      </c>
      <c r="K141" t="str">
        <f t="shared" si="7"/>
        <v>31/03/2025Orthopaedics</v>
      </c>
      <c r="L141">
        <f>VLOOKUP(K141, Sheet2!$A$2:$B$4186, 2,FALSE)</f>
        <v>16</v>
      </c>
      <c r="M141">
        <f>VLOOKUP(C141,Depts!$B$1:$D$16,3,FALSE)</f>
        <v>40</v>
      </c>
      <c r="N141" s="1" t="b">
        <f t="shared" si="5"/>
        <v>1</v>
      </c>
    </row>
    <row r="142" spans="1:14">
      <c r="A142">
        <v>141</v>
      </c>
      <c r="B142">
        <v>641</v>
      </c>
      <c r="C142" t="s">
        <v>49</v>
      </c>
      <c r="D142" s="1">
        <v>45747</v>
      </c>
      <c r="E142" s="1">
        <v>45749</v>
      </c>
      <c r="F142" t="s">
        <v>57</v>
      </c>
      <c r="G142">
        <v>2</v>
      </c>
      <c r="H142">
        <v>160</v>
      </c>
      <c r="I142" t="s">
        <v>60</v>
      </c>
      <c r="J142">
        <f t="shared" si="6"/>
        <v>10.666666666666666</v>
      </c>
      <c r="K142" t="str">
        <f t="shared" si="7"/>
        <v>31/03/2025Paediatrics</v>
      </c>
      <c r="L142">
        <f>VLOOKUP(K142, Sheet2!$A$2:$B$4186, 2,FALSE)</f>
        <v>13</v>
      </c>
      <c r="M142">
        <f>VLOOKUP(C142,Depts!$B$1:$D$16,3,FALSE)</f>
        <v>30</v>
      </c>
      <c r="N142" s="1" t="b">
        <f t="shared" si="5"/>
        <v>1</v>
      </c>
    </row>
    <row r="143" spans="1:14">
      <c r="A143">
        <v>142</v>
      </c>
      <c r="B143">
        <v>658</v>
      </c>
      <c r="C143" t="s">
        <v>42</v>
      </c>
      <c r="D143" s="1">
        <v>45748</v>
      </c>
      <c r="E143" s="1">
        <v>45753</v>
      </c>
      <c r="F143" t="s">
        <v>56</v>
      </c>
      <c r="G143">
        <v>5</v>
      </c>
      <c r="H143">
        <v>28</v>
      </c>
      <c r="I143" t="s">
        <v>60</v>
      </c>
      <c r="J143">
        <f t="shared" si="6"/>
        <v>4.666666666666667</v>
      </c>
      <c r="K143" t="str">
        <f t="shared" si="7"/>
        <v>01/04/2025Gastroenterology</v>
      </c>
      <c r="L143">
        <f>VLOOKUP(K143, Sheet2!$A$2:$B$4186, 2,FALSE)</f>
        <v>11</v>
      </c>
      <c r="M143">
        <f>VLOOKUP(C143,Depts!$B$1:$D$16,3,FALSE)</f>
        <v>29</v>
      </c>
      <c r="N143" s="1" t="b">
        <f t="shared" si="5"/>
        <v>1</v>
      </c>
    </row>
    <row r="144" spans="1:14">
      <c r="A144">
        <v>143</v>
      </c>
      <c r="B144">
        <v>153</v>
      </c>
      <c r="C144" t="s">
        <v>41</v>
      </c>
      <c r="D144" s="1">
        <v>45749</v>
      </c>
      <c r="E144" s="1">
        <v>45751</v>
      </c>
      <c r="F144" t="s">
        <v>57</v>
      </c>
      <c r="G144">
        <v>2</v>
      </c>
      <c r="H144">
        <v>216</v>
      </c>
      <c r="I144" t="s">
        <v>60</v>
      </c>
      <c r="J144">
        <f t="shared" si="6"/>
        <v>14.4</v>
      </c>
      <c r="K144" t="str">
        <f t="shared" si="7"/>
        <v>02/04/2025ENT</v>
      </c>
      <c r="L144">
        <f>VLOOKUP(K144, Sheet2!$A$2:$B$4186, 2,FALSE)</f>
        <v>12</v>
      </c>
      <c r="M144">
        <f>VLOOKUP(C144,Depts!$B$1:$D$16,3,FALSE)</f>
        <v>20</v>
      </c>
      <c r="N144" s="1" t="b">
        <f t="shared" si="5"/>
        <v>1</v>
      </c>
    </row>
    <row r="145" spans="1:14">
      <c r="A145">
        <v>144</v>
      </c>
      <c r="B145">
        <v>306</v>
      </c>
      <c r="C145" t="s">
        <v>44</v>
      </c>
      <c r="D145" s="1">
        <v>45749</v>
      </c>
      <c r="E145" s="1">
        <v>45755</v>
      </c>
      <c r="F145" t="s">
        <v>56</v>
      </c>
      <c r="G145">
        <v>6</v>
      </c>
      <c r="H145">
        <v>12</v>
      </c>
      <c r="I145" t="s">
        <v>60</v>
      </c>
      <c r="J145">
        <f t="shared" si="6"/>
        <v>2.4000000000000004</v>
      </c>
      <c r="K145" t="str">
        <f t="shared" si="7"/>
        <v>02/04/2025Geriatrics</v>
      </c>
      <c r="L145">
        <f>VLOOKUP(K145, Sheet2!$A$2:$B$4186, 2,FALSE)</f>
        <v>14</v>
      </c>
      <c r="M145">
        <f>VLOOKUP(C145,Depts!$B$1:$D$16,3,FALSE)</f>
        <v>46</v>
      </c>
      <c r="N145" s="1" t="b">
        <f t="shared" si="5"/>
        <v>1</v>
      </c>
    </row>
    <row r="146" spans="1:14">
      <c r="A146">
        <v>145</v>
      </c>
      <c r="B146">
        <v>263</v>
      </c>
      <c r="C146" t="s">
        <v>51</v>
      </c>
      <c r="D146" s="1">
        <v>45750</v>
      </c>
      <c r="E146" s="1">
        <v>45752</v>
      </c>
      <c r="F146" t="s">
        <v>57</v>
      </c>
      <c r="G146">
        <v>2</v>
      </c>
      <c r="H146">
        <v>23</v>
      </c>
      <c r="I146" t="s">
        <v>59</v>
      </c>
      <c r="J146">
        <f t="shared" si="6"/>
        <v>1.5333333333333334</v>
      </c>
      <c r="K146" t="str">
        <f t="shared" si="7"/>
        <v>03/04/2025Respiratory</v>
      </c>
      <c r="L146">
        <f>VLOOKUP(K146, Sheet2!$A$2:$B$4186, 2,FALSE)</f>
        <v>13</v>
      </c>
      <c r="M146">
        <f>VLOOKUP(C146,Depts!$B$1:$D$16,3,FALSE)</f>
        <v>36</v>
      </c>
      <c r="N146" s="1" t="b">
        <f t="shared" si="5"/>
        <v>1</v>
      </c>
    </row>
    <row r="147" spans="1:14">
      <c r="A147">
        <v>146</v>
      </c>
      <c r="B147">
        <v>813</v>
      </c>
      <c r="C147" t="s">
        <v>43</v>
      </c>
      <c r="D147" s="1">
        <v>45751</v>
      </c>
      <c r="E147" s="1">
        <v>45756</v>
      </c>
      <c r="F147" t="s">
        <v>56</v>
      </c>
      <c r="G147">
        <v>5</v>
      </c>
      <c r="H147">
        <v>21</v>
      </c>
      <c r="I147" t="s">
        <v>60</v>
      </c>
      <c r="J147">
        <f t="shared" si="6"/>
        <v>3.5</v>
      </c>
      <c r="K147" t="str">
        <f t="shared" si="7"/>
        <v>04/04/2025General Surgery</v>
      </c>
      <c r="L147">
        <f>VLOOKUP(K147, Sheet2!$A$2:$B$4186, 2,FALSE)</f>
        <v>18</v>
      </c>
      <c r="M147">
        <f>VLOOKUP(C147,Depts!$B$1:$D$16,3,FALSE)</f>
        <v>44</v>
      </c>
      <c r="N147" s="1" t="b">
        <f t="shared" si="5"/>
        <v>1</v>
      </c>
    </row>
    <row r="148" spans="1:14">
      <c r="A148">
        <v>147</v>
      </c>
      <c r="B148">
        <v>758</v>
      </c>
      <c r="C148" t="s">
        <v>40</v>
      </c>
      <c r="D148" s="1">
        <v>45751</v>
      </c>
      <c r="E148" s="1">
        <v>45754</v>
      </c>
      <c r="F148" t="s">
        <v>58</v>
      </c>
      <c r="G148">
        <v>3</v>
      </c>
      <c r="H148">
        <v>44</v>
      </c>
      <c r="I148" t="s">
        <v>60</v>
      </c>
      <c r="J148">
        <f t="shared" si="6"/>
        <v>4.3999999999999995</v>
      </c>
      <c r="K148" t="str">
        <f t="shared" si="7"/>
        <v>04/04/2025Cardiology</v>
      </c>
      <c r="L148">
        <f>VLOOKUP(K148, Sheet2!$A$2:$B$4186, 2,FALSE)</f>
        <v>15</v>
      </c>
      <c r="M148">
        <f>VLOOKUP(C148,Depts!$B$1:$D$16,3,FALSE)</f>
        <v>38</v>
      </c>
      <c r="N148" s="1" t="b">
        <f t="shared" si="5"/>
        <v>1</v>
      </c>
    </row>
    <row r="149" spans="1:14">
      <c r="A149">
        <v>148</v>
      </c>
      <c r="B149">
        <v>874</v>
      </c>
      <c r="C149" t="s">
        <v>47</v>
      </c>
      <c r="D149" s="1">
        <v>45752</v>
      </c>
      <c r="E149" s="1">
        <v>45757</v>
      </c>
      <c r="F149" t="s">
        <v>56</v>
      </c>
      <c r="G149">
        <v>5</v>
      </c>
      <c r="H149">
        <v>44</v>
      </c>
      <c r="I149" t="s">
        <v>60</v>
      </c>
      <c r="J149">
        <f t="shared" si="6"/>
        <v>7.333333333333333</v>
      </c>
      <c r="K149" t="str">
        <f t="shared" si="7"/>
        <v>05/04/2025Oncology</v>
      </c>
      <c r="L149">
        <f>VLOOKUP(K149, Sheet2!$A$2:$B$4186, 2,FALSE)</f>
        <v>13</v>
      </c>
      <c r="M149">
        <f>VLOOKUP(C149,Depts!$B$1:$D$16,3,FALSE)</f>
        <v>28</v>
      </c>
      <c r="N149" s="1" t="b">
        <f t="shared" si="5"/>
        <v>1</v>
      </c>
    </row>
    <row r="150" spans="1:14">
      <c r="A150">
        <v>149</v>
      </c>
      <c r="B150">
        <v>431</v>
      </c>
      <c r="C150" t="s">
        <v>39</v>
      </c>
      <c r="D150" s="1">
        <v>45752</v>
      </c>
      <c r="E150" s="1">
        <v>45753</v>
      </c>
      <c r="F150" t="s">
        <v>57</v>
      </c>
      <c r="G150">
        <v>1</v>
      </c>
      <c r="H150">
        <v>208</v>
      </c>
      <c r="I150" t="s">
        <v>60</v>
      </c>
      <c r="J150">
        <f t="shared" si="6"/>
        <v>6.9333333333333336</v>
      </c>
      <c r="K150" t="str">
        <f t="shared" si="7"/>
        <v>05/04/2025A&amp;E (Emergency)</v>
      </c>
      <c r="L150">
        <f>VLOOKUP(K150, Sheet2!$A$2:$B$4186, 2,FALSE)</f>
        <v>20</v>
      </c>
      <c r="M150">
        <f>VLOOKUP(C150,Depts!$B$1:$D$16,3,FALSE)</f>
        <v>42</v>
      </c>
      <c r="N150" s="1" t="b">
        <f t="shared" si="5"/>
        <v>1</v>
      </c>
    </row>
    <row r="151" spans="1:14">
      <c r="A151">
        <v>150</v>
      </c>
      <c r="B151">
        <v>111</v>
      </c>
      <c r="C151" t="s">
        <v>50</v>
      </c>
      <c r="D151" s="1">
        <v>45753</v>
      </c>
      <c r="E151" s="1">
        <v>45758</v>
      </c>
      <c r="F151" t="s">
        <v>56</v>
      </c>
      <c r="G151">
        <v>5</v>
      </c>
      <c r="H151">
        <v>31</v>
      </c>
      <c r="I151" t="s">
        <v>60</v>
      </c>
      <c r="J151">
        <f t="shared" si="6"/>
        <v>5.166666666666667</v>
      </c>
      <c r="K151" t="str">
        <f t="shared" si="7"/>
        <v>06/04/2025Renal Medicine</v>
      </c>
      <c r="L151">
        <f>VLOOKUP(K151, Sheet2!$A$2:$B$4186, 2,FALSE)</f>
        <v>17</v>
      </c>
      <c r="M151">
        <f>VLOOKUP(C151,Depts!$B$1:$D$16,3,FALSE)</f>
        <v>26</v>
      </c>
      <c r="N151" s="1" t="b">
        <f t="shared" si="5"/>
        <v>1</v>
      </c>
    </row>
    <row r="152" spans="1:14">
      <c r="A152">
        <v>151</v>
      </c>
      <c r="B152">
        <v>19</v>
      </c>
      <c r="C152" t="s">
        <v>46</v>
      </c>
      <c r="D152" s="1">
        <v>45754</v>
      </c>
      <c r="E152" s="1">
        <v>45760</v>
      </c>
      <c r="F152" t="s">
        <v>56</v>
      </c>
      <c r="G152">
        <v>6</v>
      </c>
      <c r="H152">
        <v>27</v>
      </c>
      <c r="I152" t="s">
        <v>60</v>
      </c>
      <c r="J152">
        <f t="shared" si="6"/>
        <v>5.4</v>
      </c>
      <c r="K152" t="str">
        <f t="shared" si="7"/>
        <v>07/04/2025Neurology</v>
      </c>
      <c r="L152">
        <f>VLOOKUP(K152, Sheet2!$A$2:$B$4186, 2,FALSE)</f>
        <v>14</v>
      </c>
      <c r="M152">
        <f>VLOOKUP(C152,Depts!$B$1:$D$16,3,FALSE)</f>
        <v>32</v>
      </c>
      <c r="N152" s="1" t="b">
        <f t="shared" si="5"/>
        <v>1</v>
      </c>
    </row>
    <row r="153" spans="1:14">
      <c r="A153">
        <v>152</v>
      </c>
      <c r="B153">
        <v>708</v>
      </c>
      <c r="C153" t="s">
        <v>45</v>
      </c>
      <c r="D153" s="1">
        <v>45754</v>
      </c>
      <c r="E153" s="1">
        <v>45756</v>
      </c>
      <c r="F153" t="s">
        <v>57</v>
      </c>
      <c r="G153">
        <v>2</v>
      </c>
      <c r="H153">
        <v>232</v>
      </c>
      <c r="I153" t="s">
        <v>60</v>
      </c>
      <c r="J153">
        <f t="shared" si="6"/>
        <v>15.466666666666667</v>
      </c>
      <c r="K153" t="str">
        <f t="shared" si="7"/>
        <v>07/04/2025Maternity</v>
      </c>
      <c r="L153">
        <f>VLOOKUP(K153, Sheet2!$A$2:$B$4186, 2,FALSE)</f>
        <v>13</v>
      </c>
      <c r="M153">
        <f>VLOOKUP(C153,Depts!$B$1:$D$16,3,FALSE)</f>
        <v>34</v>
      </c>
      <c r="N153" s="1" t="b">
        <f t="shared" si="5"/>
        <v>1</v>
      </c>
    </row>
    <row r="154" spans="1:14">
      <c r="A154">
        <v>153</v>
      </c>
      <c r="B154">
        <v>371</v>
      </c>
      <c r="C154" t="s">
        <v>48</v>
      </c>
      <c r="D154" s="1">
        <v>45755</v>
      </c>
      <c r="E154" s="1">
        <v>45760</v>
      </c>
      <c r="F154" t="s">
        <v>56</v>
      </c>
      <c r="G154">
        <v>5</v>
      </c>
      <c r="H154">
        <v>4</v>
      </c>
      <c r="I154" t="s">
        <v>60</v>
      </c>
      <c r="J154">
        <f t="shared" si="6"/>
        <v>0.66666666666666663</v>
      </c>
      <c r="K154" t="str">
        <f t="shared" si="7"/>
        <v>08/04/2025Orthopaedics</v>
      </c>
      <c r="L154">
        <f>VLOOKUP(K154, Sheet2!$A$2:$B$4186, 2,FALSE)</f>
        <v>15</v>
      </c>
      <c r="M154">
        <f>VLOOKUP(C154,Depts!$B$1:$D$16,3,FALSE)</f>
        <v>40</v>
      </c>
      <c r="N154" s="1" t="b">
        <f t="shared" si="5"/>
        <v>1</v>
      </c>
    </row>
    <row r="155" spans="1:14">
      <c r="A155">
        <v>154</v>
      </c>
      <c r="B155">
        <v>611</v>
      </c>
      <c r="C155" t="s">
        <v>49</v>
      </c>
      <c r="D155" s="1">
        <v>45755</v>
      </c>
      <c r="E155" s="1">
        <v>45757</v>
      </c>
      <c r="F155" t="s">
        <v>57</v>
      </c>
      <c r="G155">
        <v>2</v>
      </c>
      <c r="H155">
        <v>185</v>
      </c>
      <c r="I155" t="s">
        <v>61</v>
      </c>
      <c r="J155">
        <f t="shared" si="6"/>
        <v>12.333333333333334</v>
      </c>
      <c r="K155" t="str">
        <f t="shared" si="7"/>
        <v>08/04/2025Paediatrics</v>
      </c>
      <c r="L155">
        <f>VLOOKUP(K155, Sheet2!$A$2:$B$4186, 2,FALSE)</f>
        <v>12</v>
      </c>
      <c r="M155">
        <f>VLOOKUP(C155,Depts!$B$1:$D$16,3,FALSE)</f>
        <v>30</v>
      </c>
      <c r="N155" s="1" t="b">
        <f t="shared" si="5"/>
        <v>1</v>
      </c>
    </row>
    <row r="156" spans="1:14">
      <c r="A156">
        <v>155</v>
      </c>
      <c r="B156">
        <v>753</v>
      </c>
      <c r="C156" t="s">
        <v>42</v>
      </c>
      <c r="D156" s="1">
        <v>45756</v>
      </c>
      <c r="E156" s="1">
        <v>45761</v>
      </c>
      <c r="F156" t="s">
        <v>56</v>
      </c>
      <c r="G156">
        <v>5</v>
      </c>
      <c r="H156">
        <v>35</v>
      </c>
      <c r="I156" t="s">
        <v>60</v>
      </c>
      <c r="J156">
        <f t="shared" si="6"/>
        <v>5.8333333333333339</v>
      </c>
      <c r="K156" t="str">
        <f t="shared" si="7"/>
        <v>09/04/2025Gastroenterology</v>
      </c>
      <c r="L156">
        <f>VLOOKUP(K156, Sheet2!$A$2:$B$4186, 2,FALSE)</f>
        <v>10</v>
      </c>
      <c r="M156">
        <f>VLOOKUP(C156,Depts!$B$1:$D$16,3,FALSE)</f>
        <v>29</v>
      </c>
      <c r="N156" s="1" t="b">
        <f t="shared" si="5"/>
        <v>1</v>
      </c>
    </row>
    <row r="157" spans="1:14">
      <c r="A157">
        <v>156</v>
      </c>
      <c r="B157">
        <v>922</v>
      </c>
      <c r="C157" t="s">
        <v>41</v>
      </c>
      <c r="D157" s="1">
        <v>45757</v>
      </c>
      <c r="E157" s="1">
        <v>45759</v>
      </c>
      <c r="F157" t="s">
        <v>57</v>
      </c>
      <c r="G157">
        <v>2</v>
      </c>
      <c r="H157">
        <v>40</v>
      </c>
      <c r="I157" t="s">
        <v>60</v>
      </c>
      <c r="J157">
        <f t="shared" si="6"/>
        <v>2.6666666666666665</v>
      </c>
      <c r="K157" t="str">
        <f t="shared" si="7"/>
        <v>10/04/2025ENT</v>
      </c>
      <c r="L157">
        <f>VLOOKUP(K157, Sheet2!$A$2:$B$4186, 2,FALSE)</f>
        <v>12</v>
      </c>
      <c r="M157">
        <f>VLOOKUP(C157,Depts!$B$1:$D$16,3,FALSE)</f>
        <v>20</v>
      </c>
      <c r="N157" s="1" t="b">
        <f t="shared" si="5"/>
        <v>1</v>
      </c>
    </row>
    <row r="158" spans="1:14">
      <c r="A158">
        <v>157</v>
      </c>
      <c r="B158">
        <v>619</v>
      </c>
      <c r="C158" t="s">
        <v>44</v>
      </c>
      <c r="D158" s="1">
        <v>45757</v>
      </c>
      <c r="E158" s="1">
        <v>45763</v>
      </c>
      <c r="F158" t="s">
        <v>56</v>
      </c>
      <c r="G158">
        <v>6</v>
      </c>
      <c r="H158">
        <v>27</v>
      </c>
      <c r="I158" t="s">
        <v>61</v>
      </c>
      <c r="J158">
        <f t="shared" si="6"/>
        <v>5.4</v>
      </c>
      <c r="K158" t="str">
        <f t="shared" si="7"/>
        <v>10/04/2025Geriatrics</v>
      </c>
      <c r="L158">
        <f>VLOOKUP(K158, Sheet2!$A$2:$B$4186, 2,FALSE)</f>
        <v>14</v>
      </c>
      <c r="M158">
        <f>VLOOKUP(C158,Depts!$B$1:$D$16,3,FALSE)</f>
        <v>46</v>
      </c>
      <c r="N158" s="1" t="b">
        <f t="shared" si="5"/>
        <v>1</v>
      </c>
    </row>
    <row r="159" spans="1:14">
      <c r="A159">
        <v>158</v>
      </c>
      <c r="B159">
        <v>546</v>
      </c>
      <c r="C159" t="s">
        <v>51</v>
      </c>
      <c r="D159" s="1">
        <v>45758</v>
      </c>
      <c r="E159" s="1">
        <v>45760</v>
      </c>
      <c r="F159" t="s">
        <v>57</v>
      </c>
      <c r="G159">
        <v>2</v>
      </c>
      <c r="H159">
        <v>20</v>
      </c>
      <c r="I159" t="s">
        <v>61</v>
      </c>
      <c r="J159">
        <f t="shared" si="6"/>
        <v>1.3333333333333333</v>
      </c>
      <c r="K159" t="str">
        <f t="shared" si="7"/>
        <v>11/04/2025Respiratory</v>
      </c>
      <c r="L159">
        <f>VLOOKUP(K159, Sheet2!$A$2:$B$4186, 2,FALSE)</f>
        <v>12</v>
      </c>
      <c r="M159">
        <f>VLOOKUP(C159,Depts!$B$1:$D$16,3,FALSE)</f>
        <v>36</v>
      </c>
      <c r="N159" s="1" t="b">
        <f t="shared" si="5"/>
        <v>1</v>
      </c>
    </row>
    <row r="160" spans="1:14">
      <c r="A160">
        <v>159</v>
      </c>
      <c r="B160">
        <v>483</v>
      </c>
      <c r="C160" t="s">
        <v>43</v>
      </c>
      <c r="D160" s="1">
        <v>45759</v>
      </c>
      <c r="E160" s="1">
        <v>45764</v>
      </c>
      <c r="F160" t="s">
        <v>56</v>
      </c>
      <c r="G160">
        <v>5</v>
      </c>
      <c r="H160">
        <v>42</v>
      </c>
      <c r="I160" t="s">
        <v>60</v>
      </c>
      <c r="J160">
        <f t="shared" si="6"/>
        <v>7</v>
      </c>
      <c r="K160" t="str">
        <f t="shared" si="7"/>
        <v>12/04/2025General Surgery</v>
      </c>
      <c r="L160">
        <f>VLOOKUP(K160, Sheet2!$A$2:$B$4186, 2,FALSE)</f>
        <v>15</v>
      </c>
      <c r="M160">
        <f>VLOOKUP(C160,Depts!$B$1:$D$16,3,FALSE)</f>
        <v>44</v>
      </c>
      <c r="N160" s="1" t="b">
        <f t="shared" si="5"/>
        <v>1</v>
      </c>
    </row>
    <row r="161" spans="1:14">
      <c r="A161">
        <v>160</v>
      </c>
      <c r="B161">
        <v>865</v>
      </c>
      <c r="C161" t="s">
        <v>40</v>
      </c>
      <c r="D161" s="1">
        <v>45759</v>
      </c>
      <c r="E161" s="1">
        <v>45762</v>
      </c>
      <c r="F161" t="s">
        <v>58</v>
      </c>
      <c r="G161">
        <v>3</v>
      </c>
      <c r="H161">
        <v>17</v>
      </c>
      <c r="I161" t="s">
        <v>60</v>
      </c>
      <c r="J161">
        <f t="shared" si="6"/>
        <v>1.7</v>
      </c>
      <c r="K161" t="str">
        <f t="shared" si="7"/>
        <v>12/04/2025Cardiology</v>
      </c>
      <c r="L161">
        <f>VLOOKUP(K161, Sheet2!$A$2:$B$4186, 2,FALSE)</f>
        <v>12</v>
      </c>
      <c r="M161">
        <f>VLOOKUP(C161,Depts!$B$1:$D$16,3,FALSE)</f>
        <v>38</v>
      </c>
      <c r="N161" s="1" t="b">
        <f t="shared" si="5"/>
        <v>1</v>
      </c>
    </row>
    <row r="162" spans="1:14">
      <c r="A162">
        <v>161</v>
      </c>
      <c r="B162">
        <v>223</v>
      </c>
      <c r="C162" t="s">
        <v>47</v>
      </c>
      <c r="D162" s="1">
        <v>45760</v>
      </c>
      <c r="E162" s="1">
        <v>45765</v>
      </c>
      <c r="F162" t="s">
        <v>56</v>
      </c>
      <c r="G162">
        <v>5</v>
      </c>
      <c r="H162">
        <v>3</v>
      </c>
      <c r="I162" t="s">
        <v>60</v>
      </c>
      <c r="J162">
        <f t="shared" si="6"/>
        <v>0.5</v>
      </c>
      <c r="K162" t="str">
        <f t="shared" si="7"/>
        <v>13/04/2025Oncology</v>
      </c>
      <c r="L162">
        <f>VLOOKUP(K162, Sheet2!$A$2:$B$4186, 2,FALSE)</f>
        <v>12</v>
      </c>
      <c r="M162">
        <f>VLOOKUP(C162,Depts!$B$1:$D$16,3,FALSE)</f>
        <v>28</v>
      </c>
      <c r="N162" s="1" t="b">
        <f t="shared" si="5"/>
        <v>1</v>
      </c>
    </row>
    <row r="163" spans="1:14">
      <c r="A163">
        <v>162</v>
      </c>
      <c r="B163">
        <v>118</v>
      </c>
      <c r="C163" t="s">
        <v>39</v>
      </c>
      <c r="D163" s="1">
        <v>45760</v>
      </c>
      <c r="E163" s="1">
        <v>45761</v>
      </c>
      <c r="F163" t="s">
        <v>57</v>
      </c>
      <c r="G163">
        <v>1</v>
      </c>
      <c r="H163">
        <v>200</v>
      </c>
      <c r="I163" t="s">
        <v>60</v>
      </c>
      <c r="J163">
        <f t="shared" si="6"/>
        <v>6.666666666666667</v>
      </c>
      <c r="K163" t="str">
        <f t="shared" si="7"/>
        <v>13/04/2025A&amp;E (Emergency)</v>
      </c>
      <c r="L163">
        <f>VLOOKUP(K163, Sheet2!$A$2:$B$4186, 2,FALSE)</f>
        <v>19</v>
      </c>
      <c r="M163">
        <f>VLOOKUP(C163,Depts!$B$1:$D$16,3,FALSE)</f>
        <v>42</v>
      </c>
      <c r="N163" s="1" t="b">
        <f t="shared" si="5"/>
        <v>1</v>
      </c>
    </row>
    <row r="164" spans="1:14">
      <c r="A164">
        <v>163</v>
      </c>
      <c r="B164">
        <v>553</v>
      </c>
      <c r="C164" t="s">
        <v>50</v>
      </c>
      <c r="D164" s="1">
        <v>45761</v>
      </c>
      <c r="E164" s="1">
        <v>45766</v>
      </c>
      <c r="F164" t="s">
        <v>56</v>
      </c>
      <c r="G164">
        <v>5</v>
      </c>
      <c r="H164">
        <v>22</v>
      </c>
      <c r="I164" t="s">
        <v>60</v>
      </c>
      <c r="J164">
        <f t="shared" si="6"/>
        <v>3.6666666666666665</v>
      </c>
      <c r="K164" t="str">
        <f t="shared" si="7"/>
        <v>14/04/2025Renal Medicine</v>
      </c>
      <c r="L164">
        <f>VLOOKUP(K164, Sheet2!$A$2:$B$4186, 2,FALSE)</f>
        <v>21</v>
      </c>
      <c r="M164">
        <f>VLOOKUP(C164,Depts!$B$1:$D$16,3,FALSE)</f>
        <v>26</v>
      </c>
      <c r="N164" s="1" t="b">
        <f t="shared" si="5"/>
        <v>1</v>
      </c>
    </row>
    <row r="165" spans="1:14">
      <c r="A165">
        <v>164</v>
      </c>
      <c r="B165">
        <v>749</v>
      </c>
      <c r="C165" t="s">
        <v>46</v>
      </c>
      <c r="D165" s="1">
        <v>45762</v>
      </c>
      <c r="E165" s="1">
        <v>45768</v>
      </c>
      <c r="F165" t="s">
        <v>56</v>
      </c>
      <c r="G165">
        <v>6</v>
      </c>
      <c r="H165">
        <v>43</v>
      </c>
      <c r="I165" t="s">
        <v>60</v>
      </c>
      <c r="J165">
        <f t="shared" si="6"/>
        <v>8.6</v>
      </c>
      <c r="K165" t="str">
        <f t="shared" si="7"/>
        <v>15/04/2025Neurology</v>
      </c>
      <c r="L165">
        <f>VLOOKUP(K165, Sheet2!$A$2:$B$4186, 2,FALSE)</f>
        <v>13</v>
      </c>
      <c r="M165">
        <f>VLOOKUP(C165,Depts!$B$1:$D$16,3,FALSE)</f>
        <v>32</v>
      </c>
      <c r="N165" s="1" t="b">
        <f t="shared" si="5"/>
        <v>1</v>
      </c>
    </row>
    <row r="166" spans="1:14">
      <c r="A166">
        <v>165</v>
      </c>
      <c r="B166">
        <v>115</v>
      </c>
      <c r="C166" t="s">
        <v>45</v>
      </c>
      <c r="D166" s="1">
        <v>45762</v>
      </c>
      <c r="E166" s="1">
        <v>45764</v>
      </c>
      <c r="F166" t="s">
        <v>57</v>
      </c>
      <c r="G166">
        <v>2</v>
      </c>
      <c r="H166">
        <v>109</v>
      </c>
      <c r="I166" t="s">
        <v>61</v>
      </c>
      <c r="J166">
        <f t="shared" si="6"/>
        <v>7.2666666666666666</v>
      </c>
      <c r="K166" t="str">
        <f t="shared" si="7"/>
        <v>15/04/2025Maternity</v>
      </c>
      <c r="L166">
        <f>VLOOKUP(K166, Sheet2!$A$2:$B$4186, 2,FALSE)</f>
        <v>12</v>
      </c>
      <c r="M166">
        <f>VLOOKUP(C166,Depts!$B$1:$D$16,3,FALSE)</f>
        <v>34</v>
      </c>
      <c r="N166" s="1" t="b">
        <f t="shared" si="5"/>
        <v>1</v>
      </c>
    </row>
    <row r="167" spans="1:14">
      <c r="A167">
        <v>166</v>
      </c>
      <c r="B167">
        <v>456</v>
      </c>
      <c r="C167" t="s">
        <v>48</v>
      </c>
      <c r="D167" s="1">
        <v>45763</v>
      </c>
      <c r="E167" s="1">
        <v>45768</v>
      </c>
      <c r="F167" t="s">
        <v>56</v>
      </c>
      <c r="G167">
        <v>5</v>
      </c>
      <c r="H167">
        <v>12</v>
      </c>
      <c r="I167" t="s">
        <v>60</v>
      </c>
      <c r="J167">
        <f t="shared" si="6"/>
        <v>2</v>
      </c>
      <c r="K167" t="str">
        <f t="shared" si="7"/>
        <v>16/04/2025Orthopaedics</v>
      </c>
      <c r="L167">
        <f>VLOOKUP(K167, Sheet2!$A$2:$B$4186, 2,FALSE)</f>
        <v>14</v>
      </c>
      <c r="M167">
        <f>VLOOKUP(C167,Depts!$B$1:$D$16,3,FALSE)</f>
        <v>40</v>
      </c>
      <c r="N167" s="1" t="b">
        <f t="shared" si="5"/>
        <v>1</v>
      </c>
    </row>
    <row r="168" spans="1:14">
      <c r="A168">
        <v>167</v>
      </c>
      <c r="B168">
        <v>495</v>
      </c>
      <c r="C168" t="s">
        <v>49</v>
      </c>
      <c r="D168" s="1">
        <v>45763</v>
      </c>
      <c r="E168" s="1">
        <v>45765</v>
      </c>
      <c r="F168" t="s">
        <v>57</v>
      </c>
      <c r="G168">
        <v>2</v>
      </c>
      <c r="H168">
        <v>36</v>
      </c>
      <c r="I168" t="s">
        <v>60</v>
      </c>
      <c r="J168">
        <f t="shared" si="6"/>
        <v>2.4</v>
      </c>
      <c r="K168" t="str">
        <f t="shared" si="7"/>
        <v>16/04/2025Paediatrics</v>
      </c>
      <c r="L168">
        <f>VLOOKUP(K168, Sheet2!$A$2:$B$4186, 2,FALSE)</f>
        <v>11</v>
      </c>
      <c r="M168">
        <f>VLOOKUP(C168,Depts!$B$1:$D$16,3,FALSE)</f>
        <v>30</v>
      </c>
      <c r="N168" s="1" t="b">
        <f t="shared" si="5"/>
        <v>1</v>
      </c>
    </row>
    <row r="169" spans="1:14">
      <c r="A169">
        <v>168</v>
      </c>
      <c r="B169">
        <v>137</v>
      </c>
      <c r="C169" t="s">
        <v>42</v>
      </c>
      <c r="D169" s="1">
        <v>45764</v>
      </c>
      <c r="E169" s="1">
        <v>45769</v>
      </c>
      <c r="F169" t="s">
        <v>56</v>
      </c>
      <c r="G169">
        <v>5</v>
      </c>
      <c r="H169">
        <v>0</v>
      </c>
      <c r="I169" t="s">
        <v>60</v>
      </c>
      <c r="J169">
        <f t="shared" si="6"/>
        <v>0</v>
      </c>
      <c r="K169" t="str">
        <f t="shared" si="7"/>
        <v>17/04/2025Gastroenterology</v>
      </c>
      <c r="L169">
        <f>VLOOKUP(K169, Sheet2!$A$2:$B$4186, 2,FALSE)</f>
        <v>10</v>
      </c>
      <c r="M169">
        <f>VLOOKUP(C169,Depts!$B$1:$D$16,3,FALSE)</f>
        <v>29</v>
      </c>
      <c r="N169" s="1" t="b">
        <f t="shared" si="5"/>
        <v>1</v>
      </c>
    </row>
    <row r="170" spans="1:14">
      <c r="A170">
        <v>169</v>
      </c>
      <c r="B170">
        <v>307</v>
      </c>
      <c r="C170" t="s">
        <v>41</v>
      </c>
      <c r="D170" s="1">
        <v>45765</v>
      </c>
      <c r="E170" s="1">
        <v>45767</v>
      </c>
      <c r="F170" t="s">
        <v>57</v>
      </c>
      <c r="G170">
        <v>2</v>
      </c>
      <c r="H170">
        <v>40</v>
      </c>
      <c r="I170" t="s">
        <v>60</v>
      </c>
      <c r="J170">
        <f t="shared" si="6"/>
        <v>2.6666666666666665</v>
      </c>
      <c r="K170" t="str">
        <f t="shared" si="7"/>
        <v>18/04/2025ENT</v>
      </c>
      <c r="L170">
        <f>VLOOKUP(K170, Sheet2!$A$2:$B$4186, 2,FALSE)</f>
        <v>11</v>
      </c>
      <c r="M170">
        <f>VLOOKUP(C170,Depts!$B$1:$D$16,3,FALSE)</f>
        <v>20</v>
      </c>
      <c r="N170" s="1" t="b">
        <f t="shared" si="5"/>
        <v>1</v>
      </c>
    </row>
    <row r="171" spans="1:14">
      <c r="A171">
        <v>170</v>
      </c>
      <c r="B171">
        <v>174</v>
      </c>
      <c r="C171" t="s">
        <v>44</v>
      </c>
      <c r="D171" s="1">
        <v>45765</v>
      </c>
      <c r="E171" s="1">
        <v>45771</v>
      </c>
      <c r="F171" t="s">
        <v>56</v>
      </c>
      <c r="G171">
        <v>6</v>
      </c>
      <c r="H171">
        <v>21</v>
      </c>
      <c r="I171" t="s">
        <v>60</v>
      </c>
      <c r="J171">
        <f t="shared" si="6"/>
        <v>4.1999999999999993</v>
      </c>
      <c r="K171" t="str">
        <f t="shared" si="7"/>
        <v>18/04/2025Geriatrics</v>
      </c>
      <c r="L171">
        <f>VLOOKUP(K171, Sheet2!$A$2:$B$4186, 2,FALSE)</f>
        <v>13</v>
      </c>
      <c r="M171">
        <f>VLOOKUP(C171,Depts!$B$1:$D$16,3,FALSE)</f>
        <v>46</v>
      </c>
      <c r="N171" s="1" t="b">
        <f t="shared" si="5"/>
        <v>1</v>
      </c>
    </row>
    <row r="172" spans="1:14">
      <c r="A172">
        <v>171</v>
      </c>
      <c r="B172">
        <v>154</v>
      </c>
      <c r="C172" t="s">
        <v>51</v>
      </c>
      <c r="D172" s="1">
        <v>45766</v>
      </c>
      <c r="E172" s="1">
        <v>45768</v>
      </c>
      <c r="F172" t="s">
        <v>57</v>
      </c>
      <c r="G172">
        <v>2</v>
      </c>
      <c r="H172">
        <v>143</v>
      </c>
      <c r="I172" t="s">
        <v>60</v>
      </c>
      <c r="J172">
        <f t="shared" si="6"/>
        <v>9.5333333333333332</v>
      </c>
      <c r="K172" t="str">
        <f t="shared" si="7"/>
        <v>19/04/2025Respiratory</v>
      </c>
      <c r="L172">
        <f>VLOOKUP(K172, Sheet2!$A$2:$B$4186, 2,FALSE)</f>
        <v>9</v>
      </c>
      <c r="M172">
        <f>VLOOKUP(C172,Depts!$B$1:$D$16,3,FALSE)</f>
        <v>36</v>
      </c>
      <c r="N172" s="1" t="b">
        <f t="shared" si="5"/>
        <v>1</v>
      </c>
    </row>
    <row r="173" spans="1:14">
      <c r="A173">
        <v>172</v>
      </c>
      <c r="B173">
        <v>999</v>
      </c>
      <c r="C173" t="s">
        <v>43</v>
      </c>
      <c r="D173" s="1">
        <v>45767</v>
      </c>
      <c r="E173" s="1">
        <v>45772</v>
      </c>
      <c r="F173" t="s">
        <v>56</v>
      </c>
      <c r="G173">
        <v>5</v>
      </c>
      <c r="H173">
        <v>15</v>
      </c>
      <c r="I173" t="s">
        <v>60</v>
      </c>
      <c r="J173">
        <f t="shared" si="6"/>
        <v>2.5</v>
      </c>
      <c r="K173" t="str">
        <f t="shared" si="7"/>
        <v>20/04/2025General Surgery</v>
      </c>
      <c r="L173">
        <f>VLOOKUP(K173, Sheet2!$A$2:$B$4186, 2,FALSE)</f>
        <v>14</v>
      </c>
      <c r="M173">
        <f>VLOOKUP(C173,Depts!$B$1:$D$16,3,FALSE)</f>
        <v>44</v>
      </c>
      <c r="N173" s="1" t="b">
        <f t="shared" si="5"/>
        <v>1</v>
      </c>
    </row>
    <row r="174" spans="1:14">
      <c r="A174">
        <v>173</v>
      </c>
      <c r="B174">
        <v>124</v>
      </c>
      <c r="C174" t="s">
        <v>40</v>
      </c>
      <c r="D174" s="1">
        <v>45767</v>
      </c>
      <c r="E174" s="1">
        <v>45770</v>
      </c>
      <c r="F174" t="s">
        <v>58</v>
      </c>
      <c r="G174">
        <v>3</v>
      </c>
      <c r="H174">
        <v>38</v>
      </c>
      <c r="I174" t="s">
        <v>60</v>
      </c>
      <c r="J174">
        <f t="shared" si="6"/>
        <v>3.8</v>
      </c>
      <c r="K174" t="str">
        <f t="shared" si="7"/>
        <v>20/04/2025Cardiology</v>
      </c>
      <c r="L174">
        <f>VLOOKUP(K174, Sheet2!$A$2:$B$4186, 2,FALSE)</f>
        <v>11</v>
      </c>
      <c r="M174">
        <f>VLOOKUP(C174,Depts!$B$1:$D$16,3,FALSE)</f>
        <v>38</v>
      </c>
      <c r="N174" s="1" t="b">
        <f t="shared" si="5"/>
        <v>1</v>
      </c>
    </row>
    <row r="175" spans="1:14">
      <c r="A175">
        <v>174</v>
      </c>
      <c r="B175">
        <v>271</v>
      </c>
      <c r="C175" t="s">
        <v>47</v>
      </c>
      <c r="D175" s="1">
        <v>45768</v>
      </c>
      <c r="E175" s="1">
        <v>45773</v>
      </c>
      <c r="F175" t="s">
        <v>56</v>
      </c>
      <c r="G175">
        <v>5</v>
      </c>
      <c r="H175">
        <v>18</v>
      </c>
      <c r="I175" t="s">
        <v>60</v>
      </c>
      <c r="J175">
        <f t="shared" si="6"/>
        <v>3</v>
      </c>
      <c r="K175" t="str">
        <f t="shared" si="7"/>
        <v>21/04/2025Oncology</v>
      </c>
      <c r="L175">
        <f>VLOOKUP(K175, Sheet2!$A$2:$B$4186, 2,FALSE)</f>
        <v>18</v>
      </c>
      <c r="M175">
        <f>VLOOKUP(C175,Depts!$B$1:$D$16,3,FALSE)</f>
        <v>28</v>
      </c>
      <c r="N175" s="1" t="b">
        <f t="shared" si="5"/>
        <v>1</v>
      </c>
    </row>
    <row r="176" spans="1:14">
      <c r="A176">
        <v>175</v>
      </c>
      <c r="B176">
        <v>705</v>
      </c>
      <c r="C176" t="s">
        <v>39</v>
      </c>
      <c r="D176" s="1">
        <v>45768</v>
      </c>
      <c r="E176" s="1">
        <v>45769</v>
      </c>
      <c r="F176" t="s">
        <v>57</v>
      </c>
      <c r="G176">
        <v>1</v>
      </c>
      <c r="H176">
        <v>21</v>
      </c>
      <c r="I176" t="s">
        <v>60</v>
      </c>
      <c r="J176">
        <f t="shared" si="6"/>
        <v>0.7</v>
      </c>
      <c r="K176" t="str">
        <f t="shared" si="7"/>
        <v>21/04/2025A&amp;E (Emergency)</v>
      </c>
      <c r="L176">
        <f>VLOOKUP(K176, Sheet2!$A$2:$B$4186, 2,FALSE)</f>
        <v>28</v>
      </c>
      <c r="M176">
        <f>VLOOKUP(C176,Depts!$B$1:$D$16,3,FALSE)</f>
        <v>42</v>
      </c>
      <c r="N176" s="1" t="b">
        <f t="shared" si="5"/>
        <v>1</v>
      </c>
    </row>
    <row r="177" spans="1:14">
      <c r="A177">
        <v>176</v>
      </c>
      <c r="B177">
        <v>597</v>
      </c>
      <c r="C177" t="s">
        <v>50</v>
      </c>
      <c r="D177" s="1">
        <v>45769</v>
      </c>
      <c r="E177" s="1">
        <v>45774</v>
      </c>
      <c r="F177" t="s">
        <v>56</v>
      </c>
      <c r="G177">
        <v>5</v>
      </c>
      <c r="H177">
        <v>37</v>
      </c>
      <c r="I177" t="s">
        <v>60</v>
      </c>
      <c r="J177">
        <f t="shared" si="6"/>
        <v>6.166666666666667</v>
      </c>
      <c r="K177" t="str">
        <f t="shared" si="7"/>
        <v>22/04/2025Renal Medicine</v>
      </c>
      <c r="L177">
        <f>VLOOKUP(K177, Sheet2!$A$2:$B$4186, 2,FALSE)</f>
        <v>20</v>
      </c>
      <c r="M177">
        <f>VLOOKUP(C177,Depts!$B$1:$D$16,3,FALSE)</f>
        <v>26</v>
      </c>
      <c r="N177" s="1" t="b">
        <f t="shared" ref="N177:N240" si="8">ISNUMBER(D177)</f>
        <v>1</v>
      </c>
    </row>
    <row r="178" spans="1:14">
      <c r="A178">
        <v>177</v>
      </c>
      <c r="B178">
        <v>750</v>
      </c>
      <c r="C178" t="s">
        <v>46</v>
      </c>
      <c r="D178" s="1">
        <v>45770</v>
      </c>
      <c r="E178" s="1">
        <v>45776</v>
      </c>
      <c r="F178" t="s">
        <v>56</v>
      </c>
      <c r="G178">
        <v>6</v>
      </c>
      <c r="H178">
        <v>36</v>
      </c>
      <c r="I178" t="s">
        <v>60</v>
      </c>
      <c r="J178">
        <f t="shared" si="6"/>
        <v>7.1999999999999993</v>
      </c>
      <c r="K178" t="str">
        <f t="shared" si="7"/>
        <v>23/04/2025Neurology</v>
      </c>
      <c r="L178">
        <f>VLOOKUP(K178, Sheet2!$A$2:$B$4186, 2,FALSE)</f>
        <v>12</v>
      </c>
      <c r="M178">
        <f>VLOOKUP(C178,Depts!$B$1:$D$16,3,FALSE)</f>
        <v>32</v>
      </c>
      <c r="N178" s="1" t="b">
        <f t="shared" si="8"/>
        <v>1</v>
      </c>
    </row>
    <row r="179" spans="1:14">
      <c r="A179">
        <v>178</v>
      </c>
      <c r="B179">
        <v>574</v>
      </c>
      <c r="C179" t="s">
        <v>45</v>
      </c>
      <c r="D179" s="1">
        <v>45770</v>
      </c>
      <c r="E179" s="1">
        <v>45772</v>
      </c>
      <c r="F179" t="s">
        <v>57</v>
      </c>
      <c r="G179">
        <v>2</v>
      </c>
      <c r="H179">
        <v>152</v>
      </c>
      <c r="I179" t="s">
        <v>60</v>
      </c>
      <c r="J179">
        <f t="shared" si="6"/>
        <v>10.133333333333333</v>
      </c>
      <c r="K179" t="str">
        <f t="shared" si="7"/>
        <v>23/04/2025Maternity</v>
      </c>
      <c r="L179">
        <f>VLOOKUP(K179, Sheet2!$A$2:$B$4186, 2,FALSE)</f>
        <v>12</v>
      </c>
      <c r="M179">
        <f>VLOOKUP(C179,Depts!$B$1:$D$16,3,FALSE)</f>
        <v>34</v>
      </c>
      <c r="N179" s="1" t="b">
        <f t="shared" si="8"/>
        <v>1</v>
      </c>
    </row>
    <row r="180" spans="1:14">
      <c r="A180">
        <v>179</v>
      </c>
      <c r="B180">
        <v>335</v>
      </c>
      <c r="C180" t="s">
        <v>48</v>
      </c>
      <c r="D180" s="1">
        <v>45771</v>
      </c>
      <c r="E180" s="1">
        <v>45776</v>
      </c>
      <c r="F180" t="s">
        <v>56</v>
      </c>
      <c r="G180">
        <v>5</v>
      </c>
      <c r="H180">
        <v>37</v>
      </c>
      <c r="I180" t="s">
        <v>60</v>
      </c>
      <c r="J180">
        <f t="shared" si="6"/>
        <v>6.166666666666667</v>
      </c>
      <c r="K180" t="str">
        <f t="shared" si="7"/>
        <v>24/04/2025Orthopaedics</v>
      </c>
      <c r="L180">
        <f>VLOOKUP(K180, Sheet2!$A$2:$B$4186, 2,FALSE)</f>
        <v>14</v>
      </c>
      <c r="M180">
        <f>VLOOKUP(C180,Depts!$B$1:$D$16,3,FALSE)</f>
        <v>40</v>
      </c>
      <c r="N180" s="1" t="b">
        <f t="shared" si="8"/>
        <v>1</v>
      </c>
    </row>
    <row r="181" spans="1:14">
      <c r="A181">
        <v>180</v>
      </c>
      <c r="B181">
        <v>69</v>
      </c>
      <c r="C181" t="s">
        <v>49</v>
      </c>
      <c r="D181" s="1">
        <v>45771</v>
      </c>
      <c r="E181" s="1">
        <v>45773</v>
      </c>
      <c r="F181" t="s">
        <v>57</v>
      </c>
      <c r="G181">
        <v>2</v>
      </c>
      <c r="H181">
        <v>55</v>
      </c>
      <c r="I181" t="s">
        <v>60</v>
      </c>
      <c r="J181">
        <f t="shared" si="6"/>
        <v>3.6666666666666665</v>
      </c>
      <c r="K181" t="str">
        <f t="shared" si="7"/>
        <v>24/04/2025Paediatrics</v>
      </c>
      <c r="L181">
        <f>VLOOKUP(K181, Sheet2!$A$2:$B$4186, 2,FALSE)</f>
        <v>11</v>
      </c>
      <c r="M181">
        <f>VLOOKUP(C181,Depts!$B$1:$D$16,3,FALSE)</f>
        <v>30</v>
      </c>
      <c r="N181" s="1" t="b">
        <f t="shared" si="8"/>
        <v>1</v>
      </c>
    </row>
    <row r="182" spans="1:14">
      <c r="A182">
        <v>181</v>
      </c>
      <c r="B182">
        <v>725</v>
      </c>
      <c r="C182" t="s">
        <v>42</v>
      </c>
      <c r="D182" s="1">
        <v>45772</v>
      </c>
      <c r="E182" s="1">
        <v>45777</v>
      </c>
      <c r="F182" t="s">
        <v>56</v>
      </c>
      <c r="G182">
        <v>5</v>
      </c>
      <c r="H182">
        <v>21</v>
      </c>
      <c r="I182" t="s">
        <v>60</v>
      </c>
      <c r="J182">
        <f t="shared" si="6"/>
        <v>3.5</v>
      </c>
      <c r="K182" t="str">
        <f t="shared" si="7"/>
        <v>25/04/2025Gastroenterology</v>
      </c>
      <c r="L182">
        <f>VLOOKUP(K182, Sheet2!$A$2:$B$4186, 2,FALSE)</f>
        <v>9</v>
      </c>
      <c r="M182">
        <f>VLOOKUP(C182,Depts!$B$1:$D$16,3,FALSE)</f>
        <v>29</v>
      </c>
      <c r="N182" s="1" t="b">
        <f t="shared" si="8"/>
        <v>1</v>
      </c>
    </row>
    <row r="183" spans="1:14">
      <c r="A183">
        <v>182</v>
      </c>
      <c r="B183">
        <v>754</v>
      </c>
      <c r="C183" t="s">
        <v>41</v>
      </c>
      <c r="D183" s="1">
        <v>45773</v>
      </c>
      <c r="E183" s="1">
        <v>45775</v>
      </c>
      <c r="F183" t="s">
        <v>57</v>
      </c>
      <c r="G183">
        <v>2</v>
      </c>
      <c r="H183">
        <v>140</v>
      </c>
      <c r="I183" t="s">
        <v>60</v>
      </c>
      <c r="J183">
        <f t="shared" si="6"/>
        <v>9.3333333333333339</v>
      </c>
      <c r="K183" t="str">
        <f t="shared" si="7"/>
        <v>26/04/2025ENT</v>
      </c>
      <c r="L183">
        <f>VLOOKUP(K183, Sheet2!$A$2:$B$4186, 2,FALSE)</f>
        <v>10</v>
      </c>
      <c r="M183">
        <f>VLOOKUP(C183,Depts!$B$1:$D$16,3,FALSE)</f>
        <v>20</v>
      </c>
      <c r="N183" s="1" t="b">
        <f t="shared" si="8"/>
        <v>1</v>
      </c>
    </row>
    <row r="184" spans="1:14">
      <c r="A184">
        <v>183</v>
      </c>
      <c r="B184">
        <v>869</v>
      </c>
      <c r="C184" t="s">
        <v>44</v>
      </c>
      <c r="D184" s="1">
        <v>45773</v>
      </c>
      <c r="E184" s="1">
        <v>45779</v>
      </c>
      <c r="F184" t="s">
        <v>56</v>
      </c>
      <c r="G184">
        <v>6</v>
      </c>
      <c r="H184">
        <v>11</v>
      </c>
      <c r="I184" t="s">
        <v>60</v>
      </c>
      <c r="J184">
        <f t="shared" si="6"/>
        <v>2.1999999999999997</v>
      </c>
      <c r="K184" t="str">
        <f t="shared" si="7"/>
        <v>26/04/2025Geriatrics</v>
      </c>
      <c r="L184">
        <f>VLOOKUP(K184, Sheet2!$A$2:$B$4186, 2,FALSE)</f>
        <v>12</v>
      </c>
      <c r="M184">
        <f>VLOOKUP(C184,Depts!$B$1:$D$16,3,FALSE)</f>
        <v>46</v>
      </c>
      <c r="N184" s="1" t="b">
        <f t="shared" si="8"/>
        <v>1</v>
      </c>
    </row>
    <row r="185" spans="1:14">
      <c r="A185">
        <v>184</v>
      </c>
      <c r="B185">
        <v>818</v>
      </c>
      <c r="C185" t="s">
        <v>51</v>
      </c>
      <c r="D185" s="1">
        <v>45774</v>
      </c>
      <c r="E185" s="1">
        <v>45776</v>
      </c>
      <c r="F185" t="s">
        <v>57</v>
      </c>
      <c r="G185">
        <v>2</v>
      </c>
      <c r="H185">
        <v>26</v>
      </c>
      <c r="I185" t="s">
        <v>60</v>
      </c>
      <c r="J185">
        <f t="shared" si="6"/>
        <v>1.7333333333333334</v>
      </c>
      <c r="K185" t="str">
        <f t="shared" si="7"/>
        <v>27/04/2025Respiratory</v>
      </c>
      <c r="L185">
        <f>VLOOKUP(K185, Sheet2!$A$2:$B$4186, 2,FALSE)</f>
        <v>9</v>
      </c>
      <c r="M185">
        <f>VLOOKUP(C185,Depts!$B$1:$D$16,3,FALSE)</f>
        <v>36</v>
      </c>
      <c r="N185" s="1" t="b">
        <f t="shared" si="8"/>
        <v>1</v>
      </c>
    </row>
    <row r="186" spans="1:14">
      <c r="A186">
        <v>185</v>
      </c>
      <c r="B186">
        <v>558</v>
      </c>
      <c r="C186" t="s">
        <v>43</v>
      </c>
      <c r="D186" s="1">
        <v>45775</v>
      </c>
      <c r="E186" s="1">
        <v>45780</v>
      </c>
      <c r="F186" t="s">
        <v>56</v>
      </c>
      <c r="G186">
        <v>5</v>
      </c>
      <c r="H186">
        <v>15</v>
      </c>
      <c r="I186" t="s">
        <v>60</v>
      </c>
      <c r="J186">
        <f t="shared" si="6"/>
        <v>2.5</v>
      </c>
      <c r="K186" t="str">
        <f t="shared" si="7"/>
        <v>28/04/2025General Surgery</v>
      </c>
      <c r="L186">
        <f>VLOOKUP(K186, Sheet2!$A$2:$B$4186, 2,FALSE)</f>
        <v>22</v>
      </c>
      <c r="M186">
        <f>VLOOKUP(C186,Depts!$B$1:$D$16,3,FALSE)</f>
        <v>44</v>
      </c>
      <c r="N186" s="1" t="b">
        <f t="shared" si="8"/>
        <v>1</v>
      </c>
    </row>
    <row r="187" spans="1:14">
      <c r="A187">
        <v>186</v>
      </c>
      <c r="B187">
        <v>634</v>
      </c>
      <c r="C187" t="s">
        <v>40</v>
      </c>
      <c r="D187" s="1">
        <v>45775</v>
      </c>
      <c r="E187" s="1">
        <v>45778</v>
      </c>
      <c r="F187" t="s">
        <v>58</v>
      </c>
      <c r="G187">
        <v>3</v>
      </c>
      <c r="H187">
        <v>38</v>
      </c>
      <c r="I187" t="s">
        <v>60</v>
      </c>
      <c r="J187">
        <f t="shared" si="6"/>
        <v>3.8</v>
      </c>
      <c r="K187" t="str">
        <f t="shared" si="7"/>
        <v>28/04/2025Cardiology</v>
      </c>
      <c r="L187">
        <f>VLOOKUP(K187, Sheet2!$A$2:$B$4186, 2,FALSE)</f>
        <v>18</v>
      </c>
      <c r="M187">
        <f>VLOOKUP(C187,Depts!$B$1:$D$16,3,FALSE)</f>
        <v>38</v>
      </c>
      <c r="N187" s="1" t="b">
        <f t="shared" si="8"/>
        <v>1</v>
      </c>
    </row>
    <row r="188" spans="1:14">
      <c r="A188">
        <v>187</v>
      </c>
      <c r="B188">
        <v>975</v>
      </c>
      <c r="C188" t="s">
        <v>47</v>
      </c>
      <c r="D188" s="1">
        <v>45776</v>
      </c>
      <c r="E188" s="1">
        <v>45781</v>
      </c>
      <c r="F188" t="s">
        <v>56</v>
      </c>
      <c r="G188">
        <v>5</v>
      </c>
      <c r="H188">
        <v>33</v>
      </c>
      <c r="I188" t="s">
        <v>60</v>
      </c>
      <c r="J188">
        <f t="shared" si="6"/>
        <v>5.5</v>
      </c>
      <c r="K188" t="str">
        <f t="shared" si="7"/>
        <v>29/04/2025Oncology</v>
      </c>
      <c r="L188">
        <f>VLOOKUP(K188, Sheet2!$A$2:$B$4186, 2,FALSE)</f>
        <v>17</v>
      </c>
      <c r="M188">
        <f>VLOOKUP(C188,Depts!$B$1:$D$16,3,FALSE)</f>
        <v>28</v>
      </c>
      <c r="N188" s="1" t="b">
        <f t="shared" si="8"/>
        <v>1</v>
      </c>
    </row>
    <row r="189" spans="1:14">
      <c r="A189">
        <v>188</v>
      </c>
      <c r="B189">
        <v>409</v>
      </c>
      <c r="C189" t="s">
        <v>39</v>
      </c>
      <c r="D189" s="1">
        <v>45776</v>
      </c>
      <c r="E189" s="1">
        <v>45777</v>
      </c>
      <c r="F189" t="s">
        <v>57</v>
      </c>
      <c r="G189">
        <v>1</v>
      </c>
      <c r="H189">
        <v>101</v>
      </c>
      <c r="I189" t="s">
        <v>60</v>
      </c>
      <c r="J189">
        <f t="shared" si="6"/>
        <v>3.3666666666666667</v>
      </c>
      <c r="K189" t="str">
        <f t="shared" si="7"/>
        <v>29/04/2025A&amp;E (Emergency)</v>
      </c>
      <c r="L189">
        <f>VLOOKUP(K189, Sheet2!$A$2:$B$4186, 2,FALSE)</f>
        <v>25</v>
      </c>
      <c r="M189">
        <f>VLOOKUP(C189,Depts!$B$1:$D$16,3,FALSE)</f>
        <v>42</v>
      </c>
      <c r="N189" s="1" t="b">
        <f t="shared" si="8"/>
        <v>1</v>
      </c>
    </row>
    <row r="190" spans="1:14">
      <c r="A190">
        <v>189</v>
      </c>
      <c r="B190">
        <v>252</v>
      </c>
      <c r="C190" t="s">
        <v>50</v>
      </c>
      <c r="D190" s="1">
        <v>45777</v>
      </c>
      <c r="E190" s="1">
        <v>45782</v>
      </c>
      <c r="F190" t="s">
        <v>56</v>
      </c>
      <c r="G190">
        <v>5</v>
      </c>
      <c r="H190">
        <v>44</v>
      </c>
      <c r="I190" t="s">
        <v>60</v>
      </c>
      <c r="J190">
        <f t="shared" si="6"/>
        <v>7.333333333333333</v>
      </c>
      <c r="K190" t="str">
        <f t="shared" si="7"/>
        <v>30/04/2025Renal Medicine</v>
      </c>
      <c r="L190">
        <f>VLOOKUP(K190, Sheet2!$A$2:$B$4186, 2,FALSE)</f>
        <v>19</v>
      </c>
      <c r="M190">
        <f>VLOOKUP(C190,Depts!$B$1:$D$16,3,FALSE)</f>
        <v>26</v>
      </c>
      <c r="N190" s="1" t="b">
        <f t="shared" si="8"/>
        <v>1</v>
      </c>
    </row>
    <row r="191" spans="1:14">
      <c r="A191">
        <v>190</v>
      </c>
      <c r="B191">
        <v>563</v>
      </c>
      <c r="C191" t="s">
        <v>46</v>
      </c>
      <c r="D191" s="1">
        <v>45778</v>
      </c>
      <c r="E191" s="1">
        <v>45784</v>
      </c>
      <c r="F191" t="s">
        <v>56</v>
      </c>
      <c r="G191">
        <v>6</v>
      </c>
      <c r="H191">
        <v>32</v>
      </c>
      <c r="I191" t="s">
        <v>60</v>
      </c>
      <c r="J191">
        <f t="shared" si="6"/>
        <v>6.4</v>
      </c>
      <c r="K191" t="str">
        <f t="shared" si="7"/>
        <v>01/05/2025Neurology</v>
      </c>
      <c r="L191">
        <f>VLOOKUP(K191, Sheet2!$A$2:$B$4186, 2,FALSE)</f>
        <v>12</v>
      </c>
      <c r="M191">
        <f>VLOOKUP(C191,Depts!$B$1:$D$16,3,FALSE)</f>
        <v>32</v>
      </c>
      <c r="N191" s="1" t="b">
        <f t="shared" si="8"/>
        <v>1</v>
      </c>
    </row>
    <row r="192" spans="1:14">
      <c r="A192">
        <v>191</v>
      </c>
      <c r="B192">
        <v>798</v>
      </c>
      <c r="C192" t="s">
        <v>45</v>
      </c>
      <c r="D192" s="1">
        <v>45778</v>
      </c>
      <c r="E192" s="1">
        <v>45780</v>
      </c>
      <c r="F192" t="s">
        <v>57</v>
      </c>
      <c r="G192">
        <v>2</v>
      </c>
      <c r="H192">
        <v>42</v>
      </c>
      <c r="I192" t="s">
        <v>61</v>
      </c>
      <c r="J192">
        <f t="shared" si="6"/>
        <v>2.8</v>
      </c>
      <c r="K192" t="str">
        <f t="shared" si="7"/>
        <v>01/05/2025Maternity</v>
      </c>
      <c r="L192">
        <f>VLOOKUP(K192, Sheet2!$A$2:$B$4186, 2,FALSE)</f>
        <v>12</v>
      </c>
      <c r="M192">
        <f>VLOOKUP(C192,Depts!$B$1:$D$16,3,FALSE)</f>
        <v>34</v>
      </c>
      <c r="N192" s="1" t="b">
        <f t="shared" si="8"/>
        <v>1</v>
      </c>
    </row>
    <row r="193" spans="1:14">
      <c r="A193">
        <v>192</v>
      </c>
      <c r="B193">
        <v>572</v>
      </c>
      <c r="C193" t="s">
        <v>48</v>
      </c>
      <c r="D193" s="1">
        <v>45779</v>
      </c>
      <c r="E193" s="1">
        <v>45784</v>
      </c>
      <c r="F193" t="s">
        <v>56</v>
      </c>
      <c r="G193">
        <v>5</v>
      </c>
      <c r="H193">
        <v>32</v>
      </c>
      <c r="I193" t="s">
        <v>60</v>
      </c>
      <c r="J193">
        <f t="shared" si="6"/>
        <v>5.333333333333333</v>
      </c>
      <c r="K193" t="str">
        <f t="shared" si="7"/>
        <v>02/05/2025Orthopaedics</v>
      </c>
      <c r="L193">
        <f>VLOOKUP(K193, Sheet2!$A$2:$B$4186, 2,FALSE)</f>
        <v>13</v>
      </c>
      <c r="M193">
        <f>VLOOKUP(C193,Depts!$B$1:$D$16,3,FALSE)</f>
        <v>40</v>
      </c>
      <c r="N193" s="1" t="b">
        <f t="shared" si="8"/>
        <v>1</v>
      </c>
    </row>
    <row r="194" spans="1:14">
      <c r="A194">
        <v>193</v>
      </c>
      <c r="B194">
        <v>425</v>
      </c>
      <c r="C194" t="s">
        <v>49</v>
      </c>
      <c r="D194" s="1">
        <v>45779</v>
      </c>
      <c r="E194" s="1">
        <v>45781</v>
      </c>
      <c r="F194" t="s">
        <v>57</v>
      </c>
      <c r="G194">
        <v>2</v>
      </c>
      <c r="H194">
        <v>106</v>
      </c>
      <c r="I194" t="s">
        <v>60</v>
      </c>
      <c r="J194">
        <f t="shared" si="6"/>
        <v>7.0666666666666664</v>
      </c>
      <c r="K194" t="str">
        <f t="shared" si="7"/>
        <v>02/05/2025Paediatrics</v>
      </c>
      <c r="L194">
        <f>VLOOKUP(K194, Sheet2!$A$2:$B$4186, 2,FALSE)</f>
        <v>10</v>
      </c>
      <c r="M194">
        <f>VLOOKUP(C194,Depts!$B$1:$D$16,3,FALSE)</f>
        <v>30</v>
      </c>
      <c r="N194" s="1" t="b">
        <f t="shared" si="8"/>
        <v>1</v>
      </c>
    </row>
    <row r="195" spans="1:14">
      <c r="A195">
        <v>194</v>
      </c>
      <c r="B195">
        <v>594</v>
      </c>
      <c r="C195" t="s">
        <v>42</v>
      </c>
      <c r="D195" s="1">
        <v>45780</v>
      </c>
      <c r="E195" s="1">
        <v>45785</v>
      </c>
      <c r="F195" t="s">
        <v>56</v>
      </c>
      <c r="G195">
        <v>5</v>
      </c>
      <c r="H195">
        <v>12</v>
      </c>
      <c r="I195" t="s">
        <v>60</v>
      </c>
      <c r="J195">
        <f t="shared" ref="J195:J258" si="9">G195*(H195/30)</f>
        <v>2</v>
      </c>
      <c r="K195" t="str">
        <f t="shared" ref="K195:K258" si="10">TEXT(D195, "dd/mm/yyyy")&amp;C195</f>
        <v>03/05/2025Gastroenterology</v>
      </c>
      <c r="L195">
        <f>VLOOKUP(K195, Sheet2!$A$2:$B$4186, 2,FALSE)</f>
        <v>7</v>
      </c>
      <c r="M195">
        <f>VLOOKUP(C195,Depts!$B$1:$D$16,3,FALSE)</f>
        <v>29</v>
      </c>
      <c r="N195" s="1" t="b">
        <f t="shared" si="8"/>
        <v>1</v>
      </c>
    </row>
    <row r="196" spans="1:14">
      <c r="A196">
        <v>195</v>
      </c>
      <c r="B196">
        <v>500</v>
      </c>
      <c r="C196" t="s">
        <v>41</v>
      </c>
      <c r="D196" s="1">
        <v>45781</v>
      </c>
      <c r="E196" s="1">
        <v>45783</v>
      </c>
      <c r="F196" t="s">
        <v>57</v>
      </c>
      <c r="G196">
        <v>2</v>
      </c>
      <c r="H196">
        <v>140</v>
      </c>
      <c r="I196" t="s">
        <v>60</v>
      </c>
      <c r="J196">
        <f t="shared" si="9"/>
        <v>9.3333333333333339</v>
      </c>
      <c r="K196" t="str">
        <f t="shared" si="10"/>
        <v>04/05/2025ENT</v>
      </c>
      <c r="L196">
        <f>VLOOKUP(K196, Sheet2!$A$2:$B$4186, 2,FALSE)</f>
        <v>10</v>
      </c>
      <c r="M196">
        <f>VLOOKUP(C196,Depts!$B$1:$D$16,3,FALSE)</f>
        <v>20</v>
      </c>
      <c r="N196" s="1" t="b">
        <f t="shared" si="8"/>
        <v>1</v>
      </c>
    </row>
    <row r="197" spans="1:14">
      <c r="A197">
        <v>196</v>
      </c>
      <c r="B197">
        <v>183</v>
      </c>
      <c r="C197" t="s">
        <v>44</v>
      </c>
      <c r="D197" s="1">
        <v>45781</v>
      </c>
      <c r="E197" s="1">
        <v>45787</v>
      </c>
      <c r="F197" t="s">
        <v>56</v>
      </c>
      <c r="G197">
        <v>6</v>
      </c>
      <c r="H197">
        <v>43</v>
      </c>
      <c r="I197" t="s">
        <v>60</v>
      </c>
      <c r="J197">
        <f t="shared" si="9"/>
        <v>8.6</v>
      </c>
      <c r="K197" t="str">
        <f t="shared" si="10"/>
        <v>04/05/2025Geriatrics</v>
      </c>
      <c r="L197">
        <f>VLOOKUP(K197, Sheet2!$A$2:$B$4186, 2,FALSE)</f>
        <v>12</v>
      </c>
      <c r="M197">
        <f>VLOOKUP(C197,Depts!$B$1:$D$16,3,FALSE)</f>
        <v>46</v>
      </c>
      <c r="N197" s="1" t="b">
        <f t="shared" si="8"/>
        <v>1</v>
      </c>
    </row>
    <row r="198" spans="1:14">
      <c r="A198">
        <v>197</v>
      </c>
      <c r="B198">
        <v>370</v>
      </c>
      <c r="C198" t="s">
        <v>51</v>
      </c>
      <c r="D198" s="1">
        <v>45782</v>
      </c>
      <c r="E198" s="1">
        <v>45784</v>
      </c>
      <c r="F198" t="s">
        <v>57</v>
      </c>
      <c r="G198">
        <v>2</v>
      </c>
      <c r="H198">
        <v>151</v>
      </c>
      <c r="I198" t="s">
        <v>60</v>
      </c>
      <c r="J198">
        <f t="shared" si="9"/>
        <v>10.066666666666666</v>
      </c>
      <c r="K198" t="str">
        <f t="shared" si="10"/>
        <v>05/05/2025Respiratory</v>
      </c>
      <c r="L198">
        <f>VLOOKUP(K198, Sheet2!$A$2:$B$4186, 2,FALSE)</f>
        <v>15</v>
      </c>
      <c r="M198">
        <f>VLOOKUP(C198,Depts!$B$1:$D$16,3,FALSE)</f>
        <v>36</v>
      </c>
      <c r="N198" s="1" t="b">
        <f t="shared" si="8"/>
        <v>1</v>
      </c>
    </row>
    <row r="199" spans="1:14">
      <c r="A199">
        <v>198</v>
      </c>
      <c r="B199">
        <v>393</v>
      </c>
      <c r="C199" t="s">
        <v>43</v>
      </c>
      <c r="D199" s="1">
        <v>45783</v>
      </c>
      <c r="E199" s="1">
        <v>45788</v>
      </c>
      <c r="F199" t="s">
        <v>56</v>
      </c>
      <c r="G199">
        <v>5</v>
      </c>
      <c r="H199">
        <v>38</v>
      </c>
      <c r="I199" t="s">
        <v>60</v>
      </c>
      <c r="J199">
        <f t="shared" si="9"/>
        <v>6.333333333333333</v>
      </c>
      <c r="K199" t="str">
        <f t="shared" si="10"/>
        <v>06/05/2025General Surgery</v>
      </c>
      <c r="L199">
        <f>VLOOKUP(K199, Sheet2!$A$2:$B$4186, 2,FALSE)</f>
        <v>20</v>
      </c>
      <c r="M199">
        <f>VLOOKUP(C199,Depts!$B$1:$D$16,3,FALSE)</f>
        <v>44</v>
      </c>
      <c r="N199" s="1" t="b">
        <f t="shared" si="8"/>
        <v>1</v>
      </c>
    </row>
    <row r="200" spans="1:14">
      <c r="A200">
        <v>199</v>
      </c>
      <c r="B200">
        <v>445</v>
      </c>
      <c r="C200" t="s">
        <v>40</v>
      </c>
      <c r="D200" s="1">
        <v>45783</v>
      </c>
      <c r="E200" s="1">
        <v>45786</v>
      </c>
      <c r="F200" t="s">
        <v>58</v>
      </c>
      <c r="G200">
        <v>3</v>
      </c>
      <c r="H200">
        <v>40</v>
      </c>
      <c r="I200" t="s">
        <v>60</v>
      </c>
      <c r="J200">
        <f t="shared" si="9"/>
        <v>4</v>
      </c>
      <c r="K200" t="str">
        <f t="shared" si="10"/>
        <v>06/05/2025Cardiology</v>
      </c>
      <c r="L200">
        <f>VLOOKUP(K200, Sheet2!$A$2:$B$4186, 2,FALSE)</f>
        <v>17</v>
      </c>
      <c r="M200">
        <f>VLOOKUP(C200,Depts!$B$1:$D$16,3,FALSE)</f>
        <v>38</v>
      </c>
      <c r="N200" s="1" t="b">
        <f t="shared" si="8"/>
        <v>1</v>
      </c>
    </row>
    <row r="201" spans="1:14">
      <c r="A201">
        <v>200</v>
      </c>
      <c r="B201">
        <v>985</v>
      </c>
      <c r="C201" t="s">
        <v>47</v>
      </c>
      <c r="D201" s="1">
        <v>45784</v>
      </c>
      <c r="E201" s="1">
        <v>45789</v>
      </c>
      <c r="F201" t="s">
        <v>56</v>
      </c>
      <c r="G201">
        <v>5</v>
      </c>
      <c r="H201">
        <v>25</v>
      </c>
      <c r="I201" t="s">
        <v>61</v>
      </c>
      <c r="J201">
        <f t="shared" si="9"/>
        <v>4.166666666666667</v>
      </c>
      <c r="K201" t="str">
        <f t="shared" si="10"/>
        <v>07/05/2025Oncology</v>
      </c>
      <c r="L201">
        <f>VLOOKUP(K201, Sheet2!$A$2:$B$4186, 2,FALSE)</f>
        <v>16</v>
      </c>
      <c r="M201">
        <f>VLOOKUP(C201,Depts!$B$1:$D$16,3,FALSE)</f>
        <v>28</v>
      </c>
      <c r="N201" s="1" t="b">
        <f t="shared" si="8"/>
        <v>1</v>
      </c>
    </row>
    <row r="202" spans="1:14">
      <c r="A202">
        <v>201</v>
      </c>
      <c r="B202">
        <v>310</v>
      </c>
      <c r="C202" t="s">
        <v>39</v>
      </c>
      <c r="D202" s="1">
        <v>45784</v>
      </c>
      <c r="E202" s="1">
        <v>45785</v>
      </c>
      <c r="F202" t="s">
        <v>57</v>
      </c>
      <c r="G202">
        <v>1</v>
      </c>
      <c r="H202">
        <v>92</v>
      </c>
      <c r="I202" t="s">
        <v>60</v>
      </c>
      <c r="J202">
        <f t="shared" si="9"/>
        <v>3.0666666666666669</v>
      </c>
      <c r="K202" t="str">
        <f t="shared" si="10"/>
        <v>07/05/2025A&amp;E (Emergency)</v>
      </c>
      <c r="L202">
        <f>VLOOKUP(K202, Sheet2!$A$2:$B$4186, 2,FALSE)</f>
        <v>24</v>
      </c>
      <c r="M202">
        <f>VLOOKUP(C202,Depts!$B$1:$D$16,3,FALSE)</f>
        <v>42</v>
      </c>
      <c r="N202" s="1" t="b">
        <f t="shared" si="8"/>
        <v>1</v>
      </c>
    </row>
    <row r="203" spans="1:14">
      <c r="A203">
        <v>202</v>
      </c>
      <c r="B203">
        <v>301</v>
      </c>
      <c r="C203" t="s">
        <v>50</v>
      </c>
      <c r="D203" s="1">
        <v>45785</v>
      </c>
      <c r="E203" s="1">
        <v>45790</v>
      </c>
      <c r="F203" t="s">
        <v>56</v>
      </c>
      <c r="G203">
        <v>5</v>
      </c>
      <c r="H203">
        <v>35</v>
      </c>
      <c r="I203" t="s">
        <v>60</v>
      </c>
      <c r="J203">
        <f t="shared" si="9"/>
        <v>5.8333333333333339</v>
      </c>
      <c r="K203" t="str">
        <f t="shared" si="10"/>
        <v>08/05/2025Renal Medicine</v>
      </c>
      <c r="L203">
        <f>VLOOKUP(K203, Sheet2!$A$2:$B$4186, 2,FALSE)</f>
        <v>19</v>
      </c>
      <c r="M203">
        <f>VLOOKUP(C203,Depts!$B$1:$D$16,3,FALSE)</f>
        <v>26</v>
      </c>
      <c r="N203" s="1" t="b">
        <f t="shared" si="8"/>
        <v>1</v>
      </c>
    </row>
    <row r="204" spans="1:14">
      <c r="A204">
        <v>203</v>
      </c>
      <c r="B204">
        <v>791</v>
      </c>
      <c r="C204" t="s">
        <v>46</v>
      </c>
      <c r="D204" s="1">
        <v>45786</v>
      </c>
      <c r="E204" s="1">
        <v>45792</v>
      </c>
      <c r="F204" t="s">
        <v>56</v>
      </c>
      <c r="G204">
        <v>6</v>
      </c>
      <c r="H204">
        <v>27</v>
      </c>
      <c r="I204" t="s">
        <v>60</v>
      </c>
      <c r="J204">
        <f t="shared" si="9"/>
        <v>5.4</v>
      </c>
      <c r="K204" t="str">
        <f t="shared" si="10"/>
        <v>09/05/2025Neurology</v>
      </c>
      <c r="L204">
        <f>VLOOKUP(K204, Sheet2!$A$2:$B$4186, 2,FALSE)</f>
        <v>11</v>
      </c>
      <c r="M204">
        <f>VLOOKUP(C204,Depts!$B$1:$D$16,3,FALSE)</f>
        <v>32</v>
      </c>
      <c r="N204" s="1" t="b">
        <f t="shared" si="8"/>
        <v>1</v>
      </c>
    </row>
    <row r="205" spans="1:14">
      <c r="A205">
        <v>204</v>
      </c>
      <c r="B205">
        <v>400</v>
      </c>
      <c r="C205" t="s">
        <v>45</v>
      </c>
      <c r="D205" s="1">
        <v>45786</v>
      </c>
      <c r="E205" s="1">
        <v>45788</v>
      </c>
      <c r="F205" t="s">
        <v>57</v>
      </c>
      <c r="G205">
        <v>2</v>
      </c>
      <c r="H205">
        <v>118</v>
      </c>
      <c r="I205" t="s">
        <v>60</v>
      </c>
      <c r="J205">
        <f t="shared" si="9"/>
        <v>7.8666666666666663</v>
      </c>
      <c r="K205" t="str">
        <f t="shared" si="10"/>
        <v>09/05/2025Maternity</v>
      </c>
      <c r="L205">
        <f>VLOOKUP(K205, Sheet2!$A$2:$B$4186, 2,FALSE)</f>
        <v>11</v>
      </c>
      <c r="M205">
        <f>VLOOKUP(C205,Depts!$B$1:$D$16,3,FALSE)</f>
        <v>34</v>
      </c>
      <c r="N205" s="1" t="b">
        <f t="shared" si="8"/>
        <v>1</v>
      </c>
    </row>
    <row r="206" spans="1:14">
      <c r="A206">
        <v>205</v>
      </c>
      <c r="B206">
        <v>36</v>
      </c>
      <c r="C206" t="s">
        <v>48</v>
      </c>
      <c r="D206" s="1">
        <v>45787</v>
      </c>
      <c r="E206" s="1">
        <v>45792</v>
      </c>
      <c r="F206" t="s">
        <v>56</v>
      </c>
      <c r="G206">
        <v>5</v>
      </c>
      <c r="H206">
        <v>44</v>
      </c>
      <c r="I206" t="s">
        <v>60</v>
      </c>
      <c r="J206">
        <f t="shared" si="9"/>
        <v>7.333333333333333</v>
      </c>
      <c r="K206" t="str">
        <f t="shared" si="10"/>
        <v>10/05/2025Orthopaedics</v>
      </c>
      <c r="L206">
        <f>VLOOKUP(K206, Sheet2!$A$2:$B$4186, 2,FALSE)</f>
        <v>11</v>
      </c>
      <c r="M206">
        <f>VLOOKUP(C206,Depts!$B$1:$D$16,3,FALSE)</f>
        <v>40</v>
      </c>
      <c r="N206" s="1" t="b">
        <f t="shared" si="8"/>
        <v>1</v>
      </c>
    </row>
    <row r="207" spans="1:14">
      <c r="A207">
        <v>206</v>
      </c>
      <c r="B207">
        <v>193</v>
      </c>
      <c r="C207" t="s">
        <v>49</v>
      </c>
      <c r="D207" s="1">
        <v>45787</v>
      </c>
      <c r="E207" s="1">
        <v>45789</v>
      </c>
      <c r="F207" t="s">
        <v>57</v>
      </c>
      <c r="G207">
        <v>2</v>
      </c>
      <c r="H207">
        <v>99</v>
      </c>
      <c r="I207" t="s">
        <v>61</v>
      </c>
      <c r="J207">
        <f t="shared" si="9"/>
        <v>6.6</v>
      </c>
      <c r="K207" t="str">
        <f t="shared" si="10"/>
        <v>10/05/2025Paediatrics</v>
      </c>
      <c r="L207">
        <f>VLOOKUP(K207, Sheet2!$A$2:$B$4186, 2,FALSE)</f>
        <v>9</v>
      </c>
      <c r="M207">
        <f>VLOOKUP(C207,Depts!$B$1:$D$16,3,FALSE)</f>
        <v>30</v>
      </c>
      <c r="N207" s="1" t="b">
        <f t="shared" si="8"/>
        <v>1</v>
      </c>
    </row>
    <row r="208" spans="1:14">
      <c r="A208">
        <v>207</v>
      </c>
      <c r="B208">
        <v>630</v>
      </c>
      <c r="C208" t="s">
        <v>42</v>
      </c>
      <c r="D208" s="1">
        <v>45788</v>
      </c>
      <c r="E208" s="1">
        <v>45793</v>
      </c>
      <c r="F208" t="s">
        <v>56</v>
      </c>
      <c r="G208">
        <v>5</v>
      </c>
      <c r="H208">
        <v>20</v>
      </c>
      <c r="I208" t="s">
        <v>60</v>
      </c>
      <c r="J208">
        <f t="shared" si="9"/>
        <v>3.333333333333333</v>
      </c>
      <c r="K208" t="str">
        <f t="shared" si="10"/>
        <v>11/05/2025Gastroenterology</v>
      </c>
      <c r="L208">
        <f>VLOOKUP(K208, Sheet2!$A$2:$B$4186, 2,FALSE)</f>
        <v>7</v>
      </c>
      <c r="M208">
        <f>VLOOKUP(C208,Depts!$B$1:$D$16,3,FALSE)</f>
        <v>29</v>
      </c>
      <c r="N208" s="1" t="b">
        <f t="shared" si="8"/>
        <v>1</v>
      </c>
    </row>
    <row r="209" spans="1:14">
      <c r="A209">
        <v>208</v>
      </c>
      <c r="B209">
        <v>31</v>
      </c>
      <c r="C209" t="s">
        <v>41</v>
      </c>
      <c r="D209" s="1">
        <v>45789</v>
      </c>
      <c r="E209" s="1">
        <v>45791</v>
      </c>
      <c r="F209" t="s">
        <v>57</v>
      </c>
      <c r="G209">
        <v>2</v>
      </c>
      <c r="H209">
        <v>54</v>
      </c>
      <c r="I209" t="s">
        <v>60</v>
      </c>
      <c r="J209">
        <f t="shared" si="9"/>
        <v>3.6</v>
      </c>
      <c r="K209" t="str">
        <f t="shared" si="10"/>
        <v>12/05/2025ENT</v>
      </c>
      <c r="L209">
        <f>VLOOKUP(K209, Sheet2!$A$2:$B$4186, 2,FALSE)</f>
        <v>13</v>
      </c>
      <c r="M209">
        <f>VLOOKUP(C209,Depts!$B$1:$D$16,3,FALSE)</f>
        <v>20</v>
      </c>
      <c r="N209" s="1" t="b">
        <f t="shared" si="8"/>
        <v>1</v>
      </c>
    </row>
    <row r="210" spans="1:14">
      <c r="A210">
        <v>209</v>
      </c>
      <c r="B210">
        <v>292</v>
      </c>
      <c r="C210" t="s">
        <v>44</v>
      </c>
      <c r="D210" s="1">
        <v>45789</v>
      </c>
      <c r="E210" s="1">
        <v>45795</v>
      </c>
      <c r="F210" t="s">
        <v>56</v>
      </c>
      <c r="G210">
        <v>6</v>
      </c>
      <c r="H210">
        <v>15</v>
      </c>
      <c r="I210" t="s">
        <v>60</v>
      </c>
      <c r="J210">
        <f t="shared" si="9"/>
        <v>3</v>
      </c>
      <c r="K210" t="str">
        <f t="shared" si="10"/>
        <v>12/05/2025Geriatrics</v>
      </c>
      <c r="L210">
        <f>VLOOKUP(K210, Sheet2!$A$2:$B$4186, 2,FALSE)</f>
        <v>16</v>
      </c>
      <c r="M210">
        <f>VLOOKUP(C210,Depts!$B$1:$D$16,3,FALSE)</f>
        <v>46</v>
      </c>
      <c r="N210" s="1" t="b">
        <f t="shared" si="8"/>
        <v>1</v>
      </c>
    </row>
    <row r="211" spans="1:14">
      <c r="A211">
        <v>210</v>
      </c>
      <c r="B211">
        <v>131</v>
      </c>
      <c r="C211" t="s">
        <v>51</v>
      </c>
      <c r="D211" s="1">
        <v>45790</v>
      </c>
      <c r="E211" s="1">
        <v>45792</v>
      </c>
      <c r="F211" t="s">
        <v>57</v>
      </c>
      <c r="G211">
        <v>2</v>
      </c>
      <c r="H211">
        <v>143</v>
      </c>
      <c r="I211" t="s">
        <v>60</v>
      </c>
      <c r="J211">
        <f t="shared" si="9"/>
        <v>9.5333333333333332</v>
      </c>
      <c r="K211" t="str">
        <f t="shared" si="10"/>
        <v>13/05/2025Respiratory</v>
      </c>
      <c r="L211">
        <f>VLOOKUP(K211, Sheet2!$A$2:$B$4186, 2,FALSE)</f>
        <v>14</v>
      </c>
      <c r="M211">
        <f>VLOOKUP(C211,Depts!$B$1:$D$16,3,FALSE)</f>
        <v>36</v>
      </c>
      <c r="N211" s="1" t="b">
        <f t="shared" si="8"/>
        <v>1</v>
      </c>
    </row>
    <row r="212" spans="1:14">
      <c r="A212">
        <v>211</v>
      </c>
      <c r="B212">
        <v>273</v>
      </c>
      <c r="C212" t="s">
        <v>43</v>
      </c>
      <c r="D212" s="1">
        <v>45791</v>
      </c>
      <c r="E212" s="1">
        <v>45796</v>
      </c>
      <c r="F212" t="s">
        <v>56</v>
      </c>
      <c r="G212">
        <v>5</v>
      </c>
      <c r="H212">
        <v>42</v>
      </c>
      <c r="I212" t="s">
        <v>60</v>
      </c>
      <c r="J212">
        <f t="shared" si="9"/>
        <v>7</v>
      </c>
      <c r="K212" t="str">
        <f t="shared" si="10"/>
        <v>14/05/2025General Surgery</v>
      </c>
      <c r="L212">
        <f>VLOOKUP(K212, Sheet2!$A$2:$B$4186, 2,FALSE)</f>
        <v>19</v>
      </c>
      <c r="M212">
        <f>VLOOKUP(C212,Depts!$B$1:$D$16,3,FALSE)</f>
        <v>44</v>
      </c>
      <c r="N212" s="1" t="b">
        <f t="shared" si="8"/>
        <v>1</v>
      </c>
    </row>
    <row r="213" spans="1:14">
      <c r="A213">
        <v>212</v>
      </c>
      <c r="B213">
        <v>683</v>
      </c>
      <c r="C213" t="s">
        <v>40</v>
      </c>
      <c r="D213" s="1">
        <v>45791</v>
      </c>
      <c r="E213" s="1">
        <v>45794</v>
      </c>
      <c r="F213" t="s">
        <v>58</v>
      </c>
      <c r="G213">
        <v>3</v>
      </c>
      <c r="H213">
        <v>56</v>
      </c>
      <c r="I213" t="s">
        <v>61</v>
      </c>
      <c r="J213">
        <f t="shared" si="9"/>
        <v>5.6</v>
      </c>
      <c r="K213" t="str">
        <f t="shared" si="10"/>
        <v>14/05/2025Cardiology</v>
      </c>
      <c r="L213">
        <f>VLOOKUP(K213, Sheet2!$A$2:$B$4186, 2,FALSE)</f>
        <v>16</v>
      </c>
      <c r="M213">
        <f>VLOOKUP(C213,Depts!$B$1:$D$16,3,FALSE)</f>
        <v>38</v>
      </c>
      <c r="N213" s="1" t="b">
        <f t="shared" si="8"/>
        <v>1</v>
      </c>
    </row>
    <row r="214" spans="1:14">
      <c r="A214">
        <v>213</v>
      </c>
      <c r="B214">
        <v>838</v>
      </c>
      <c r="C214" t="s">
        <v>47</v>
      </c>
      <c r="D214" s="1">
        <v>45792</v>
      </c>
      <c r="E214" s="1">
        <v>45797</v>
      </c>
      <c r="F214" t="s">
        <v>56</v>
      </c>
      <c r="G214">
        <v>5</v>
      </c>
      <c r="H214">
        <v>16</v>
      </c>
      <c r="I214" t="s">
        <v>60</v>
      </c>
      <c r="J214">
        <f t="shared" si="9"/>
        <v>2.6666666666666665</v>
      </c>
      <c r="K214" t="str">
        <f t="shared" si="10"/>
        <v>15/05/2025Oncology</v>
      </c>
      <c r="L214">
        <f>VLOOKUP(K214, Sheet2!$A$2:$B$4186, 2,FALSE)</f>
        <v>16</v>
      </c>
      <c r="M214">
        <f>VLOOKUP(C214,Depts!$B$1:$D$16,3,FALSE)</f>
        <v>28</v>
      </c>
      <c r="N214" s="1" t="b">
        <f t="shared" si="8"/>
        <v>1</v>
      </c>
    </row>
    <row r="215" spans="1:14">
      <c r="A215">
        <v>214</v>
      </c>
      <c r="B215">
        <v>213</v>
      </c>
      <c r="C215" t="s">
        <v>39</v>
      </c>
      <c r="D215" s="1">
        <v>45792</v>
      </c>
      <c r="E215" s="1">
        <v>45793</v>
      </c>
      <c r="F215" t="s">
        <v>57</v>
      </c>
      <c r="G215">
        <v>1</v>
      </c>
      <c r="H215">
        <v>213</v>
      </c>
      <c r="I215" t="s">
        <v>60</v>
      </c>
      <c r="J215">
        <f t="shared" si="9"/>
        <v>7.1</v>
      </c>
      <c r="K215" t="str">
        <f t="shared" si="10"/>
        <v>15/05/2025A&amp;E (Emergency)</v>
      </c>
      <c r="L215">
        <f>VLOOKUP(K215, Sheet2!$A$2:$B$4186, 2,FALSE)</f>
        <v>23</v>
      </c>
      <c r="M215">
        <f>VLOOKUP(C215,Depts!$B$1:$D$16,3,FALSE)</f>
        <v>42</v>
      </c>
      <c r="N215" s="1" t="b">
        <f t="shared" si="8"/>
        <v>1</v>
      </c>
    </row>
    <row r="216" spans="1:14">
      <c r="A216">
        <v>215</v>
      </c>
      <c r="B216">
        <v>316</v>
      </c>
      <c r="C216" t="s">
        <v>50</v>
      </c>
      <c r="D216" s="1">
        <v>45793</v>
      </c>
      <c r="E216" s="1">
        <v>45798</v>
      </c>
      <c r="F216" t="s">
        <v>56</v>
      </c>
      <c r="G216">
        <v>5</v>
      </c>
      <c r="H216">
        <v>19</v>
      </c>
      <c r="I216" t="s">
        <v>60</v>
      </c>
      <c r="J216">
        <f t="shared" si="9"/>
        <v>3.1666666666666665</v>
      </c>
      <c r="K216" t="str">
        <f t="shared" si="10"/>
        <v>16/05/2025Renal Medicine</v>
      </c>
      <c r="L216">
        <f>VLOOKUP(K216, Sheet2!$A$2:$B$4186, 2,FALSE)</f>
        <v>18</v>
      </c>
      <c r="M216">
        <f>VLOOKUP(C216,Depts!$B$1:$D$16,3,FALSE)</f>
        <v>26</v>
      </c>
      <c r="N216" s="1" t="b">
        <f t="shared" si="8"/>
        <v>1</v>
      </c>
    </row>
    <row r="217" spans="1:14">
      <c r="A217">
        <v>216</v>
      </c>
      <c r="B217">
        <v>499</v>
      </c>
      <c r="C217" t="s">
        <v>46</v>
      </c>
      <c r="D217" s="1">
        <v>45794</v>
      </c>
      <c r="E217" s="1">
        <v>45800</v>
      </c>
      <c r="F217" t="s">
        <v>56</v>
      </c>
      <c r="G217">
        <v>6</v>
      </c>
      <c r="H217">
        <v>43</v>
      </c>
      <c r="I217" t="s">
        <v>61</v>
      </c>
      <c r="J217">
        <f t="shared" si="9"/>
        <v>8.6</v>
      </c>
      <c r="K217" t="str">
        <f t="shared" si="10"/>
        <v>17/05/2025Neurology</v>
      </c>
      <c r="L217">
        <f>VLOOKUP(K217, Sheet2!$A$2:$B$4186, 2,FALSE)</f>
        <v>9</v>
      </c>
      <c r="M217">
        <f>VLOOKUP(C217,Depts!$B$1:$D$16,3,FALSE)</f>
        <v>32</v>
      </c>
      <c r="N217" s="1" t="b">
        <f t="shared" si="8"/>
        <v>1</v>
      </c>
    </row>
    <row r="218" spans="1:14">
      <c r="A218">
        <v>217</v>
      </c>
      <c r="B218">
        <v>994</v>
      </c>
      <c r="C218" t="s">
        <v>45</v>
      </c>
      <c r="D218" s="1">
        <v>45794</v>
      </c>
      <c r="E218" s="1">
        <v>45796</v>
      </c>
      <c r="F218" t="s">
        <v>57</v>
      </c>
      <c r="G218">
        <v>2</v>
      </c>
      <c r="H218">
        <v>55</v>
      </c>
      <c r="I218" t="s">
        <v>60</v>
      </c>
      <c r="J218">
        <f t="shared" si="9"/>
        <v>3.6666666666666665</v>
      </c>
      <c r="K218" t="str">
        <f t="shared" si="10"/>
        <v>17/05/2025Maternity</v>
      </c>
      <c r="L218">
        <f>VLOOKUP(K218, Sheet2!$A$2:$B$4186, 2,FALSE)</f>
        <v>10</v>
      </c>
      <c r="M218">
        <f>VLOOKUP(C218,Depts!$B$1:$D$16,3,FALSE)</f>
        <v>34</v>
      </c>
      <c r="N218" s="1" t="b">
        <f t="shared" si="8"/>
        <v>1</v>
      </c>
    </row>
    <row r="219" spans="1:14">
      <c r="A219">
        <v>218</v>
      </c>
      <c r="B219">
        <v>653</v>
      </c>
      <c r="C219" t="s">
        <v>48</v>
      </c>
      <c r="D219" s="1">
        <v>45795</v>
      </c>
      <c r="E219" s="1">
        <v>45800</v>
      </c>
      <c r="F219" t="s">
        <v>56</v>
      </c>
      <c r="G219">
        <v>5</v>
      </c>
      <c r="H219">
        <v>4</v>
      </c>
      <c r="I219" t="s">
        <v>60</v>
      </c>
      <c r="J219">
        <f t="shared" si="9"/>
        <v>0.66666666666666663</v>
      </c>
      <c r="K219" t="str">
        <f t="shared" si="10"/>
        <v>18/05/2025Orthopaedics</v>
      </c>
      <c r="L219">
        <f>VLOOKUP(K219, Sheet2!$A$2:$B$4186, 2,FALSE)</f>
        <v>10</v>
      </c>
      <c r="M219">
        <f>VLOOKUP(C219,Depts!$B$1:$D$16,3,FALSE)</f>
        <v>40</v>
      </c>
      <c r="N219" s="1" t="b">
        <f t="shared" si="8"/>
        <v>1</v>
      </c>
    </row>
    <row r="220" spans="1:14">
      <c r="A220">
        <v>219</v>
      </c>
      <c r="B220">
        <v>784</v>
      </c>
      <c r="C220" t="s">
        <v>49</v>
      </c>
      <c r="D220" s="1">
        <v>45795</v>
      </c>
      <c r="E220" s="1">
        <v>45797</v>
      </c>
      <c r="F220" t="s">
        <v>57</v>
      </c>
      <c r="G220">
        <v>2</v>
      </c>
      <c r="H220">
        <v>40</v>
      </c>
      <c r="I220" t="s">
        <v>60</v>
      </c>
      <c r="J220">
        <f t="shared" si="9"/>
        <v>2.6666666666666665</v>
      </c>
      <c r="K220" t="str">
        <f t="shared" si="10"/>
        <v>18/05/2025Paediatrics</v>
      </c>
      <c r="L220">
        <f>VLOOKUP(K220, Sheet2!$A$2:$B$4186, 2,FALSE)</f>
        <v>8</v>
      </c>
      <c r="M220">
        <f>VLOOKUP(C220,Depts!$B$1:$D$16,3,FALSE)</f>
        <v>30</v>
      </c>
      <c r="N220" s="1" t="b">
        <f t="shared" si="8"/>
        <v>1</v>
      </c>
    </row>
    <row r="221" spans="1:14">
      <c r="A221">
        <v>220</v>
      </c>
      <c r="B221">
        <v>165</v>
      </c>
      <c r="C221" t="s">
        <v>42</v>
      </c>
      <c r="D221" s="1">
        <v>45796</v>
      </c>
      <c r="E221" s="1">
        <v>45801</v>
      </c>
      <c r="F221" t="s">
        <v>56</v>
      </c>
      <c r="G221">
        <v>5</v>
      </c>
      <c r="H221">
        <v>11</v>
      </c>
      <c r="I221" t="s">
        <v>60</v>
      </c>
      <c r="J221">
        <f t="shared" si="9"/>
        <v>1.8333333333333333</v>
      </c>
      <c r="K221" t="str">
        <f t="shared" si="10"/>
        <v>19/05/2025Gastroenterology</v>
      </c>
      <c r="L221">
        <f>VLOOKUP(K221, Sheet2!$A$2:$B$4186, 2,FALSE)</f>
        <v>12</v>
      </c>
      <c r="M221">
        <f>VLOOKUP(C221,Depts!$B$1:$D$16,3,FALSE)</f>
        <v>29</v>
      </c>
      <c r="N221" s="1" t="b">
        <f t="shared" si="8"/>
        <v>1</v>
      </c>
    </row>
    <row r="222" spans="1:14">
      <c r="A222">
        <v>221</v>
      </c>
      <c r="B222">
        <v>481</v>
      </c>
      <c r="C222" t="s">
        <v>41</v>
      </c>
      <c r="D222" s="1">
        <v>45797</v>
      </c>
      <c r="E222" s="1">
        <v>45799</v>
      </c>
      <c r="F222" t="s">
        <v>57</v>
      </c>
      <c r="G222">
        <v>2</v>
      </c>
      <c r="H222">
        <v>36</v>
      </c>
      <c r="I222" t="s">
        <v>60</v>
      </c>
      <c r="J222">
        <f t="shared" si="9"/>
        <v>2.4</v>
      </c>
      <c r="K222" t="str">
        <f t="shared" si="10"/>
        <v>20/05/2025ENT</v>
      </c>
      <c r="L222">
        <f>VLOOKUP(K222, Sheet2!$A$2:$B$4186, 2,FALSE)</f>
        <v>12</v>
      </c>
      <c r="M222">
        <f>VLOOKUP(C222,Depts!$B$1:$D$16,3,FALSE)</f>
        <v>20</v>
      </c>
      <c r="N222" s="1" t="b">
        <f t="shared" si="8"/>
        <v>1</v>
      </c>
    </row>
    <row r="223" spans="1:14">
      <c r="A223">
        <v>222</v>
      </c>
      <c r="B223">
        <v>829</v>
      </c>
      <c r="C223" t="s">
        <v>44</v>
      </c>
      <c r="D223" s="1">
        <v>45797</v>
      </c>
      <c r="E223" s="1">
        <v>45803</v>
      </c>
      <c r="F223" t="s">
        <v>56</v>
      </c>
      <c r="G223">
        <v>6</v>
      </c>
      <c r="H223">
        <v>35</v>
      </c>
      <c r="I223" t="s">
        <v>60</v>
      </c>
      <c r="J223">
        <f t="shared" si="9"/>
        <v>7</v>
      </c>
      <c r="K223" t="str">
        <f t="shared" si="10"/>
        <v>20/05/2025Geriatrics</v>
      </c>
      <c r="L223">
        <f>VLOOKUP(K223, Sheet2!$A$2:$B$4186, 2,FALSE)</f>
        <v>15</v>
      </c>
      <c r="M223">
        <f>VLOOKUP(C223,Depts!$B$1:$D$16,3,FALSE)</f>
        <v>46</v>
      </c>
      <c r="N223" s="1" t="b">
        <f t="shared" si="8"/>
        <v>1</v>
      </c>
    </row>
    <row r="224" spans="1:14">
      <c r="A224">
        <v>223</v>
      </c>
      <c r="B224">
        <v>540</v>
      </c>
      <c r="C224" t="s">
        <v>51</v>
      </c>
      <c r="D224" s="1">
        <v>45798</v>
      </c>
      <c r="E224" s="1">
        <v>45800</v>
      </c>
      <c r="F224" t="s">
        <v>57</v>
      </c>
      <c r="G224">
        <v>2</v>
      </c>
      <c r="H224">
        <v>175</v>
      </c>
      <c r="I224" t="s">
        <v>60</v>
      </c>
      <c r="J224">
        <f t="shared" si="9"/>
        <v>11.666666666666666</v>
      </c>
      <c r="K224" t="str">
        <f t="shared" si="10"/>
        <v>21/05/2025Respiratory</v>
      </c>
      <c r="L224">
        <f>VLOOKUP(K224, Sheet2!$A$2:$B$4186, 2,FALSE)</f>
        <v>13</v>
      </c>
      <c r="M224">
        <f>VLOOKUP(C224,Depts!$B$1:$D$16,3,FALSE)</f>
        <v>36</v>
      </c>
      <c r="N224" s="1" t="b">
        <f t="shared" si="8"/>
        <v>1</v>
      </c>
    </row>
    <row r="225" spans="1:14">
      <c r="A225">
        <v>224</v>
      </c>
      <c r="B225">
        <v>196</v>
      </c>
      <c r="C225" t="s">
        <v>43</v>
      </c>
      <c r="D225" s="1">
        <v>45799</v>
      </c>
      <c r="E225" s="1">
        <v>45804</v>
      </c>
      <c r="F225" t="s">
        <v>56</v>
      </c>
      <c r="G225">
        <v>5</v>
      </c>
      <c r="H225">
        <v>44</v>
      </c>
      <c r="I225" t="s">
        <v>60</v>
      </c>
      <c r="J225">
        <f t="shared" si="9"/>
        <v>7.333333333333333</v>
      </c>
      <c r="K225" t="str">
        <f t="shared" si="10"/>
        <v>22/05/2025General Surgery</v>
      </c>
      <c r="L225">
        <f>VLOOKUP(K225, Sheet2!$A$2:$B$4186, 2,FALSE)</f>
        <v>19</v>
      </c>
      <c r="M225">
        <f>VLOOKUP(C225,Depts!$B$1:$D$16,3,FALSE)</f>
        <v>44</v>
      </c>
      <c r="N225" s="1" t="b">
        <f t="shared" si="8"/>
        <v>1</v>
      </c>
    </row>
    <row r="226" spans="1:14">
      <c r="A226">
        <v>225</v>
      </c>
      <c r="B226">
        <v>571</v>
      </c>
      <c r="C226" t="s">
        <v>40</v>
      </c>
      <c r="D226" s="1">
        <v>45799</v>
      </c>
      <c r="E226" s="1">
        <v>45802</v>
      </c>
      <c r="F226" t="s">
        <v>58</v>
      </c>
      <c r="G226">
        <v>3</v>
      </c>
      <c r="H226">
        <v>21</v>
      </c>
      <c r="I226" t="s">
        <v>60</v>
      </c>
      <c r="J226">
        <f t="shared" si="9"/>
        <v>2.0999999999999996</v>
      </c>
      <c r="K226" t="str">
        <f t="shared" si="10"/>
        <v>22/05/2025Cardiology</v>
      </c>
      <c r="L226">
        <f>VLOOKUP(K226, Sheet2!$A$2:$B$4186, 2,FALSE)</f>
        <v>16</v>
      </c>
      <c r="M226">
        <f>VLOOKUP(C226,Depts!$B$1:$D$16,3,FALSE)</f>
        <v>38</v>
      </c>
      <c r="N226" s="1" t="b">
        <f t="shared" si="8"/>
        <v>1</v>
      </c>
    </row>
    <row r="227" spans="1:14">
      <c r="A227">
        <v>226</v>
      </c>
      <c r="B227">
        <v>389</v>
      </c>
      <c r="C227" t="s">
        <v>47</v>
      </c>
      <c r="D227" s="1">
        <v>45800</v>
      </c>
      <c r="E227" s="1">
        <v>45805</v>
      </c>
      <c r="F227" t="s">
        <v>56</v>
      </c>
      <c r="G227">
        <v>5</v>
      </c>
      <c r="H227">
        <v>15</v>
      </c>
      <c r="I227" t="s">
        <v>60</v>
      </c>
      <c r="J227">
        <f t="shared" si="9"/>
        <v>2.5</v>
      </c>
      <c r="K227" t="str">
        <f t="shared" si="10"/>
        <v>23/05/2025Oncology</v>
      </c>
      <c r="L227">
        <f>VLOOKUP(K227, Sheet2!$A$2:$B$4186, 2,FALSE)</f>
        <v>15</v>
      </c>
      <c r="M227">
        <f>VLOOKUP(C227,Depts!$B$1:$D$16,3,FALSE)</f>
        <v>28</v>
      </c>
      <c r="N227" s="1" t="b">
        <f t="shared" si="8"/>
        <v>1</v>
      </c>
    </row>
    <row r="228" spans="1:14">
      <c r="A228">
        <v>227</v>
      </c>
      <c r="B228">
        <v>155</v>
      </c>
      <c r="C228" t="s">
        <v>39</v>
      </c>
      <c r="D228" s="1">
        <v>45800</v>
      </c>
      <c r="E228" s="1">
        <v>45801</v>
      </c>
      <c r="F228" t="s">
        <v>57</v>
      </c>
      <c r="G228">
        <v>1</v>
      </c>
      <c r="H228">
        <v>230</v>
      </c>
      <c r="I228" t="s">
        <v>60</v>
      </c>
      <c r="J228">
        <f t="shared" si="9"/>
        <v>7.666666666666667</v>
      </c>
      <c r="K228" t="str">
        <f t="shared" si="10"/>
        <v>23/05/2025A&amp;E (Emergency)</v>
      </c>
      <c r="L228">
        <f>VLOOKUP(K228, Sheet2!$A$2:$B$4186, 2,FALSE)</f>
        <v>22</v>
      </c>
      <c r="M228">
        <f>VLOOKUP(C228,Depts!$B$1:$D$16,3,FALSE)</f>
        <v>42</v>
      </c>
      <c r="N228" s="1" t="b">
        <f t="shared" si="8"/>
        <v>1</v>
      </c>
    </row>
    <row r="229" spans="1:14">
      <c r="A229">
        <v>228</v>
      </c>
      <c r="B229">
        <v>881</v>
      </c>
      <c r="C229" t="s">
        <v>50</v>
      </c>
      <c r="D229" s="1">
        <v>45801</v>
      </c>
      <c r="E229" s="1">
        <v>45806</v>
      </c>
      <c r="F229" t="s">
        <v>56</v>
      </c>
      <c r="G229">
        <v>5</v>
      </c>
      <c r="H229">
        <v>35</v>
      </c>
      <c r="I229" t="s">
        <v>60</v>
      </c>
      <c r="J229">
        <f t="shared" si="9"/>
        <v>5.8333333333333339</v>
      </c>
      <c r="K229" t="str">
        <f t="shared" si="10"/>
        <v>24/05/2025Renal Medicine</v>
      </c>
      <c r="L229">
        <f>VLOOKUP(K229, Sheet2!$A$2:$B$4186, 2,FALSE)</f>
        <v>17</v>
      </c>
      <c r="M229">
        <f>VLOOKUP(C229,Depts!$B$1:$D$16,3,FALSE)</f>
        <v>26</v>
      </c>
      <c r="N229" s="1" t="b">
        <f t="shared" si="8"/>
        <v>1</v>
      </c>
    </row>
    <row r="230" spans="1:14">
      <c r="A230">
        <v>229</v>
      </c>
      <c r="B230">
        <v>102</v>
      </c>
      <c r="C230" t="s">
        <v>46</v>
      </c>
      <c r="D230" s="1">
        <v>45802</v>
      </c>
      <c r="E230" s="1">
        <v>45808</v>
      </c>
      <c r="F230" t="s">
        <v>56</v>
      </c>
      <c r="G230">
        <v>6</v>
      </c>
      <c r="H230">
        <v>22</v>
      </c>
      <c r="I230" t="s">
        <v>60</v>
      </c>
      <c r="J230">
        <f t="shared" si="9"/>
        <v>4.3999999999999995</v>
      </c>
      <c r="K230" t="str">
        <f t="shared" si="10"/>
        <v>25/05/2025Neurology</v>
      </c>
      <c r="L230">
        <f>VLOOKUP(K230, Sheet2!$A$2:$B$4186, 2,FALSE)</f>
        <v>9</v>
      </c>
      <c r="M230">
        <f>VLOOKUP(C230,Depts!$B$1:$D$16,3,FALSE)</f>
        <v>32</v>
      </c>
      <c r="N230" s="1" t="b">
        <f t="shared" si="8"/>
        <v>1</v>
      </c>
    </row>
    <row r="231" spans="1:14">
      <c r="A231">
        <v>230</v>
      </c>
      <c r="B231">
        <v>342</v>
      </c>
      <c r="C231" t="s">
        <v>45</v>
      </c>
      <c r="D231" s="1">
        <v>45802</v>
      </c>
      <c r="E231" s="1">
        <v>45804</v>
      </c>
      <c r="F231" t="s">
        <v>57</v>
      </c>
      <c r="G231">
        <v>2</v>
      </c>
      <c r="H231">
        <v>63</v>
      </c>
      <c r="I231" t="s">
        <v>60</v>
      </c>
      <c r="J231">
        <f t="shared" si="9"/>
        <v>4.2</v>
      </c>
      <c r="K231" t="str">
        <f t="shared" si="10"/>
        <v>25/05/2025Maternity</v>
      </c>
      <c r="L231">
        <f>VLOOKUP(K231, Sheet2!$A$2:$B$4186, 2,FALSE)</f>
        <v>9</v>
      </c>
      <c r="M231">
        <f>VLOOKUP(C231,Depts!$B$1:$D$16,3,FALSE)</f>
        <v>34</v>
      </c>
      <c r="N231" s="1" t="b">
        <f t="shared" si="8"/>
        <v>1</v>
      </c>
    </row>
    <row r="232" spans="1:14">
      <c r="A232">
        <v>231</v>
      </c>
      <c r="B232">
        <v>189</v>
      </c>
      <c r="C232" t="s">
        <v>48</v>
      </c>
      <c r="D232" s="1">
        <v>45803</v>
      </c>
      <c r="E232" s="1">
        <v>45808</v>
      </c>
      <c r="F232" t="s">
        <v>56</v>
      </c>
      <c r="G232">
        <v>5</v>
      </c>
      <c r="H232">
        <v>24</v>
      </c>
      <c r="I232" t="s">
        <v>60</v>
      </c>
      <c r="J232">
        <f t="shared" si="9"/>
        <v>4</v>
      </c>
      <c r="K232" t="str">
        <f t="shared" si="10"/>
        <v>26/05/2025Orthopaedics</v>
      </c>
      <c r="L232">
        <f>VLOOKUP(K232, Sheet2!$A$2:$B$4186, 2,FALSE)</f>
        <v>16</v>
      </c>
      <c r="M232">
        <f>VLOOKUP(C232,Depts!$B$1:$D$16,3,FALSE)</f>
        <v>40</v>
      </c>
      <c r="N232" s="1" t="b">
        <f t="shared" si="8"/>
        <v>1</v>
      </c>
    </row>
    <row r="233" spans="1:14">
      <c r="A233">
        <v>232</v>
      </c>
      <c r="B233">
        <v>836</v>
      </c>
      <c r="C233" t="s">
        <v>49</v>
      </c>
      <c r="D233" s="1">
        <v>45803</v>
      </c>
      <c r="E233" s="1">
        <v>45805</v>
      </c>
      <c r="F233" t="s">
        <v>57</v>
      </c>
      <c r="G233">
        <v>2</v>
      </c>
      <c r="H233">
        <v>120</v>
      </c>
      <c r="I233" t="s">
        <v>60</v>
      </c>
      <c r="J233">
        <f t="shared" si="9"/>
        <v>8</v>
      </c>
      <c r="K233" t="str">
        <f t="shared" si="10"/>
        <v>26/05/2025Paediatrics</v>
      </c>
      <c r="L233">
        <f>VLOOKUP(K233, Sheet2!$A$2:$B$4186, 2,FALSE)</f>
        <v>13</v>
      </c>
      <c r="M233">
        <f>VLOOKUP(C233,Depts!$B$1:$D$16,3,FALSE)</f>
        <v>30</v>
      </c>
      <c r="N233" s="1" t="b">
        <f t="shared" si="8"/>
        <v>1</v>
      </c>
    </row>
    <row r="234" spans="1:14">
      <c r="A234">
        <v>233</v>
      </c>
      <c r="B234">
        <v>14</v>
      </c>
      <c r="C234" t="s">
        <v>42</v>
      </c>
      <c r="D234" s="1">
        <v>45804</v>
      </c>
      <c r="E234" s="1">
        <v>45809</v>
      </c>
      <c r="F234" t="s">
        <v>56</v>
      </c>
      <c r="G234">
        <v>5</v>
      </c>
      <c r="H234">
        <v>34</v>
      </c>
      <c r="I234" t="s">
        <v>60</v>
      </c>
      <c r="J234">
        <f t="shared" si="9"/>
        <v>5.6666666666666661</v>
      </c>
      <c r="K234" t="str">
        <f t="shared" si="10"/>
        <v>27/05/2025Gastroenterology</v>
      </c>
      <c r="L234">
        <f>VLOOKUP(K234, Sheet2!$A$2:$B$4186, 2,FALSE)</f>
        <v>11</v>
      </c>
      <c r="M234">
        <f>VLOOKUP(C234,Depts!$B$1:$D$16,3,FALSE)</f>
        <v>29</v>
      </c>
      <c r="N234" s="1" t="b">
        <f t="shared" si="8"/>
        <v>1</v>
      </c>
    </row>
    <row r="235" spans="1:14">
      <c r="A235">
        <v>234</v>
      </c>
      <c r="B235">
        <v>449</v>
      </c>
      <c r="C235" t="s">
        <v>41</v>
      </c>
      <c r="D235" s="1">
        <v>45805</v>
      </c>
      <c r="E235" s="1">
        <v>45807</v>
      </c>
      <c r="F235" t="s">
        <v>57</v>
      </c>
      <c r="G235">
        <v>2</v>
      </c>
      <c r="H235">
        <v>106</v>
      </c>
      <c r="I235" t="s">
        <v>60</v>
      </c>
      <c r="J235">
        <f t="shared" si="9"/>
        <v>7.0666666666666664</v>
      </c>
      <c r="K235" t="str">
        <f t="shared" si="10"/>
        <v>28/05/2025ENT</v>
      </c>
      <c r="L235">
        <f>VLOOKUP(K235, Sheet2!$A$2:$B$4186, 2,FALSE)</f>
        <v>12</v>
      </c>
      <c r="M235">
        <f>VLOOKUP(C235,Depts!$B$1:$D$16,3,FALSE)</f>
        <v>20</v>
      </c>
      <c r="N235" s="1" t="b">
        <f t="shared" si="8"/>
        <v>1</v>
      </c>
    </row>
    <row r="236" spans="1:14">
      <c r="A236">
        <v>235</v>
      </c>
      <c r="B236">
        <v>93</v>
      </c>
      <c r="C236" t="s">
        <v>44</v>
      </c>
      <c r="D236" s="1">
        <v>45805</v>
      </c>
      <c r="E236" s="1">
        <v>45811</v>
      </c>
      <c r="F236" t="s">
        <v>56</v>
      </c>
      <c r="G236">
        <v>6</v>
      </c>
      <c r="H236">
        <v>43</v>
      </c>
      <c r="I236" t="s">
        <v>60</v>
      </c>
      <c r="J236">
        <f t="shared" si="9"/>
        <v>8.6</v>
      </c>
      <c r="K236" t="str">
        <f t="shared" si="10"/>
        <v>28/05/2025Geriatrics</v>
      </c>
      <c r="L236">
        <f>VLOOKUP(K236, Sheet2!$A$2:$B$4186, 2,FALSE)</f>
        <v>14</v>
      </c>
      <c r="M236">
        <f>VLOOKUP(C236,Depts!$B$1:$D$16,3,FALSE)</f>
        <v>46</v>
      </c>
      <c r="N236" s="1" t="b">
        <f t="shared" si="8"/>
        <v>1</v>
      </c>
    </row>
    <row r="237" spans="1:14">
      <c r="A237">
        <v>236</v>
      </c>
      <c r="B237">
        <v>738</v>
      </c>
      <c r="C237" t="s">
        <v>51</v>
      </c>
      <c r="D237" s="1">
        <v>45806</v>
      </c>
      <c r="E237" s="1">
        <v>45808</v>
      </c>
      <c r="F237" t="s">
        <v>57</v>
      </c>
      <c r="G237">
        <v>2</v>
      </c>
      <c r="H237">
        <v>185</v>
      </c>
      <c r="I237" t="s">
        <v>60</v>
      </c>
      <c r="J237">
        <f t="shared" si="9"/>
        <v>12.333333333333334</v>
      </c>
      <c r="K237" t="str">
        <f t="shared" si="10"/>
        <v>29/05/2025Respiratory</v>
      </c>
      <c r="L237">
        <f>VLOOKUP(K237, Sheet2!$A$2:$B$4186, 2,FALSE)</f>
        <v>13</v>
      </c>
      <c r="M237">
        <f>VLOOKUP(C237,Depts!$B$1:$D$16,3,FALSE)</f>
        <v>36</v>
      </c>
      <c r="N237" s="1" t="b">
        <f t="shared" si="8"/>
        <v>1</v>
      </c>
    </row>
    <row r="238" spans="1:14">
      <c r="A238">
        <v>237</v>
      </c>
      <c r="B238">
        <v>390</v>
      </c>
      <c r="C238" t="s">
        <v>43</v>
      </c>
      <c r="D238" s="1">
        <v>45807</v>
      </c>
      <c r="E238" s="1">
        <v>45812</v>
      </c>
      <c r="F238" t="s">
        <v>56</v>
      </c>
      <c r="G238">
        <v>5</v>
      </c>
      <c r="H238">
        <v>20</v>
      </c>
      <c r="I238" t="s">
        <v>60</v>
      </c>
      <c r="J238">
        <f t="shared" si="9"/>
        <v>3.333333333333333</v>
      </c>
      <c r="K238" t="str">
        <f t="shared" si="10"/>
        <v>30/05/2025General Surgery</v>
      </c>
      <c r="L238">
        <f>VLOOKUP(K238, Sheet2!$A$2:$B$4186, 2,FALSE)</f>
        <v>18</v>
      </c>
      <c r="M238">
        <f>VLOOKUP(C238,Depts!$B$1:$D$16,3,FALSE)</f>
        <v>44</v>
      </c>
      <c r="N238" s="1" t="b">
        <f t="shared" si="8"/>
        <v>1</v>
      </c>
    </row>
    <row r="239" spans="1:14">
      <c r="A239">
        <v>238</v>
      </c>
      <c r="B239">
        <v>582</v>
      </c>
      <c r="C239" t="s">
        <v>40</v>
      </c>
      <c r="D239" s="1">
        <v>45807</v>
      </c>
      <c r="E239" s="1">
        <v>45810</v>
      </c>
      <c r="F239" t="s">
        <v>58</v>
      </c>
      <c r="G239">
        <v>3</v>
      </c>
      <c r="H239">
        <v>56</v>
      </c>
      <c r="I239" t="s">
        <v>60</v>
      </c>
      <c r="J239">
        <f t="shared" si="9"/>
        <v>5.6</v>
      </c>
      <c r="K239" t="str">
        <f t="shared" si="10"/>
        <v>30/05/2025Cardiology</v>
      </c>
      <c r="L239">
        <f>VLOOKUP(K239, Sheet2!$A$2:$B$4186, 2,FALSE)</f>
        <v>15</v>
      </c>
      <c r="M239">
        <f>VLOOKUP(C239,Depts!$B$1:$D$16,3,FALSE)</f>
        <v>38</v>
      </c>
      <c r="N239" s="1" t="b">
        <f t="shared" si="8"/>
        <v>1</v>
      </c>
    </row>
    <row r="240" spans="1:14">
      <c r="A240">
        <v>239</v>
      </c>
      <c r="B240">
        <v>944</v>
      </c>
      <c r="C240" t="s">
        <v>47</v>
      </c>
      <c r="D240" s="1">
        <v>45808</v>
      </c>
      <c r="E240" s="1">
        <v>45813</v>
      </c>
      <c r="F240" t="s">
        <v>56</v>
      </c>
      <c r="G240">
        <v>5</v>
      </c>
      <c r="H240">
        <v>20</v>
      </c>
      <c r="I240" t="s">
        <v>60</v>
      </c>
      <c r="J240">
        <f t="shared" si="9"/>
        <v>3.333333333333333</v>
      </c>
      <c r="K240" t="str">
        <f t="shared" si="10"/>
        <v>31/05/2025Oncology</v>
      </c>
      <c r="L240">
        <f>VLOOKUP(K240, Sheet2!$A$2:$B$4186, 2,FALSE)</f>
        <v>13</v>
      </c>
      <c r="M240">
        <f>VLOOKUP(C240,Depts!$B$1:$D$16,3,FALSE)</f>
        <v>28</v>
      </c>
      <c r="N240" s="1" t="b">
        <f t="shared" si="8"/>
        <v>1</v>
      </c>
    </row>
    <row r="241" spans="1:14">
      <c r="A241">
        <v>240</v>
      </c>
      <c r="B241">
        <v>659</v>
      </c>
      <c r="C241" t="s">
        <v>39</v>
      </c>
      <c r="D241" s="1">
        <v>45808</v>
      </c>
      <c r="E241" s="1">
        <v>45809</v>
      </c>
      <c r="F241" t="s">
        <v>57</v>
      </c>
      <c r="G241">
        <v>1</v>
      </c>
      <c r="H241">
        <v>148</v>
      </c>
      <c r="I241" t="s">
        <v>60</v>
      </c>
      <c r="J241">
        <f t="shared" si="9"/>
        <v>4.9333333333333336</v>
      </c>
      <c r="K241" t="str">
        <f t="shared" si="10"/>
        <v>31/05/2025A&amp;E (Emergency)</v>
      </c>
      <c r="L241">
        <f>VLOOKUP(K241, Sheet2!$A$2:$B$4186, 2,FALSE)</f>
        <v>20</v>
      </c>
      <c r="M241">
        <f>VLOOKUP(C241,Depts!$B$1:$D$16,3,FALSE)</f>
        <v>42</v>
      </c>
      <c r="N241" s="1" t="b">
        <f t="shared" ref="N241:N304" si="11">ISNUMBER(D241)</f>
        <v>1</v>
      </c>
    </row>
    <row r="242" spans="1:14">
      <c r="A242">
        <v>241</v>
      </c>
      <c r="B242">
        <v>126</v>
      </c>
      <c r="C242" t="s">
        <v>50</v>
      </c>
      <c r="D242" s="1">
        <v>45809</v>
      </c>
      <c r="E242" s="1">
        <v>45814</v>
      </c>
      <c r="F242" t="s">
        <v>56</v>
      </c>
      <c r="G242">
        <v>5</v>
      </c>
      <c r="H242">
        <v>25</v>
      </c>
      <c r="I242" t="s">
        <v>60</v>
      </c>
      <c r="J242">
        <f t="shared" si="9"/>
        <v>4.166666666666667</v>
      </c>
      <c r="K242" t="str">
        <f t="shared" si="10"/>
        <v>01/06/2025Renal Medicine</v>
      </c>
      <c r="L242">
        <f>VLOOKUP(K242, Sheet2!$A$2:$B$4186, 2,FALSE)</f>
        <v>17</v>
      </c>
      <c r="M242">
        <f>VLOOKUP(C242,Depts!$B$1:$D$16,3,FALSE)</f>
        <v>26</v>
      </c>
      <c r="N242" s="1" t="b">
        <f t="shared" si="11"/>
        <v>1</v>
      </c>
    </row>
    <row r="243" spans="1:14">
      <c r="A243">
        <v>242</v>
      </c>
      <c r="B243">
        <v>50</v>
      </c>
      <c r="C243" t="s">
        <v>46</v>
      </c>
      <c r="D243" s="1">
        <v>45810</v>
      </c>
      <c r="E243" s="1">
        <v>45816</v>
      </c>
      <c r="F243" t="s">
        <v>56</v>
      </c>
      <c r="G243">
        <v>6</v>
      </c>
      <c r="H243">
        <v>43</v>
      </c>
      <c r="I243" t="s">
        <v>60</v>
      </c>
      <c r="J243">
        <f t="shared" si="9"/>
        <v>8.6</v>
      </c>
      <c r="K243" t="str">
        <f t="shared" si="10"/>
        <v>02/06/2025Neurology</v>
      </c>
      <c r="L243">
        <f>VLOOKUP(K243, Sheet2!$A$2:$B$4186, 2,FALSE)</f>
        <v>14</v>
      </c>
      <c r="M243">
        <f>VLOOKUP(C243,Depts!$B$1:$D$16,3,FALSE)</f>
        <v>32</v>
      </c>
      <c r="N243" s="1" t="b">
        <f t="shared" si="11"/>
        <v>1</v>
      </c>
    </row>
    <row r="244" spans="1:14">
      <c r="A244">
        <v>243</v>
      </c>
      <c r="B244">
        <v>300</v>
      </c>
      <c r="C244" t="s">
        <v>45</v>
      </c>
      <c r="D244" s="1">
        <v>45810</v>
      </c>
      <c r="E244" s="1">
        <v>45812</v>
      </c>
      <c r="F244" t="s">
        <v>57</v>
      </c>
      <c r="G244">
        <v>2</v>
      </c>
      <c r="H244">
        <v>126</v>
      </c>
      <c r="I244" t="s">
        <v>60</v>
      </c>
      <c r="J244">
        <f t="shared" si="9"/>
        <v>8.4</v>
      </c>
      <c r="K244" t="str">
        <f t="shared" si="10"/>
        <v>02/06/2025Maternity</v>
      </c>
      <c r="L244">
        <f>VLOOKUP(K244, Sheet2!$A$2:$B$4186, 2,FALSE)</f>
        <v>13</v>
      </c>
      <c r="M244">
        <f>VLOOKUP(C244,Depts!$B$1:$D$16,3,FALSE)</f>
        <v>34</v>
      </c>
      <c r="N244" s="1" t="b">
        <f t="shared" si="11"/>
        <v>1</v>
      </c>
    </row>
    <row r="245" spans="1:14">
      <c r="A245">
        <v>244</v>
      </c>
      <c r="B245">
        <v>705</v>
      </c>
      <c r="C245" t="s">
        <v>48</v>
      </c>
      <c r="D245" s="1">
        <v>45811</v>
      </c>
      <c r="E245" s="1">
        <v>45816</v>
      </c>
      <c r="F245" t="s">
        <v>56</v>
      </c>
      <c r="G245">
        <v>5</v>
      </c>
      <c r="H245">
        <v>38</v>
      </c>
      <c r="I245" t="s">
        <v>60</v>
      </c>
      <c r="J245">
        <f t="shared" si="9"/>
        <v>6.333333333333333</v>
      </c>
      <c r="K245" t="str">
        <f t="shared" si="10"/>
        <v>03/06/2025Orthopaedics</v>
      </c>
      <c r="L245">
        <f>VLOOKUP(K245, Sheet2!$A$2:$B$4186, 2,FALSE)</f>
        <v>15</v>
      </c>
      <c r="M245">
        <f>VLOOKUP(C245,Depts!$B$1:$D$16,3,FALSE)</f>
        <v>40</v>
      </c>
      <c r="N245" s="1" t="b">
        <f t="shared" si="11"/>
        <v>1</v>
      </c>
    </row>
    <row r="246" spans="1:14">
      <c r="A246">
        <v>245</v>
      </c>
      <c r="B246">
        <v>435</v>
      </c>
      <c r="C246" t="s">
        <v>49</v>
      </c>
      <c r="D246" s="1">
        <v>45811</v>
      </c>
      <c r="E246" s="1">
        <v>45813</v>
      </c>
      <c r="F246" t="s">
        <v>57</v>
      </c>
      <c r="G246">
        <v>2</v>
      </c>
      <c r="H246">
        <v>228</v>
      </c>
      <c r="I246" t="s">
        <v>61</v>
      </c>
      <c r="J246">
        <f t="shared" si="9"/>
        <v>15.2</v>
      </c>
      <c r="K246" t="str">
        <f t="shared" si="10"/>
        <v>03/06/2025Paediatrics</v>
      </c>
      <c r="L246">
        <f>VLOOKUP(K246, Sheet2!$A$2:$B$4186, 2,FALSE)</f>
        <v>12</v>
      </c>
      <c r="M246">
        <f>VLOOKUP(C246,Depts!$B$1:$D$16,3,FALSE)</f>
        <v>30</v>
      </c>
      <c r="N246" s="1" t="b">
        <f t="shared" si="11"/>
        <v>1</v>
      </c>
    </row>
    <row r="247" spans="1:14">
      <c r="A247">
        <v>246</v>
      </c>
      <c r="B247">
        <v>882</v>
      </c>
      <c r="C247" t="s">
        <v>42</v>
      </c>
      <c r="D247" s="1">
        <v>45812</v>
      </c>
      <c r="E247" s="1">
        <v>45817</v>
      </c>
      <c r="F247" t="s">
        <v>56</v>
      </c>
      <c r="G247">
        <v>5</v>
      </c>
      <c r="H247">
        <v>16</v>
      </c>
      <c r="I247" t="s">
        <v>60</v>
      </c>
      <c r="J247">
        <f t="shared" si="9"/>
        <v>2.6666666666666665</v>
      </c>
      <c r="K247" t="str">
        <f t="shared" si="10"/>
        <v>04/06/2025Gastroenterology</v>
      </c>
      <c r="L247">
        <f>VLOOKUP(K247, Sheet2!$A$2:$B$4186, 2,FALSE)</f>
        <v>10</v>
      </c>
      <c r="M247">
        <f>VLOOKUP(C247,Depts!$B$1:$D$16,3,FALSE)</f>
        <v>29</v>
      </c>
      <c r="N247" s="1" t="b">
        <f t="shared" si="11"/>
        <v>1</v>
      </c>
    </row>
    <row r="248" spans="1:14">
      <c r="A248">
        <v>247</v>
      </c>
      <c r="B248">
        <v>564</v>
      </c>
      <c r="C248" t="s">
        <v>41</v>
      </c>
      <c r="D248" s="1">
        <v>45813</v>
      </c>
      <c r="E248" s="1">
        <v>45815</v>
      </c>
      <c r="F248" t="s">
        <v>57</v>
      </c>
      <c r="G248">
        <v>2</v>
      </c>
      <c r="H248">
        <v>238</v>
      </c>
      <c r="I248" t="s">
        <v>60</v>
      </c>
      <c r="J248">
        <f t="shared" si="9"/>
        <v>15.866666666666667</v>
      </c>
      <c r="K248" t="str">
        <f t="shared" si="10"/>
        <v>05/06/2025ENT</v>
      </c>
      <c r="L248">
        <f>VLOOKUP(K248, Sheet2!$A$2:$B$4186, 2,FALSE)</f>
        <v>12</v>
      </c>
      <c r="M248">
        <f>VLOOKUP(C248,Depts!$B$1:$D$16,3,FALSE)</f>
        <v>20</v>
      </c>
      <c r="N248" s="1" t="b">
        <f t="shared" si="11"/>
        <v>1</v>
      </c>
    </row>
    <row r="249" spans="1:14">
      <c r="A249">
        <v>248</v>
      </c>
      <c r="B249">
        <v>306</v>
      </c>
      <c r="C249" t="s">
        <v>44</v>
      </c>
      <c r="D249" s="1">
        <v>45813</v>
      </c>
      <c r="E249" s="1">
        <v>45819</v>
      </c>
      <c r="F249" t="s">
        <v>56</v>
      </c>
      <c r="G249">
        <v>6</v>
      </c>
      <c r="H249">
        <v>27</v>
      </c>
      <c r="I249" t="s">
        <v>60</v>
      </c>
      <c r="J249">
        <f t="shared" si="9"/>
        <v>5.4</v>
      </c>
      <c r="K249" t="str">
        <f t="shared" si="10"/>
        <v>05/06/2025Geriatrics</v>
      </c>
      <c r="L249">
        <f>VLOOKUP(K249, Sheet2!$A$2:$B$4186, 2,FALSE)</f>
        <v>14</v>
      </c>
      <c r="M249">
        <f>VLOOKUP(C249,Depts!$B$1:$D$16,3,FALSE)</f>
        <v>46</v>
      </c>
      <c r="N249" s="1" t="b">
        <f t="shared" si="11"/>
        <v>1</v>
      </c>
    </row>
    <row r="250" spans="1:14">
      <c r="A250">
        <v>249</v>
      </c>
      <c r="B250">
        <v>263</v>
      </c>
      <c r="C250" t="s">
        <v>51</v>
      </c>
      <c r="D250" s="1">
        <v>45814</v>
      </c>
      <c r="E250" s="1">
        <v>45816</v>
      </c>
      <c r="F250" t="s">
        <v>57</v>
      </c>
      <c r="G250">
        <v>2</v>
      </c>
      <c r="H250">
        <v>120</v>
      </c>
      <c r="I250" t="s">
        <v>60</v>
      </c>
      <c r="J250">
        <f t="shared" si="9"/>
        <v>8</v>
      </c>
      <c r="K250" t="str">
        <f t="shared" si="10"/>
        <v>06/06/2025Respiratory</v>
      </c>
      <c r="L250">
        <f>VLOOKUP(K250, Sheet2!$A$2:$B$4186, 2,FALSE)</f>
        <v>12</v>
      </c>
      <c r="M250">
        <f>VLOOKUP(C250,Depts!$B$1:$D$16,3,FALSE)</f>
        <v>36</v>
      </c>
      <c r="N250" s="1" t="b">
        <f t="shared" si="11"/>
        <v>1</v>
      </c>
    </row>
    <row r="251" spans="1:14">
      <c r="A251">
        <v>250</v>
      </c>
      <c r="B251">
        <v>813</v>
      </c>
      <c r="C251" t="s">
        <v>43</v>
      </c>
      <c r="D251" s="1">
        <v>45815</v>
      </c>
      <c r="E251" s="1">
        <v>45820</v>
      </c>
      <c r="F251" t="s">
        <v>56</v>
      </c>
      <c r="G251">
        <v>5</v>
      </c>
      <c r="H251">
        <v>2</v>
      </c>
      <c r="I251" t="s">
        <v>60</v>
      </c>
      <c r="J251">
        <f t="shared" si="9"/>
        <v>0.33333333333333331</v>
      </c>
      <c r="K251" t="str">
        <f t="shared" si="10"/>
        <v>07/06/2025General Surgery</v>
      </c>
      <c r="L251">
        <f>VLOOKUP(K251, Sheet2!$A$2:$B$4186, 2,FALSE)</f>
        <v>15</v>
      </c>
      <c r="M251">
        <f>VLOOKUP(C251,Depts!$B$1:$D$16,3,FALSE)</f>
        <v>44</v>
      </c>
      <c r="N251" s="1" t="b">
        <f t="shared" si="11"/>
        <v>1</v>
      </c>
    </row>
    <row r="252" spans="1:14">
      <c r="A252">
        <v>251</v>
      </c>
      <c r="B252">
        <v>758</v>
      </c>
      <c r="C252" t="s">
        <v>40</v>
      </c>
      <c r="D252" s="1">
        <v>45815</v>
      </c>
      <c r="E252" s="1">
        <v>45818</v>
      </c>
      <c r="F252" t="s">
        <v>58</v>
      </c>
      <c r="G252">
        <v>3</v>
      </c>
      <c r="H252">
        <v>55</v>
      </c>
      <c r="I252" t="s">
        <v>60</v>
      </c>
      <c r="J252">
        <f t="shared" si="9"/>
        <v>5.5</v>
      </c>
      <c r="K252" t="str">
        <f t="shared" si="10"/>
        <v>07/06/2025Cardiology</v>
      </c>
      <c r="L252">
        <f>VLOOKUP(K252, Sheet2!$A$2:$B$4186, 2,FALSE)</f>
        <v>12</v>
      </c>
      <c r="M252">
        <f>VLOOKUP(C252,Depts!$B$1:$D$16,3,FALSE)</f>
        <v>38</v>
      </c>
      <c r="N252" s="1" t="b">
        <f t="shared" si="11"/>
        <v>1</v>
      </c>
    </row>
    <row r="253" spans="1:14">
      <c r="A253">
        <v>252</v>
      </c>
      <c r="B253">
        <v>874</v>
      </c>
      <c r="C253" t="s">
        <v>47</v>
      </c>
      <c r="D253" s="1">
        <v>45816</v>
      </c>
      <c r="E253" s="1">
        <v>45821</v>
      </c>
      <c r="F253" t="s">
        <v>56</v>
      </c>
      <c r="G253">
        <v>5</v>
      </c>
      <c r="H253">
        <v>10</v>
      </c>
      <c r="I253" t="s">
        <v>60</v>
      </c>
      <c r="J253">
        <f t="shared" si="9"/>
        <v>1.6666666666666665</v>
      </c>
      <c r="K253" t="str">
        <f t="shared" si="10"/>
        <v>08/06/2025Oncology</v>
      </c>
      <c r="L253">
        <f>VLOOKUP(K253, Sheet2!$A$2:$B$4186, 2,FALSE)</f>
        <v>12</v>
      </c>
      <c r="M253">
        <f>VLOOKUP(C253,Depts!$B$1:$D$16,3,FALSE)</f>
        <v>28</v>
      </c>
      <c r="N253" s="1" t="b">
        <f t="shared" si="11"/>
        <v>1</v>
      </c>
    </row>
    <row r="254" spans="1:14">
      <c r="A254">
        <v>253</v>
      </c>
      <c r="B254">
        <v>431</v>
      </c>
      <c r="C254" t="s">
        <v>39</v>
      </c>
      <c r="D254" s="1">
        <v>45816</v>
      </c>
      <c r="E254" s="1">
        <v>45817</v>
      </c>
      <c r="F254" t="s">
        <v>57</v>
      </c>
      <c r="G254">
        <v>1</v>
      </c>
      <c r="H254">
        <v>216</v>
      </c>
      <c r="I254" t="s">
        <v>60</v>
      </c>
      <c r="J254">
        <f t="shared" si="9"/>
        <v>7.2</v>
      </c>
      <c r="K254" t="str">
        <f t="shared" si="10"/>
        <v>08/06/2025A&amp;E (Emergency)</v>
      </c>
      <c r="L254">
        <f>VLOOKUP(K254, Sheet2!$A$2:$B$4186, 2,FALSE)</f>
        <v>19</v>
      </c>
      <c r="M254">
        <f>VLOOKUP(C254,Depts!$B$1:$D$16,3,FALSE)</f>
        <v>42</v>
      </c>
      <c r="N254" s="1" t="b">
        <f t="shared" si="11"/>
        <v>1</v>
      </c>
    </row>
    <row r="255" spans="1:14">
      <c r="A255">
        <v>254</v>
      </c>
      <c r="B255">
        <v>111</v>
      </c>
      <c r="C255" t="s">
        <v>50</v>
      </c>
      <c r="D255" s="1">
        <v>45817</v>
      </c>
      <c r="E255" s="1">
        <v>45822</v>
      </c>
      <c r="F255" t="s">
        <v>56</v>
      </c>
      <c r="G255">
        <v>5</v>
      </c>
      <c r="H255">
        <v>14</v>
      </c>
      <c r="I255" t="s">
        <v>60</v>
      </c>
      <c r="J255">
        <f t="shared" si="9"/>
        <v>2.3333333333333335</v>
      </c>
      <c r="K255" t="str">
        <f t="shared" si="10"/>
        <v>09/06/2025Renal Medicine</v>
      </c>
      <c r="L255">
        <f>VLOOKUP(K255, Sheet2!$A$2:$B$4186, 2,FALSE)</f>
        <v>21</v>
      </c>
      <c r="M255">
        <f>VLOOKUP(C255,Depts!$B$1:$D$16,3,FALSE)</f>
        <v>26</v>
      </c>
      <c r="N255" s="1" t="b">
        <f t="shared" si="11"/>
        <v>1</v>
      </c>
    </row>
    <row r="256" spans="1:14">
      <c r="A256">
        <v>255</v>
      </c>
      <c r="B256">
        <v>19</v>
      </c>
      <c r="C256" t="s">
        <v>46</v>
      </c>
      <c r="D256" s="1">
        <v>45818</v>
      </c>
      <c r="E256" s="1">
        <v>45824</v>
      </c>
      <c r="F256" t="s">
        <v>56</v>
      </c>
      <c r="G256">
        <v>6</v>
      </c>
      <c r="H256">
        <v>43</v>
      </c>
      <c r="I256" t="s">
        <v>60</v>
      </c>
      <c r="J256">
        <f t="shared" si="9"/>
        <v>8.6</v>
      </c>
      <c r="K256" t="str">
        <f t="shared" si="10"/>
        <v>10/06/2025Neurology</v>
      </c>
      <c r="L256">
        <f>VLOOKUP(K256, Sheet2!$A$2:$B$4186, 2,FALSE)</f>
        <v>13</v>
      </c>
      <c r="M256">
        <f>VLOOKUP(C256,Depts!$B$1:$D$16,3,FALSE)</f>
        <v>32</v>
      </c>
      <c r="N256" s="1" t="b">
        <f t="shared" si="11"/>
        <v>1</v>
      </c>
    </row>
    <row r="257" spans="1:14">
      <c r="A257">
        <v>256</v>
      </c>
      <c r="B257">
        <v>708</v>
      </c>
      <c r="C257" t="s">
        <v>45</v>
      </c>
      <c r="D257" s="1">
        <v>45818</v>
      </c>
      <c r="E257" s="1">
        <v>45820</v>
      </c>
      <c r="F257" t="s">
        <v>57</v>
      </c>
      <c r="G257">
        <v>2</v>
      </c>
      <c r="H257">
        <v>130</v>
      </c>
      <c r="I257" t="s">
        <v>61</v>
      </c>
      <c r="J257">
        <f t="shared" si="9"/>
        <v>8.6666666666666661</v>
      </c>
      <c r="K257" t="str">
        <f t="shared" si="10"/>
        <v>10/06/2025Maternity</v>
      </c>
      <c r="L257">
        <f>VLOOKUP(K257, Sheet2!$A$2:$B$4186, 2,FALSE)</f>
        <v>12</v>
      </c>
      <c r="M257">
        <f>VLOOKUP(C257,Depts!$B$1:$D$16,3,FALSE)</f>
        <v>34</v>
      </c>
      <c r="N257" s="1" t="b">
        <f t="shared" si="11"/>
        <v>1</v>
      </c>
    </row>
    <row r="258" spans="1:14">
      <c r="A258">
        <v>257</v>
      </c>
      <c r="B258">
        <v>371</v>
      </c>
      <c r="C258" t="s">
        <v>48</v>
      </c>
      <c r="D258" s="1">
        <v>45819</v>
      </c>
      <c r="E258" s="1">
        <v>45824</v>
      </c>
      <c r="F258" t="s">
        <v>56</v>
      </c>
      <c r="G258">
        <v>5</v>
      </c>
      <c r="H258">
        <v>24</v>
      </c>
      <c r="I258" t="s">
        <v>60</v>
      </c>
      <c r="J258">
        <f t="shared" si="9"/>
        <v>4</v>
      </c>
      <c r="K258" t="str">
        <f t="shared" si="10"/>
        <v>11/06/2025Orthopaedics</v>
      </c>
      <c r="L258">
        <f>VLOOKUP(K258, Sheet2!$A$2:$B$4186, 2,FALSE)</f>
        <v>14</v>
      </c>
      <c r="M258">
        <f>VLOOKUP(C258,Depts!$B$1:$D$16,3,FALSE)</f>
        <v>40</v>
      </c>
      <c r="N258" s="1" t="b">
        <f t="shared" si="11"/>
        <v>1</v>
      </c>
    </row>
    <row r="259" spans="1:14">
      <c r="A259">
        <v>258</v>
      </c>
      <c r="B259">
        <v>611</v>
      </c>
      <c r="C259" t="s">
        <v>49</v>
      </c>
      <c r="D259" s="1">
        <v>45819</v>
      </c>
      <c r="E259" s="1">
        <v>45821</v>
      </c>
      <c r="F259" t="s">
        <v>57</v>
      </c>
      <c r="G259">
        <v>2</v>
      </c>
      <c r="H259">
        <v>226</v>
      </c>
      <c r="I259" t="s">
        <v>60</v>
      </c>
      <c r="J259">
        <f t="shared" ref="J259:J322" si="12">G259*(H259/30)</f>
        <v>15.066666666666666</v>
      </c>
      <c r="K259" t="str">
        <f t="shared" ref="K259:K322" si="13">TEXT(D259, "dd/mm/yyyy")&amp;C259</f>
        <v>11/06/2025Paediatrics</v>
      </c>
      <c r="L259">
        <f>VLOOKUP(K259, Sheet2!$A$2:$B$4186, 2,FALSE)</f>
        <v>11</v>
      </c>
      <c r="M259">
        <f>VLOOKUP(C259,Depts!$B$1:$D$16,3,FALSE)</f>
        <v>30</v>
      </c>
      <c r="N259" s="1" t="b">
        <f t="shared" si="11"/>
        <v>1</v>
      </c>
    </row>
    <row r="260" spans="1:14">
      <c r="A260">
        <v>259</v>
      </c>
      <c r="B260">
        <v>753</v>
      </c>
      <c r="C260" t="s">
        <v>42</v>
      </c>
      <c r="D260" s="1">
        <v>45820</v>
      </c>
      <c r="E260" s="1">
        <v>45825</v>
      </c>
      <c r="F260" t="s">
        <v>56</v>
      </c>
      <c r="G260">
        <v>5</v>
      </c>
      <c r="H260">
        <v>43</v>
      </c>
      <c r="I260" t="s">
        <v>60</v>
      </c>
      <c r="J260">
        <f t="shared" si="12"/>
        <v>7.166666666666667</v>
      </c>
      <c r="K260" t="str">
        <f t="shared" si="13"/>
        <v>12/06/2025Gastroenterology</v>
      </c>
      <c r="L260">
        <f>VLOOKUP(K260, Sheet2!$A$2:$B$4186, 2,FALSE)</f>
        <v>10</v>
      </c>
      <c r="M260">
        <f>VLOOKUP(C260,Depts!$B$1:$D$16,3,FALSE)</f>
        <v>29</v>
      </c>
      <c r="N260" s="1" t="b">
        <f t="shared" si="11"/>
        <v>1</v>
      </c>
    </row>
    <row r="261" spans="1:14">
      <c r="A261">
        <v>260</v>
      </c>
      <c r="B261">
        <v>922</v>
      </c>
      <c r="C261" t="s">
        <v>41</v>
      </c>
      <c r="D261" s="1">
        <v>45821</v>
      </c>
      <c r="E261" s="1">
        <v>45823</v>
      </c>
      <c r="F261" t="s">
        <v>57</v>
      </c>
      <c r="G261">
        <v>2</v>
      </c>
      <c r="H261">
        <v>23</v>
      </c>
      <c r="I261" t="s">
        <v>60</v>
      </c>
      <c r="J261">
        <f t="shared" si="12"/>
        <v>1.5333333333333334</v>
      </c>
      <c r="K261" t="str">
        <f t="shared" si="13"/>
        <v>13/06/2025ENT</v>
      </c>
      <c r="L261">
        <f>VLOOKUP(K261, Sheet2!$A$2:$B$4186, 2,FALSE)</f>
        <v>11</v>
      </c>
      <c r="M261">
        <f>VLOOKUP(C261,Depts!$B$1:$D$16,3,FALSE)</f>
        <v>20</v>
      </c>
      <c r="N261" s="1" t="b">
        <f t="shared" si="11"/>
        <v>1</v>
      </c>
    </row>
    <row r="262" spans="1:14">
      <c r="A262">
        <v>261</v>
      </c>
      <c r="B262">
        <v>619</v>
      </c>
      <c r="C262" t="s">
        <v>44</v>
      </c>
      <c r="D262" s="1">
        <v>45821</v>
      </c>
      <c r="E262" s="1">
        <v>45827</v>
      </c>
      <c r="F262" t="s">
        <v>56</v>
      </c>
      <c r="G262">
        <v>6</v>
      </c>
      <c r="H262">
        <v>36</v>
      </c>
      <c r="I262" t="s">
        <v>60</v>
      </c>
      <c r="J262">
        <f t="shared" si="12"/>
        <v>7.1999999999999993</v>
      </c>
      <c r="K262" t="str">
        <f t="shared" si="13"/>
        <v>13/06/2025Geriatrics</v>
      </c>
      <c r="L262">
        <f>VLOOKUP(K262, Sheet2!$A$2:$B$4186, 2,FALSE)</f>
        <v>13</v>
      </c>
      <c r="M262">
        <f>VLOOKUP(C262,Depts!$B$1:$D$16,3,FALSE)</f>
        <v>46</v>
      </c>
      <c r="N262" s="1" t="b">
        <f t="shared" si="11"/>
        <v>1</v>
      </c>
    </row>
    <row r="263" spans="1:14">
      <c r="A263">
        <v>262</v>
      </c>
      <c r="B263">
        <v>546</v>
      </c>
      <c r="C263" t="s">
        <v>51</v>
      </c>
      <c r="D263" s="1">
        <v>45822</v>
      </c>
      <c r="E263" s="1">
        <v>45824</v>
      </c>
      <c r="F263" t="s">
        <v>57</v>
      </c>
      <c r="G263">
        <v>2</v>
      </c>
      <c r="H263">
        <v>175</v>
      </c>
      <c r="I263" t="s">
        <v>60</v>
      </c>
      <c r="J263">
        <f t="shared" si="12"/>
        <v>11.666666666666666</v>
      </c>
      <c r="K263" t="str">
        <f t="shared" si="13"/>
        <v>14/06/2025Respiratory</v>
      </c>
      <c r="L263">
        <f>VLOOKUP(K263, Sheet2!$A$2:$B$4186, 2,FALSE)</f>
        <v>9</v>
      </c>
      <c r="M263">
        <f>VLOOKUP(C263,Depts!$B$1:$D$16,3,FALSE)</f>
        <v>36</v>
      </c>
      <c r="N263" s="1" t="b">
        <f t="shared" si="11"/>
        <v>1</v>
      </c>
    </row>
    <row r="264" spans="1:14">
      <c r="A264">
        <v>263</v>
      </c>
      <c r="B264">
        <v>483</v>
      </c>
      <c r="C264" t="s">
        <v>43</v>
      </c>
      <c r="D264" s="1">
        <v>45823</v>
      </c>
      <c r="E264" s="1">
        <v>45828</v>
      </c>
      <c r="F264" t="s">
        <v>56</v>
      </c>
      <c r="G264">
        <v>5</v>
      </c>
      <c r="H264">
        <v>3</v>
      </c>
      <c r="I264" t="s">
        <v>61</v>
      </c>
      <c r="J264">
        <f t="shared" si="12"/>
        <v>0.5</v>
      </c>
      <c r="K264" t="str">
        <f t="shared" si="13"/>
        <v>15/06/2025General Surgery</v>
      </c>
      <c r="L264">
        <f>VLOOKUP(K264, Sheet2!$A$2:$B$4186, 2,FALSE)</f>
        <v>14</v>
      </c>
      <c r="M264">
        <f>VLOOKUP(C264,Depts!$B$1:$D$16,3,FALSE)</f>
        <v>44</v>
      </c>
      <c r="N264" s="1" t="b">
        <f t="shared" si="11"/>
        <v>1</v>
      </c>
    </row>
    <row r="265" spans="1:14">
      <c r="A265">
        <v>264</v>
      </c>
      <c r="B265">
        <v>865</v>
      </c>
      <c r="C265" t="s">
        <v>40</v>
      </c>
      <c r="D265" s="1">
        <v>45823</v>
      </c>
      <c r="E265" s="1">
        <v>45826</v>
      </c>
      <c r="F265" t="s">
        <v>58</v>
      </c>
      <c r="G265">
        <v>3</v>
      </c>
      <c r="H265">
        <v>32</v>
      </c>
      <c r="I265" t="s">
        <v>60</v>
      </c>
      <c r="J265">
        <f t="shared" si="12"/>
        <v>3.2</v>
      </c>
      <c r="K265" t="str">
        <f t="shared" si="13"/>
        <v>15/06/2025Cardiology</v>
      </c>
      <c r="L265">
        <f>VLOOKUP(K265, Sheet2!$A$2:$B$4186, 2,FALSE)</f>
        <v>11</v>
      </c>
      <c r="M265">
        <f>VLOOKUP(C265,Depts!$B$1:$D$16,3,FALSE)</f>
        <v>38</v>
      </c>
      <c r="N265" s="1" t="b">
        <f t="shared" si="11"/>
        <v>1</v>
      </c>
    </row>
    <row r="266" spans="1:14">
      <c r="A266">
        <v>265</v>
      </c>
      <c r="B266">
        <v>223</v>
      </c>
      <c r="C266" t="s">
        <v>47</v>
      </c>
      <c r="D266" s="1">
        <v>45824</v>
      </c>
      <c r="E266" s="1">
        <v>45829</v>
      </c>
      <c r="F266" t="s">
        <v>56</v>
      </c>
      <c r="G266">
        <v>5</v>
      </c>
      <c r="H266">
        <v>34</v>
      </c>
      <c r="I266" t="s">
        <v>60</v>
      </c>
      <c r="J266">
        <f t="shared" si="12"/>
        <v>5.6666666666666661</v>
      </c>
      <c r="K266" t="str">
        <f t="shared" si="13"/>
        <v>16/06/2025Oncology</v>
      </c>
      <c r="L266">
        <f>VLOOKUP(K266, Sheet2!$A$2:$B$4186, 2,FALSE)</f>
        <v>18</v>
      </c>
      <c r="M266">
        <f>VLOOKUP(C266,Depts!$B$1:$D$16,3,FALSE)</f>
        <v>28</v>
      </c>
      <c r="N266" s="1" t="b">
        <f t="shared" si="11"/>
        <v>1</v>
      </c>
    </row>
    <row r="267" spans="1:14">
      <c r="A267">
        <v>266</v>
      </c>
      <c r="B267">
        <v>118</v>
      </c>
      <c r="C267" t="s">
        <v>39</v>
      </c>
      <c r="D267" s="1">
        <v>45824</v>
      </c>
      <c r="E267" s="1">
        <v>45825</v>
      </c>
      <c r="F267" t="s">
        <v>57</v>
      </c>
      <c r="G267">
        <v>1</v>
      </c>
      <c r="H267">
        <v>40</v>
      </c>
      <c r="I267" t="s">
        <v>60</v>
      </c>
      <c r="J267">
        <f t="shared" si="12"/>
        <v>1.3333333333333333</v>
      </c>
      <c r="K267" t="str">
        <f t="shared" si="13"/>
        <v>16/06/2025A&amp;E (Emergency)</v>
      </c>
      <c r="L267">
        <f>VLOOKUP(K267, Sheet2!$A$2:$B$4186, 2,FALSE)</f>
        <v>28</v>
      </c>
      <c r="M267">
        <f>VLOOKUP(C267,Depts!$B$1:$D$16,3,FALSE)</f>
        <v>42</v>
      </c>
      <c r="N267" s="1" t="b">
        <f t="shared" si="11"/>
        <v>1</v>
      </c>
    </row>
    <row r="268" spans="1:14">
      <c r="A268">
        <v>267</v>
      </c>
      <c r="B268">
        <v>553</v>
      </c>
      <c r="C268" t="s">
        <v>50</v>
      </c>
      <c r="D268" s="1">
        <v>45825</v>
      </c>
      <c r="E268" s="1">
        <v>45830</v>
      </c>
      <c r="F268" t="s">
        <v>56</v>
      </c>
      <c r="G268">
        <v>5</v>
      </c>
      <c r="H268">
        <v>13</v>
      </c>
      <c r="I268" t="s">
        <v>60</v>
      </c>
      <c r="J268">
        <f t="shared" si="12"/>
        <v>2.166666666666667</v>
      </c>
      <c r="K268" t="str">
        <f t="shared" si="13"/>
        <v>17/06/2025Renal Medicine</v>
      </c>
      <c r="L268">
        <f>VLOOKUP(K268, Sheet2!$A$2:$B$4186, 2,FALSE)</f>
        <v>20</v>
      </c>
      <c r="M268">
        <f>VLOOKUP(C268,Depts!$B$1:$D$16,3,FALSE)</f>
        <v>26</v>
      </c>
      <c r="N268" s="1" t="b">
        <f t="shared" si="11"/>
        <v>1</v>
      </c>
    </row>
    <row r="269" spans="1:14">
      <c r="A269">
        <v>268</v>
      </c>
      <c r="B269">
        <v>749</v>
      </c>
      <c r="C269" t="s">
        <v>46</v>
      </c>
      <c r="D269" s="1">
        <v>45826</v>
      </c>
      <c r="E269" s="1">
        <v>45832</v>
      </c>
      <c r="F269" t="s">
        <v>56</v>
      </c>
      <c r="G269">
        <v>6</v>
      </c>
      <c r="H269">
        <v>11</v>
      </c>
      <c r="I269" t="s">
        <v>60</v>
      </c>
      <c r="J269">
        <f t="shared" si="12"/>
        <v>2.1999999999999997</v>
      </c>
      <c r="K269" t="str">
        <f t="shared" si="13"/>
        <v>18/06/2025Neurology</v>
      </c>
      <c r="L269">
        <f>VLOOKUP(K269, Sheet2!$A$2:$B$4186, 2,FALSE)</f>
        <v>12</v>
      </c>
      <c r="M269">
        <f>VLOOKUP(C269,Depts!$B$1:$D$16,3,FALSE)</f>
        <v>32</v>
      </c>
      <c r="N269" s="1" t="b">
        <f t="shared" si="11"/>
        <v>1</v>
      </c>
    </row>
    <row r="270" spans="1:14">
      <c r="A270">
        <v>269</v>
      </c>
      <c r="B270">
        <v>115</v>
      </c>
      <c r="C270" t="s">
        <v>45</v>
      </c>
      <c r="D270" s="1">
        <v>45826</v>
      </c>
      <c r="E270" s="1">
        <v>45828</v>
      </c>
      <c r="F270" t="s">
        <v>57</v>
      </c>
      <c r="G270">
        <v>2</v>
      </c>
      <c r="H270">
        <v>217</v>
      </c>
      <c r="I270" t="s">
        <v>60</v>
      </c>
      <c r="J270">
        <f t="shared" si="12"/>
        <v>14.466666666666667</v>
      </c>
      <c r="K270" t="str">
        <f t="shared" si="13"/>
        <v>18/06/2025Maternity</v>
      </c>
      <c r="L270">
        <f>VLOOKUP(K270, Sheet2!$A$2:$B$4186, 2,FALSE)</f>
        <v>12</v>
      </c>
      <c r="M270">
        <f>VLOOKUP(C270,Depts!$B$1:$D$16,3,FALSE)</f>
        <v>34</v>
      </c>
      <c r="N270" s="1" t="b">
        <f t="shared" si="11"/>
        <v>1</v>
      </c>
    </row>
    <row r="271" spans="1:14">
      <c r="A271">
        <v>270</v>
      </c>
      <c r="B271">
        <v>456</v>
      </c>
      <c r="C271" t="s">
        <v>48</v>
      </c>
      <c r="D271" s="1">
        <v>45827</v>
      </c>
      <c r="E271" s="1">
        <v>45832</v>
      </c>
      <c r="F271" t="s">
        <v>56</v>
      </c>
      <c r="G271">
        <v>5</v>
      </c>
      <c r="H271">
        <v>12</v>
      </c>
      <c r="I271" t="s">
        <v>60</v>
      </c>
      <c r="J271">
        <f t="shared" si="12"/>
        <v>2</v>
      </c>
      <c r="K271" t="str">
        <f t="shared" si="13"/>
        <v>19/06/2025Orthopaedics</v>
      </c>
      <c r="L271">
        <f>VLOOKUP(K271, Sheet2!$A$2:$B$4186, 2,FALSE)</f>
        <v>14</v>
      </c>
      <c r="M271">
        <f>VLOOKUP(C271,Depts!$B$1:$D$16,3,FALSE)</f>
        <v>40</v>
      </c>
      <c r="N271" s="1" t="b">
        <f t="shared" si="11"/>
        <v>1</v>
      </c>
    </row>
    <row r="272" spans="1:14">
      <c r="A272">
        <v>271</v>
      </c>
      <c r="B272">
        <v>495</v>
      </c>
      <c r="C272" t="s">
        <v>49</v>
      </c>
      <c r="D272" s="1">
        <v>45827</v>
      </c>
      <c r="E272" s="1">
        <v>45829</v>
      </c>
      <c r="F272" t="s">
        <v>57</v>
      </c>
      <c r="G272">
        <v>2</v>
      </c>
      <c r="H272">
        <v>190</v>
      </c>
      <c r="I272" t="s">
        <v>60</v>
      </c>
      <c r="J272">
        <f t="shared" si="12"/>
        <v>12.666666666666666</v>
      </c>
      <c r="K272" t="str">
        <f t="shared" si="13"/>
        <v>19/06/2025Paediatrics</v>
      </c>
      <c r="L272">
        <f>VLOOKUP(K272, Sheet2!$A$2:$B$4186, 2,FALSE)</f>
        <v>11</v>
      </c>
      <c r="M272">
        <f>VLOOKUP(C272,Depts!$B$1:$D$16,3,FALSE)</f>
        <v>30</v>
      </c>
      <c r="N272" s="1" t="b">
        <f t="shared" si="11"/>
        <v>1</v>
      </c>
    </row>
    <row r="273" spans="1:14">
      <c r="A273">
        <v>272</v>
      </c>
      <c r="B273">
        <v>137</v>
      </c>
      <c r="C273" t="s">
        <v>42</v>
      </c>
      <c r="D273" s="1">
        <v>45828</v>
      </c>
      <c r="E273" s="1">
        <v>45833</v>
      </c>
      <c r="F273" t="s">
        <v>56</v>
      </c>
      <c r="G273">
        <v>5</v>
      </c>
      <c r="H273">
        <v>22</v>
      </c>
      <c r="I273" t="s">
        <v>60</v>
      </c>
      <c r="J273">
        <f t="shared" si="12"/>
        <v>3.6666666666666665</v>
      </c>
      <c r="K273" t="str">
        <f t="shared" si="13"/>
        <v>20/06/2025Gastroenterology</v>
      </c>
      <c r="L273">
        <f>VLOOKUP(K273, Sheet2!$A$2:$B$4186, 2,FALSE)</f>
        <v>9</v>
      </c>
      <c r="M273">
        <f>VLOOKUP(C273,Depts!$B$1:$D$16,3,FALSE)</f>
        <v>29</v>
      </c>
      <c r="N273" s="1" t="b">
        <f t="shared" si="11"/>
        <v>1</v>
      </c>
    </row>
    <row r="274" spans="1:14">
      <c r="A274">
        <v>273</v>
      </c>
      <c r="B274">
        <v>307</v>
      </c>
      <c r="C274" t="s">
        <v>41</v>
      </c>
      <c r="D274" s="1">
        <v>45829</v>
      </c>
      <c r="E274" s="1">
        <v>45831</v>
      </c>
      <c r="F274" t="s">
        <v>57</v>
      </c>
      <c r="G274">
        <v>2</v>
      </c>
      <c r="H274">
        <v>55</v>
      </c>
      <c r="I274" t="s">
        <v>60</v>
      </c>
      <c r="J274">
        <f t="shared" si="12"/>
        <v>3.6666666666666665</v>
      </c>
      <c r="K274" t="str">
        <f t="shared" si="13"/>
        <v>21/06/2025ENT</v>
      </c>
      <c r="L274">
        <f>VLOOKUP(K274, Sheet2!$A$2:$B$4186, 2,FALSE)</f>
        <v>10</v>
      </c>
      <c r="M274">
        <f>VLOOKUP(C274,Depts!$B$1:$D$16,3,FALSE)</f>
        <v>20</v>
      </c>
      <c r="N274" s="1" t="b">
        <f t="shared" si="11"/>
        <v>1</v>
      </c>
    </row>
    <row r="275" spans="1:14">
      <c r="A275">
        <v>274</v>
      </c>
      <c r="B275">
        <v>174</v>
      </c>
      <c r="C275" t="s">
        <v>44</v>
      </c>
      <c r="D275" s="1">
        <v>45829</v>
      </c>
      <c r="E275" s="1">
        <v>45835</v>
      </c>
      <c r="F275" t="s">
        <v>56</v>
      </c>
      <c r="G275">
        <v>6</v>
      </c>
      <c r="H275">
        <v>27</v>
      </c>
      <c r="I275" t="s">
        <v>60</v>
      </c>
      <c r="J275">
        <f t="shared" si="12"/>
        <v>5.4</v>
      </c>
      <c r="K275" t="str">
        <f t="shared" si="13"/>
        <v>21/06/2025Geriatrics</v>
      </c>
      <c r="L275">
        <f>VLOOKUP(K275, Sheet2!$A$2:$B$4186, 2,FALSE)</f>
        <v>12</v>
      </c>
      <c r="M275">
        <f>VLOOKUP(C275,Depts!$B$1:$D$16,3,FALSE)</f>
        <v>46</v>
      </c>
      <c r="N275" s="1" t="b">
        <f t="shared" si="11"/>
        <v>1</v>
      </c>
    </row>
    <row r="276" spans="1:14">
      <c r="A276">
        <v>275</v>
      </c>
      <c r="B276">
        <v>154</v>
      </c>
      <c r="C276" t="s">
        <v>51</v>
      </c>
      <c r="D276" s="1">
        <v>45830</v>
      </c>
      <c r="E276" s="1">
        <v>45832</v>
      </c>
      <c r="F276" t="s">
        <v>57</v>
      </c>
      <c r="G276">
        <v>2</v>
      </c>
      <c r="H276">
        <v>54</v>
      </c>
      <c r="I276" t="s">
        <v>60</v>
      </c>
      <c r="J276">
        <f t="shared" si="12"/>
        <v>3.6</v>
      </c>
      <c r="K276" t="str">
        <f t="shared" si="13"/>
        <v>22/06/2025Respiratory</v>
      </c>
      <c r="L276">
        <f>VLOOKUP(K276, Sheet2!$A$2:$B$4186, 2,FALSE)</f>
        <v>9</v>
      </c>
      <c r="M276">
        <f>VLOOKUP(C276,Depts!$B$1:$D$16,3,FALSE)</f>
        <v>36</v>
      </c>
      <c r="N276" s="1" t="b">
        <f t="shared" si="11"/>
        <v>1</v>
      </c>
    </row>
    <row r="277" spans="1:14">
      <c r="A277">
        <v>276</v>
      </c>
      <c r="B277">
        <v>999</v>
      </c>
      <c r="C277" t="s">
        <v>43</v>
      </c>
      <c r="D277" s="1">
        <v>45831</v>
      </c>
      <c r="E277" s="1">
        <v>45836</v>
      </c>
      <c r="F277" t="s">
        <v>56</v>
      </c>
      <c r="G277">
        <v>5</v>
      </c>
      <c r="H277">
        <v>44</v>
      </c>
      <c r="I277" t="s">
        <v>60</v>
      </c>
      <c r="J277">
        <f t="shared" si="12"/>
        <v>7.333333333333333</v>
      </c>
      <c r="K277" t="str">
        <f t="shared" si="13"/>
        <v>23/06/2025General Surgery</v>
      </c>
      <c r="L277">
        <f>VLOOKUP(K277, Sheet2!$A$2:$B$4186, 2,FALSE)</f>
        <v>22</v>
      </c>
      <c r="M277">
        <f>VLOOKUP(C277,Depts!$B$1:$D$16,3,FALSE)</f>
        <v>44</v>
      </c>
      <c r="N277" s="1" t="b">
        <f t="shared" si="11"/>
        <v>1</v>
      </c>
    </row>
    <row r="278" spans="1:14">
      <c r="A278">
        <v>277</v>
      </c>
      <c r="B278">
        <v>124</v>
      </c>
      <c r="C278" t="s">
        <v>40</v>
      </c>
      <c r="D278" s="1">
        <v>45831</v>
      </c>
      <c r="E278" s="1">
        <v>45834</v>
      </c>
      <c r="F278" t="s">
        <v>58</v>
      </c>
      <c r="G278">
        <v>3</v>
      </c>
      <c r="H278">
        <v>31</v>
      </c>
      <c r="I278" t="s">
        <v>60</v>
      </c>
      <c r="J278">
        <f t="shared" si="12"/>
        <v>3.1000000000000005</v>
      </c>
      <c r="K278" t="str">
        <f t="shared" si="13"/>
        <v>23/06/2025Cardiology</v>
      </c>
      <c r="L278">
        <f>VLOOKUP(K278, Sheet2!$A$2:$B$4186, 2,FALSE)</f>
        <v>18</v>
      </c>
      <c r="M278">
        <f>VLOOKUP(C278,Depts!$B$1:$D$16,3,FALSE)</f>
        <v>38</v>
      </c>
      <c r="N278" s="1" t="b">
        <f t="shared" si="11"/>
        <v>1</v>
      </c>
    </row>
    <row r="279" spans="1:14">
      <c r="A279">
        <v>278</v>
      </c>
      <c r="B279">
        <v>271</v>
      </c>
      <c r="C279" t="s">
        <v>47</v>
      </c>
      <c r="D279" s="1">
        <v>45832</v>
      </c>
      <c r="E279" s="1">
        <v>45837</v>
      </c>
      <c r="F279" t="s">
        <v>56</v>
      </c>
      <c r="G279">
        <v>5</v>
      </c>
      <c r="H279">
        <v>36</v>
      </c>
      <c r="I279" t="s">
        <v>60</v>
      </c>
      <c r="J279">
        <f t="shared" si="12"/>
        <v>6</v>
      </c>
      <c r="K279" t="str">
        <f t="shared" si="13"/>
        <v>24/06/2025Oncology</v>
      </c>
      <c r="L279">
        <f>VLOOKUP(K279, Sheet2!$A$2:$B$4186, 2,FALSE)</f>
        <v>17</v>
      </c>
      <c r="M279">
        <f>VLOOKUP(C279,Depts!$B$1:$D$16,3,FALSE)</f>
        <v>28</v>
      </c>
      <c r="N279" s="1" t="b">
        <f t="shared" si="11"/>
        <v>1</v>
      </c>
    </row>
    <row r="280" spans="1:14">
      <c r="A280">
        <v>279</v>
      </c>
      <c r="B280">
        <v>705</v>
      </c>
      <c r="C280" t="s">
        <v>39</v>
      </c>
      <c r="D280" s="1">
        <v>45832</v>
      </c>
      <c r="E280" s="1">
        <v>45833</v>
      </c>
      <c r="F280" t="s">
        <v>57</v>
      </c>
      <c r="G280">
        <v>1</v>
      </c>
      <c r="H280">
        <v>228</v>
      </c>
      <c r="I280" t="s">
        <v>61</v>
      </c>
      <c r="J280">
        <f t="shared" si="12"/>
        <v>7.6</v>
      </c>
      <c r="K280" t="str">
        <f t="shared" si="13"/>
        <v>24/06/2025A&amp;E (Emergency)</v>
      </c>
      <c r="L280">
        <f>VLOOKUP(K280, Sheet2!$A$2:$B$4186, 2,FALSE)</f>
        <v>25</v>
      </c>
      <c r="M280">
        <f>VLOOKUP(C280,Depts!$B$1:$D$16,3,FALSE)</f>
        <v>42</v>
      </c>
      <c r="N280" s="1" t="b">
        <f t="shared" si="11"/>
        <v>1</v>
      </c>
    </row>
    <row r="281" spans="1:14">
      <c r="A281">
        <v>280</v>
      </c>
      <c r="B281">
        <v>597</v>
      </c>
      <c r="C281" t="s">
        <v>50</v>
      </c>
      <c r="D281" s="1">
        <v>45833</v>
      </c>
      <c r="E281" s="1">
        <v>45838</v>
      </c>
      <c r="F281" t="s">
        <v>56</v>
      </c>
      <c r="G281">
        <v>5</v>
      </c>
      <c r="H281">
        <v>1</v>
      </c>
      <c r="I281" t="s">
        <v>60</v>
      </c>
      <c r="J281">
        <f t="shared" si="12"/>
        <v>0.16666666666666666</v>
      </c>
      <c r="K281" t="str">
        <f t="shared" si="13"/>
        <v>25/06/2025Renal Medicine</v>
      </c>
      <c r="L281">
        <f>VLOOKUP(K281, Sheet2!$A$2:$B$4186, 2,FALSE)</f>
        <v>19</v>
      </c>
      <c r="M281">
        <f>VLOOKUP(C281,Depts!$B$1:$D$16,3,FALSE)</f>
        <v>26</v>
      </c>
      <c r="N281" s="1" t="b">
        <f t="shared" si="11"/>
        <v>1</v>
      </c>
    </row>
    <row r="282" spans="1:14">
      <c r="A282">
        <v>281</v>
      </c>
      <c r="B282">
        <v>750</v>
      </c>
      <c r="C282" t="s">
        <v>46</v>
      </c>
      <c r="D282" s="1">
        <v>45834</v>
      </c>
      <c r="E282" s="1">
        <v>45840</v>
      </c>
      <c r="F282" t="s">
        <v>56</v>
      </c>
      <c r="G282">
        <v>6</v>
      </c>
      <c r="H282">
        <v>43</v>
      </c>
      <c r="I282" t="s">
        <v>60</v>
      </c>
      <c r="J282">
        <f t="shared" si="12"/>
        <v>8.6</v>
      </c>
      <c r="K282" t="str">
        <f t="shared" si="13"/>
        <v>26/06/2025Neurology</v>
      </c>
      <c r="L282">
        <f>VLOOKUP(K282, Sheet2!$A$2:$B$4186, 2,FALSE)</f>
        <v>12</v>
      </c>
      <c r="M282">
        <f>VLOOKUP(C282,Depts!$B$1:$D$16,3,FALSE)</f>
        <v>32</v>
      </c>
      <c r="N282" s="1" t="b">
        <f t="shared" si="11"/>
        <v>1</v>
      </c>
    </row>
    <row r="283" spans="1:14">
      <c r="A283">
        <v>282</v>
      </c>
      <c r="B283">
        <v>574</v>
      </c>
      <c r="C283" t="s">
        <v>45</v>
      </c>
      <c r="D283" s="1">
        <v>45834</v>
      </c>
      <c r="E283" s="1">
        <v>45836</v>
      </c>
      <c r="F283" t="s">
        <v>57</v>
      </c>
      <c r="G283">
        <v>2</v>
      </c>
      <c r="H283">
        <v>110</v>
      </c>
      <c r="I283" t="s">
        <v>60</v>
      </c>
      <c r="J283">
        <f t="shared" si="12"/>
        <v>7.333333333333333</v>
      </c>
      <c r="K283" t="str">
        <f t="shared" si="13"/>
        <v>26/06/2025Maternity</v>
      </c>
      <c r="L283">
        <f>VLOOKUP(K283, Sheet2!$A$2:$B$4186, 2,FALSE)</f>
        <v>12</v>
      </c>
      <c r="M283">
        <f>VLOOKUP(C283,Depts!$B$1:$D$16,3,FALSE)</f>
        <v>34</v>
      </c>
      <c r="N283" s="1" t="b">
        <f t="shared" si="11"/>
        <v>1</v>
      </c>
    </row>
    <row r="284" spans="1:14">
      <c r="A284">
        <v>283</v>
      </c>
      <c r="B284">
        <v>335</v>
      </c>
      <c r="C284" t="s">
        <v>48</v>
      </c>
      <c r="D284" s="1">
        <v>45835</v>
      </c>
      <c r="E284" s="1">
        <v>45840</v>
      </c>
      <c r="F284" t="s">
        <v>56</v>
      </c>
      <c r="G284">
        <v>5</v>
      </c>
      <c r="H284">
        <v>44</v>
      </c>
      <c r="I284" t="s">
        <v>60</v>
      </c>
      <c r="J284">
        <f t="shared" si="12"/>
        <v>7.333333333333333</v>
      </c>
      <c r="K284" t="str">
        <f t="shared" si="13"/>
        <v>27/06/2025Orthopaedics</v>
      </c>
      <c r="L284">
        <f>VLOOKUP(K284, Sheet2!$A$2:$B$4186, 2,FALSE)</f>
        <v>13</v>
      </c>
      <c r="M284">
        <f>VLOOKUP(C284,Depts!$B$1:$D$16,3,FALSE)</f>
        <v>40</v>
      </c>
      <c r="N284" s="1" t="b">
        <f t="shared" si="11"/>
        <v>1</v>
      </c>
    </row>
    <row r="285" spans="1:14">
      <c r="A285">
        <v>284</v>
      </c>
      <c r="B285">
        <v>69</v>
      </c>
      <c r="C285" t="s">
        <v>49</v>
      </c>
      <c r="D285" s="1">
        <v>45835</v>
      </c>
      <c r="E285" s="1">
        <v>45837</v>
      </c>
      <c r="F285" t="s">
        <v>57</v>
      </c>
      <c r="G285">
        <v>2</v>
      </c>
      <c r="H285">
        <v>30</v>
      </c>
      <c r="I285" t="s">
        <v>60</v>
      </c>
      <c r="J285">
        <f t="shared" si="12"/>
        <v>2</v>
      </c>
      <c r="K285" t="str">
        <f t="shared" si="13"/>
        <v>27/06/2025Paediatrics</v>
      </c>
      <c r="L285">
        <f>VLOOKUP(K285, Sheet2!$A$2:$B$4186, 2,FALSE)</f>
        <v>10</v>
      </c>
      <c r="M285">
        <f>VLOOKUP(C285,Depts!$B$1:$D$16,3,FALSE)</f>
        <v>30</v>
      </c>
      <c r="N285" s="1" t="b">
        <f t="shared" si="11"/>
        <v>1</v>
      </c>
    </row>
    <row r="286" spans="1:14">
      <c r="A286">
        <v>285</v>
      </c>
      <c r="B286">
        <v>725</v>
      </c>
      <c r="C286" t="s">
        <v>42</v>
      </c>
      <c r="D286" s="1">
        <v>45836</v>
      </c>
      <c r="E286" s="1">
        <v>45841</v>
      </c>
      <c r="F286" t="s">
        <v>56</v>
      </c>
      <c r="G286">
        <v>5</v>
      </c>
      <c r="H286">
        <v>4</v>
      </c>
      <c r="I286" t="s">
        <v>61</v>
      </c>
      <c r="J286">
        <f t="shared" si="12"/>
        <v>0.66666666666666663</v>
      </c>
      <c r="K286" t="str">
        <f t="shared" si="13"/>
        <v>28/06/2025Gastroenterology</v>
      </c>
      <c r="L286">
        <f>VLOOKUP(K286, Sheet2!$A$2:$B$4186, 2,FALSE)</f>
        <v>7</v>
      </c>
      <c r="M286">
        <f>VLOOKUP(C286,Depts!$B$1:$D$16,3,FALSE)</f>
        <v>29</v>
      </c>
      <c r="N286" s="1" t="b">
        <f t="shared" si="11"/>
        <v>1</v>
      </c>
    </row>
    <row r="287" spans="1:14">
      <c r="A287">
        <v>286</v>
      </c>
      <c r="B287">
        <v>754</v>
      </c>
      <c r="C287" t="s">
        <v>41</v>
      </c>
      <c r="D287" s="1">
        <v>45839</v>
      </c>
      <c r="E287" s="1">
        <v>45841</v>
      </c>
      <c r="F287" t="s">
        <v>57</v>
      </c>
      <c r="G287">
        <v>2</v>
      </c>
      <c r="H287">
        <v>63</v>
      </c>
      <c r="I287" t="s">
        <v>60</v>
      </c>
      <c r="J287">
        <f t="shared" si="12"/>
        <v>4.2</v>
      </c>
      <c r="K287" t="str">
        <f t="shared" si="13"/>
        <v>01/07/2025ENT</v>
      </c>
      <c r="L287">
        <f>VLOOKUP(K287, Sheet2!$A$2:$B$4186, 2,FALSE)</f>
        <v>12</v>
      </c>
      <c r="M287">
        <f>VLOOKUP(C287,Depts!$B$1:$D$16,3,FALSE)</f>
        <v>20</v>
      </c>
      <c r="N287" s="1" t="b">
        <f t="shared" si="11"/>
        <v>1</v>
      </c>
    </row>
    <row r="288" spans="1:14">
      <c r="A288">
        <v>287</v>
      </c>
      <c r="B288">
        <v>869</v>
      </c>
      <c r="C288" t="s">
        <v>44</v>
      </c>
      <c r="D288" s="1">
        <v>45839</v>
      </c>
      <c r="E288" s="1">
        <v>45845</v>
      </c>
      <c r="F288" t="s">
        <v>56</v>
      </c>
      <c r="G288">
        <v>6</v>
      </c>
      <c r="H288">
        <v>21</v>
      </c>
      <c r="I288" t="s">
        <v>60</v>
      </c>
      <c r="J288">
        <f t="shared" si="12"/>
        <v>4.1999999999999993</v>
      </c>
      <c r="K288" t="str">
        <f t="shared" si="13"/>
        <v>01/07/2025Geriatrics</v>
      </c>
      <c r="L288">
        <f>VLOOKUP(K288, Sheet2!$A$2:$B$4186, 2,FALSE)</f>
        <v>15</v>
      </c>
      <c r="M288">
        <f>VLOOKUP(C288,Depts!$B$1:$D$16,3,FALSE)</f>
        <v>46</v>
      </c>
      <c r="N288" s="1" t="b">
        <f t="shared" si="11"/>
        <v>1</v>
      </c>
    </row>
    <row r="289" spans="1:14">
      <c r="A289">
        <v>288</v>
      </c>
      <c r="B289">
        <v>818</v>
      </c>
      <c r="C289" t="s">
        <v>51</v>
      </c>
      <c r="D289" s="1">
        <v>45840</v>
      </c>
      <c r="E289" s="1">
        <v>45842</v>
      </c>
      <c r="F289" t="s">
        <v>57</v>
      </c>
      <c r="G289">
        <v>2</v>
      </c>
      <c r="H289">
        <v>232</v>
      </c>
      <c r="I289" t="s">
        <v>60</v>
      </c>
      <c r="J289">
        <f t="shared" si="12"/>
        <v>15.466666666666667</v>
      </c>
      <c r="K289" t="str">
        <f t="shared" si="13"/>
        <v>02/07/2025Respiratory</v>
      </c>
      <c r="L289">
        <f>VLOOKUP(K289, Sheet2!$A$2:$B$4186, 2,FALSE)</f>
        <v>13</v>
      </c>
      <c r="M289">
        <f>VLOOKUP(C289,Depts!$B$1:$D$16,3,FALSE)</f>
        <v>36</v>
      </c>
      <c r="N289" s="1" t="b">
        <f t="shared" si="11"/>
        <v>1</v>
      </c>
    </row>
    <row r="290" spans="1:14">
      <c r="A290">
        <v>289</v>
      </c>
      <c r="B290">
        <v>558</v>
      </c>
      <c r="C290" t="s">
        <v>43</v>
      </c>
      <c r="D290" s="1">
        <v>45841</v>
      </c>
      <c r="E290" s="1">
        <v>45846</v>
      </c>
      <c r="F290" t="s">
        <v>56</v>
      </c>
      <c r="G290">
        <v>5</v>
      </c>
      <c r="H290">
        <v>18</v>
      </c>
      <c r="I290" t="s">
        <v>60</v>
      </c>
      <c r="J290">
        <f t="shared" si="12"/>
        <v>3</v>
      </c>
      <c r="K290" t="str">
        <f t="shared" si="13"/>
        <v>03/07/2025General Surgery</v>
      </c>
      <c r="L290">
        <f>VLOOKUP(K290, Sheet2!$A$2:$B$4186, 2,FALSE)</f>
        <v>19</v>
      </c>
      <c r="M290">
        <f>VLOOKUP(C290,Depts!$B$1:$D$16,3,FALSE)</f>
        <v>44</v>
      </c>
      <c r="N290" s="1" t="b">
        <f t="shared" si="11"/>
        <v>1</v>
      </c>
    </row>
    <row r="291" spans="1:14">
      <c r="A291">
        <v>290</v>
      </c>
      <c r="B291">
        <v>634</v>
      </c>
      <c r="C291" t="s">
        <v>40</v>
      </c>
      <c r="D291" s="1">
        <v>45841</v>
      </c>
      <c r="E291" s="1">
        <v>45844</v>
      </c>
      <c r="F291" t="s">
        <v>58</v>
      </c>
      <c r="G291">
        <v>3</v>
      </c>
      <c r="H291">
        <v>27</v>
      </c>
      <c r="I291" t="s">
        <v>60</v>
      </c>
      <c r="J291">
        <f t="shared" si="12"/>
        <v>2.7</v>
      </c>
      <c r="K291" t="str">
        <f t="shared" si="13"/>
        <v>03/07/2025Cardiology</v>
      </c>
      <c r="L291">
        <f>VLOOKUP(K291, Sheet2!$A$2:$B$4186, 2,FALSE)</f>
        <v>16</v>
      </c>
      <c r="M291">
        <f>VLOOKUP(C291,Depts!$B$1:$D$16,3,FALSE)</f>
        <v>38</v>
      </c>
      <c r="N291" s="1" t="b">
        <f t="shared" si="11"/>
        <v>1</v>
      </c>
    </row>
    <row r="292" spans="1:14">
      <c r="A292">
        <v>291</v>
      </c>
      <c r="B292">
        <v>975</v>
      </c>
      <c r="C292" t="s">
        <v>47</v>
      </c>
      <c r="D292" s="1">
        <v>45842</v>
      </c>
      <c r="E292" s="1">
        <v>45847</v>
      </c>
      <c r="F292" t="s">
        <v>56</v>
      </c>
      <c r="G292">
        <v>5</v>
      </c>
      <c r="H292">
        <v>44</v>
      </c>
      <c r="I292" t="s">
        <v>60</v>
      </c>
      <c r="J292">
        <f t="shared" si="12"/>
        <v>7.333333333333333</v>
      </c>
      <c r="K292" t="str">
        <f t="shared" si="13"/>
        <v>04/07/2025Oncology</v>
      </c>
      <c r="L292">
        <f>VLOOKUP(K292, Sheet2!$A$2:$B$4186, 2,FALSE)</f>
        <v>15</v>
      </c>
      <c r="M292">
        <f>VLOOKUP(C292,Depts!$B$1:$D$16,3,FALSE)</f>
        <v>28</v>
      </c>
      <c r="N292" s="1" t="b">
        <f t="shared" si="11"/>
        <v>1</v>
      </c>
    </row>
    <row r="293" spans="1:14">
      <c r="A293">
        <v>292</v>
      </c>
      <c r="B293">
        <v>409</v>
      </c>
      <c r="C293" t="s">
        <v>39</v>
      </c>
      <c r="D293" s="1">
        <v>45842</v>
      </c>
      <c r="E293" s="1">
        <v>45843</v>
      </c>
      <c r="F293" t="s">
        <v>57</v>
      </c>
      <c r="G293">
        <v>1</v>
      </c>
      <c r="H293">
        <v>21</v>
      </c>
      <c r="I293" t="s">
        <v>60</v>
      </c>
      <c r="J293">
        <f t="shared" si="12"/>
        <v>0.7</v>
      </c>
      <c r="K293" t="str">
        <f t="shared" si="13"/>
        <v>04/07/2025A&amp;E (Emergency)</v>
      </c>
      <c r="L293">
        <f>VLOOKUP(K293, Sheet2!$A$2:$B$4186, 2,FALSE)</f>
        <v>22</v>
      </c>
      <c r="M293">
        <f>VLOOKUP(C293,Depts!$B$1:$D$16,3,FALSE)</f>
        <v>42</v>
      </c>
      <c r="N293" s="1" t="b">
        <f t="shared" si="11"/>
        <v>1</v>
      </c>
    </row>
    <row r="294" spans="1:14">
      <c r="A294">
        <v>293</v>
      </c>
      <c r="B294">
        <v>252</v>
      </c>
      <c r="C294" t="s">
        <v>50</v>
      </c>
      <c r="D294" s="1">
        <v>45843</v>
      </c>
      <c r="E294" s="1">
        <v>45848</v>
      </c>
      <c r="F294" t="s">
        <v>56</v>
      </c>
      <c r="G294">
        <v>5</v>
      </c>
      <c r="H294">
        <v>14</v>
      </c>
      <c r="I294" t="s">
        <v>60</v>
      </c>
      <c r="J294">
        <f t="shared" si="12"/>
        <v>2.3333333333333335</v>
      </c>
      <c r="K294" t="str">
        <f t="shared" si="13"/>
        <v>05/07/2025Renal Medicine</v>
      </c>
      <c r="L294">
        <f>VLOOKUP(K294, Sheet2!$A$2:$B$4186, 2,FALSE)</f>
        <v>17</v>
      </c>
      <c r="M294">
        <f>VLOOKUP(C294,Depts!$B$1:$D$16,3,FALSE)</f>
        <v>26</v>
      </c>
      <c r="N294" s="1" t="b">
        <f t="shared" si="11"/>
        <v>1</v>
      </c>
    </row>
    <row r="295" spans="1:14">
      <c r="A295">
        <v>294</v>
      </c>
      <c r="B295">
        <v>563</v>
      </c>
      <c r="C295" t="s">
        <v>46</v>
      </c>
      <c r="D295" s="1">
        <v>45844</v>
      </c>
      <c r="E295" s="1">
        <v>45850</v>
      </c>
      <c r="F295" t="s">
        <v>56</v>
      </c>
      <c r="G295">
        <v>6</v>
      </c>
      <c r="H295">
        <v>44</v>
      </c>
      <c r="I295" t="s">
        <v>60</v>
      </c>
      <c r="J295">
        <f t="shared" si="12"/>
        <v>8.7999999999999989</v>
      </c>
      <c r="K295" t="str">
        <f t="shared" si="13"/>
        <v>06/07/2025Neurology</v>
      </c>
      <c r="L295">
        <f>VLOOKUP(K295, Sheet2!$A$2:$B$4186, 2,FALSE)</f>
        <v>9</v>
      </c>
      <c r="M295">
        <f>VLOOKUP(C295,Depts!$B$1:$D$16,3,FALSE)</f>
        <v>32</v>
      </c>
      <c r="N295" s="1" t="b">
        <f t="shared" si="11"/>
        <v>1</v>
      </c>
    </row>
    <row r="296" spans="1:14">
      <c r="A296">
        <v>295</v>
      </c>
      <c r="B296">
        <v>798</v>
      </c>
      <c r="C296" t="s">
        <v>45</v>
      </c>
      <c r="D296" s="1">
        <v>45844</v>
      </c>
      <c r="E296" s="1">
        <v>45846</v>
      </c>
      <c r="F296" t="s">
        <v>57</v>
      </c>
      <c r="G296">
        <v>2</v>
      </c>
      <c r="H296">
        <v>120</v>
      </c>
      <c r="I296" t="s">
        <v>60</v>
      </c>
      <c r="J296">
        <f t="shared" si="12"/>
        <v>8</v>
      </c>
      <c r="K296" t="str">
        <f t="shared" si="13"/>
        <v>06/07/2025Maternity</v>
      </c>
      <c r="L296">
        <f>VLOOKUP(K296, Sheet2!$A$2:$B$4186, 2,FALSE)</f>
        <v>9</v>
      </c>
      <c r="M296">
        <f>VLOOKUP(C296,Depts!$B$1:$D$16,3,FALSE)</f>
        <v>34</v>
      </c>
      <c r="N296" s="1" t="b">
        <f t="shared" si="11"/>
        <v>1</v>
      </c>
    </row>
    <row r="297" spans="1:14">
      <c r="A297">
        <v>296</v>
      </c>
      <c r="B297">
        <v>572</v>
      </c>
      <c r="C297" t="s">
        <v>48</v>
      </c>
      <c r="D297" s="1">
        <v>45845</v>
      </c>
      <c r="E297" s="1">
        <v>45850</v>
      </c>
      <c r="F297" t="s">
        <v>56</v>
      </c>
      <c r="G297">
        <v>5</v>
      </c>
      <c r="H297">
        <v>21</v>
      </c>
      <c r="I297" t="s">
        <v>60</v>
      </c>
      <c r="J297">
        <f t="shared" si="12"/>
        <v>3.5</v>
      </c>
      <c r="K297" t="str">
        <f t="shared" si="13"/>
        <v>07/07/2025Orthopaedics</v>
      </c>
      <c r="L297">
        <f>VLOOKUP(K297, Sheet2!$A$2:$B$4186, 2,FALSE)</f>
        <v>16</v>
      </c>
      <c r="M297">
        <f>VLOOKUP(C297,Depts!$B$1:$D$16,3,FALSE)</f>
        <v>40</v>
      </c>
      <c r="N297" s="1" t="b">
        <f t="shared" si="11"/>
        <v>1</v>
      </c>
    </row>
    <row r="298" spans="1:14">
      <c r="A298">
        <v>297</v>
      </c>
      <c r="B298">
        <v>425</v>
      </c>
      <c r="C298" t="s">
        <v>49</v>
      </c>
      <c r="D298" s="1">
        <v>45845</v>
      </c>
      <c r="E298" s="1">
        <v>45847</v>
      </c>
      <c r="F298" t="s">
        <v>57</v>
      </c>
      <c r="G298">
        <v>2</v>
      </c>
      <c r="H298">
        <v>228</v>
      </c>
      <c r="I298" t="s">
        <v>61</v>
      </c>
      <c r="J298">
        <f t="shared" si="12"/>
        <v>15.2</v>
      </c>
      <c r="K298" t="str">
        <f t="shared" si="13"/>
        <v>07/07/2025Paediatrics</v>
      </c>
      <c r="L298">
        <f>VLOOKUP(K298, Sheet2!$A$2:$B$4186, 2,FALSE)</f>
        <v>13</v>
      </c>
      <c r="M298">
        <f>VLOOKUP(C298,Depts!$B$1:$D$16,3,FALSE)</f>
        <v>30</v>
      </c>
      <c r="N298" s="1" t="b">
        <f t="shared" si="11"/>
        <v>1</v>
      </c>
    </row>
    <row r="299" spans="1:14">
      <c r="A299">
        <v>298</v>
      </c>
      <c r="B299">
        <v>594</v>
      </c>
      <c r="C299" t="s">
        <v>42</v>
      </c>
      <c r="D299" s="1">
        <v>45846</v>
      </c>
      <c r="E299" s="1">
        <v>45851</v>
      </c>
      <c r="F299" t="s">
        <v>56</v>
      </c>
      <c r="G299">
        <v>5</v>
      </c>
      <c r="H299">
        <v>34</v>
      </c>
      <c r="I299" t="s">
        <v>60</v>
      </c>
      <c r="J299">
        <f t="shared" si="12"/>
        <v>5.6666666666666661</v>
      </c>
      <c r="K299" t="str">
        <f t="shared" si="13"/>
        <v>08/07/2025Gastroenterology</v>
      </c>
      <c r="L299">
        <f>VLOOKUP(K299, Sheet2!$A$2:$B$4186, 2,FALSE)</f>
        <v>11</v>
      </c>
      <c r="M299">
        <f>VLOOKUP(C299,Depts!$B$1:$D$16,3,FALSE)</f>
        <v>29</v>
      </c>
      <c r="N299" s="1" t="b">
        <f t="shared" si="11"/>
        <v>1</v>
      </c>
    </row>
    <row r="300" spans="1:14">
      <c r="A300">
        <v>299</v>
      </c>
      <c r="B300">
        <v>500</v>
      </c>
      <c r="C300" t="s">
        <v>41</v>
      </c>
      <c r="D300" s="1">
        <v>45847</v>
      </c>
      <c r="E300" s="1">
        <v>45849</v>
      </c>
      <c r="F300" t="s">
        <v>57</v>
      </c>
      <c r="G300">
        <v>2</v>
      </c>
      <c r="H300">
        <v>148</v>
      </c>
      <c r="I300" t="s">
        <v>60</v>
      </c>
      <c r="J300">
        <f t="shared" si="12"/>
        <v>9.8666666666666671</v>
      </c>
      <c r="K300" t="str">
        <f t="shared" si="13"/>
        <v>09/07/2025ENT</v>
      </c>
      <c r="L300">
        <f>VLOOKUP(K300, Sheet2!$A$2:$B$4186, 2,FALSE)</f>
        <v>12</v>
      </c>
      <c r="M300">
        <f>VLOOKUP(C300,Depts!$B$1:$D$16,3,FALSE)</f>
        <v>20</v>
      </c>
      <c r="N300" s="1" t="b">
        <f t="shared" si="11"/>
        <v>1</v>
      </c>
    </row>
    <row r="301" spans="1:14">
      <c r="A301">
        <v>300</v>
      </c>
      <c r="B301">
        <v>183</v>
      </c>
      <c r="C301" t="s">
        <v>44</v>
      </c>
      <c r="D301" s="1">
        <v>45847</v>
      </c>
      <c r="E301" s="1">
        <v>45853</v>
      </c>
      <c r="F301" t="s">
        <v>56</v>
      </c>
      <c r="G301">
        <v>6</v>
      </c>
      <c r="H301">
        <v>11</v>
      </c>
      <c r="I301" t="s">
        <v>60</v>
      </c>
      <c r="J301">
        <f t="shared" si="12"/>
        <v>2.1999999999999997</v>
      </c>
      <c r="K301" t="str">
        <f t="shared" si="13"/>
        <v>09/07/2025Geriatrics</v>
      </c>
      <c r="L301">
        <f>VLOOKUP(K301, Sheet2!$A$2:$B$4186, 2,FALSE)</f>
        <v>14</v>
      </c>
      <c r="M301">
        <f>VLOOKUP(C301,Depts!$B$1:$D$16,3,FALSE)</f>
        <v>46</v>
      </c>
      <c r="N301" s="1" t="b">
        <f t="shared" si="11"/>
        <v>1</v>
      </c>
    </row>
    <row r="302" spans="1:14">
      <c r="A302">
        <v>301</v>
      </c>
      <c r="B302">
        <v>370</v>
      </c>
      <c r="C302" t="s">
        <v>51</v>
      </c>
      <c r="D302" s="1">
        <v>45848</v>
      </c>
      <c r="E302" s="1">
        <v>45850</v>
      </c>
      <c r="F302" t="s">
        <v>57</v>
      </c>
      <c r="G302">
        <v>2</v>
      </c>
      <c r="H302">
        <v>24</v>
      </c>
      <c r="I302" t="s">
        <v>60</v>
      </c>
      <c r="J302">
        <f t="shared" si="12"/>
        <v>1.6</v>
      </c>
      <c r="K302" t="str">
        <f t="shared" si="13"/>
        <v>10/07/2025Respiratory</v>
      </c>
      <c r="L302">
        <f>VLOOKUP(K302, Sheet2!$A$2:$B$4186, 2,FALSE)</f>
        <v>13</v>
      </c>
      <c r="M302">
        <f>VLOOKUP(C302,Depts!$B$1:$D$16,3,FALSE)</f>
        <v>36</v>
      </c>
      <c r="N302" s="1" t="b">
        <f t="shared" si="11"/>
        <v>1</v>
      </c>
    </row>
    <row r="303" spans="1:14">
      <c r="A303">
        <v>302</v>
      </c>
      <c r="B303">
        <v>393</v>
      </c>
      <c r="C303" t="s">
        <v>43</v>
      </c>
      <c r="D303" s="1">
        <v>45849</v>
      </c>
      <c r="E303" s="1">
        <v>45854</v>
      </c>
      <c r="F303" t="s">
        <v>56</v>
      </c>
      <c r="G303">
        <v>5</v>
      </c>
      <c r="H303">
        <v>27</v>
      </c>
      <c r="I303" t="s">
        <v>60</v>
      </c>
      <c r="J303">
        <f t="shared" si="12"/>
        <v>4.5</v>
      </c>
      <c r="K303" t="str">
        <f t="shared" si="13"/>
        <v>11/07/2025General Surgery</v>
      </c>
      <c r="L303">
        <f>VLOOKUP(K303, Sheet2!$A$2:$B$4186, 2,FALSE)</f>
        <v>18</v>
      </c>
      <c r="M303">
        <f>VLOOKUP(C303,Depts!$B$1:$D$16,3,FALSE)</f>
        <v>44</v>
      </c>
      <c r="N303" s="1" t="b">
        <f t="shared" si="11"/>
        <v>1</v>
      </c>
    </row>
    <row r="304" spans="1:14">
      <c r="A304">
        <v>303</v>
      </c>
      <c r="B304">
        <v>445</v>
      </c>
      <c r="C304" t="s">
        <v>40</v>
      </c>
      <c r="D304" s="1">
        <v>45849</v>
      </c>
      <c r="E304" s="1">
        <v>45852</v>
      </c>
      <c r="F304" t="s">
        <v>58</v>
      </c>
      <c r="G304">
        <v>3</v>
      </c>
      <c r="H304">
        <v>58</v>
      </c>
      <c r="I304" t="s">
        <v>60</v>
      </c>
      <c r="J304">
        <f t="shared" si="12"/>
        <v>5.8</v>
      </c>
      <c r="K304" t="str">
        <f t="shared" si="13"/>
        <v>11/07/2025Cardiology</v>
      </c>
      <c r="L304">
        <f>VLOOKUP(K304, Sheet2!$A$2:$B$4186, 2,FALSE)</f>
        <v>15</v>
      </c>
      <c r="M304">
        <f>VLOOKUP(C304,Depts!$B$1:$D$16,3,FALSE)</f>
        <v>38</v>
      </c>
      <c r="N304" s="1" t="b">
        <f t="shared" si="11"/>
        <v>1</v>
      </c>
    </row>
    <row r="305" spans="1:14">
      <c r="A305">
        <v>304</v>
      </c>
      <c r="B305">
        <v>985</v>
      </c>
      <c r="C305" t="s">
        <v>47</v>
      </c>
      <c r="D305" s="1">
        <v>45850</v>
      </c>
      <c r="E305" s="1">
        <v>45855</v>
      </c>
      <c r="F305" t="s">
        <v>56</v>
      </c>
      <c r="G305">
        <v>5</v>
      </c>
      <c r="H305">
        <v>3</v>
      </c>
      <c r="I305" t="s">
        <v>61</v>
      </c>
      <c r="J305">
        <f t="shared" si="12"/>
        <v>0.5</v>
      </c>
      <c r="K305" t="str">
        <f t="shared" si="13"/>
        <v>12/07/2025Oncology</v>
      </c>
      <c r="L305">
        <f>VLOOKUP(K305, Sheet2!$A$2:$B$4186, 2,FALSE)</f>
        <v>13</v>
      </c>
      <c r="M305">
        <f>VLOOKUP(C305,Depts!$B$1:$D$16,3,FALSE)</f>
        <v>28</v>
      </c>
      <c r="N305" s="1" t="b">
        <f t="shared" ref="N305:N368" si="14">ISNUMBER(D305)</f>
        <v>1</v>
      </c>
    </row>
    <row r="306" spans="1:14">
      <c r="A306">
        <v>305</v>
      </c>
      <c r="B306">
        <v>310</v>
      </c>
      <c r="C306" t="s">
        <v>39</v>
      </c>
      <c r="D306" s="1">
        <v>45850</v>
      </c>
      <c r="E306" s="1">
        <v>45851</v>
      </c>
      <c r="F306" t="s">
        <v>57</v>
      </c>
      <c r="G306">
        <v>1</v>
      </c>
      <c r="H306">
        <v>55</v>
      </c>
      <c r="I306" t="s">
        <v>60</v>
      </c>
      <c r="J306">
        <f t="shared" si="12"/>
        <v>1.8333333333333333</v>
      </c>
      <c r="K306" t="str">
        <f t="shared" si="13"/>
        <v>12/07/2025A&amp;E (Emergency)</v>
      </c>
      <c r="L306">
        <f>VLOOKUP(K306, Sheet2!$A$2:$B$4186, 2,FALSE)</f>
        <v>20</v>
      </c>
      <c r="M306">
        <f>VLOOKUP(C306,Depts!$B$1:$D$16,3,FALSE)</f>
        <v>42</v>
      </c>
      <c r="N306" s="1" t="b">
        <f t="shared" si="14"/>
        <v>1</v>
      </c>
    </row>
    <row r="307" spans="1:14">
      <c r="A307">
        <v>306</v>
      </c>
      <c r="B307">
        <v>301</v>
      </c>
      <c r="C307" t="s">
        <v>50</v>
      </c>
      <c r="D307" s="1">
        <v>45851</v>
      </c>
      <c r="E307" s="1">
        <v>45856</v>
      </c>
      <c r="F307" t="s">
        <v>56</v>
      </c>
      <c r="G307">
        <v>5</v>
      </c>
      <c r="H307">
        <v>15</v>
      </c>
      <c r="I307" t="s">
        <v>60</v>
      </c>
      <c r="J307">
        <f t="shared" si="12"/>
        <v>2.5</v>
      </c>
      <c r="K307" t="str">
        <f t="shared" si="13"/>
        <v>13/07/2025Renal Medicine</v>
      </c>
      <c r="L307">
        <f>VLOOKUP(K307, Sheet2!$A$2:$B$4186, 2,FALSE)</f>
        <v>17</v>
      </c>
      <c r="M307">
        <f>VLOOKUP(C307,Depts!$B$1:$D$16,3,FALSE)</f>
        <v>26</v>
      </c>
      <c r="N307" s="1" t="b">
        <f t="shared" si="14"/>
        <v>1</v>
      </c>
    </row>
    <row r="308" spans="1:14">
      <c r="A308">
        <v>307</v>
      </c>
      <c r="B308">
        <v>791</v>
      </c>
      <c r="C308" t="s">
        <v>46</v>
      </c>
      <c r="D308" s="1">
        <v>45852</v>
      </c>
      <c r="E308" s="1">
        <v>45858</v>
      </c>
      <c r="F308" t="s">
        <v>56</v>
      </c>
      <c r="G308">
        <v>6</v>
      </c>
      <c r="H308">
        <v>31</v>
      </c>
      <c r="I308" t="s">
        <v>60</v>
      </c>
      <c r="J308">
        <f t="shared" si="12"/>
        <v>6.2000000000000011</v>
      </c>
      <c r="K308" t="str">
        <f t="shared" si="13"/>
        <v>14/07/2025Neurology</v>
      </c>
      <c r="L308">
        <f>VLOOKUP(K308, Sheet2!$A$2:$B$4186, 2,FALSE)</f>
        <v>14</v>
      </c>
      <c r="M308">
        <f>VLOOKUP(C308,Depts!$B$1:$D$16,3,FALSE)</f>
        <v>32</v>
      </c>
      <c r="N308" s="1" t="b">
        <f t="shared" si="14"/>
        <v>1</v>
      </c>
    </row>
    <row r="309" spans="1:14">
      <c r="A309">
        <v>308</v>
      </c>
      <c r="B309">
        <v>400</v>
      </c>
      <c r="C309" t="s">
        <v>45</v>
      </c>
      <c r="D309" s="1">
        <v>45852</v>
      </c>
      <c r="E309" s="1">
        <v>45854</v>
      </c>
      <c r="F309" t="s">
        <v>57</v>
      </c>
      <c r="G309">
        <v>2</v>
      </c>
      <c r="H309">
        <v>131</v>
      </c>
      <c r="I309" t="s">
        <v>60</v>
      </c>
      <c r="J309">
        <f t="shared" si="12"/>
        <v>8.7333333333333325</v>
      </c>
      <c r="K309" t="str">
        <f t="shared" si="13"/>
        <v>14/07/2025Maternity</v>
      </c>
      <c r="L309">
        <f>VLOOKUP(K309, Sheet2!$A$2:$B$4186, 2,FALSE)</f>
        <v>13</v>
      </c>
      <c r="M309">
        <f>VLOOKUP(C309,Depts!$B$1:$D$16,3,FALSE)</f>
        <v>34</v>
      </c>
      <c r="N309" s="1" t="b">
        <f t="shared" si="14"/>
        <v>1</v>
      </c>
    </row>
    <row r="310" spans="1:14">
      <c r="A310">
        <v>309</v>
      </c>
      <c r="B310">
        <v>36</v>
      </c>
      <c r="C310" t="s">
        <v>48</v>
      </c>
      <c r="D310" s="1">
        <v>45853</v>
      </c>
      <c r="E310" s="1">
        <v>45858</v>
      </c>
      <c r="F310" t="s">
        <v>56</v>
      </c>
      <c r="G310">
        <v>5</v>
      </c>
      <c r="H310">
        <v>34</v>
      </c>
      <c r="I310" t="s">
        <v>60</v>
      </c>
      <c r="J310">
        <f t="shared" si="12"/>
        <v>5.6666666666666661</v>
      </c>
      <c r="K310" t="str">
        <f t="shared" si="13"/>
        <v>15/07/2025Orthopaedics</v>
      </c>
      <c r="L310">
        <f>VLOOKUP(K310, Sheet2!$A$2:$B$4186, 2,FALSE)</f>
        <v>15</v>
      </c>
      <c r="M310">
        <f>VLOOKUP(C310,Depts!$B$1:$D$16,3,FALSE)</f>
        <v>40</v>
      </c>
      <c r="N310" s="1" t="b">
        <f t="shared" si="14"/>
        <v>1</v>
      </c>
    </row>
    <row r="311" spans="1:14">
      <c r="A311">
        <v>310</v>
      </c>
      <c r="B311">
        <v>193</v>
      </c>
      <c r="C311" t="s">
        <v>49</v>
      </c>
      <c r="D311" s="1">
        <v>45853</v>
      </c>
      <c r="E311" s="1">
        <v>45855</v>
      </c>
      <c r="F311" t="s">
        <v>57</v>
      </c>
      <c r="G311">
        <v>2</v>
      </c>
      <c r="H311">
        <v>192</v>
      </c>
      <c r="I311" t="s">
        <v>61</v>
      </c>
      <c r="J311">
        <f t="shared" si="12"/>
        <v>12.8</v>
      </c>
      <c r="K311" t="str">
        <f t="shared" si="13"/>
        <v>15/07/2025Paediatrics</v>
      </c>
      <c r="L311">
        <f>VLOOKUP(K311, Sheet2!$A$2:$B$4186, 2,FALSE)</f>
        <v>12</v>
      </c>
      <c r="M311">
        <f>VLOOKUP(C311,Depts!$B$1:$D$16,3,FALSE)</f>
        <v>30</v>
      </c>
      <c r="N311" s="1" t="b">
        <f t="shared" si="14"/>
        <v>1</v>
      </c>
    </row>
    <row r="312" spans="1:14">
      <c r="A312">
        <v>311</v>
      </c>
      <c r="B312">
        <v>630</v>
      </c>
      <c r="C312" t="s">
        <v>42</v>
      </c>
      <c r="D312" s="1">
        <v>45854</v>
      </c>
      <c r="E312" s="1">
        <v>45859</v>
      </c>
      <c r="F312" t="s">
        <v>56</v>
      </c>
      <c r="G312">
        <v>5</v>
      </c>
      <c r="H312">
        <v>44</v>
      </c>
      <c r="I312" t="s">
        <v>60</v>
      </c>
      <c r="J312">
        <f t="shared" si="12"/>
        <v>7.333333333333333</v>
      </c>
      <c r="K312" t="str">
        <f t="shared" si="13"/>
        <v>16/07/2025Gastroenterology</v>
      </c>
      <c r="L312">
        <f>VLOOKUP(K312, Sheet2!$A$2:$B$4186, 2,FALSE)</f>
        <v>10</v>
      </c>
      <c r="M312">
        <f>VLOOKUP(C312,Depts!$B$1:$D$16,3,FALSE)</f>
        <v>29</v>
      </c>
      <c r="N312" s="1" t="b">
        <f t="shared" si="14"/>
        <v>1</v>
      </c>
    </row>
    <row r="313" spans="1:14">
      <c r="A313">
        <v>312</v>
      </c>
      <c r="B313">
        <v>31</v>
      </c>
      <c r="C313" t="s">
        <v>41</v>
      </c>
      <c r="D313" s="1">
        <v>45855</v>
      </c>
      <c r="E313" s="1">
        <v>45857</v>
      </c>
      <c r="F313" t="s">
        <v>57</v>
      </c>
      <c r="G313">
        <v>2</v>
      </c>
      <c r="H313">
        <v>238</v>
      </c>
      <c r="I313" t="s">
        <v>60</v>
      </c>
      <c r="J313">
        <f t="shared" si="12"/>
        <v>15.866666666666667</v>
      </c>
      <c r="K313" t="str">
        <f t="shared" si="13"/>
        <v>17/07/2025ENT</v>
      </c>
      <c r="L313">
        <f>VLOOKUP(K313, Sheet2!$A$2:$B$4186, 2,FALSE)</f>
        <v>12</v>
      </c>
      <c r="M313">
        <f>VLOOKUP(C313,Depts!$B$1:$D$16,3,FALSE)</f>
        <v>20</v>
      </c>
      <c r="N313" s="1" t="b">
        <f t="shared" si="14"/>
        <v>1</v>
      </c>
    </row>
    <row r="314" spans="1:14">
      <c r="A314">
        <v>313</v>
      </c>
      <c r="B314">
        <v>292</v>
      </c>
      <c r="C314" t="s">
        <v>44</v>
      </c>
      <c r="D314" s="1">
        <v>45855</v>
      </c>
      <c r="E314" s="1">
        <v>45861</v>
      </c>
      <c r="F314" t="s">
        <v>56</v>
      </c>
      <c r="G314">
        <v>6</v>
      </c>
      <c r="H314">
        <v>34</v>
      </c>
      <c r="I314" t="s">
        <v>60</v>
      </c>
      <c r="J314">
        <f t="shared" si="12"/>
        <v>6.8</v>
      </c>
      <c r="K314" t="str">
        <f t="shared" si="13"/>
        <v>17/07/2025Geriatrics</v>
      </c>
      <c r="L314">
        <f>VLOOKUP(K314, Sheet2!$A$2:$B$4186, 2,FALSE)</f>
        <v>14</v>
      </c>
      <c r="M314">
        <f>VLOOKUP(C314,Depts!$B$1:$D$16,3,FALSE)</f>
        <v>46</v>
      </c>
      <c r="N314" s="1" t="b">
        <f t="shared" si="14"/>
        <v>1</v>
      </c>
    </row>
    <row r="315" spans="1:14">
      <c r="A315">
        <v>314</v>
      </c>
      <c r="B315">
        <v>131</v>
      </c>
      <c r="C315" t="s">
        <v>51</v>
      </c>
      <c r="D315" s="1">
        <v>45856</v>
      </c>
      <c r="E315" s="1">
        <v>45858</v>
      </c>
      <c r="F315" t="s">
        <v>57</v>
      </c>
      <c r="G315">
        <v>2</v>
      </c>
      <c r="H315">
        <v>143</v>
      </c>
      <c r="I315" t="s">
        <v>60</v>
      </c>
      <c r="J315">
        <f t="shared" si="12"/>
        <v>9.5333333333333332</v>
      </c>
      <c r="K315" t="str">
        <f t="shared" si="13"/>
        <v>18/07/2025Respiratory</v>
      </c>
      <c r="L315">
        <f>VLOOKUP(K315, Sheet2!$A$2:$B$4186, 2,FALSE)</f>
        <v>12</v>
      </c>
      <c r="M315">
        <f>VLOOKUP(C315,Depts!$B$1:$D$16,3,FALSE)</f>
        <v>36</v>
      </c>
      <c r="N315" s="1" t="b">
        <f t="shared" si="14"/>
        <v>1</v>
      </c>
    </row>
    <row r="316" spans="1:14">
      <c r="A316">
        <v>315</v>
      </c>
      <c r="B316">
        <v>273</v>
      </c>
      <c r="C316" t="s">
        <v>43</v>
      </c>
      <c r="D316" s="1">
        <v>45857</v>
      </c>
      <c r="E316" s="1">
        <v>45862</v>
      </c>
      <c r="F316" t="s">
        <v>56</v>
      </c>
      <c r="G316">
        <v>5</v>
      </c>
      <c r="H316">
        <v>2</v>
      </c>
      <c r="I316" t="s">
        <v>60</v>
      </c>
      <c r="J316">
        <f t="shared" si="12"/>
        <v>0.33333333333333331</v>
      </c>
      <c r="K316" t="str">
        <f t="shared" si="13"/>
        <v>19/07/2025General Surgery</v>
      </c>
      <c r="L316">
        <f>VLOOKUP(K316, Sheet2!$A$2:$B$4186, 2,FALSE)</f>
        <v>15</v>
      </c>
      <c r="M316">
        <f>VLOOKUP(C316,Depts!$B$1:$D$16,3,FALSE)</f>
        <v>44</v>
      </c>
      <c r="N316" s="1" t="b">
        <f t="shared" si="14"/>
        <v>1</v>
      </c>
    </row>
    <row r="317" spans="1:14">
      <c r="A317">
        <v>316</v>
      </c>
      <c r="B317">
        <v>683</v>
      </c>
      <c r="C317" t="s">
        <v>40</v>
      </c>
      <c r="D317" s="1">
        <v>45857</v>
      </c>
      <c r="E317" s="1">
        <v>45860</v>
      </c>
      <c r="F317" t="s">
        <v>58</v>
      </c>
      <c r="G317">
        <v>3</v>
      </c>
      <c r="H317">
        <v>56</v>
      </c>
      <c r="I317" t="s">
        <v>61</v>
      </c>
      <c r="J317">
        <f t="shared" si="12"/>
        <v>5.6</v>
      </c>
      <c r="K317" t="str">
        <f t="shared" si="13"/>
        <v>19/07/2025Cardiology</v>
      </c>
      <c r="L317">
        <f>VLOOKUP(K317, Sheet2!$A$2:$B$4186, 2,FALSE)</f>
        <v>12</v>
      </c>
      <c r="M317">
        <f>VLOOKUP(C317,Depts!$B$1:$D$16,3,FALSE)</f>
        <v>38</v>
      </c>
      <c r="N317" s="1" t="b">
        <f t="shared" si="14"/>
        <v>1</v>
      </c>
    </row>
    <row r="318" spans="1:14">
      <c r="A318">
        <v>317</v>
      </c>
      <c r="B318">
        <v>838</v>
      </c>
      <c r="C318" t="s">
        <v>47</v>
      </c>
      <c r="D318" s="1">
        <v>45858</v>
      </c>
      <c r="E318" s="1">
        <v>45863</v>
      </c>
      <c r="F318" t="s">
        <v>56</v>
      </c>
      <c r="G318">
        <v>5</v>
      </c>
      <c r="H318">
        <v>32</v>
      </c>
      <c r="I318" t="s">
        <v>60</v>
      </c>
      <c r="J318">
        <f t="shared" si="12"/>
        <v>5.333333333333333</v>
      </c>
      <c r="K318" t="str">
        <f t="shared" si="13"/>
        <v>20/07/2025Oncology</v>
      </c>
      <c r="L318">
        <f>VLOOKUP(K318, Sheet2!$A$2:$B$4186, 2,FALSE)</f>
        <v>12</v>
      </c>
      <c r="M318">
        <f>VLOOKUP(C318,Depts!$B$1:$D$16,3,FALSE)</f>
        <v>28</v>
      </c>
      <c r="N318" s="1" t="b">
        <f t="shared" si="14"/>
        <v>1</v>
      </c>
    </row>
    <row r="319" spans="1:14">
      <c r="A319">
        <v>318</v>
      </c>
      <c r="B319">
        <v>213</v>
      </c>
      <c r="C319" t="s">
        <v>39</v>
      </c>
      <c r="D319" s="1">
        <v>45858</v>
      </c>
      <c r="E319" s="1">
        <v>45859</v>
      </c>
      <c r="F319" t="s">
        <v>57</v>
      </c>
      <c r="G319">
        <v>1</v>
      </c>
      <c r="H319">
        <v>207</v>
      </c>
      <c r="I319" t="s">
        <v>60</v>
      </c>
      <c r="J319">
        <f t="shared" si="12"/>
        <v>6.9</v>
      </c>
      <c r="K319" t="str">
        <f t="shared" si="13"/>
        <v>20/07/2025A&amp;E (Emergency)</v>
      </c>
      <c r="L319">
        <f>VLOOKUP(K319, Sheet2!$A$2:$B$4186, 2,FALSE)</f>
        <v>19</v>
      </c>
      <c r="M319">
        <f>VLOOKUP(C319,Depts!$B$1:$D$16,3,FALSE)</f>
        <v>42</v>
      </c>
      <c r="N319" s="1" t="b">
        <f t="shared" si="14"/>
        <v>1</v>
      </c>
    </row>
    <row r="320" spans="1:14">
      <c r="A320">
        <v>319</v>
      </c>
      <c r="B320">
        <v>316</v>
      </c>
      <c r="C320" t="s">
        <v>50</v>
      </c>
      <c r="D320" s="1">
        <v>45859</v>
      </c>
      <c r="E320" s="1">
        <v>45864</v>
      </c>
      <c r="F320" t="s">
        <v>56</v>
      </c>
      <c r="G320">
        <v>5</v>
      </c>
      <c r="H320">
        <v>38</v>
      </c>
      <c r="I320" t="s">
        <v>60</v>
      </c>
      <c r="J320">
        <f t="shared" si="12"/>
        <v>6.333333333333333</v>
      </c>
      <c r="K320" t="str">
        <f t="shared" si="13"/>
        <v>21/07/2025Renal Medicine</v>
      </c>
      <c r="L320">
        <f>VLOOKUP(K320, Sheet2!$A$2:$B$4186, 2,FALSE)</f>
        <v>21</v>
      </c>
      <c r="M320">
        <f>VLOOKUP(C320,Depts!$B$1:$D$16,3,FALSE)</f>
        <v>26</v>
      </c>
      <c r="N320" s="1" t="b">
        <f t="shared" si="14"/>
        <v>1</v>
      </c>
    </row>
    <row r="321" spans="1:14">
      <c r="A321">
        <v>320</v>
      </c>
      <c r="B321">
        <v>499</v>
      </c>
      <c r="C321" t="s">
        <v>46</v>
      </c>
      <c r="D321" s="1">
        <v>45860</v>
      </c>
      <c r="E321" s="1">
        <v>45866</v>
      </c>
      <c r="F321" t="s">
        <v>56</v>
      </c>
      <c r="G321">
        <v>6</v>
      </c>
      <c r="H321">
        <v>43</v>
      </c>
      <c r="I321" t="s">
        <v>60</v>
      </c>
      <c r="J321">
        <f t="shared" si="12"/>
        <v>8.6</v>
      </c>
      <c r="K321" t="str">
        <f t="shared" si="13"/>
        <v>22/07/2025Neurology</v>
      </c>
      <c r="L321">
        <f>VLOOKUP(K321, Sheet2!$A$2:$B$4186, 2,FALSE)</f>
        <v>13</v>
      </c>
      <c r="M321">
        <f>VLOOKUP(C321,Depts!$B$1:$D$16,3,FALSE)</f>
        <v>32</v>
      </c>
      <c r="N321" s="1" t="b">
        <f t="shared" si="14"/>
        <v>1</v>
      </c>
    </row>
    <row r="322" spans="1:14">
      <c r="A322">
        <v>321</v>
      </c>
      <c r="B322">
        <v>994</v>
      </c>
      <c r="C322" t="s">
        <v>45</v>
      </c>
      <c r="D322" s="1">
        <v>45860</v>
      </c>
      <c r="E322" s="1">
        <v>45862</v>
      </c>
      <c r="F322" t="s">
        <v>57</v>
      </c>
      <c r="G322">
        <v>2</v>
      </c>
      <c r="H322">
        <v>40</v>
      </c>
      <c r="I322" t="s">
        <v>60</v>
      </c>
      <c r="J322">
        <f t="shared" si="12"/>
        <v>2.6666666666666665</v>
      </c>
      <c r="K322" t="str">
        <f t="shared" si="13"/>
        <v>22/07/2025Maternity</v>
      </c>
      <c r="L322">
        <f>VLOOKUP(K322, Sheet2!$A$2:$B$4186, 2,FALSE)</f>
        <v>12</v>
      </c>
      <c r="M322">
        <f>VLOOKUP(C322,Depts!$B$1:$D$16,3,FALSE)</f>
        <v>34</v>
      </c>
      <c r="N322" s="1" t="b">
        <f t="shared" si="14"/>
        <v>1</v>
      </c>
    </row>
    <row r="323" spans="1:14">
      <c r="A323">
        <v>322</v>
      </c>
      <c r="B323">
        <v>653</v>
      </c>
      <c r="C323" t="s">
        <v>48</v>
      </c>
      <c r="D323" s="1">
        <v>45861</v>
      </c>
      <c r="E323" s="1">
        <v>45866</v>
      </c>
      <c r="F323" t="s">
        <v>56</v>
      </c>
      <c r="G323">
        <v>5</v>
      </c>
      <c r="H323">
        <v>10</v>
      </c>
      <c r="I323" t="s">
        <v>60</v>
      </c>
      <c r="J323">
        <f t="shared" ref="J323:J386" si="15">G323*(H323/30)</f>
        <v>1.6666666666666665</v>
      </c>
      <c r="K323" t="str">
        <f t="shared" ref="K323:K386" si="16">TEXT(D323, "dd/mm/yyyy")&amp;C323</f>
        <v>23/07/2025Orthopaedics</v>
      </c>
      <c r="L323">
        <f>VLOOKUP(K323, Sheet2!$A$2:$B$4186, 2,FALSE)</f>
        <v>14</v>
      </c>
      <c r="M323">
        <f>VLOOKUP(C323,Depts!$B$1:$D$16,3,FALSE)</f>
        <v>40</v>
      </c>
      <c r="N323" s="1" t="b">
        <f t="shared" si="14"/>
        <v>1</v>
      </c>
    </row>
    <row r="324" spans="1:14">
      <c r="A324">
        <v>323</v>
      </c>
      <c r="B324">
        <v>784</v>
      </c>
      <c r="C324" t="s">
        <v>49</v>
      </c>
      <c r="D324" s="1">
        <v>45861</v>
      </c>
      <c r="E324" s="1">
        <v>45863</v>
      </c>
      <c r="F324" t="s">
        <v>57</v>
      </c>
      <c r="G324">
        <v>2</v>
      </c>
      <c r="H324">
        <v>175</v>
      </c>
      <c r="I324" t="s">
        <v>60</v>
      </c>
      <c r="J324">
        <f t="shared" si="15"/>
        <v>11.666666666666666</v>
      </c>
      <c r="K324" t="str">
        <f t="shared" si="16"/>
        <v>23/07/2025Paediatrics</v>
      </c>
      <c r="L324">
        <f>VLOOKUP(K324, Sheet2!$A$2:$B$4186, 2,FALSE)</f>
        <v>11</v>
      </c>
      <c r="M324">
        <f>VLOOKUP(C324,Depts!$B$1:$D$16,3,FALSE)</f>
        <v>30</v>
      </c>
      <c r="N324" s="1" t="b">
        <f t="shared" si="14"/>
        <v>1</v>
      </c>
    </row>
    <row r="325" spans="1:14">
      <c r="A325">
        <v>324</v>
      </c>
      <c r="B325">
        <v>165</v>
      </c>
      <c r="C325" t="s">
        <v>42</v>
      </c>
      <c r="D325" s="1">
        <v>45862</v>
      </c>
      <c r="E325" s="1">
        <v>45867</v>
      </c>
      <c r="F325" t="s">
        <v>56</v>
      </c>
      <c r="G325">
        <v>5</v>
      </c>
      <c r="H325">
        <v>44</v>
      </c>
      <c r="I325" t="s">
        <v>60</v>
      </c>
      <c r="J325">
        <f t="shared" si="15"/>
        <v>7.333333333333333</v>
      </c>
      <c r="K325" t="str">
        <f t="shared" si="16"/>
        <v>24/07/2025Gastroenterology</v>
      </c>
      <c r="L325">
        <f>VLOOKUP(K325, Sheet2!$A$2:$B$4186, 2,FALSE)</f>
        <v>10</v>
      </c>
      <c r="M325">
        <f>VLOOKUP(C325,Depts!$B$1:$D$16,3,FALSE)</f>
        <v>29</v>
      </c>
      <c r="N325" s="1" t="b">
        <f t="shared" si="14"/>
        <v>1</v>
      </c>
    </row>
    <row r="326" spans="1:14">
      <c r="A326">
        <v>325</v>
      </c>
      <c r="B326">
        <v>481</v>
      </c>
      <c r="C326" t="s">
        <v>41</v>
      </c>
      <c r="D326" s="1">
        <v>45863</v>
      </c>
      <c r="E326" s="1">
        <v>45865</v>
      </c>
      <c r="F326" t="s">
        <v>57</v>
      </c>
      <c r="G326">
        <v>2</v>
      </c>
      <c r="H326">
        <v>26</v>
      </c>
      <c r="I326" t="s">
        <v>60</v>
      </c>
      <c r="J326">
        <f t="shared" si="15"/>
        <v>1.7333333333333334</v>
      </c>
      <c r="K326" t="str">
        <f t="shared" si="16"/>
        <v>25/07/2025ENT</v>
      </c>
      <c r="L326">
        <f>VLOOKUP(K326, Sheet2!$A$2:$B$4186, 2,FALSE)</f>
        <v>11</v>
      </c>
      <c r="M326">
        <f>VLOOKUP(C326,Depts!$B$1:$D$16,3,FALSE)</f>
        <v>20</v>
      </c>
      <c r="N326" s="1" t="b">
        <f t="shared" si="14"/>
        <v>1</v>
      </c>
    </row>
    <row r="327" spans="1:14">
      <c r="A327">
        <v>326</v>
      </c>
      <c r="B327">
        <v>829</v>
      </c>
      <c r="C327" t="s">
        <v>44</v>
      </c>
      <c r="D327" s="1">
        <v>45863</v>
      </c>
      <c r="E327" s="1">
        <v>45869</v>
      </c>
      <c r="F327" t="s">
        <v>56</v>
      </c>
      <c r="G327">
        <v>6</v>
      </c>
      <c r="H327">
        <v>44</v>
      </c>
      <c r="I327" t="s">
        <v>60</v>
      </c>
      <c r="J327">
        <f t="shared" si="15"/>
        <v>8.7999999999999989</v>
      </c>
      <c r="K327" t="str">
        <f t="shared" si="16"/>
        <v>25/07/2025Geriatrics</v>
      </c>
      <c r="L327">
        <f>VLOOKUP(K327, Sheet2!$A$2:$B$4186, 2,FALSE)</f>
        <v>13</v>
      </c>
      <c r="M327">
        <f>VLOOKUP(C327,Depts!$B$1:$D$16,3,FALSE)</f>
        <v>46</v>
      </c>
      <c r="N327" s="1" t="b">
        <f t="shared" si="14"/>
        <v>1</v>
      </c>
    </row>
    <row r="328" spans="1:14">
      <c r="A328">
        <v>327</v>
      </c>
      <c r="B328">
        <v>540</v>
      </c>
      <c r="C328" t="s">
        <v>51</v>
      </c>
      <c r="D328" s="1">
        <v>45864</v>
      </c>
      <c r="E328" s="1">
        <v>45866</v>
      </c>
      <c r="F328" t="s">
        <v>57</v>
      </c>
      <c r="G328">
        <v>2</v>
      </c>
      <c r="H328">
        <v>111</v>
      </c>
      <c r="I328" t="s">
        <v>60</v>
      </c>
      <c r="J328">
        <f t="shared" si="15"/>
        <v>7.4</v>
      </c>
      <c r="K328" t="str">
        <f t="shared" si="16"/>
        <v>26/07/2025Respiratory</v>
      </c>
      <c r="L328">
        <f>VLOOKUP(K328, Sheet2!$A$2:$B$4186, 2,FALSE)</f>
        <v>9</v>
      </c>
      <c r="M328">
        <f>VLOOKUP(C328,Depts!$B$1:$D$16,3,FALSE)</f>
        <v>36</v>
      </c>
      <c r="N328" s="1" t="b">
        <f t="shared" si="14"/>
        <v>1</v>
      </c>
    </row>
    <row r="329" spans="1:14">
      <c r="A329">
        <v>328</v>
      </c>
      <c r="B329">
        <v>196</v>
      </c>
      <c r="C329" t="s">
        <v>43</v>
      </c>
      <c r="D329" s="1">
        <v>45865</v>
      </c>
      <c r="E329" s="1">
        <v>45870</v>
      </c>
      <c r="F329" t="s">
        <v>56</v>
      </c>
      <c r="G329">
        <v>5</v>
      </c>
      <c r="H329">
        <v>36</v>
      </c>
      <c r="I329" t="s">
        <v>60</v>
      </c>
      <c r="J329">
        <f t="shared" si="15"/>
        <v>6</v>
      </c>
      <c r="K329" t="str">
        <f t="shared" si="16"/>
        <v>27/07/2025General Surgery</v>
      </c>
      <c r="L329">
        <f>VLOOKUP(K329, Sheet2!$A$2:$B$4186, 2,FALSE)</f>
        <v>14</v>
      </c>
      <c r="M329">
        <f>VLOOKUP(C329,Depts!$B$1:$D$16,3,FALSE)</f>
        <v>44</v>
      </c>
      <c r="N329" s="1" t="b">
        <f t="shared" si="14"/>
        <v>1</v>
      </c>
    </row>
    <row r="330" spans="1:14">
      <c r="A330">
        <v>329</v>
      </c>
      <c r="B330">
        <v>571</v>
      </c>
      <c r="C330" t="s">
        <v>40</v>
      </c>
      <c r="D330" s="1">
        <v>45865</v>
      </c>
      <c r="E330" s="1">
        <v>45868</v>
      </c>
      <c r="F330" t="s">
        <v>58</v>
      </c>
      <c r="G330">
        <v>3</v>
      </c>
      <c r="H330">
        <v>17</v>
      </c>
      <c r="I330" t="s">
        <v>60</v>
      </c>
      <c r="J330">
        <f t="shared" si="15"/>
        <v>1.7</v>
      </c>
      <c r="K330" t="str">
        <f t="shared" si="16"/>
        <v>27/07/2025Cardiology</v>
      </c>
      <c r="L330">
        <f>VLOOKUP(K330, Sheet2!$A$2:$B$4186, 2,FALSE)</f>
        <v>11</v>
      </c>
      <c r="M330">
        <f>VLOOKUP(C330,Depts!$B$1:$D$16,3,FALSE)</f>
        <v>38</v>
      </c>
      <c r="N330" s="1" t="b">
        <f t="shared" si="14"/>
        <v>1</v>
      </c>
    </row>
    <row r="331" spans="1:14">
      <c r="A331">
        <v>330</v>
      </c>
      <c r="B331">
        <v>389</v>
      </c>
      <c r="C331" t="s">
        <v>47</v>
      </c>
      <c r="D331" s="1">
        <v>45866</v>
      </c>
      <c r="E331" s="1">
        <v>45871</v>
      </c>
      <c r="F331" t="s">
        <v>56</v>
      </c>
      <c r="G331">
        <v>5</v>
      </c>
      <c r="H331">
        <v>20</v>
      </c>
      <c r="I331" t="s">
        <v>60</v>
      </c>
      <c r="J331">
        <f t="shared" si="15"/>
        <v>3.333333333333333</v>
      </c>
      <c r="K331" t="str">
        <f t="shared" si="16"/>
        <v>28/07/2025Oncology</v>
      </c>
      <c r="L331">
        <f>VLOOKUP(K331, Sheet2!$A$2:$B$4186, 2,FALSE)</f>
        <v>18</v>
      </c>
      <c r="M331">
        <f>VLOOKUP(C331,Depts!$B$1:$D$16,3,FALSE)</f>
        <v>28</v>
      </c>
      <c r="N331" s="1" t="b">
        <f t="shared" si="14"/>
        <v>1</v>
      </c>
    </row>
    <row r="332" spans="1:14">
      <c r="A332">
        <v>331</v>
      </c>
      <c r="B332">
        <v>155</v>
      </c>
      <c r="C332" t="s">
        <v>39</v>
      </c>
      <c r="D332" s="1">
        <v>45866</v>
      </c>
      <c r="E332" s="1">
        <v>45867</v>
      </c>
      <c r="F332" t="s">
        <v>57</v>
      </c>
      <c r="G332">
        <v>1</v>
      </c>
      <c r="H332">
        <v>38</v>
      </c>
      <c r="I332" t="s">
        <v>60</v>
      </c>
      <c r="J332">
        <f t="shared" si="15"/>
        <v>1.2666666666666666</v>
      </c>
      <c r="K332" t="str">
        <f t="shared" si="16"/>
        <v>28/07/2025A&amp;E (Emergency)</v>
      </c>
      <c r="L332">
        <f>VLOOKUP(K332, Sheet2!$A$2:$B$4186, 2,FALSE)</f>
        <v>28</v>
      </c>
      <c r="M332">
        <f>VLOOKUP(C332,Depts!$B$1:$D$16,3,FALSE)</f>
        <v>42</v>
      </c>
      <c r="N332" s="1" t="b">
        <f t="shared" si="14"/>
        <v>1</v>
      </c>
    </row>
    <row r="333" spans="1:14">
      <c r="A333">
        <v>332</v>
      </c>
      <c r="B333">
        <v>881</v>
      </c>
      <c r="C333" t="s">
        <v>50</v>
      </c>
      <c r="D333" s="1">
        <v>45867</v>
      </c>
      <c r="E333" s="1">
        <v>45872</v>
      </c>
      <c r="F333" t="s">
        <v>56</v>
      </c>
      <c r="G333">
        <v>5</v>
      </c>
      <c r="H333">
        <v>20</v>
      </c>
      <c r="I333" t="s">
        <v>60</v>
      </c>
      <c r="J333">
        <f t="shared" si="15"/>
        <v>3.333333333333333</v>
      </c>
      <c r="K333" t="str">
        <f t="shared" si="16"/>
        <v>29/07/2025Renal Medicine</v>
      </c>
      <c r="L333">
        <f>VLOOKUP(K333, Sheet2!$A$2:$B$4186, 2,FALSE)</f>
        <v>20</v>
      </c>
      <c r="M333">
        <f>VLOOKUP(C333,Depts!$B$1:$D$16,3,FALSE)</f>
        <v>26</v>
      </c>
      <c r="N333" s="1" t="b">
        <f t="shared" si="14"/>
        <v>1</v>
      </c>
    </row>
    <row r="334" spans="1:14">
      <c r="A334">
        <v>333</v>
      </c>
      <c r="B334">
        <v>102</v>
      </c>
      <c r="C334" t="s">
        <v>46</v>
      </c>
      <c r="D334" s="1">
        <v>45868</v>
      </c>
      <c r="E334" s="1">
        <v>45874</v>
      </c>
      <c r="F334" t="s">
        <v>56</v>
      </c>
      <c r="G334">
        <v>6</v>
      </c>
      <c r="H334">
        <v>12</v>
      </c>
      <c r="I334" t="s">
        <v>61</v>
      </c>
      <c r="J334">
        <f t="shared" si="15"/>
        <v>2.4000000000000004</v>
      </c>
      <c r="K334" t="str">
        <f t="shared" si="16"/>
        <v>30/07/2025Neurology</v>
      </c>
      <c r="L334">
        <f>VLOOKUP(K334, Sheet2!$A$2:$B$4186, 2,FALSE)</f>
        <v>12</v>
      </c>
      <c r="M334">
        <f>VLOOKUP(C334,Depts!$B$1:$D$16,3,FALSE)</f>
        <v>32</v>
      </c>
      <c r="N334" s="1" t="b">
        <f t="shared" si="14"/>
        <v>1</v>
      </c>
    </row>
    <row r="335" spans="1:14">
      <c r="A335">
        <v>334</v>
      </c>
      <c r="B335">
        <v>342</v>
      </c>
      <c r="C335" t="s">
        <v>45</v>
      </c>
      <c r="D335" s="1">
        <v>45868</v>
      </c>
      <c r="E335" s="1">
        <v>45870</v>
      </c>
      <c r="F335" t="s">
        <v>57</v>
      </c>
      <c r="G335">
        <v>2</v>
      </c>
      <c r="H335">
        <v>36</v>
      </c>
      <c r="I335" t="s">
        <v>61</v>
      </c>
      <c r="J335">
        <f t="shared" si="15"/>
        <v>2.4</v>
      </c>
      <c r="K335" t="str">
        <f t="shared" si="16"/>
        <v>30/07/2025Maternity</v>
      </c>
      <c r="L335">
        <f>VLOOKUP(K335, Sheet2!$A$2:$B$4186, 2,FALSE)</f>
        <v>12</v>
      </c>
      <c r="M335">
        <f>VLOOKUP(C335,Depts!$B$1:$D$16,3,FALSE)</f>
        <v>34</v>
      </c>
      <c r="N335" s="1" t="b">
        <f t="shared" si="14"/>
        <v>1</v>
      </c>
    </row>
    <row r="336" spans="1:14">
      <c r="A336">
        <v>335</v>
      </c>
      <c r="B336">
        <v>189</v>
      </c>
      <c r="C336" t="s">
        <v>48</v>
      </c>
      <c r="D336" s="1">
        <v>45869</v>
      </c>
      <c r="E336" s="1">
        <v>45874</v>
      </c>
      <c r="F336" t="s">
        <v>56</v>
      </c>
      <c r="G336">
        <v>5</v>
      </c>
      <c r="H336">
        <v>15</v>
      </c>
      <c r="I336" t="s">
        <v>60</v>
      </c>
      <c r="J336">
        <f t="shared" si="15"/>
        <v>2.5</v>
      </c>
      <c r="K336" t="str">
        <f t="shared" si="16"/>
        <v>31/07/2025Orthopaedics</v>
      </c>
      <c r="L336">
        <f>VLOOKUP(K336, Sheet2!$A$2:$B$4186, 2,FALSE)</f>
        <v>14</v>
      </c>
      <c r="M336">
        <f>VLOOKUP(C336,Depts!$B$1:$D$16,3,FALSE)</f>
        <v>40</v>
      </c>
      <c r="N336" s="1" t="b">
        <f t="shared" si="14"/>
        <v>1</v>
      </c>
    </row>
    <row r="337" spans="1:14">
      <c r="A337">
        <v>336</v>
      </c>
      <c r="B337">
        <v>836</v>
      </c>
      <c r="C337" t="s">
        <v>49</v>
      </c>
      <c r="D337" s="1">
        <v>45869</v>
      </c>
      <c r="E337" s="1">
        <v>45871</v>
      </c>
      <c r="F337" t="s">
        <v>57</v>
      </c>
      <c r="G337">
        <v>2</v>
      </c>
      <c r="H337">
        <v>228</v>
      </c>
      <c r="I337" t="s">
        <v>61</v>
      </c>
      <c r="J337">
        <f t="shared" si="15"/>
        <v>15.2</v>
      </c>
      <c r="K337" t="str">
        <f t="shared" si="16"/>
        <v>31/07/2025Paediatrics</v>
      </c>
      <c r="L337">
        <f>VLOOKUP(K337, Sheet2!$A$2:$B$4186, 2,FALSE)</f>
        <v>11</v>
      </c>
      <c r="M337">
        <f>VLOOKUP(C337,Depts!$B$1:$D$16,3,FALSE)</f>
        <v>30</v>
      </c>
      <c r="N337" s="1" t="b">
        <f t="shared" si="14"/>
        <v>1</v>
      </c>
    </row>
    <row r="338" spans="1:14">
      <c r="A338">
        <v>337</v>
      </c>
      <c r="B338">
        <v>14</v>
      </c>
      <c r="C338" t="s">
        <v>42</v>
      </c>
      <c r="D338" s="1">
        <v>45870</v>
      </c>
      <c r="E338" s="1">
        <v>45875</v>
      </c>
      <c r="F338" t="s">
        <v>56</v>
      </c>
      <c r="G338">
        <v>5</v>
      </c>
      <c r="H338">
        <v>27</v>
      </c>
      <c r="I338" t="s">
        <v>60</v>
      </c>
      <c r="J338">
        <f t="shared" si="15"/>
        <v>4.5</v>
      </c>
      <c r="K338" t="str">
        <f t="shared" si="16"/>
        <v>01/08/2025Gastroenterology</v>
      </c>
      <c r="L338">
        <f>VLOOKUP(K338, Sheet2!$A$2:$B$4186, 2,FALSE)</f>
        <v>9</v>
      </c>
      <c r="M338">
        <f>VLOOKUP(C338,Depts!$B$1:$D$16,3,FALSE)</f>
        <v>29</v>
      </c>
      <c r="N338" s="1" t="b">
        <f t="shared" si="14"/>
        <v>1</v>
      </c>
    </row>
    <row r="339" spans="1:14">
      <c r="A339">
        <v>338</v>
      </c>
      <c r="B339">
        <v>449</v>
      </c>
      <c r="C339" t="s">
        <v>41</v>
      </c>
      <c r="D339" s="1">
        <v>45871</v>
      </c>
      <c r="E339" s="1">
        <v>45873</v>
      </c>
      <c r="F339" t="s">
        <v>57</v>
      </c>
      <c r="G339">
        <v>2</v>
      </c>
      <c r="H339">
        <v>232</v>
      </c>
      <c r="I339" t="s">
        <v>60</v>
      </c>
      <c r="J339">
        <f t="shared" si="15"/>
        <v>15.466666666666667</v>
      </c>
      <c r="K339" t="str">
        <f t="shared" si="16"/>
        <v>02/08/2025ENT</v>
      </c>
      <c r="L339">
        <f>VLOOKUP(K339, Sheet2!$A$2:$B$4186, 2,FALSE)</f>
        <v>10</v>
      </c>
      <c r="M339">
        <f>VLOOKUP(C339,Depts!$B$1:$D$16,3,FALSE)</f>
        <v>20</v>
      </c>
      <c r="N339" s="1" t="b">
        <f t="shared" si="14"/>
        <v>1</v>
      </c>
    </row>
    <row r="340" spans="1:14">
      <c r="A340">
        <v>339</v>
      </c>
      <c r="B340">
        <v>93</v>
      </c>
      <c r="C340" t="s">
        <v>44</v>
      </c>
      <c r="D340" s="1">
        <v>45871</v>
      </c>
      <c r="E340" s="1">
        <v>45877</v>
      </c>
      <c r="F340" t="s">
        <v>56</v>
      </c>
      <c r="G340">
        <v>6</v>
      </c>
      <c r="H340">
        <v>27</v>
      </c>
      <c r="I340" t="s">
        <v>60</v>
      </c>
      <c r="J340">
        <f t="shared" si="15"/>
        <v>5.4</v>
      </c>
      <c r="K340" t="str">
        <f t="shared" si="16"/>
        <v>02/08/2025Geriatrics</v>
      </c>
      <c r="L340">
        <f>VLOOKUP(K340, Sheet2!$A$2:$B$4186, 2,FALSE)</f>
        <v>12</v>
      </c>
      <c r="M340">
        <f>VLOOKUP(C340,Depts!$B$1:$D$16,3,FALSE)</f>
        <v>46</v>
      </c>
      <c r="N340" s="1" t="b">
        <f t="shared" si="14"/>
        <v>1</v>
      </c>
    </row>
    <row r="341" spans="1:14">
      <c r="A341">
        <v>401</v>
      </c>
      <c r="B341">
        <v>310</v>
      </c>
      <c r="C341" t="s">
        <v>39</v>
      </c>
      <c r="D341" s="1">
        <v>45876</v>
      </c>
      <c r="E341" s="1">
        <v>45877</v>
      </c>
      <c r="F341" t="s">
        <v>57</v>
      </c>
      <c r="G341">
        <v>1</v>
      </c>
      <c r="H341">
        <v>186</v>
      </c>
      <c r="I341" t="s">
        <v>60</v>
      </c>
      <c r="J341">
        <f t="shared" si="15"/>
        <v>6.2</v>
      </c>
      <c r="K341" t="str">
        <f t="shared" si="16"/>
        <v>07/08/2025A&amp;E (Emergency)</v>
      </c>
      <c r="L341">
        <f>VLOOKUP(K341, Sheet2!$A$2:$B$4186, 2,FALSE)</f>
        <v>23</v>
      </c>
      <c r="M341">
        <f>VLOOKUP(C341,Depts!$B$1:$D$16,3,FALSE)</f>
        <v>42</v>
      </c>
      <c r="N341" s="1" t="b">
        <f t="shared" si="14"/>
        <v>1</v>
      </c>
    </row>
    <row r="342" spans="1:14">
      <c r="A342">
        <v>402</v>
      </c>
      <c r="B342">
        <v>301</v>
      </c>
      <c r="C342" t="s">
        <v>50</v>
      </c>
      <c r="D342" s="1">
        <v>45877</v>
      </c>
      <c r="E342" s="1">
        <v>45882</v>
      </c>
      <c r="F342" t="s">
        <v>56</v>
      </c>
      <c r="G342">
        <v>5</v>
      </c>
      <c r="H342">
        <v>16</v>
      </c>
      <c r="I342" t="s">
        <v>60</v>
      </c>
      <c r="J342">
        <f t="shared" si="15"/>
        <v>2.6666666666666665</v>
      </c>
      <c r="K342" t="str">
        <f t="shared" si="16"/>
        <v>08/08/2025Renal Medicine</v>
      </c>
      <c r="L342">
        <f>VLOOKUP(K342, Sheet2!$A$2:$B$4186, 2,FALSE)</f>
        <v>18</v>
      </c>
      <c r="M342">
        <f>VLOOKUP(C342,Depts!$B$1:$D$16,3,FALSE)</f>
        <v>26</v>
      </c>
      <c r="N342" s="1" t="b">
        <f t="shared" si="14"/>
        <v>1</v>
      </c>
    </row>
    <row r="343" spans="1:14">
      <c r="A343">
        <v>403</v>
      </c>
      <c r="B343">
        <v>791</v>
      </c>
      <c r="C343" t="s">
        <v>46</v>
      </c>
      <c r="D343" s="1">
        <v>45878</v>
      </c>
      <c r="E343" s="1">
        <v>45884</v>
      </c>
      <c r="F343" t="s">
        <v>56</v>
      </c>
      <c r="G343">
        <v>6</v>
      </c>
      <c r="H343">
        <v>21</v>
      </c>
      <c r="I343" t="s">
        <v>60</v>
      </c>
      <c r="J343">
        <f t="shared" si="15"/>
        <v>4.1999999999999993</v>
      </c>
      <c r="K343" t="str">
        <f t="shared" si="16"/>
        <v>09/08/2025Neurology</v>
      </c>
      <c r="L343">
        <f>VLOOKUP(K343, Sheet2!$A$2:$B$4186, 2,FALSE)</f>
        <v>9</v>
      </c>
      <c r="M343">
        <f>VLOOKUP(C343,Depts!$B$1:$D$16,3,FALSE)</f>
        <v>32</v>
      </c>
      <c r="N343" s="1" t="b">
        <f t="shared" si="14"/>
        <v>1</v>
      </c>
    </row>
    <row r="344" spans="1:14">
      <c r="A344">
        <v>404</v>
      </c>
      <c r="B344">
        <v>400</v>
      </c>
      <c r="C344" t="s">
        <v>45</v>
      </c>
      <c r="D344" s="1">
        <v>45878</v>
      </c>
      <c r="E344" s="1">
        <v>45880</v>
      </c>
      <c r="F344" t="s">
        <v>57</v>
      </c>
      <c r="G344">
        <v>2</v>
      </c>
      <c r="H344">
        <v>143</v>
      </c>
      <c r="I344" t="s">
        <v>60</v>
      </c>
      <c r="J344">
        <f t="shared" si="15"/>
        <v>9.5333333333333332</v>
      </c>
      <c r="K344" t="str">
        <f t="shared" si="16"/>
        <v>09/08/2025Maternity</v>
      </c>
      <c r="L344">
        <f>VLOOKUP(K344, Sheet2!$A$2:$B$4186, 2,FALSE)</f>
        <v>10</v>
      </c>
      <c r="M344">
        <f>VLOOKUP(C344,Depts!$B$1:$D$16,3,FALSE)</f>
        <v>34</v>
      </c>
      <c r="N344" s="1" t="b">
        <f t="shared" si="14"/>
        <v>1</v>
      </c>
    </row>
    <row r="345" spans="1:14">
      <c r="A345">
        <v>405</v>
      </c>
      <c r="B345">
        <v>36</v>
      </c>
      <c r="C345" t="s">
        <v>48</v>
      </c>
      <c r="D345" s="1">
        <v>45879</v>
      </c>
      <c r="E345" s="1">
        <v>45884</v>
      </c>
      <c r="F345" t="s">
        <v>56</v>
      </c>
      <c r="G345">
        <v>5</v>
      </c>
      <c r="H345">
        <v>11</v>
      </c>
      <c r="I345" t="s">
        <v>60</v>
      </c>
      <c r="J345">
        <f t="shared" si="15"/>
        <v>1.8333333333333333</v>
      </c>
      <c r="K345" t="str">
        <f t="shared" si="16"/>
        <v>10/08/2025Orthopaedics</v>
      </c>
      <c r="L345">
        <f>VLOOKUP(K345, Sheet2!$A$2:$B$4186, 2,FALSE)</f>
        <v>10</v>
      </c>
      <c r="M345">
        <f>VLOOKUP(C345,Depts!$B$1:$D$16,3,FALSE)</f>
        <v>40</v>
      </c>
      <c r="N345" s="1" t="b">
        <f t="shared" si="14"/>
        <v>1</v>
      </c>
    </row>
    <row r="346" spans="1:14">
      <c r="A346">
        <v>406</v>
      </c>
      <c r="B346">
        <v>193</v>
      </c>
      <c r="C346" t="s">
        <v>49</v>
      </c>
      <c r="D346" s="1">
        <v>45879</v>
      </c>
      <c r="E346" s="1">
        <v>45881</v>
      </c>
      <c r="F346" t="s">
        <v>57</v>
      </c>
      <c r="G346">
        <v>2</v>
      </c>
      <c r="H346">
        <v>20</v>
      </c>
      <c r="I346" t="s">
        <v>60</v>
      </c>
      <c r="J346">
        <f t="shared" si="15"/>
        <v>1.3333333333333333</v>
      </c>
      <c r="K346" t="str">
        <f t="shared" si="16"/>
        <v>10/08/2025Paediatrics</v>
      </c>
      <c r="L346">
        <f>VLOOKUP(K346, Sheet2!$A$2:$B$4186, 2,FALSE)</f>
        <v>8</v>
      </c>
      <c r="M346">
        <f>VLOOKUP(C346,Depts!$B$1:$D$16,3,FALSE)</f>
        <v>30</v>
      </c>
      <c r="N346" s="1" t="b">
        <f t="shared" si="14"/>
        <v>1</v>
      </c>
    </row>
    <row r="347" spans="1:14">
      <c r="A347">
        <v>407</v>
      </c>
      <c r="B347">
        <v>630</v>
      </c>
      <c r="C347" t="s">
        <v>42</v>
      </c>
      <c r="D347" s="1">
        <v>45880</v>
      </c>
      <c r="E347" s="1">
        <v>45885</v>
      </c>
      <c r="F347" t="s">
        <v>56</v>
      </c>
      <c r="G347">
        <v>5</v>
      </c>
      <c r="H347">
        <v>44</v>
      </c>
      <c r="I347" t="s">
        <v>60</v>
      </c>
      <c r="J347">
        <f t="shared" si="15"/>
        <v>7.333333333333333</v>
      </c>
      <c r="K347" t="str">
        <f t="shared" si="16"/>
        <v>11/08/2025Gastroenterology</v>
      </c>
      <c r="L347">
        <f>VLOOKUP(K347, Sheet2!$A$2:$B$4186, 2,FALSE)</f>
        <v>12</v>
      </c>
      <c r="M347">
        <f>VLOOKUP(C347,Depts!$B$1:$D$16,3,FALSE)</f>
        <v>29</v>
      </c>
      <c r="N347" s="1" t="b">
        <f t="shared" si="14"/>
        <v>1</v>
      </c>
    </row>
    <row r="348" spans="1:14">
      <c r="A348">
        <v>408</v>
      </c>
      <c r="B348">
        <v>31</v>
      </c>
      <c r="C348" t="s">
        <v>41</v>
      </c>
      <c r="D348" s="1">
        <v>45881</v>
      </c>
      <c r="E348" s="1">
        <v>45883</v>
      </c>
      <c r="F348" t="s">
        <v>57</v>
      </c>
      <c r="G348">
        <v>2</v>
      </c>
      <c r="H348">
        <v>217</v>
      </c>
      <c r="I348" t="s">
        <v>60</v>
      </c>
      <c r="J348">
        <f t="shared" si="15"/>
        <v>14.466666666666667</v>
      </c>
      <c r="K348" t="str">
        <f t="shared" si="16"/>
        <v>12/08/2025ENT</v>
      </c>
      <c r="L348">
        <f>VLOOKUP(K348, Sheet2!$A$2:$B$4186, 2,FALSE)</f>
        <v>12</v>
      </c>
      <c r="M348">
        <f>VLOOKUP(C348,Depts!$B$1:$D$16,3,FALSE)</f>
        <v>20</v>
      </c>
      <c r="N348" s="1" t="b">
        <f t="shared" si="14"/>
        <v>1</v>
      </c>
    </row>
    <row r="349" spans="1:14">
      <c r="A349">
        <v>409</v>
      </c>
      <c r="B349">
        <v>292</v>
      </c>
      <c r="C349" t="s">
        <v>44</v>
      </c>
      <c r="D349" s="1">
        <v>45881</v>
      </c>
      <c r="E349" s="1">
        <v>45887</v>
      </c>
      <c r="F349" t="s">
        <v>56</v>
      </c>
      <c r="G349">
        <v>6</v>
      </c>
      <c r="H349">
        <v>1</v>
      </c>
      <c r="I349" t="s">
        <v>60</v>
      </c>
      <c r="J349">
        <f t="shared" si="15"/>
        <v>0.2</v>
      </c>
      <c r="K349" t="str">
        <f t="shared" si="16"/>
        <v>12/08/2025Geriatrics</v>
      </c>
      <c r="L349">
        <f>VLOOKUP(K349, Sheet2!$A$2:$B$4186, 2,FALSE)</f>
        <v>15</v>
      </c>
      <c r="M349">
        <f>VLOOKUP(C349,Depts!$B$1:$D$16,3,FALSE)</f>
        <v>46</v>
      </c>
      <c r="N349" s="1" t="b">
        <f t="shared" si="14"/>
        <v>1</v>
      </c>
    </row>
    <row r="350" spans="1:14">
      <c r="A350">
        <v>410</v>
      </c>
      <c r="B350">
        <v>131</v>
      </c>
      <c r="C350" t="s">
        <v>51</v>
      </c>
      <c r="D350" s="1">
        <v>45882</v>
      </c>
      <c r="E350" s="1">
        <v>45884</v>
      </c>
      <c r="F350" t="s">
        <v>57</v>
      </c>
      <c r="G350">
        <v>2</v>
      </c>
      <c r="H350">
        <v>54</v>
      </c>
      <c r="I350" t="s">
        <v>61</v>
      </c>
      <c r="J350">
        <f t="shared" si="15"/>
        <v>3.6</v>
      </c>
      <c r="K350" t="str">
        <f t="shared" si="16"/>
        <v>13/08/2025Respiratory</v>
      </c>
      <c r="L350">
        <f>VLOOKUP(K350, Sheet2!$A$2:$B$4186, 2,FALSE)</f>
        <v>13</v>
      </c>
      <c r="M350">
        <f>VLOOKUP(C350,Depts!$B$1:$D$16,3,FALSE)</f>
        <v>36</v>
      </c>
      <c r="N350" s="1" t="b">
        <f t="shared" si="14"/>
        <v>1</v>
      </c>
    </row>
    <row r="351" spans="1:14">
      <c r="A351">
        <v>411</v>
      </c>
      <c r="B351">
        <v>273</v>
      </c>
      <c r="C351" t="s">
        <v>43</v>
      </c>
      <c r="D351" s="1">
        <v>45883</v>
      </c>
      <c r="E351" s="1">
        <v>45888</v>
      </c>
      <c r="F351" t="s">
        <v>56</v>
      </c>
      <c r="G351">
        <v>5</v>
      </c>
      <c r="H351">
        <v>3</v>
      </c>
      <c r="I351" t="s">
        <v>60</v>
      </c>
      <c r="J351">
        <f t="shared" si="15"/>
        <v>0.5</v>
      </c>
      <c r="K351" t="str">
        <f t="shared" si="16"/>
        <v>14/08/2025General Surgery</v>
      </c>
      <c r="L351">
        <f>VLOOKUP(K351, Sheet2!$A$2:$B$4186, 2,FALSE)</f>
        <v>19</v>
      </c>
      <c r="M351">
        <f>VLOOKUP(C351,Depts!$B$1:$D$16,3,FALSE)</f>
        <v>44</v>
      </c>
      <c r="N351" s="1" t="b">
        <f t="shared" si="14"/>
        <v>1</v>
      </c>
    </row>
    <row r="352" spans="1:14">
      <c r="A352">
        <v>412</v>
      </c>
      <c r="B352">
        <v>683</v>
      </c>
      <c r="C352" t="s">
        <v>40</v>
      </c>
      <c r="D352" s="1">
        <v>45883</v>
      </c>
      <c r="E352" s="1">
        <v>45886</v>
      </c>
      <c r="F352" t="s">
        <v>58</v>
      </c>
      <c r="G352">
        <v>3</v>
      </c>
      <c r="H352">
        <v>57</v>
      </c>
      <c r="I352" t="s">
        <v>60</v>
      </c>
      <c r="J352">
        <f t="shared" si="15"/>
        <v>5.6999999999999993</v>
      </c>
      <c r="K352" t="str">
        <f t="shared" si="16"/>
        <v>14/08/2025Cardiology</v>
      </c>
      <c r="L352">
        <f>VLOOKUP(K352, Sheet2!$A$2:$B$4186, 2,FALSE)</f>
        <v>16</v>
      </c>
      <c r="M352">
        <f>VLOOKUP(C352,Depts!$B$1:$D$16,3,FALSE)</f>
        <v>38</v>
      </c>
      <c r="N352" s="1" t="b">
        <f t="shared" si="14"/>
        <v>1</v>
      </c>
    </row>
    <row r="353" spans="1:14">
      <c r="A353">
        <v>413</v>
      </c>
      <c r="B353">
        <v>838</v>
      </c>
      <c r="C353" t="s">
        <v>47</v>
      </c>
      <c r="D353" s="1">
        <v>45884</v>
      </c>
      <c r="E353" s="1">
        <v>45889</v>
      </c>
      <c r="F353" t="s">
        <v>56</v>
      </c>
      <c r="G353">
        <v>5</v>
      </c>
      <c r="H353">
        <v>43</v>
      </c>
      <c r="I353" t="s">
        <v>60</v>
      </c>
      <c r="J353">
        <f t="shared" si="15"/>
        <v>7.166666666666667</v>
      </c>
      <c r="K353" t="str">
        <f t="shared" si="16"/>
        <v>15/08/2025Oncology</v>
      </c>
      <c r="L353">
        <f>VLOOKUP(K353, Sheet2!$A$2:$B$4186, 2,FALSE)</f>
        <v>15</v>
      </c>
      <c r="M353">
        <f>VLOOKUP(C353,Depts!$B$1:$D$16,3,FALSE)</f>
        <v>28</v>
      </c>
      <c r="N353" s="1" t="b">
        <f t="shared" si="14"/>
        <v>1</v>
      </c>
    </row>
    <row r="354" spans="1:14">
      <c r="A354">
        <v>414</v>
      </c>
      <c r="B354">
        <v>213</v>
      </c>
      <c r="C354" t="s">
        <v>39</v>
      </c>
      <c r="D354" s="1">
        <v>45884</v>
      </c>
      <c r="E354" s="1">
        <v>45885</v>
      </c>
      <c r="F354" t="s">
        <v>57</v>
      </c>
      <c r="G354">
        <v>1</v>
      </c>
      <c r="H354">
        <v>55</v>
      </c>
      <c r="I354" t="s">
        <v>60</v>
      </c>
      <c r="J354">
        <f t="shared" si="15"/>
        <v>1.8333333333333333</v>
      </c>
      <c r="K354" t="str">
        <f t="shared" si="16"/>
        <v>15/08/2025A&amp;E (Emergency)</v>
      </c>
      <c r="L354">
        <f>VLOOKUP(K354, Sheet2!$A$2:$B$4186, 2,FALSE)</f>
        <v>22</v>
      </c>
      <c r="M354">
        <f>VLOOKUP(C354,Depts!$B$1:$D$16,3,FALSE)</f>
        <v>42</v>
      </c>
      <c r="N354" s="1" t="b">
        <f t="shared" si="14"/>
        <v>1</v>
      </c>
    </row>
    <row r="355" spans="1:14">
      <c r="A355">
        <v>415</v>
      </c>
      <c r="B355">
        <v>316</v>
      </c>
      <c r="C355" t="s">
        <v>50</v>
      </c>
      <c r="D355" s="1">
        <v>45885</v>
      </c>
      <c r="E355" s="1">
        <v>45890</v>
      </c>
      <c r="F355" t="s">
        <v>56</v>
      </c>
      <c r="G355">
        <v>5</v>
      </c>
      <c r="H355">
        <v>10</v>
      </c>
      <c r="I355" t="s">
        <v>60</v>
      </c>
      <c r="J355">
        <f t="shared" si="15"/>
        <v>1.6666666666666665</v>
      </c>
      <c r="K355" t="str">
        <f t="shared" si="16"/>
        <v>16/08/2025Renal Medicine</v>
      </c>
      <c r="L355">
        <f>VLOOKUP(K355, Sheet2!$A$2:$B$4186, 2,FALSE)</f>
        <v>17</v>
      </c>
      <c r="M355">
        <f>VLOOKUP(C355,Depts!$B$1:$D$16,3,FALSE)</f>
        <v>26</v>
      </c>
      <c r="N355" s="1" t="b">
        <f t="shared" si="14"/>
        <v>1</v>
      </c>
    </row>
    <row r="356" spans="1:14">
      <c r="A356">
        <v>416</v>
      </c>
      <c r="B356">
        <v>499</v>
      </c>
      <c r="C356" t="s">
        <v>46</v>
      </c>
      <c r="D356" s="1">
        <v>45886</v>
      </c>
      <c r="E356" s="1">
        <v>45892</v>
      </c>
      <c r="F356" t="s">
        <v>56</v>
      </c>
      <c r="G356">
        <v>6</v>
      </c>
      <c r="H356">
        <v>27</v>
      </c>
      <c r="I356" t="s">
        <v>60</v>
      </c>
      <c r="J356">
        <f t="shared" si="15"/>
        <v>5.4</v>
      </c>
      <c r="K356" t="str">
        <f t="shared" si="16"/>
        <v>17/08/2025Neurology</v>
      </c>
      <c r="L356">
        <f>VLOOKUP(K356, Sheet2!$A$2:$B$4186, 2,FALSE)</f>
        <v>9</v>
      </c>
      <c r="M356">
        <f>VLOOKUP(C356,Depts!$B$1:$D$16,3,FALSE)</f>
        <v>32</v>
      </c>
      <c r="N356" s="1" t="b">
        <f t="shared" si="14"/>
        <v>1</v>
      </c>
    </row>
    <row r="357" spans="1:14">
      <c r="A357">
        <v>417</v>
      </c>
      <c r="B357">
        <v>994</v>
      </c>
      <c r="C357" t="s">
        <v>45</v>
      </c>
      <c r="D357" s="1">
        <v>45886</v>
      </c>
      <c r="E357" s="1">
        <v>45888</v>
      </c>
      <c r="F357" t="s">
        <v>57</v>
      </c>
      <c r="G357">
        <v>2</v>
      </c>
      <c r="H357">
        <v>110</v>
      </c>
      <c r="I357" t="s">
        <v>60</v>
      </c>
      <c r="J357">
        <f t="shared" si="15"/>
        <v>7.333333333333333</v>
      </c>
      <c r="K357" t="str">
        <f t="shared" si="16"/>
        <v>17/08/2025Maternity</v>
      </c>
      <c r="L357">
        <f>VLOOKUP(K357, Sheet2!$A$2:$B$4186, 2,FALSE)</f>
        <v>9</v>
      </c>
      <c r="M357">
        <f>VLOOKUP(C357,Depts!$B$1:$D$16,3,FALSE)</f>
        <v>34</v>
      </c>
      <c r="N357" s="1" t="b">
        <f t="shared" si="14"/>
        <v>1</v>
      </c>
    </row>
    <row r="358" spans="1:14">
      <c r="A358">
        <v>418</v>
      </c>
      <c r="B358">
        <v>653</v>
      </c>
      <c r="C358" t="s">
        <v>48</v>
      </c>
      <c r="D358" s="1">
        <v>45887</v>
      </c>
      <c r="E358" s="1">
        <v>45892</v>
      </c>
      <c r="F358" t="s">
        <v>56</v>
      </c>
      <c r="G358">
        <v>5</v>
      </c>
      <c r="H358">
        <v>3</v>
      </c>
      <c r="I358" t="s">
        <v>60</v>
      </c>
      <c r="J358">
        <f t="shared" si="15"/>
        <v>0.5</v>
      </c>
      <c r="K358" t="str">
        <f t="shared" si="16"/>
        <v>18/08/2025Orthopaedics</v>
      </c>
      <c r="L358">
        <f>VLOOKUP(K358, Sheet2!$A$2:$B$4186, 2,FALSE)</f>
        <v>16</v>
      </c>
      <c r="M358">
        <f>VLOOKUP(C358,Depts!$B$1:$D$16,3,FALSE)</f>
        <v>40</v>
      </c>
      <c r="N358" s="1" t="b">
        <f t="shared" si="14"/>
        <v>1</v>
      </c>
    </row>
    <row r="359" spans="1:14">
      <c r="A359">
        <v>419</v>
      </c>
      <c r="B359">
        <v>784</v>
      </c>
      <c r="C359" t="s">
        <v>49</v>
      </c>
      <c r="D359" s="1">
        <v>45887</v>
      </c>
      <c r="E359" s="1">
        <v>45889</v>
      </c>
      <c r="F359" t="s">
        <v>57</v>
      </c>
      <c r="G359">
        <v>2</v>
      </c>
      <c r="H359">
        <v>130</v>
      </c>
      <c r="I359" t="s">
        <v>60</v>
      </c>
      <c r="J359">
        <f t="shared" si="15"/>
        <v>8.6666666666666661</v>
      </c>
      <c r="K359" t="str">
        <f t="shared" si="16"/>
        <v>18/08/2025Paediatrics</v>
      </c>
      <c r="L359">
        <f>VLOOKUP(K359, Sheet2!$A$2:$B$4186, 2,FALSE)</f>
        <v>13</v>
      </c>
      <c r="M359">
        <f>VLOOKUP(C359,Depts!$B$1:$D$16,3,FALSE)</f>
        <v>30</v>
      </c>
      <c r="N359" s="1" t="b">
        <f t="shared" si="14"/>
        <v>1</v>
      </c>
    </row>
    <row r="360" spans="1:14">
      <c r="A360">
        <v>420</v>
      </c>
      <c r="B360">
        <v>165</v>
      </c>
      <c r="C360" t="s">
        <v>42</v>
      </c>
      <c r="D360" s="1">
        <v>45888</v>
      </c>
      <c r="E360" s="1">
        <v>45893</v>
      </c>
      <c r="F360" t="s">
        <v>56</v>
      </c>
      <c r="G360">
        <v>5</v>
      </c>
      <c r="H360">
        <v>20</v>
      </c>
      <c r="I360" t="s">
        <v>60</v>
      </c>
      <c r="J360">
        <f t="shared" si="15"/>
        <v>3.333333333333333</v>
      </c>
      <c r="K360" t="str">
        <f t="shared" si="16"/>
        <v>19/08/2025Gastroenterology</v>
      </c>
      <c r="L360">
        <f>VLOOKUP(K360, Sheet2!$A$2:$B$4186, 2,FALSE)</f>
        <v>11</v>
      </c>
      <c r="M360">
        <f>VLOOKUP(C360,Depts!$B$1:$D$16,3,FALSE)</f>
        <v>29</v>
      </c>
      <c r="N360" s="1" t="b">
        <f t="shared" si="14"/>
        <v>1</v>
      </c>
    </row>
    <row r="361" spans="1:14">
      <c r="A361">
        <v>421</v>
      </c>
      <c r="B361">
        <v>481</v>
      </c>
      <c r="C361" t="s">
        <v>41</v>
      </c>
      <c r="D361" s="1">
        <v>45889</v>
      </c>
      <c r="E361" s="1">
        <v>45891</v>
      </c>
      <c r="F361" t="s">
        <v>57</v>
      </c>
      <c r="G361">
        <v>2</v>
      </c>
      <c r="H361">
        <v>122</v>
      </c>
      <c r="I361" t="s">
        <v>60</v>
      </c>
      <c r="J361">
        <f t="shared" si="15"/>
        <v>8.1333333333333329</v>
      </c>
      <c r="K361" t="str">
        <f t="shared" si="16"/>
        <v>20/08/2025ENT</v>
      </c>
      <c r="L361">
        <f>VLOOKUP(K361, Sheet2!$A$2:$B$4186, 2,FALSE)</f>
        <v>12</v>
      </c>
      <c r="M361">
        <f>VLOOKUP(C361,Depts!$B$1:$D$16,3,FALSE)</f>
        <v>20</v>
      </c>
      <c r="N361" s="1" t="b">
        <f t="shared" si="14"/>
        <v>1</v>
      </c>
    </row>
    <row r="362" spans="1:14">
      <c r="A362">
        <v>422</v>
      </c>
      <c r="B362">
        <v>829</v>
      </c>
      <c r="C362" t="s">
        <v>44</v>
      </c>
      <c r="D362" s="1">
        <v>45889</v>
      </c>
      <c r="E362" s="1">
        <v>45895</v>
      </c>
      <c r="F362" t="s">
        <v>56</v>
      </c>
      <c r="G362">
        <v>6</v>
      </c>
      <c r="H362">
        <v>35</v>
      </c>
      <c r="I362" t="s">
        <v>60</v>
      </c>
      <c r="J362">
        <f t="shared" si="15"/>
        <v>7</v>
      </c>
      <c r="K362" t="str">
        <f t="shared" si="16"/>
        <v>20/08/2025Geriatrics</v>
      </c>
      <c r="L362">
        <f>VLOOKUP(K362, Sheet2!$A$2:$B$4186, 2,FALSE)</f>
        <v>14</v>
      </c>
      <c r="M362">
        <f>VLOOKUP(C362,Depts!$B$1:$D$16,3,FALSE)</f>
        <v>46</v>
      </c>
      <c r="N362" s="1" t="b">
        <f t="shared" si="14"/>
        <v>1</v>
      </c>
    </row>
    <row r="363" spans="1:14">
      <c r="A363">
        <v>423</v>
      </c>
      <c r="B363">
        <v>540</v>
      </c>
      <c r="C363" t="s">
        <v>51</v>
      </c>
      <c r="D363" s="1">
        <v>45890</v>
      </c>
      <c r="E363" s="1">
        <v>45892</v>
      </c>
      <c r="F363" t="s">
        <v>57</v>
      </c>
      <c r="G363">
        <v>2</v>
      </c>
      <c r="H363">
        <v>148</v>
      </c>
      <c r="I363" t="s">
        <v>60</v>
      </c>
      <c r="J363">
        <f t="shared" si="15"/>
        <v>9.8666666666666671</v>
      </c>
      <c r="K363" t="str">
        <f t="shared" si="16"/>
        <v>21/08/2025Respiratory</v>
      </c>
      <c r="L363">
        <f>VLOOKUP(K363, Sheet2!$A$2:$B$4186, 2,FALSE)</f>
        <v>13</v>
      </c>
      <c r="M363">
        <f>VLOOKUP(C363,Depts!$B$1:$D$16,3,FALSE)</f>
        <v>36</v>
      </c>
      <c r="N363" s="1" t="b">
        <f t="shared" si="14"/>
        <v>1</v>
      </c>
    </row>
    <row r="364" spans="1:14">
      <c r="A364">
        <v>424</v>
      </c>
      <c r="B364">
        <v>196</v>
      </c>
      <c r="C364" t="s">
        <v>43</v>
      </c>
      <c r="D364" s="1">
        <v>45891</v>
      </c>
      <c r="E364" s="1">
        <v>45896</v>
      </c>
      <c r="F364" t="s">
        <v>56</v>
      </c>
      <c r="G364">
        <v>5</v>
      </c>
      <c r="H364">
        <v>24</v>
      </c>
      <c r="I364" t="s">
        <v>60</v>
      </c>
      <c r="J364">
        <f t="shared" si="15"/>
        <v>4</v>
      </c>
      <c r="K364" t="str">
        <f t="shared" si="16"/>
        <v>22/08/2025General Surgery</v>
      </c>
      <c r="L364">
        <f>VLOOKUP(K364, Sheet2!$A$2:$B$4186, 2,FALSE)</f>
        <v>18</v>
      </c>
      <c r="M364">
        <f>VLOOKUP(C364,Depts!$B$1:$D$16,3,FALSE)</f>
        <v>44</v>
      </c>
      <c r="N364" s="1" t="b">
        <f t="shared" si="14"/>
        <v>1</v>
      </c>
    </row>
    <row r="365" spans="1:14">
      <c r="A365">
        <v>425</v>
      </c>
      <c r="B365">
        <v>571</v>
      </c>
      <c r="C365" t="s">
        <v>40</v>
      </c>
      <c r="D365" s="1">
        <v>45891</v>
      </c>
      <c r="E365" s="1">
        <v>45894</v>
      </c>
      <c r="F365" t="s">
        <v>58</v>
      </c>
      <c r="G365">
        <v>3</v>
      </c>
      <c r="H365">
        <v>21</v>
      </c>
      <c r="I365" t="s">
        <v>60</v>
      </c>
      <c r="J365">
        <f t="shared" si="15"/>
        <v>2.0999999999999996</v>
      </c>
      <c r="K365" t="str">
        <f t="shared" si="16"/>
        <v>22/08/2025Cardiology</v>
      </c>
      <c r="L365">
        <f>VLOOKUP(K365, Sheet2!$A$2:$B$4186, 2,FALSE)</f>
        <v>15</v>
      </c>
      <c r="M365">
        <f>VLOOKUP(C365,Depts!$B$1:$D$16,3,FALSE)</f>
        <v>38</v>
      </c>
      <c r="N365" s="1" t="b">
        <f t="shared" si="14"/>
        <v>1</v>
      </c>
    </row>
    <row r="366" spans="1:14">
      <c r="A366">
        <v>426</v>
      </c>
      <c r="B366">
        <v>389</v>
      </c>
      <c r="C366" t="s">
        <v>47</v>
      </c>
      <c r="D366" s="1">
        <v>45892</v>
      </c>
      <c r="E366" s="1">
        <v>45897</v>
      </c>
      <c r="F366" t="s">
        <v>56</v>
      </c>
      <c r="G366">
        <v>5</v>
      </c>
      <c r="H366">
        <v>22</v>
      </c>
      <c r="I366" t="s">
        <v>60</v>
      </c>
      <c r="J366">
        <f t="shared" si="15"/>
        <v>3.6666666666666665</v>
      </c>
      <c r="K366" t="str">
        <f t="shared" si="16"/>
        <v>23/08/2025Oncology</v>
      </c>
      <c r="L366">
        <f>VLOOKUP(K366, Sheet2!$A$2:$B$4186, 2,FALSE)</f>
        <v>13</v>
      </c>
      <c r="M366">
        <f>VLOOKUP(C366,Depts!$B$1:$D$16,3,FALSE)</f>
        <v>28</v>
      </c>
      <c r="N366" s="1" t="b">
        <f t="shared" si="14"/>
        <v>1</v>
      </c>
    </row>
    <row r="367" spans="1:14">
      <c r="A367">
        <v>427</v>
      </c>
      <c r="B367">
        <v>155</v>
      </c>
      <c r="C367" t="s">
        <v>39</v>
      </c>
      <c r="D367" s="1">
        <v>45892</v>
      </c>
      <c r="E367" s="1">
        <v>45893</v>
      </c>
      <c r="F367" t="s">
        <v>57</v>
      </c>
      <c r="G367">
        <v>1</v>
      </c>
      <c r="H367">
        <v>69</v>
      </c>
      <c r="I367" t="s">
        <v>60</v>
      </c>
      <c r="J367">
        <f t="shared" si="15"/>
        <v>2.2999999999999998</v>
      </c>
      <c r="K367" t="str">
        <f t="shared" si="16"/>
        <v>23/08/2025A&amp;E (Emergency)</v>
      </c>
      <c r="L367">
        <f>VLOOKUP(K367, Sheet2!$A$2:$B$4186, 2,FALSE)</f>
        <v>20</v>
      </c>
      <c r="M367">
        <f>VLOOKUP(C367,Depts!$B$1:$D$16,3,FALSE)</f>
        <v>42</v>
      </c>
      <c r="N367" s="1" t="b">
        <f t="shared" si="14"/>
        <v>1</v>
      </c>
    </row>
    <row r="368" spans="1:14">
      <c r="A368">
        <v>428</v>
      </c>
      <c r="B368">
        <v>881</v>
      </c>
      <c r="C368" t="s">
        <v>50</v>
      </c>
      <c r="D368" s="1">
        <v>45893</v>
      </c>
      <c r="E368" s="1">
        <v>45898</v>
      </c>
      <c r="F368" t="s">
        <v>56</v>
      </c>
      <c r="G368">
        <v>5</v>
      </c>
      <c r="H368">
        <v>27</v>
      </c>
      <c r="I368" t="s">
        <v>60</v>
      </c>
      <c r="J368">
        <f t="shared" si="15"/>
        <v>4.5</v>
      </c>
      <c r="K368" t="str">
        <f t="shared" si="16"/>
        <v>24/08/2025Renal Medicine</v>
      </c>
      <c r="L368">
        <f>VLOOKUP(K368, Sheet2!$A$2:$B$4186, 2,FALSE)</f>
        <v>17</v>
      </c>
      <c r="M368">
        <f>VLOOKUP(C368,Depts!$B$1:$D$16,3,FALSE)</f>
        <v>26</v>
      </c>
      <c r="N368" s="1" t="b">
        <f t="shared" si="14"/>
        <v>1</v>
      </c>
    </row>
    <row r="369" spans="1:14">
      <c r="A369">
        <v>429</v>
      </c>
      <c r="B369">
        <v>102</v>
      </c>
      <c r="C369" t="s">
        <v>46</v>
      </c>
      <c r="D369" s="1">
        <v>45894</v>
      </c>
      <c r="E369" s="1">
        <v>45900</v>
      </c>
      <c r="F369" t="s">
        <v>56</v>
      </c>
      <c r="G369">
        <v>6</v>
      </c>
      <c r="H369">
        <v>36</v>
      </c>
      <c r="I369" t="s">
        <v>60</v>
      </c>
      <c r="J369">
        <f t="shared" si="15"/>
        <v>7.1999999999999993</v>
      </c>
      <c r="K369" t="str">
        <f t="shared" si="16"/>
        <v>25/08/2025Neurology</v>
      </c>
      <c r="L369">
        <f>VLOOKUP(K369, Sheet2!$A$2:$B$4186, 2,FALSE)</f>
        <v>14</v>
      </c>
      <c r="M369">
        <f>VLOOKUP(C369,Depts!$B$1:$D$16,3,FALSE)</f>
        <v>32</v>
      </c>
      <c r="N369" s="1" t="b">
        <f t="shared" ref="N369:N432" si="17">ISNUMBER(D369)</f>
        <v>1</v>
      </c>
    </row>
    <row r="370" spans="1:14">
      <c r="A370">
        <v>430</v>
      </c>
      <c r="B370">
        <v>342</v>
      </c>
      <c r="C370" t="s">
        <v>45</v>
      </c>
      <c r="D370" s="1">
        <v>45894</v>
      </c>
      <c r="E370" s="1">
        <v>45896</v>
      </c>
      <c r="F370" t="s">
        <v>57</v>
      </c>
      <c r="G370">
        <v>2</v>
      </c>
      <c r="H370">
        <v>24</v>
      </c>
      <c r="I370" t="s">
        <v>61</v>
      </c>
      <c r="J370">
        <f t="shared" si="15"/>
        <v>1.6</v>
      </c>
      <c r="K370" t="str">
        <f t="shared" si="16"/>
        <v>25/08/2025Maternity</v>
      </c>
      <c r="L370">
        <f>VLOOKUP(K370, Sheet2!$A$2:$B$4186, 2,FALSE)</f>
        <v>13</v>
      </c>
      <c r="M370">
        <f>VLOOKUP(C370,Depts!$B$1:$D$16,3,FALSE)</f>
        <v>34</v>
      </c>
      <c r="N370" s="1" t="b">
        <f t="shared" si="17"/>
        <v>1</v>
      </c>
    </row>
    <row r="371" spans="1:14">
      <c r="A371">
        <v>431</v>
      </c>
      <c r="B371">
        <v>189</v>
      </c>
      <c r="C371" t="s">
        <v>48</v>
      </c>
      <c r="D371" s="1">
        <v>45895</v>
      </c>
      <c r="E371" s="1">
        <v>45900</v>
      </c>
      <c r="F371" t="s">
        <v>56</v>
      </c>
      <c r="G371">
        <v>5</v>
      </c>
      <c r="H371">
        <v>36</v>
      </c>
      <c r="I371" t="s">
        <v>60</v>
      </c>
      <c r="J371">
        <f t="shared" si="15"/>
        <v>6</v>
      </c>
      <c r="K371" t="str">
        <f t="shared" si="16"/>
        <v>26/08/2025Orthopaedics</v>
      </c>
      <c r="L371">
        <f>VLOOKUP(K371, Sheet2!$A$2:$B$4186, 2,FALSE)</f>
        <v>15</v>
      </c>
      <c r="M371">
        <f>VLOOKUP(C371,Depts!$B$1:$D$16,3,FALSE)</f>
        <v>40</v>
      </c>
      <c r="N371" s="1" t="b">
        <f t="shared" si="17"/>
        <v>1</v>
      </c>
    </row>
    <row r="372" spans="1:14">
      <c r="A372">
        <v>432</v>
      </c>
      <c r="B372">
        <v>836</v>
      </c>
      <c r="C372" t="s">
        <v>49</v>
      </c>
      <c r="D372" s="1">
        <v>45895</v>
      </c>
      <c r="E372" s="1">
        <v>45897</v>
      </c>
      <c r="F372" t="s">
        <v>57</v>
      </c>
      <c r="G372">
        <v>2</v>
      </c>
      <c r="H372">
        <v>175</v>
      </c>
      <c r="I372" t="s">
        <v>60</v>
      </c>
      <c r="J372">
        <f t="shared" si="15"/>
        <v>11.666666666666666</v>
      </c>
      <c r="K372" t="str">
        <f t="shared" si="16"/>
        <v>26/08/2025Paediatrics</v>
      </c>
      <c r="L372">
        <f>VLOOKUP(K372, Sheet2!$A$2:$B$4186, 2,FALSE)</f>
        <v>12</v>
      </c>
      <c r="M372">
        <f>VLOOKUP(C372,Depts!$B$1:$D$16,3,FALSE)</f>
        <v>30</v>
      </c>
      <c r="N372" s="1" t="b">
        <f t="shared" si="17"/>
        <v>1</v>
      </c>
    </row>
    <row r="373" spans="1:14">
      <c r="A373">
        <v>433</v>
      </c>
      <c r="B373">
        <v>14</v>
      </c>
      <c r="C373" t="s">
        <v>42</v>
      </c>
      <c r="D373" s="1">
        <v>45896</v>
      </c>
      <c r="E373" s="1">
        <v>45901</v>
      </c>
      <c r="F373" t="s">
        <v>56</v>
      </c>
      <c r="G373">
        <v>5</v>
      </c>
      <c r="H373">
        <v>15</v>
      </c>
      <c r="I373" t="s">
        <v>60</v>
      </c>
      <c r="J373">
        <f t="shared" si="15"/>
        <v>2.5</v>
      </c>
      <c r="K373" t="str">
        <f t="shared" si="16"/>
        <v>27/08/2025Gastroenterology</v>
      </c>
      <c r="L373">
        <f>VLOOKUP(K373, Sheet2!$A$2:$B$4186, 2,FALSE)</f>
        <v>10</v>
      </c>
      <c r="M373">
        <f>VLOOKUP(C373,Depts!$B$1:$D$16,3,FALSE)</f>
        <v>29</v>
      </c>
      <c r="N373" s="1" t="b">
        <f t="shared" si="17"/>
        <v>1</v>
      </c>
    </row>
    <row r="374" spans="1:14">
      <c r="A374">
        <v>434</v>
      </c>
      <c r="B374">
        <v>449</v>
      </c>
      <c r="C374" t="s">
        <v>41</v>
      </c>
      <c r="D374" s="1">
        <v>45897</v>
      </c>
      <c r="E374" s="1">
        <v>45899</v>
      </c>
      <c r="F374" t="s">
        <v>57</v>
      </c>
      <c r="G374">
        <v>2</v>
      </c>
      <c r="H374">
        <v>207</v>
      </c>
      <c r="I374" t="s">
        <v>60</v>
      </c>
      <c r="J374">
        <f t="shared" si="15"/>
        <v>13.8</v>
      </c>
      <c r="K374" t="str">
        <f t="shared" si="16"/>
        <v>28/08/2025ENT</v>
      </c>
      <c r="L374">
        <f>VLOOKUP(K374, Sheet2!$A$2:$B$4186, 2,FALSE)</f>
        <v>12</v>
      </c>
      <c r="M374">
        <f>VLOOKUP(C374,Depts!$B$1:$D$16,3,FALSE)</f>
        <v>20</v>
      </c>
      <c r="N374" s="1" t="b">
        <f t="shared" si="17"/>
        <v>1</v>
      </c>
    </row>
    <row r="375" spans="1:14">
      <c r="A375">
        <v>435</v>
      </c>
      <c r="B375">
        <v>93</v>
      </c>
      <c r="C375" t="s">
        <v>44</v>
      </c>
      <c r="D375" s="1">
        <v>45897</v>
      </c>
      <c r="E375" s="1">
        <v>45903</v>
      </c>
      <c r="F375" t="s">
        <v>56</v>
      </c>
      <c r="G375">
        <v>6</v>
      </c>
      <c r="H375">
        <v>1</v>
      </c>
      <c r="I375" t="s">
        <v>61</v>
      </c>
      <c r="J375">
        <f t="shared" si="15"/>
        <v>0.2</v>
      </c>
      <c r="K375" t="str">
        <f t="shared" si="16"/>
        <v>28/08/2025Geriatrics</v>
      </c>
      <c r="L375">
        <f>VLOOKUP(K375, Sheet2!$A$2:$B$4186, 2,FALSE)</f>
        <v>14</v>
      </c>
      <c r="M375">
        <f>VLOOKUP(C375,Depts!$B$1:$D$16,3,FALSE)</f>
        <v>46</v>
      </c>
      <c r="N375" s="1" t="b">
        <f t="shared" si="17"/>
        <v>1</v>
      </c>
    </row>
    <row r="376" spans="1:14">
      <c r="A376">
        <v>436</v>
      </c>
      <c r="B376">
        <v>738</v>
      </c>
      <c r="C376" t="s">
        <v>51</v>
      </c>
      <c r="D376" s="1">
        <v>45898</v>
      </c>
      <c r="E376" s="1">
        <v>45900</v>
      </c>
      <c r="F376" t="s">
        <v>57</v>
      </c>
      <c r="G376">
        <v>2</v>
      </c>
      <c r="H376">
        <v>126</v>
      </c>
      <c r="I376" t="s">
        <v>60</v>
      </c>
      <c r="J376">
        <f t="shared" si="15"/>
        <v>8.4</v>
      </c>
      <c r="K376" t="str">
        <f t="shared" si="16"/>
        <v>29/08/2025Respiratory</v>
      </c>
      <c r="L376">
        <f>VLOOKUP(K376, Sheet2!$A$2:$B$4186, 2,FALSE)</f>
        <v>12</v>
      </c>
      <c r="M376">
        <f>VLOOKUP(C376,Depts!$B$1:$D$16,3,FALSE)</f>
        <v>36</v>
      </c>
      <c r="N376" s="1" t="b">
        <f t="shared" si="17"/>
        <v>1</v>
      </c>
    </row>
    <row r="377" spans="1:14">
      <c r="A377">
        <v>437</v>
      </c>
      <c r="B377">
        <v>390</v>
      </c>
      <c r="C377" t="s">
        <v>43</v>
      </c>
      <c r="D377" s="1">
        <v>45899</v>
      </c>
      <c r="E377" s="1">
        <v>45904</v>
      </c>
      <c r="F377" t="s">
        <v>56</v>
      </c>
      <c r="G377">
        <v>5</v>
      </c>
      <c r="H377">
        <v>11</v>
      </c>
      <c r="I377" t="s">
        <v>60</v>
      </c>
      <c r="J377">
        <f t="shared" si="15"/>
        <v>1.8333333333333333</v>
      </c>
      <c r="K377" t="str">
        <f t="shared" si="16"/>
        <v>30/08/2025General Surgery</v>
      </c>
      <c r="L377">
        <f>VLOOKUP(K377, Sheet2!$A$2:$B$4186, 2,FALSE)</f>
        <v>15</v>
      </c>
      <c r="M377">
        <f>VLOOKUP(C377,Depts!$B$1:$D$16,3,FALSE)</f>
        <v>44</v>
      </c>
      <c r="N377" s="1" t="b">
        <f t="shared" si="17"/>
        <v>1</v>
      </c>
    </row>
    <row r="378" spans="1:14">
      <c r="A378">
        <v>438</v>
      </c>
      <c r="B378">
        <v>582</v>
      </c>
      <c r="C378" t="s">
        <v>40</v>
      </c>
      <c r="D378" s="1">
        <v>45899</v>
      </c>
      <c r="E378" s="1">
        <v>45902</v>
      </c>
      <c r="F378" t="s">
        <v>58</v>
      </c>
      <c r="G378">
        <v>3</v>
      </c>
      <c r="H378">
        <v>20</v>
      </c>
      <c r="I378" t="s">
        <v>60</v>
      </c>
      <c r="J378">
        <f t="shared" si="15"/>
        <v>2</v>
      </c>
      <c r="K378" t="str">
        <f t="shared" si="16"/>
        <v>30/08/2025Cardiology</v>
      </c>
      <c r="L378">
        <f>VLOOKUP(K378, Sheet2!$A$2:$B$4186, 2,FALSE)</f>
        <v>12</v>
      </c>
      <c r="M378">
        <f>VLOOKUP(C378,Depts!$B$1:$D$16,3,FALSE)</f>
        <v>38</v>
      </c>
      <c r="N378" s="1" t="b">
        <f t="shared" si="17"/>
        <v>1</v>
      </c>
    </row>
    <row r="379" spans="1:14">
      <c r="A379">
        <v>439</v>
      </c>
      <c r="B379">
        <v>944</v>
      </c>
      <c r="C379" t="s">
        <v>47</v>
      </c>
      <c r="D379" s="1">
        <v>45900</v>
      </c>
      <c r="E379" s="1">
        <v>45905</v>
      </c>
      <c r="F379" t="s">
        <v>56</v>
      </c>
      <c r="G379">
        <v>5</v>
      </c>
      <c r="H379">
        <v>31</v>
      </c>
      <c r="I379" t="s">
        <v>60</v>
      </c>
      <c r="J379">
        <f t="shared" si="15"/>
        <v>5.166666666666667</v>
      </c>
      <c r="K379" t="str">
        <f t="shared" si="16"/>
        <v>31/08/2025Oncology</v>
      </c>
      <c r="L379">
        <f>VLOOKUP(K379, Sheet2!$A$2:$B$4186, 2,FALSE)</f>
        <v>12</v>
      </c>
      <c r="M379">
        <f>VLOOKUP(C379,Depts!$B$1:$D$16,3,FALSE)</f>
        <v>28</v>
      </c>
      <c r="N379" s="1" t="b">
        <f t="shared" si="17"/>
        <v>1</v>
      </c>
    </row>
    <row r="380" spans="1:14">
      <c r="A380">
        <v>440</v>
      </c>
      <c r="B380">
        <v>659</v>
      </c>
      <c r="C380" t="s">
        <v>39</v>
      </c>
      <c r="D380" s="1">
        <v>45900</v>
      </c>
      <c r="E380" s="1">
        <v>45901</v>
      </c>
      <c r="F380" t="s">
        <v>57</v>
      </c>
      <c r="G380">
        <v>1</v>
      </c>
      <c r="H380">
        <v>99</v>
      </c>
      <c r="I380" t="s">
        <v>60</v>
      </c>
      <c r="J380">
        <f t="shared" si="15"/>
        <v>3.3</v>
      </c>
      <c r="K380" t="str">
        <f t="shared" si="16"/>
        <v>31/08/2025A&amp;E (Emergency)</v>
      </c>
      <c r="L380">
        <f>VLOOKUP(K380, Sheet2!$A$2:$B$4186, 2,FALSE)</f>
        <v>19</v>
      </c>
      <c r="M380">
        <f>VLOOKUP(C380,Depts!$B$1:$D$16,3,FALSE)</f>
        <v>42</v>
      </c>
      <c r="N380" s="1" t="b">
        <f t="shared" si="17"/>
        <v>1</v>
      </c>
    </row>
    <row r="381" spans="1:14">
      <c r="A381">
        <v>441</v>
      </c>
      <c r="B381">
        <v>126</v>
      </c>
      <c r="C381" t="s">
        <v>50</v>
      </c>
      <c r="D381" s="1">
        <v>45901</v>
      </c>
      <c r="E381" s="1">
        <v>45906</v>
      </c>
      <c r="F381" t="s">
        <v>56</v>
      </c>
      <c r="G381">
        <v>5</v>
      </c>
      <c r="H381">
        <v>16</v>
      </c>
      <c r="I381" t="s">
        <v>60</v>
      </c>
      <c r="J381">
        <f t="shared" si="15"/>
        <v>2.6666666666666665</v>
      </c>
      <c r="K381" t="str">
        <f t="shared" si="16"/>
        <v>01/09/2025Renal Medicine</v>
      </c>
      <c r="L381">
        <f>VLOOKUP(K381, Sheet2!$A$2:$B$4186, 2,FALSE)</f>
        <v>21</v>
      </c>
      <c r="M381">
        <f>VLOOKUP(C381,Depts!$B$1:$D$16,3,FALSE)</f>
        <v>26</v>
      </c>
      <c r="N381" s="1" t="b">
        <f t="shared" si="17"/>
        <v>1</v>
      </c>
    </row>
    <row r="382" spans="1:14">
      <c r="A382">
        <v>442</v>
      </c>
      <c r="B382">
        <v>50</v>
      </c>
      <c r="C382" t="s">
        <v>46</v>
      </c>
      <c r="D382" s="1">
        <v>45902</v>
      </c>
      <c r="E382" s="1">
        <v>45908</v>
      </c>
      <c r="F382" t="s">
        <v>56</v>
      </c>
      <c r="G382">
        <v>6</v>
      </c>
      <c r="H382">
        <v>22</v>
      </c>
      <c r="I382" t="s">
        <v>60</v>
      </c>
      <c r="J382">
        <f t="shared" si="15"/>
        <v>4.3999999999999995</v>
      </c>
      <c r="K382" t="str">
        <f t="shared" si="16"/>
        <v>02/09/2025Neurology</v>
      </c>
      <c r="L382">
        <f>VLOOKUP(K382, Sheet2!$A$2:$B$4186, 2,FALSE)</f>
        <v>13</v>
      </c>
      <c r="M382">
        <f>VLOOKUP(C382,Depts!$B$1:$D$16,3,FALSE)</f>
        <v>32</v>
      </c>
      <c r="N382" s="1" t="b">
        <f t="shared" si="17"/>
        <v>1</v>
      </c>
    </row>
    <row r="383" spans="1:14">
      <c r="A383">
        <v>443</v>
      </c>
      <c r="B383">
        <v>300</v>
      </c>
      <c r="C383" t="s">
        <v>45</v>
      </c>
      <c r="D383" s="1">
        <v>45902</v>
      </c>
      <c r="E383" s="1">
        <v>45904</v>
      </c>
      <c r="F383" t="s">
        <v>57</v>
      </c>
      <c r="G383">
        <v>2</v>
      </c>
      <c r="H383">
        <v>118</v>
      </c>
      <c r="I383" t="s">
        <v>60</v>
      </c>
      <c r="J383">
        <f t="shared" si="15"/>
        <v>7.8666666666666663</v>
      </c>
      <c r="K383" t="str">
        <f t="shared" si="16"/>
        <v>02/09/2025Maternity</v>
      </c>
      <c r="L383">
        <f>VLOOKUP(K383, Sheet2!$A$2:$B$4186, 2,FALSE)</f>
        <v>12</v>
      </c>
      <c r="M383">
        <f>VLOOKUP(C383,Depts!$B$1:$D$16,3,FALSE)</f>
        <v>34</v>
      </c>
      <c r="N383" s="1" t="b">
        <f t="shared" si="17"/>
        <v>1</v>
      </c>
    </row>
    <row r="384" spans="1:14">
      <c r="A384">
        <v>444</v>
      </c>
      <c r="B384">
        <v>705</v>
      </c>
      <c r="C384" t="s">
        <v>48</v>
      </c>
      <c r="D384" s="1">
        <v>45903</v>
      </c>
      <c r="E384" s="1">
        <v>45908</v>
      </c>
      <c r="F384" t="s">
        <v>56</v>
      </c>
      <c r="G384">
        <v>5</v>
      </c>
      <c r="H384">
        <v>44</v>
      </c>
      <c r="I384" t="s">
        <v>60</v>
      </c>
      <c r="J384">
        <f t="shared" si="15"/>
        <v>7.333333333333333</v>
      </c>
      <c r="K384" t="str">
        <f t="shared" si="16"/>
        <v>03/09/2025Orthopaedics</v>
      </c>
      <c r="L384">
        <f>VLOOKUP(K384, Sheet2!$A$2:$B$4186, 2,FALSE)</f>
        <v>14</v>
      </c>
      <c r="M384">
        <f>VLOOKUP(C384,Depts!$B$1:$D$16,3,FALSE)</f>
        <v>40</v>
      </c>
      <c r="N384" s="1" t="b">
        <f t="shared" si="17"/>
        <v>1</v>
      </c>
    </row>
    <row r="385" spans="1:14">
      <c r="A385">
        <v>445</v>
      </c>
      <c r="B385">
        <v>435</v>
      </c>
      <c r="C385" t="s">
        <v>49</v>
      </c>
      <c r="D385" s="1">
        <v>45903</v>
      </c>
      <c r="E385" s="1">
        <v>45905</v>
      </c>
      <c r="F385" t="s">
        <v>57</v>
      </c>
      <c r="G385">
        <v>2</v>
      </c>
      <c r="H385">
        <v>192</v>
      </c>
      <c r="I385" t="s">
        <v>60</v>
      </c>
      <c r="J385">
        <f t="shared" si="15"/>
        <v>12.8</v>
      </c>
      <c r="K385" t="str">
        <f t="shared" si="16"/>
        <v>03/09/2025Paediatrics</v>
      </c>
      <c r="L385">
        <f>VLOOKUP(K385, Sheet2!$A$2:$B$4186, 2,FALSE)</f>
        <v>11</v>
      </c>
      <c r="M385">
        <f>VLOOKUP(C385,Depts!$B$1:$D$16,3,FALSE)</f>
        <v>30</v>
      </c>
      <c r="N385" s="1" t="b">
        <f t="shared" si="17"/>
        <v>1</v>
      </c>
    </row>
    <row r="386" spans="1:14">
      <c r="A386">
        <v>446</v>
      </c>
      <c r="B386">
        <v>882</v>
      </c>
      <c r="C386" t="s">
        <v>42</v>
      </c>
      <c r="D386" s="1">
        <v>45904</v>
      </c>
      <c r="E386" s="1">
        <v>45909</v>
      </c>
      <c r="F386" t="s">
        <v>56</v>
      </c>
      <c r="G386">
        <v>5</v>
      </c>
      <c r="H386">
        <v>22</v>
      </c>
      <c r="I386" t="s">
        <v>60</v>
      </c>
      <c r="J386">
        <f t="shared" si="15"/>
        <v>3.6666666666666665</v>
      </c>
      <c r="K386" t="str">
        <f t="shared" si="16"/>
        <v>04/09/2025Gastroenterology</v>
      </c>
      <c r="L386">
        <f>VLOOKUP(K386, Sheet2!$A$2:$B$4186, 2,FALSE)</f>
        <v>10</v>
      </c>
      <c r="M386">
        <f>VLOOKUP(C386,Depts!$B$1:$D$16,3,FALSE)</f>
        <v>29</v>
      </c>
      <c r="N386" s="1" t="b">
        <f t="shared" si="17"/>
        <v>1</v>
      </c>
    </row>
    <row r="387" spans="1:14">
      <c r="A387">
        <v>447</v>
      </c>
      <c r="B387">
        <v>564</v>
      </c>
      <c r="C387" t="s">
        <v>41</v>
      </c>
      <c r="D387" s="1">
        <v>45905</v>
      </c>
      <c r="E387" s="1">
        <v>45907</v>
      </c>
      <c r="F387" t="s">
        <v>57</v>
      </c>
      <c r="G387">
        <v>2</v>
      </c>
      <c r="H387">
        <v>42</v>
      </c>
      <c r="I387" t="s">
        <v>60</v>
      </c>
      <c r="J387">
        <f t="shared" ref="J387:J450" si="18">G387*(H387/30)</f>
        <v>2.8</v>
      </c>
      <c r="K387" t="str">
        <f t="shared" ref="K387:K450" si="19">TEXT(D387, "dd/mm/yyyy")&amp;C387</f>
        <v>05/09/2025ENT</v>
      </c>
      <c r="L387">
        <f>VLOOKUP(K387, Sheet2!$A$2:$B$4186, 2,FALSE)</f>
        <v>11</v>
      </c>
      <c r="M387">
        <f>VLOOKUP(C387,Depts!$B$1:$D$16,3,FALSE)</f>
        <v>20</v>
      </c>
      <c r="N387" s="1" t="b">
        <f t="shared" si="17"/>
        <v>1</v>
      </c>
    </row>
    <row r="388" spans="1:14">
      <c r="A388">
        <v>448</v>
      </c>
      <c r="B388">
        <v>306</v>
      </c>
      <c r="C388" t="s">
        <v>44</v>
      </c>
      <c r="D388" s="1">
        <v>45905</v>
      </c>
      <c r="E388" s="1">
        <v>45911</v>
      </c>
      <c r="F388" t="s">
        <v>56</v>
      </c>
      <c r="G388">
        <v>6</v>
      </c>
      <c r="H388">
        <v>38</v>
      </c>
      <c r="I388" t="s">
        <v>60</v>
      </c>
      <c r="J388">
        <f t="shared" si="18"/>
        <v>7.6</v>
      </c>
      <c r="K388" t="str">
        <f t="shared" si="19"/>
        <v>05/09/2025Geriatrics</v>
      </c>
      <c r="L388">
        <f>VLOOKUP(K388, Sheet2!$A$2:$B$4186, 2,FALSE)</f>
        <v>13</v>
      </c>
      <c r="M388">
        <f>VLOOKUP(C388,Depts!$B$1:$D$16,3,FALSE)</f>
        <v>46</v>
      </c>
      <c r="N388" s="1" t="b">
        <f t="shared" si="17"/>
        <v>1</v>
      </c>
    </row>
    <row r="389" spans="1:14">
      <c r="A389">
        <v>449</v>
      </c>
      <c r="B389">
        <v>263</v>
      </c>
      <c r="C389" t="s">
        <v>51</v>
      </c>
      <c r="D389" s="1">
        <v>45906</v>
      </c>
      <c r="E389" s="1">
        <v>45908</v>
      </c>
      <c r="F389" t="s">
        <v>57</v>
      </c>
      <c r="G389">
        <v>2</v>
      </c>
      <c r="H389">
        <v>109</v>
      </c>
      <c r="I389" t="s">
        <v>60</v>
      </c>
      <c r="J389">
        <f t="shared" si="18"/>
        <v>7.2666666666666666</v>
      </c>
      <c r="K389" t="str">
        <f t="shared" si="19"/>
        <v>06/09/2025Respiratory</v>
      </c>
      <c r="L389">
        <f>VLOOKUP(K389, Sheet2!$A$2:$B$4186, 2,FALSE)</f>
        <v>9</v>
      </c>
      <c r="M389">
        <f>VLOOKUP(C389,Depts!$B$1:$D$16,3,FALSE)</f>
        <v>36</v>
      </c>
      <c r="N389" s="1" t="b">
        <f t="shared" si="17"/>
        <v>1</v>
      </c>
    </row>
    <row r="390" spans="1:14">
      <c r="A390">
        <v>450</v>
      </c>
      <c r="B390">
        <v>813</v>
      </c>
      <c r="C390" t="s">
        <v>43</v>
      </c>
      <c r="D390" s="1">
        <v>45907</v>
      </c>
      <c r="E390" s="1">
        <v>45912</v>
      </c>
      <c r="F390" t="s">
        <v>56</v>
      </c>
      <c r="G390">
        <v>5</v>
      </c>
      <c r="H390">
        <v>13</v>
      </c>
      <c r="I390" t="s">
        <v>60</v>
      </c>
      <c r="J390">
        <f t="shared" si="18"/>
        <v>2.166666666666667</v>
      </c>
      <c r="K390" t="str">
        <f t="shared" si="19"/>
        <v>07/09/2025General Surgery</v>
      </c>
      <c r="L390">
        <f>VLOOKUP(K390, Sheet2!$A$2:$B$4186, 2,FALSE)</f>
        <v>14</v>
      </c>
      <c r="M390">
        <f>VLOOKUP(C390,Depts!$B$1:$D$16,3,FALSE)</f>
        <v>44</v>
      </c>
      <c r="N390" s="1" t="b">
        <f t="shared" si="17"/>
        <v>1</v>
      </c>
    </row>
    <row r="391" spans="1:14">
      <c r="A391">
        <v>451</v>
      </c>
      <c r="B391">
        <v>758</v>
      </c>
      <c r="C391" t="s">
        <v>40</v>
      </c>
      <c r="D391" s="1">
        <v>45907</v>
      </c>
      <c r="E391" s="1">
        <v>45910</v>
      </c>
      <c r="F391" t="s">
        <v>58</v>
      </c>
      <c r="G391">
        <v>3</v>
      </c>
      <c r="H391">
        <v>56</v>
      </c>
      <c r="I391" t="s">
        <v>61</v>
      </c>
      <c r="J391">
        <f t="shared" si="18"/>
        <v>5.6</v>
      </c>
      <c r="K391" t="str">
        <f t="shared" si="19"/>
        <v>07/09/2025Cardiology</v>
      </c>
      <c r="L391">
        <f>VLOOKUP(K391, Sheet2!$A$2:$B$4186, 2,FALSE)</f>
        <v>11</v>
      </c>
      <c r="M391">
        <f>VLOOKUP(C391,Depts!$B$1:$D$16,3,FALSE)</f>
        <v>38</v>
      </c>
      <c r="N391" s="1" t="b">
        <f t="shared" si="17"/>
        <v>1</v>
      </c>
    </row>
    <row r="392" spans="1:14">
      <c r="A392">
        <v>452</v>
      </c>
      <c r="B392">
        <v>874</v>
      </c>
      <c r="C392" t="s">
        <v>47</v>
      </c>
      <c r="D392" s="1">
        <v>45908</v>
      </c>
      <c r="E392" s="1">
        <v>45913</v>
      </c>
      <c r="F392" t="s">
        <v>56</v>
      </c>
      <c r="G392">
        <v>5</v>
      </c>
      <c r="H392">
        <v>25</v>
      </c>
      <c r="I392" t="s">
        <v>60</v>
      </c>
      <c r="J392">
        <f t="shared" si="18"/>
        <v>4.166666666666667</v>
      </c>
      <c r="K392" t="str">
        <f t="shared" si="19"/>
        <v>08/09/2025Oncology</v>
      </c>
      <c r="L392">
        <f>VLOOKUP(K392, Sheet2!$A$2:$B$4186, 2,FALSE)</f>
        <v>18</v>
      </c>
      <c r="M392">
        <f>VLOOKUP(C392,Depts!$B$1:$D$16,3,FALSE)</f>
        <v>28</v>
      </c>
      <c r="N392" s="1" t="b">
        <f t="shared" si="17"/>
        <v>1</v>
      </c>
    </row>
    <row r="393" spans="1:14">
      <c r="A393">
        <v>453</v>
      </c>
      <c r="B393">
        <v>431</v>
      </c>
      <c r="C393" t="s">
        <v>39</v>
      </c>
      <c r="D393" s="1">
        <v>45908</v>
      </c>
      <c r="E393" s="1">
        <v>45909</v>
      </c>
      <c r="F393" t="s">
        <v>57</v>
      </c>
      <c r="G393">
        <v>1</v>
      </c>
      <c r="H393">
        <v>185</v>
      </c>
      <c r="I393" t="s">
        <v>60</v>
      </c>
      <c r="J393">
        <f t="shared" si="18"/>
        <v>6.166666666666667</v>
      </c>
      <c r="K393" t="str">
        <f t="shared" si="19"/>
        <v>08/09/2025A&amp;E (Emergency)</v>
      </c>
      <c r="L393">
        <f>VLOOKUP(K393, Sheet2!$A$2:$B$4186, 2,FALSE)</f>
        <v>28</v>
      </c>
      <c r="M393">
        <f>VLOOKUP(C393,Depts!$B$1:$D$16,3,FALSE)</f>
        <v>42</v>
      </c>
      <c r="N393" s="1" t="b">
        <f t="shared" si="17"/>
        <v>1</v>
      </c>
    </row>
    <row r="394" spans="1:14">
      <c r="A394">
        <v>454</v>
      </c>
      <c r="B394">
        <v>111</v>
      </c>
      <c r="C394" t="s">
        <v>50</v>
      </c>
      <c r="D394" s="1">
        <v>45909</v>
      </c>
      <c r="E394" s="1">
        <v>45914</v>
      </c>
      <c r="F394" t="s">
        <v>56</v>
      </c>
      <c r="G394">
        <v>5</v>
      </c>
      <c r="H394">
        <v>34</v>
      </c>
      <c r="I394" t="s">
        <v>60</v>
      </c>
      <c r="J394">
        <f t="shared" si="18"/>
        <v>5.6666666666666661</v>
      </c>
      <c r="K394" t="str">
        <f t="shared" si="19"/>
        <v>09/09/2025Renal Medicine</v>
      </c>
      <c r="L394">
        <f>VLOOKUP(K394, Sheet2!$A$2:$B$4186, 2,FALSE)</f>
        <v>20</v>
      </c>
      <c r="M394">
        <f>VLOOKUP(C394,Depts!$B$1:$D$16,3,FALSE)</f>
        <v>26</v>
      </c>
      <c r="N394" s="1" t="b">
        <f t="shared" si="17"/>
        <v>1</v>
      </c>
    </row>
    <row r="395" spans="1:14">
      <c r="A395">
        <v>455</v>
      </c>
      <c r="B395">
        <v>19</v>
      </c>
      <c r="C395" t="s">
        <v>46</v>
      </c>
      <c r="D395" s="1">
        <v>45910</v>
      </c>
      <c r="E395" s="1">
        <v>45916</v>
      </c>
      <c r="F395" t="s">
        <v>56</v>
      </c>
      <c r="G395">
        <v>6</v>
      </c>
      <c r="H395">
        <v>16</v>
      </c>
      <c r="I395" t="s">
        <v>60</v>
      </c>
      <c r="J395">
        <f t="shared" si="18"/>
        <v>3.2</v>
      </c>
      <c r="K395" t="str">
        <f t="shared" si="19"/>
        <v>10/09/2025Neurology</v>
      </c>
      <c r="L395">
        <f>VLOOKUP(K395, Sheet2!$A$2:$B$4186, 2,FALSE)</f>
        <v>12</v>
      </c>
      <c r="M395">
        <f>VLOOKUP(C395,Depts!$B$1:$D$16,3,FALSE)</f>
        <v>32</v>
      </c>
      <c r="N395" s="1" t="b">
        <f t="shared" si="17"/>
        <v>1</v>
      </c>
    </row>
    <row r="396" spans="1:14">
      <c r="A396">
        <v>456</v>
      </c>
      <c r="B396">
        <v>708</v>
      </c>
      <c r="C396" t="s">
        <v>45</v>
      </c>
      <c r="D396" s="1">
        <v>45910</v>
      </c>
      <c r="E396" s="1">
        <v>45912</v>
      </c>
      <c r="F396" t="s">
        <v>57</v>
      </c>
      <c r="G396">
        <v>2</v>
      </c>
      <c r="H396">
        <v>54</v>
      </c>
      <c r="I396" t="s">
        <v>60</v>
      </c>
      <c r="J396">
        <f t="shared" si="18"/>
        <v>3.6</v>
      </c>
      <c r="K396" t="str">
        <f t="shared" si="19"/>
        <v>10/09/2025Maternity</v>
      </c>
      <c r="L396">
        <f>VLOOKUP(K396, Sheet2!$A$2:$B$4186, 2,FALSE)</f>
        <v>12</v>
      </c>
      <c r="M396">
        <f>VLOOKUP(C396,Depts!$B$1:$D$16,3,FALSE)</f>
        <v>34</v>
      </c>
      <c r="N396" s="1" t="b">
        <f t="shared" si="17"/>
        <v>1</v>
      </c>
    </row>
    <row r="397" spans="1:14">
      <c r="A397">
        <v>457</v>
      </c>
      <c r="B397">
        <v>371</v>
      </c>
      <c r="C397" t="s">
        <v>48</v>
      </c>
      <c r="D397" s="1">
        <v>45911</v>
      </c>
      <c r="E397" s="1">
        <v>45916</v>
      </c>
      <c r="F397" t="s">
        <v>56</v>
      </c>
      <c r="G397">
        <v>5</v>
      </c>
      <c r="H397">
        <v>42</v>
      </c>
      <c r="I397" t="s">
        <v>60</v>
      </c>
      <c r="J397">
        <f t="shared" si="18"/>
        <v>7</v>
      </c>
      <c r="K397" t="str">
        <f t="shared" si="19"/>
        <v>11/09/2025Orthopaedics</v>
      </c>
      <c r="L397">
        <f>VLOOKUP(K397, Sheet2!$A$2:$B$4186, 2,FALSE)</f>
        <v>14</v>
      </c>
      <c r="M397">
        <f>VLOOKUP(C397,Depts!$B$1:$D$16,3,FALSE)</f>
        <v>40</v>
      </c>
      <c r="N397" s="1" t="b">
        <f t="shared" si="17"/>
        <v>1</v>
      </c>
    </row>
    <row r="398" spans="1:14">
      <c r="A398">
        <v>458</v>
      </c>
      <c r="B398">
        <v>611</v>
      </c>
      <c r="C398" t="s">
        <v>49</v>
      </c>
      <c r="D398" s="1">
        <v>45911</v>
      </c>
      <c r="E398" s="1">
        <v>45913</v>
      </c>
      <c r="F398" t="s">
        <v>57</v>
      </c>
      <c r="G398">
        <v>2</v>
      </c>
      <c r="H398">
        <v>30</v>
      </c>
      <c r="I398" t="s">
        <v>60</v>
      </c>
      <c r="J398">
        <f t="shared" si="18"/>
        <v>2</v>
      </c>
      <c r="K398" t="str">
        <f t="shared" si="19"/>
        <v>11/09/2025Paediatrics</v>
      </c>
      <c r="L398">
        <f>VLOOKUP(K398, Sheet2!$A$2:$B$4186, 2,FALSE)</f>
        <v>11</v>
      </c>
      <c r="M398">
        <f>VLOOKUP(C398,Depts!$B$1:$D$16,3,FALSE)</f>
        <v>30</v>
      </c>
      <c r="N398" s="1" t="b">
        <f t="shared" si="17"/>
        <v>1</v>
      </c>
    </row>
    <row r="399" spans="1:14">
      <c r="A399">
        <v>459</v>
      </c>
      <c r="B399">
        <v>753</v>
      </c>
      <c r="C399" t="s">
        <v>42</v>
      </c>
      <c r="D399" s="1">
        <v>45912</v>
      </c>
      <c r="E399" s="1">
        <v>45917</v>
      </c>
      <c r="F399" t="s">
        <v>56</v>
      </c>
      <c r="G399">
        <v>5</v>
      </c>
      <c r="H399">
        <v>38</v>
      </c>
      <c r="I399" t="s">
        <v>60</v>
      </c>
      <c r="J399">
        <f t="shared" si="18"/>
        <v>6.333333333333333</v>
      </c>
      <c r="K399" t="str">
        <f t="shared" si="19"/>
        <v>12/09/2025Gastroenterology</v>
      </c>
      <c r="L399">
        <f>VLOOKUP(K399, Sheet2!$A$2:$B$4186, 2,FALSE)</f>
        <v>9</v>
      </c>
      <c r="M399">
        <f>VLOOKUP(C399,Depts!$B$1:$D$16,3,FALSE)</f>
        <v>29</v>
      </c>
      <c r="N399" s="1" t="b">
        <f t="shared" si="17"/>
        <v>1</v>
      </c>
    </row>
    <row r="400" spans="1:14">
      <c r="A400">
        <v>460</v>
      </c>
      <c r="B400">
        <v>922</v>
      </c>
      <c r="C400" t="s">
        <v>41</v>
      </c>
      <c r="D400" s="1">
        <v>45913</v>
      </c>
      <c r="E400" s="1">
        <v>45915</v>
      </c>
      <c r="F400" t="s">
        <v>57</v>
      </c>
      <c r="G400">
        <v>2</v>
      </c>
      <c r="H400">
        <v>111</v>
      </c>
      <c r="I400" t="s">
        <v>60</v>
      </c>
      <c r="J400">
        <f t="shared" si="18"/>
        <v>7.4</v>
      </c>
      <c r="K400" t="str">
        <f t="shared" si="19"/>
        <v>13/09/2025ENT</v>
      </c>
      <c r="L400">
        <f>VLOOKUP(K400, Sheet2!$A$2:$B$4186, 2,FALSE)</f>
        <v>10</v>
      </c>
      <c r="M400">
        <f>VLOOKUP(C400,Depts!$B$1:$D$16,3,FALSE)</f>
        <v>20</v>
      </c>
      <c r="N400" s="1" t="b">
        <f t="shared" si="17"/>
        <v>1</v>
      </c>
    </row>
    <row r="401" spans="1:14">
      <c r="A401">
        <v>461</v>
      </c>
      <c r="B401">
        <v>619</v>
      </c>
      <c r="C401" t="s">
        <v>44</v>
      </c>
      <c r="D401" s="1">
        <v>45913</v>
      </c>
      <c r="E401" s="1">
        <v>45919</v>
      </c>
      <c r="F401" t="s">
        <v>56</v>
      </c>
      <c r="G401">
        <v>6</v>
      </c>
      <c r="H401">
        <v>24</v>
      </c>
      <c r="I401" t="s">
        <v>60</v>
      </c>
      <c r="J401">
        <f t="shared" si="18"/>
        <v>4.8000000000000007</v>
      </c>
      <c r="K401" t="str">
        <f t="shared" si="19"/>
        <v>13/09/2025Geriatrics</v>
      </c>
      <c r="L401">
        <f>VLOOKUP(K401, Sheet2!$A$2:$B$4186, 2,FALSE)</f>
        <v>12</v>
      </c>
      <c r="M401">
        <f>VLOOKUP(C401,Depts!$B$1:$D$16,3,FALSE)</f>
        <v>46</v>
      </c>
      <c r="N401" s="1" t="b">
        <f t="shared" si="17"/>
        <v>1</v>
      </c>
    </row>
    <row r="402" spans="1:14">
      <c r="A402">
        <v>462</v>
      </c>
      <c r="B402">
        <v>546</v>
      </c>
      <c r="C402" t="s">
        <v>51</v>
      </c>
      <c r="D402" s="1">
        <v>45914</v>
      </c>
      <c r="E402" s="1">
        <v>45916</v>
      </c>
      <c r="F402" t="s">
        <v>57</v>
      </c>
      <c r="G402">
        <v>2</v>
      </c>
      <c r="H402">
        <v>130</v>
      </c>
      <c r="I402" t="s">
        <v>60</v>
      </c>
      <c r="J402">
        <f t="shared" si="18"/>
        <v>8.6666666666666661</v>
      </c>
      <c r="K402" t="str">
        <f t="shared" si="19"/>
        <v>14/09/2025Respiratory</v>
      </c>
      <c r="L402">
        <f>VLOOKUP(K402, Sheet2!$A$2:$B$4186, 2,FALSE)</f>
        <v>9</v>
      </c>
      <c r="M402">
        <f>VLOOKUP(C402,Depts!$B$1:$D$16,3,FALSE)</f>
        <v>36</v>
      </c>
      <c r="N402" s="1" t="b">
        <f t="shared" si="17"/>
        <v>1</v>
      </c>
    </row>
    <row r="403" spans="1:14">
      <c r="A403">
        <v>463</v>
      </c>
      <c r="B403">
        <v>483</v>
      </c>
      <c r="C403" t="s">
        <v>43</v>
      </c>
      <c r="D403" s="1">
        <v>45915</v>
      </c>
      <c r="E403" s="1">
        <v>45920</v>
      </c>
      <c r="F403" t="s">
        <v>56</v>
      </c>
      <c r="G403">
        <v>5</v>
      </c>
      <c r="H403">
        <v>20</v>
      </c>
      <c r="I403" t="s">
        <v>60</v>
      </c>
      <c r="J403">
        <f t="shared" si="18"/>
        <v>3.333333333333333</v>
      </c>
      <c r="K403" t="str">
        <f t="shared" si="19"/>
        <v>15/09/2025General Surgery</v>
      </c>
      <c r="L403">
        <f>VLOOKUP(K403, Sheet2!$A$2:$B$4186, 2,FALSE)</f>
        <v>22</v>
      </c>
      <c r="M403">
        <f>VLOOKUP(C403,Depts!$B$1:$D$16,3,FALSE)</f>
        <v>44</v>
      </c>
      <c r="N403" s="1" t="b">
        <f t="shared" si="17"/>
        <v>1</v>
      </c>
    </row>
    <row r="404" spans="1:14">
      <c r="A404">
        <v>464</v>
      </c>
      <c r="B404">
        <v>865</v>
      </c>
      <c r="C404" t="s">
        <v>40</v>
      </c>
      <c r="D404" s="1">
        <v>45915</v>
      </c>
      <c r="E404" s="1">
        <v>45918</v>
      </c>
      <c r="F404" t="s">
        <v>58</v>
      </c>
      <c r="G404">
        <v>3</v>
      </c>
      <c r="H404">
        <v>25</v>
      </c>
      <c r="I404" t="s">
        <v>60</v>
      </c>
      <c r="J404">
        <f t="shared" si="18"/>
        <v>2.5</v>
      </c>
      <c r="K404" t="str">
        <f t="shared" si="19"/>
        <v>15/09/2025Cardiology</v>
      </c>
      <c r="L404">
        <f>VLOOKUP(K404, Sheet2!$A$2:$B$4186, 2,FALSE)</f>
        <v>18</v>
      </c>
      <c r="M404">
        <f>VLOOKUP(C404,Depts!$B$1:$D$16,3,FALSE)</f>
        <v>38</v>
      </c>
      <c r="N404" s="1" t="b">
        <f t="shared" si="17"/>
        <v>1</v>
      </c>
    </row>
    <row r="405" spans="1:14">
      <c r="A405">
        <v>465</v>
      </c>
      <c r="B405">
        <v>223</v>
      </c>
      <c r="C405" t="s">
        <v>47</v>
      </c>
      <c r="D405" s="1">
        <v>45916</v>
      </c>
      <c r="E405" s="1">
        <v>45921</v>
      </c>
      <c r="F405" t="s">
        <v>56</v>
      </c>
      <c r="G405">
        <v>5</v>
      </c>
      <c r="H405">
        <v>19</v>
      </c>
      <c r="I405" t="s">
        <v>60</v>
      </c>
      <c r="J405">
        <f t="shared" si="18"/>
        <v>3.1666666666666665</v>
      </c>
      <c r="K405" t="str">
        <f t="shared" si="19"/>
        <v>16/09/2025Oncology</v>
      </c>
      <c r="L405">
        <f>VLOOKUP(K405, Sheet2!$A$2:$B$4186, 2,FALSE)</f>
        <v>17</v>
      </c>
      <c r="M405">
        <f>VLOOKUP(C405,Depts!$B$1:$D$16,3,FALSE)</f>
        <v>28</v>
      </c>
      <c r="N405" s="1" t="b">
        <f t="shared" si="17"/>
        <v>1</v>
      </c>
    </row>
    <row r="406" spans="1:14">
      <c r="A406">
        <v>466</v>
      </c>
      <c r="B406">
        <v>118</v>
      </c>
      <c r="C406" t="s">
        <v>39</v>
      </c>
      <c r="D406" s="1">
        <v>45916</v>
      </c>
      <c r="E406" s="1">
        <v>45917</v>
      </c>
      <c r="F406" t="s">
        <v>57</v>
      </c>
      <c r="G406">
        <v>1</v>
      </c>
      <c r="H406">
        <v>40</v>
      </c>
      <c r="I406" t="s">
        <v>60</v>
      </c>
      <c r="J406">
        <f t="shared" si="18"/>
        <v>1.3333333333333333</v>
      </c>
      <c r="K406" t="str">
        <f t="shared" si="19"/>
        <v>16/09/2025A&amp;E (Emergency)</v>
      </c>
      <c r="L406">
        <f>VLOOKUP(K406, Sheet2!$A$2:$B$4186, 2,FALSE)</f>
        <v>25</v>
      </c>
      <c r="M406">
        <f>VLOOKUP(C406,Depts!$B$1:$D$16,3,FALSE)</f>
        <v>42</v>
      </c>
      <c r="N406" s="1" t="b">
        <f t="shared" si="17"/>
        <v>1</v>
      </c>
    </row>
    <row r="407" spans="1:14">
      <c r="A407">
        <v>467</v>
      </c>
      <c r="B407">
        <v>553</v>
      </c>
      <c r="C407" t="s">
        <v>50</v>
      </c>
      <c r="D407" s="1">
        <v>45917</v>
      </c>
      <c r="E407" s="1">
        <v>45922</v>
      </c>
      <c r="F407" t="s">
        <v>56</v>
      </c>
      <c r="G407">
        <v>5</v>
      </c>
      <c r="H407">
        <v>29</v>
      </c>
      <c r="I407" t="s">
        <v>60</v>
      </c>
      <c r="J407">
        <f t="shared" si="18"/>
        <v>4.833333333333333</v>
      </c>
      <c r="K407" t="str">
        <f t="shared" si="19"/>
        <v>17/09/2025Renal Medicine</v>
      </c>
      <c r="L407">
        <f>VLOOKUP(K407, Sheet2!$A$2:$B$4186, 2,FALSE)</f>
        <v>19</v>
      </c>
      <c r="M407">
        <f>VLOOKUP(C407,Depts!$B$1:$D$16,3,FALSE)</f>
        <v>26</v>
      </c>
      <c r="N407" s="1" t="b">
        <f t="shared" si="17"/>
        <v>1</v>
      </c>
    </row>
    <row r="408" spans="1:14">
      <c r="A408">
        <v>468</v>
      </c>
      <c r="B408">
        <v>749</v>
      </c>
      <c r="C408" t="s">
        <v>46</v>
      </c>
      <c r="D408" s="1">
        <v>45918</v>
      </c>
      <c r="E408" s="1">
        <v>45924</v>
      </c>
      <c r="F408" t="s">
        <v>56</v>
      </c>
      <c r="G408">
        <v>6</v>
      </c>
      <c r="H408">
        <v>6</v>
      </c>
      <c r="I408" t="s">
        <v>60</v>
      </c>
      <c r="J408">
        <f t="shared" si="18"/>
        <v>1.2000000000000002</v>
      </c>
      <c r="K408" t="str">
        <f t="shared" si="19"/>
        <v>18/09/2025Neurology</v>
      </c>
      <c r="L408">
        <f>VLOOKUP(K408, Sheet2!$A$2:$B$4186, 2,FALSE)</f>
        <v>12</v>
      </c>
      <c r="M408">
        <f>VLOOKUP(C408,Depts!$B$1:$D$16,3,FALSE)</f>
        <v>32</v>
      </c>
      <c r="N408" s="1" t="b">
        <f t="shared" si="17"/>
        <v>1</v>
      </c>
    </row>
    <row r="409" spans="1:14">
      <c r="A409">
        <v>469</v>
      </c>
      <c r="B409">
        <v>115</v>
      </c>
      <c r="C409" t="s">
        <v>45</v>
      </c>
      <c r="D409" s="1">
        <v>45918</v>
      </c>
      <c r="E409" s="1">
        <v>45920</v>
      </c>
      <c r="F409" t="s">
        <v>57</v>
      </c>
      <c r="G409">
        <v>2</v>
      </c>
      <c r="H409">
        <v>103</v>
      </c>
      <c r="I409" t="s">
        <v>60</v>
      </c>
      <c r="J409">
        <f t="shared" si="18"/>
        <v>6.8666666666666663</v>
      </c>
      <c r="K409" t="str">
        <f t="shared" si="19"/>
        <v>18/09/2025Maternity</v>
      </c>
      <c r="L409">
        <f>VLOOKUP(K409, Sheet2!$A$2:$B$4186, 2,FALSE)</f>
        <v>12</v>
      </c>
      <c r="M409">
        <f>VLOOKUP(C409,Depts!$B$1:$D$16,3,FALSE)</f>
        <v>34</v>
      </c>
      <c r="N409" s="1" t="b">
        <f t="shared" si="17"/>
        <v>1</v>
      </c>
    </row>
    <row r="410" spans="1:14">
      <c r="A410">
        <v>470</v>
      </c>
      <c r="B410">
        <v>456</v>
      </c>
      <c r="C410" t="s">
        <v>48</v>
      </c>
      <c r="D410" s="1">
        <v>45919</v>
      </c>
      <c r="E410" s="1">
        <v>45924</v>
      </c>
      <c r="F410" t="s">
        <v>56</v>
      </c>
      <c r="G410">
        <v>5</v>
      </c>
      <c r="H410">
        <v>34</v>
      </c>
      <c r="I410" t="s">
        <v>60</v>
      </c>
      <c r="J410">
        <f t="shared" si="18"/>
        <v>5.6666666666666661</v>
      </c>
      <c r="K410" t="str">
        <f t="shared" si="19"/>
        <v>19/09/2025Orthopaedics</v>
      </c>
      <c r="L410">
        <f>VLOOKUP(K410, Sheet2!$A$2:$B$4186, 2,FALSE)</f>
        <v>13</v>
      </c>
      <c r="M410">
        <f>VLOOKUP(C410,Depts!$B$1:$D$16,3,FALSE)</f>
        <v>40</v>
      </c>
      <c r="N410" s="1" t="b">
        <f t="shared" si="17"/>
        <v>1</v>
      </c>
    </row>
    <row r="411" spans="1:14">
      <c r="A411">
        <v>471</v>
      </c>
      <c r="B411">
        <v>495</v>
      </c>
      <c r="C411" t="s">
        <v>49</v>
      </c>
      <c r="D411" s="1">
        <v>45919</v>
      </c>
      <c r="E411" s="1">
        <v>45921</v>
      </c>
      <c r="F411" t="s">
        <v>57</v>
      </c>
      <c r="G411">
        <v>2</v>
      </c>
      <c r="H411">
        <v>120</v>
      </c>
      <c r="I411" t="s">
        <v>60</v>
      </c>
      <c r="J411">
        <f t="shared" si="18"/>
        <v>8</v>
      </c>
      <c r="K411" t="str">
        <f t="shared" si="19"/>
        <v>19/09/2025Paediatrics</v>
      </c>
      <c r="L411">
        <f>VLOOKUP(K411, Sheet2!$A$2:$B$4186, 2,FALSE)</f>
        <v>10</v>
      </c>
      <c r="M411">
        <f>VLOOKUP(C411,Depts!$B$1:$D$16,3,FALSE)</f>
        <v>30</v>
      </c>
      <c r="N411" s="1" t="b">
        <f t="shared" si="17"/>
        <v>1</v>
      </c>
    </row>
    <row r="412" spans="1:14">
      <c r="A412">
        <v>472</v>
      </c>
      <c r="B412">
        <v>137</v>
      </c>
      <c r="C412" t="s">
        <v>42</v>
      </c>
      <c r="D412" s="1">
        <v>45920</v>
      </c>
      <c r="E412" s="1">
        <v>45925</v>
      </c>
      <c r="F412" t="s">
        <v>56</v>
      </c>
      <c r="G412">
        <v>5</v>
      </c>
      <c r="H412">
        <v>44</v>
      </c>
      <c r="I412" t="s">
        <v>60</v>
      </c>
      <c r="J412">
        <f t="shared" si="18"/>
        <v>7.333333333333333</v>
      </c>
      <c r="K412" t="str">
        <f t="shared" si="19"/>
        <v>20/09/2025Gastroenterology</v>
      </c>
      <c r="L412">
        <f>VLOOKUP(K412, Sheet2!$A$2:$B$4186, 2,FALSE)</f>
        <v>7</v>
      </c>
      <c r="M412">
        <f>VLOOKUP(C412,Depts!$B$1:$D$16,3,FALSE)</f>
        <v>29</v>
      </c>
      <c r="N412" s="1" t="b">
        <f t="shared" si="17"/>
        <v>1</v>
      </c>
    </row>
    <row r="413" spans="1:14">
      <c r="A413">
        <v>473</v>
      </c>
      <c r="B413">
        <v>307</v>
      </c>
      <c r="C413" t="s">
        <v>41</v>
      </c>
      <c r="D413" s="1">
        <v>45921</v>
      </c>
      <c r="E413" s="1">
        <v>45923</v>
      </c>
      <c r="F413" t="s">
        <v>57</v>
      </c>
      <c r="G413">
        <v>2</v>
      </c>
      <c r="H413">
        <v>23</v>
      </c>
      <c r="I413" t="s">
        <v>60</v>
      </c>
      <c r="J413">
        <f t="shared" si="18"/>
        <v>1.5333333333333334</v>
      </c>
      <c r="K413" t="str">
        <f t="shared" si="19"/>
        <v>21/09/2025ENT</v>
      </c>
      <c r="L413">
        <f>VLOOKUP(K413, Sheet2!$A$2:$B$4186, 2,FALSE)</f>
        <v>10</v>
      </c>
      <c r="M413">
        <f>VLOOKUP(C413,Depts!$B$1:$D$16,3,FALSE)</f>
        <v>20</v>
      </c>
      <c r="N413" s="1" t="b">
        <f t="shared" si="17"/>
        <v>1</v>
      </c>
    </row>
    <row r="414" spans="1:14">
      <c r="A414">
        <v>474</v>
      </c>
      <c r="B414">
        <v>174</v>
      </c>
      <c r="C414" t="s">
        <v>44</v>
      </c>
      <c r="D414" s="1">
        <v>45921</v>
      </c>
      <c r="E414" s="1">
        <v>45927</v>
      </c>
      <c r="F414" t="s">
        <v>56</v>
      </c>
      <c r="G414">
        <v>6</v>
      </c>
      <c r="H414">
        <v>44</v>
      </c>
      <c r="I414" t="s">
        <v>60</v>
      </c>
      <c r="J414">
        <f t="shared" si="18"/>
        <v>8.7999999999999989</v>
      </c>
      <c r="K414" t="str">
        <f t="shared" si="19"/>
        <v>21/09/2025Geriatrics</v>
      </c>
      <c r="L414">
        <f>VLOOKUP(K414, Sheet2!$A$2:$B$4186, 2,FALSE)</f>
        <v>12</v>
      </c>
      <c r="M414">
        <f>VLOOKUP(C414,Depts!$B$1:$D$16,3,FALSE)</f>
        <v>46</v>
      </c>
      <c r="N414" s="1" t="b">
        <f t="shared" si="17"/>
        <v>1</v>
      </c>
    </row>
    <row r="415" spans="1:14">
      <c r="A415">
        <v>475</v>
      </c>
      <c r="B415">
        <v>154</v>
      </c>
      <c r="C415" t="s">
        <v>51</v>
      </c>
      <c r="D415" s="1">
        <v>45922</v>
      </c>
      <c r="E415" s="1">
        <v>45924</v>
      </c>
      <c r="F415" t="s">
        <v>57</v>
      </c>
      <c r="G415">
        <v>2</v>
      </c>
      <c r="H415">
        <v>36</v>
      </c>
      <c r="I415" t="s">
        <v>60</v>
      </c>
      <c r="J415">
        <f t="shared" si="18"/>
        <v>2.4</v>
      </c>
      <c r="K415" t="str">
        <f t="shared" si="19"/>
        <v>22/09/2025Respiratory</v>
      </c>
      <c r="L415">
        <f>VLOOKUP(K415, Sheet2!$A$2:$B$4186, 2,FALSE)</f>
        <v>15</v>
      </c>
      <c r="M415">
        <f>VLOOKUP(C415,Depts!$B$1:$D$16,3,FALSE)</f>
        <v>36</v>
      </c>
      <c r="N415" s="1" t="b">
        <f t="shared" si="17"/>
        <v>1</v>
      </c>
    </row>
    <row r="416" spans="1:14">
      <c r="A416">
        <v>476</v>
      </c>
      <c r="B416">
        <v>999</v>
      </c>
      <c r="C416" t="s">
        <v>43</v>
      </c>
      <c r="D416" s="1">
        <v>45923</v>
      </c>
      <c r="E416" s="1">
        <v>45928</v>
      </c>
      <c r="F416" t="s">
        <v>56</v>
      </c>
      <c r="G416">
        <v>5</v>
      </c>
      <c r="H416">
        <v>20</v>
      </c>
      <c r="I416" t="s">
        <v>60</v>
      </c>
      <c r="J416">
        <f t="shared" si="18"/>
        <v>3.333333333333333</v>
      </c>
      <c r="K416" t="str">
        <f t="shared" si="19"/>
        <v>23/09/2025General Surgery</v>
      </c>
      <c r="L416" t="e">
        <f>VLOOKUP(K416, Sheet2!$A$2:$B$4186, 2,FALSE)</f>
        <v>#N/A</v>
      </c>
      <c r="M416">
        <f>VLOOKUP(C416,Depts!$B$1:$D$16,3,FALSE)</f>
        <v>44</v>
      </c>
      <c r="N416" s="1" t="b">
        <f t="shared" si="17"/>
        <v>1</v>
      </c>
    </row>
    <row r="417" spans="1:14">
      <c r="A417">
        <v>477</v>
      </c>
      <c r="B417">
        <v>124</v>
      </c>
      <c r="C417" t="s">
        <v>40</v>
      </c>
      <c r="D417" s="1">
        <v>45923</v>
      </c>
      <c r="E417" s="1">
        <v>45926</v>
      </c>
      <c r="F417" t="s">
        <v>58</v>
      </c>
      <c r="G417">
        <v>3</v>
      </c>
      <c r="H417">
        <v>40</v>
      </c>
      <c r="I417" t="s">
        <v>60</v>
      </c>
      <c r="J417">
        <f t="shared" si="18"/>
        <v>4</v>
      </c>
      <c r="K417" t="str">
        <f t="shared" si="19"/>
        <v>23/09/2025Cardiology</v>
      </c>
      <c r="L417" t="e">
        <f>VLOOKUP(K417, Sheet2!$A$2:$B$4186, 2,FALSE)</f>
        <v>#N/A</v>
      </c>
      <c r="M417">
        <f>VLOOKUP(C417,Depts!$B$1:$D$16,3,FALSE)</f>
        <v>38</v>
      </c>
      <c r="N417" s="1" t="b">
        <f t="shared" si="17"/>
        <v>1</v>
      </c>
    </row>
    <row r="418" spans="1:14">
      <c r="A418">
        <v>478</v>
      </c>
      <c r="B418">
        <v>271</v>
      </c>
      <c r="C418" t="s">
        <v>47</v>
      </c>
      <c r="D418" s="1">
        <v>45924</v>
      </c>
      <c r="E418" s="1">
        <v>45929</v>
      </c>
      <c r="F418" t="s">
        <v>56</v>
      </c>
      <c r="G418">
        <v>5</v>
      </c>
      <c r="H418">
        <v>44</v>
      </c>
      <c r="I418" t="s">
        <v>60</v>
      </c>
      <c r="J418">
        <f t="shared" si="18"/>
        <v>7.333333333333333</v>
      </c>
      <c r="K418" t="str">
        <f t="shared" si="19"/>
        <v>24/09/2025Oncology</v>
      </c>
      <c r="L418" t="e">
        <f>VLOOKUP(K418, Sheet2!$A$2:$B$4186, 2,FALSE)</f>
        <v>#N/A</v>
      </c>
      <c r="M418">
        <f>VLOOKUP(C418,Depts!$B$1:$D$16,3,FALSE)</f>
        <v>28</v>
      </c>
      <c r="N418" s="1" t="b">
        <f t="shared" si="17"/>
        <v>1</v>
      </c>
    </row>
    <row r="419" spans="1:14">
      <c r="A419">
        <v>479</v>
      </c>
      <c r="B419">
        <v>705</v>
      </c>
      <c r="C419" t="s">
        <v>39</v>
      </c>
      <c r="D419" s="1">
        <v>45924</v>
      </c>
      <c r="E419" s="1">
        <v>45925</v>
      </c>
      <c r="F419" t="s">
        <v>57</v>
      </c>
      <c r="G419">
        <v>1</v>
      </c>
      <c r="H419">
        <v>148</v>
      </c>
      <c r="I419" t="s">
        <v>60</v>
      </c>
      <c r="J419">
        <f t="shared" si="18"/>
        <v>4.9333333333333336</v>
      </c>
      <c r="K419" t="str">
        <f t="shared" si="19"/>
        <v>24/09/2025A&amp;E (Emergency)</v>
      </c>
      <c r="L419" t="e">
        <f>VLOOKUP(K419, Sheet2!$A$2:$B$4186, 2,FALSE)</f>
        <v>#N/A</v>
      </c>
      <c r="M419">
        <f>VLOOKUP(C419,Depts!$B$1:$D$16,3,FALSE)</f>
        <v>42</v>
      </c>
      <c r="N419" s="1" t="b">
        <f t="shared" si="17"/>
        <v>1</v>
      </c>
    </row>
    <row r="420" spans="1:14">
      <c r="A420">
        <v>480</v>
      </c>
      <c r="B420">
        <v>597</v>
      </c>
      <c r="C420" t="s">
        <v>50</v>
      </c>
      <c r="D420" s="1">
        <v>45925</v>
      </c>
      <c r="E420" s="1">
        <v>45930</v>
      </c>
      <c r="F420" t="s">
        <v>56</v>
      </c>
      <c r="G420">
        <v>5</v>
      </c>
      <c r="H420">
        <v>43</v>
      </c>
      <c r="I420" t="s">
        <v>60</v>
      </c>
      <c r="J420">
        <f t="shared" si="18"/>
        <v>7.166666666666667</v>
      </c>
      <c r="K420" t="str">
        <f t="shared" si="19"/>
        <v>25/09/2025Renal Medicine</v>
      </c>
      <c r="L420" t="e">
        <f>VLOOKUP(K420, Sheet2!$A$2:$B$4186, 2,FALSE)</f>
        <v>#N/A</v>
      </c>
      <c r="M420">
        <f>VLOOKUP(C420,Depts!$B$1:$D$16,3,FALSE)</f>
        <v>26</v>
      </c>
      <c r="N420" s="1" t="b">
        <f t="shared" si="17"/>
        <v>1</v>
      </c>
    </row>
    <row r="421" spans="1:14">
      <c r="A421">
        <v>481</v>
      </c>
      <c r="B421">
        <v>750</v>
      </c>
      <c r="C421" t="s">
        <v>46</v>
      </c>
      <c r="D421" s="1">
        <v>45926</v>
      </c>
      <c r="E421" s="1">
        <v>45932</v>
      </c>
      <c r="F421" t="s">
        <v>56</v>
      </c>
      <c r="G421">
        <v>6</v>
      </c>
      <c r="H421">
        <v>15</v>
      </c>
      <c r="I421" t="s">
        <v>60</v>
      </c>
      <c r="J421">
        <f t="shared" si="18"/>
        <v>3</v>
      </c>
      <c r="K421" t="str">
        <f t="shared" si="19"/>
        <v>26/09/2025Neurology</v>
      </c>
      <c r="L421" t="e">
        <f>VLOOKUP(K421, Sheet2!$A$2:$B$4186, 2,FALSE)</f>
        <v>#N/A</v>
      </c>
      <c r="M421">
        <f>VLOOKUP(C421,Depts!$B$1:$D$16,3,FALSE)</f>
        <v>32</v>
      </c>
      <c r="N421" s="1" t="b">
        <f t="shared" si="17"/>
        <v>1</v>
      </c>
    </row>
    <row r="422" spans="1:14">
      <c r="A422">
        <v>482</v>
      </c>
      <c r="B422">
        <v>574</v>
      </c>
      <c r="C422" t="s">
        <v>45</v>
      </c>
      <c r="D422" s="1">
        <v>45926</v>
      </c>
      <c r="E422" s="1">
        <v>45928</v>
      </c>
      <c r="F422" t="s">
        <v>57</v>
      </c>
      <c r="G422">
        <v>2</v>
      </c>
      <c r="H422">
        <v>63</v>
      </c>
      <c r="I422" t="s">
        <v>60</v>
      </c>
      <c r="J422">
        <f t="shared" si="18"/>
        <v>4.2</v>
      </c>
      <c r="K422" t="str">
        <f t="shared" si="19"/>
        <v>26/09/2025Maternity</v>
      </c>
      <c r="L422" t="e">
        <f>VLOOKUP(K422, Sheet2!$A$2:$B$4186, 2,FALSE)</f>
        <v>#N/A</v>
      </c>
      <c r="M422">
        <f>VLOOKUP(C422,Depts!$B$1:$D$16,3,FALSE)</f>
        <v>34</v>
      </c>
      <c r="N422" s="1" t="b">
        <f t="shared" si="17"/>
        <v>1</v>
      </c>
    </row>
    <row r="423" spans="1:14">
      <c r="A423">
        <v>483</v>
      </c>
      <c r="B423">
        <v>335</v>
      </c>
      <c r="C423" t="s">
        <v>48</v>
      </c>
      <c r="D423" s="1">
        <v>45927</v>
      </c>
      <c r="E423" s="1">
        <v>45932</v>
      </c>
      <c r="F423" t="s">
        <v>56</v>
      </c>
      <c r="G423">
        <v>5</v>
      </c>
      <c r="H423">
        <v>36</v>
      </c>
      <c r="I423" t="s">
        <v>60</v>
      </c>
      <c r="J423">
        <f t="shared" si="18"/>
        <v>6</v>
      </c>
      <c r="K423" t="str">
        <f t="shared" si="19"/>
        <v>27/09/2025Orthopaedics</v>
      </c>
      <c r="L423" t="e">
        <f>VLOOKUP(K423, Sheet2!$A$2:$B$4186, 2,FALSE)</f>
        <v>#N/A</v>
      </c>
      <c r="M423">
        <f>VLOOKUP(C423,Depts!$B$1:$D$16,3,FALSE)</f>
        <v>40</v>
      </c>
      <c r="N423" s="1" t="b">
        <f t="shared" si="17"/>
        <v>1</v>
      </c>
    </row>
    <row r="424" spans="1:14">
      <c r="A424">
        <v>484</v>
      </c>
      <c r="B424">
        <v>69</v>
      </c>
      <c r="C424" t="s">
        <v>49</v>
      </c>
      <c r="D424" s="1">
        <v>45927</v>
      </c>
      <c r="E424" s="1">
        <v>45929</v>
      </c>
      <c r="F424" t="s">
        <v>57</v>
      </c>
      <c r="G424">
        <v>2</v>
      </c>
      <c r="H424">
        <v>111</v>
      </c>
      <c r="I424" t="s">
        <v>60</v>
      </c>
      <c r="J424">
        <f t="shared" si="18"/>
        <v>7.4</v>
      </c>
      <c r="K424" t="str">
        <f t="shared" si="19"/>
        <v>27/09/2025Paediatrics</v>
      </c>
      <c r="L424" t="e">
        <f>VLOOKUP(K424, Sheet2!$A$2:$B$4186, 2,FALSE)</f>
        <v>#N/A</v>
      </c>
      <c r="M424">
        <f>VLOOKUP(C424,Depts!$B$1:$D$16,3,FALSE)</f>
        <v>30</v>
      </c>
      <c r="N424" s="1" t="b">
        <f t="shared" si="17"/>
        <v>1</v>
      </c>
    </row>
    <row r="425" spans="1:14">
      <c r="A425">
        <v>485</v>
      </c>
      <c r="B425">
        <v>725</v>
      </c>
      <c r="C425" t="s">
        <v>42</v>
      </c>
      <c r="D425" s="1">
        <v>45928</v>
      </c>
      <c r="E425" s="1">
        <v>45933</v>
      </c>
      <c r="F425" t="s">
        <v>56</v>
      </c>
      <c r="G425">
        <v>5</v>
      </c>
      <c r="H425">
        <v>15</v>
      </c>
      <c r="I425" t="s">
        <v>60</v>
      </c>
      <c r="J425">
        <f t="shared" si="18"/>
        <v>2.5</v>
      </c>
      <c r="K425" t="str">
        <f t="shared" si="19"/>
        <v>28/09/2025Gastroenterology</v>
      </c>
      <c r="L425" t="e">
        <f>VLOOKUP(K425, Sheet2!$A$2:$B$4186, 2,FALSE)</f>
        <v>#N/A</v>
      </c>
      <c r="M425">
        <f>VLOOKUP(C425,Depts!$B$1:$D$16,3,FALSE)</f>
        <v>29</v>
      </c>
      <c r="N425" s="1" t="b">
        <f t="shared" si="17"/>
        <v>1</v>
      </c>
    </row>
    <row r="426" spans="1:14">
      <c r="A426">
        <v>486</v>
      </c>
      <c r="B426">
        <v>754</v>
      </c>
      <c r="C426" t="s">
        <v>41</v>
      </c>
      <c r="D426" s="1">
        <v>45931</v>
      </c>
      <c r="E426" s="1">
        <v>45933</v>
      </c>
      <c r="F426" t="s">
        <v>57</v>
      </c>
      <c r="G426">
        <v>2</v>
      </c>
      <c r="H426">
        <v>228</v>
      </c>
      <c r="I426" t="s">
        <v>61</v>
      </c>
      <c r="J426">
        <f t="shared" si="18"/>
        <v>15.2</v>
      </c>
      <c r="K426" t="str">
        <f t="shared" si="19"/>
        <v>01/10/2025ENT</v>
      </c>
      <c r="L426" t="e">
        <f>VLOOKUP(K426, Sheet2!$A$2:$B$4186, 2,FALSE)</f>
        <v>#N/A</v>
      </c>
      <c r="M426">
        <f>VLOOKUP(C426,Depts!$B$1:$D$16,3,FALSE)</f>
        <v>20</v>
      </c>
      <c r="N426" s="1" t="b">
        <f t="shared" si="17"/>
        <v>1</v>
      </c>
    </row>
    <row r="427" spans="1:14">
      <c r="A427">
        <v>487</v>
      </c>
      <c r="B427">
        <v>869</v>
      </c>
      <c r="C427" t="s">
        <v>44</v>
      </c>
      <c r="D427" s="1">
        <v>45931</v>
      </c>
      <c r="E427" s="1">
        <v>45937</v>
      </c>
      <c r="F427" t="s">
        <v>56</v>
      </c>
      <c r="G427">
        <v>6</v>
      </c>
      <c r="H427">
        <v>25</v>
      </c>
      <c r="I427" t="s">
        <v>60</v>
      </c>
      <c r="J427">
        <f t="shared" si="18"/>
        <v>5</v>
      </c>
      <c r="K427" t="str">
        <f t="shared" si="19"/>
        <v>01/10/2025Geriatrics</v>
      </c>
      <c r="L427" t="e">
        <f>VLOOKUP(K427, Sheet2!$A$2:$B$4186, 2,FALSE)</f>
        <v>#N/A</v>
      </c>
      <c r="M427">
        <f>VLOOKUP(C427,Depts!$B$1:$D$16,3,FALSE)</f>
        <v>46</v>
      </c>
      <c r="N427" s="1" t="b">
        <f t="shared" si="17"/>
        <v>1</v>
      </c>
    </row>
    <row r="428" spans="1:14">
      <c r="A428">
        <v>488</v>
      </c>
      <c r="B428">
        <v>818</v>
      </c>
      <c r="C428" t="s">
        <v>51</v>
      </c>
      <c r="D428" s="1">
        <v>45932</v>
      </c>
      <c r="E428" s="1">
        <v>45934</v>
      </c>
      <c r="F428" t="s">
        <v>57</v>
      </c>
      <c r="G428">
        <v>2</v>
      </c>
      <c r="H428">
        <v>230</v>
      </c>
      <c r="I428" t="s">
        <v>60</v>
      </c>
      <c r="J428">
        <f t="shared" si="18"/>
        <v>15.333333333333334</v>
      </c>
      <c r="K428" t="str">
        <f t="shared" si="19"/>
        <v>02/10/2025Respiratory</v>
      </c>
      <c r="L428" t="e">
        <f>VLOOKUP(K428, Sheet2!$A$2:$B$4186, 2,FALSE)</f>
        <v>#N/A</v>
      </c>
      <c r="M428">
        <f>VLOOKUP(C428,Depts!$B$1:$D$16,3,FALSE)</f>
        <v>36</v>
      </c>
      <c r="N428" s="1" t="b">
        <f t="shared" si="17"/>
        <v>1</v>
      </c>
    </row>
    <row r="429" spans="1:14">
      <c r="A429">
        <v>489</v>
      </c>
      <c r="B429">
        <v>558</v>
      </c>
      <c r="C429" t="s">
        <v>43</v>
      </c>
      <c r="D429" s="1">
        <v>45933</v>
      </c>
      <c r="E429" s="1">
        <v>45938</v>
      </c>
      <c r="F429" t="s">
        <v>56</v>
      </c>
      <c r="G429">
        <v>5</v>
      </c>
      <c r="H429">
        <v>39</v>
      </c>
      <c r="I429" t="s">
        <v>60</v>
      </c>
      <c r="J429">
        <f t="shared" si="18"/>
        <v>6.5</v>
      </c>
      <c r="K429" t="str">
        <f t="shared" si="19"/>
        <v>03/10/2025General Surgery</v>
      </c>
      <c r="L429" t="e">
        <f>VLOOKUP(K429, Sheet2!$A$2:$B$4186, 2,FALSE)</f>
        <v>#N/A</v>
      </c>
      <c r="M429">
        <f>VLOOKUP(C429,Depts!$B$1:$D$16,3,FALSE)</f>
        <v>44</v>
      </c>
      <c r="N429" s="1" t="b">
        <f t="shared" si="17"/>
        <v>1</v>
      </c>
    </row>
    <row r="430" spans="1:14">
      <c r="A430">
        <v>490</v>
      </c>
      <c r="B430">
        <v>634</v>
      </c>
      <c r="C430" t="s">
        <v>40</v>
      </c>
      <c r="D430" s="1">
        <v>45933</v>
      </c>
      <c r="E430" s="1">
        <v>45936</v>
      </c>
      <c r="F430" t="s">
        <v>58</v>
      </c>
      <c r="G430">
        <v>3</v>
      </c>
      <c r="H430">
        <v>58</v>
      </c>
      <c r="I430" t="s">
        <v>61</v>
      </c>
      <c r="J430">
        <f t="shared" si="18"/>
        <v>5.8</v>
      </c>
      <c r="K430" t="str">
        <f t="shared" si="19"/>
        <v>03/10/2025Cardiology</v>
      </c>
      <c r="L430" t="e">
        <f>VLOOKUP(K430, Sheet2!$A$2:$B$4186, 2,FALSE)</f>
        <v>#N/A</v>
      </c>
      <c r="M430">
        <f>VLOOKUP(C430,Depts!$B$1:$D$16,3,FALSE)</f>
        <v>38</v>
      </c>
      <c r="N430" s="1" t="b">
        <f t="shared" si="17"/>
        <v>1</v>
      </c>
    </row>
    <row r="431" spans="1:14">
      <c r="A431">
        <v>491</v>
      </c>
      <c r="B431">
        <v>975</v>
      </c>
      <c r="C431" t="s">
        <v>47</v>
      </c>
      <c r="D431" s="1">
        <v>45934</v>
      </c>
      <c r="E431" s="1">
        <v>45939</v>
      </c>
      <c r="F431" t="s">
        <v>56</v>
      </c>
      <c r="G431">
        <v>5</v>
      </c>
      <c r="H431">
        <v>27</v>
      </c>
      <c r="I431" t="s">
        <v>60</v>
      </c>
      <c r="J431">
        <f t="shared" si="18"/>
        <v>4.5</v>
      </c>
      <c r="K431" t="str">
        <f t="shared" si="19"/>
        <v>04/10/2025Oncology</v>
      </c>
      <c r="L431" t="e">
        <f>VLOOKUP(K431, Sheet2!$A$2:$B$4186, 2,FALSE)</f>
        <v>#N/A</v>
      </c>
      <c r="M431">
        <f>VLOOKUP(C431,Depts!$B$1:$D$16,3,FALSE)</f>
        <v>28</v>
      </c>
      <c r="N431" s="1" t="b">
        <f t="shared" si="17"/>
        <v>1</v>
      </c>
    </row>
    <row r="432" spans="1:14">
      <c r="A432">
        <v>492</v>
      </c>
      <c r="B432">
        <v>409</v>
      </c>
      <c r="C432" t="s">
        <v>39</v>
      </c>
      <c r="D432" s="1">
        <v>45934</v>
      </c>
      <c r="E432" s="1">
        <v>45935</v>
      </c>
      <c r="F432" t="s">
        <v>57</v>
      </c>
      <c r="G432">
        <v>1</v>
      </c>
      <c r="H432">
        <v>38</v>
      </c>
      <c r="I432" t="s">
        <v>60</v>
      </c>
      <c r="J432">
        <f t="shared" si="18"/>
        <v>1.2666666666666666</v>
      </c>
      <c r="K432" t="str">
        <f t="shared" si="19"/>
        <v>04/10/2025A&amp;E (Emergency)</v>
      </c>
      <c r="L432" t="e">
        <f>VLOOKUP(K432, Sheet2!$A$2:$B$4186, 2,FALSE)</f>
        <v>#N/A</v>
      </c>
      <c r="M432">
        <f>VLOOKUP(C432,Depts!$B$1:$D$16,3,FALSE)</f>
        <v>42</v>
      </c>
      <c r="N432" s="1" t="b">
        <f t="shared" si="17"/>
        <v>1</v>
      </c>
    </row>
    <row r="433" spans="1:14">
      <c r="A433">
        <v>493</v>
      </c>
      <c r="B433">
        <v>252</v>
      </c>
      <c r="C433" t="s">
        <v>50</v>
      </c>
      <c r="D433" s="1">
        <v>45935</v>
      </c>
      <c r="E433" s="1">
        <v>45940</v>
      </c>
      <c r="F433" t="s">
        <v>56</v>
      </c>
      <c r="G433">
        <v>5</v>
      </c>
      <c r="H433">
        <v>44</v>
      </c>
      <c r="I433" t="s">
        <v>60</v>
      </c>
      <c r="J433">
        <f t="shared" si="18"/>
        <v>7.333333333333333</v>
      </c>
      <c r="K433" t="str">
        <f t="shared" si="19"/>
        <v>05/10/2025Renal Medicine</v>
      </c>
      <c r="L433" t="e">
        <f>VLOOKUP(K433, Sheet2!$A$2:$B$4186, 2,FALSE)</f>
        <v>#N/A</v>
      </c>
      <c r="M433">
        <f>VLOOKUP(C433,Depts!$B$1:$D$16,3,FALSE)</f>
        <v>26</v>
      </c>
      <c r="N433" s="1" t="b">
        <f t="shared" ref="N433:N496" si="20">ISNUMBER(D433)</f>
        <v>1</v>
      </c>
    </row>
    <row r="434" spans="1:14">
      <c r="A434">
        <v>494</v>
      </c>
      <c r="B434">
        <v>563</v>
      </c>
      <c r="C434" t="s">
        <v>46</v>
      </c>
      <c r="D434" s="1">
        <v>45936</v>
      </c>
      <c r="E434" s="1">
        <v>45942</v>
      </c>
      <c r="F434" t="s">
        <v>56</v>
      </c>
      <c r="G434">
        <v>6</v>
      </c>
      <c r="H434">
        <v>12</v>
      </c>
      <c r="I434" t="s">
        <v>60</v>
      </c>
      <c r="J434">
        <f t="shared" si="18"/>
        <v>2.4000000000000004</v>
      </c>
      <c r="K434" t="str">
        <f t="shared" si="19"/>
        <v>06/10/2025Neurology</v>
      </c>
      <c r="L434" t="e">
        <f>VLOOKUP(K434, Sheet2!$A$2:$B$4186, 2,FALSE)</f>
        <v>#N/A</v>
      </c>
      <c r="M434">
        <f>VLOOKUP(C434,Depts!$B$1:$D$16,3,FALSE)</f>
        <v>32</v>
      </c>
      <c r="N434" s="1" t="b">
        <f t="shared" si="20"/>
        <v>1</v>
      </c>
    </row>
    <row r="435" spans="1:14">
      <c r="A435">
        <v>495</v>
      </c>
      <c r="B435">
        <v>798</v>
      </c>
      <c r="C435" t="s">
        <v>45</v>
      </c>
      <c r="D435" s="1">
        <v>45936</v>
      </c>
      <c r="E435" s="1">
        <v>45938</v>
      </c>
      <c r="F435" t="s">
        <v>57</v>
      </c>
      <c r="G435">
        <v>2</v>
      </c>
      <c r="H435">
        <v>146</v>
      </c>
      <c r="I435" t="s">
        <v>60</v>
      </c>
      <c r="J435">
        <f t="shared" si="18"/>
        <v>9.7333333333333325</v>
      </c>
      <c r="K435" t="str">
        <f t="shared" si="19"/>
        <v>06/10/2025Maternity</v>
      </c>
      <c r="L435" t="e">
        <f>VLOOKUP(K435, Sheet2!$A$2:$B$4186, 2,FALSE)</f>
        <v>#N/A</v>
      </c>
      <c r="M435">
        <f>VLOOKUP(C435,Depts!$B$1:$D$16,3,FALSE)</f>
        <v>34</v>
      </c>
      <c r="N435" s="1" t="b">
        <f t="shared" si="20"/>
        <v>1</v>
      </c>
    </row>
    <row r="436" spans="1:14">
      <c r="A436">
        <v>496</v>
      </c>
      <c r="B436">
        <v>572</v>
      </c>
      <c r="C436" t="s">
        <v>48</v>
      </c>
      <c r="D436" s="1">
        <v>45937</v>
      </c>
      <c r="E436" s="1">
        <v>45942</v>
      </c>
      <c r="F436" t="s">
        <v>56</v>
      </c>
      <c r="G436">
        <v>5</v>
      </c>
      <c r="H436">
        <v>13</v>
      </c>
      <c r="I436" t="s">
        <v>60</v>
      </c>
      <c r="J436">
        <f t="shared" si="18"/>
        <v>2.166666666666667</v>
      </c>
      <c r="K436" t="str">
        <f t="shared" si="19"/>
        <v>07/10/2025Orthopaedics</v>
      </c>
      <c r="L436" t="e">
        <f>VLOOKUP(K436, Sheet2!$A$2:$B$4186, 2,FALSE)</f>
        <v>#N/A</v>
      </c>
      <c r="M436">
        <f>VLOOKUP(C436,Depts!$B$1:$D$16,3,FALSE)</f>
        <v>40</v>
      </c>
      <c r="N436" s="1" t="b">
        <f t="shared" si="20"/>
        <v>1</v>
      </c>
    </row>
    <row r="437" spans="1:14">
      <c r="A437">
        <v>497</v>
      </c>
      <c r="B437">
        <v>425</v>
      </c>
      <c r="C437" t="s">
        <v>49</v>
      </c>
      <c r="D437" s="1">
        <v>45937</v>
      </c>
      <c r="E437" s="1">
        <v>45939</v>
      </c>
      <c r="F437" t="s">
        <v>57</v>
      </c>
      <c r="G437">
        <v>2</v>
      </c>
      <c r="H437">
        <v>126</v>
      </c>
      <c r="I437" t="s">
        <v>60</v>
      </c>
      <c r="J437">
        <f t="shared" si="18"/>
        <v>8.4</v>
      </c>
      <c r="K437" t="str">
        <f t="shared" si="19"/>
        <v>07/10/2025Paediatrics</v>
      </c>
      <c r="L437" t="e">
        <f>VLOOKUP(K437, Sheet2!$A$2:$B$4186, 2,FALSE)</f>
        <v>#N/A</v>
      </c>
      <c r="M437">
        <f>VLOOKUP(C437,Depts!$B$1:$D$16,3,FALSE)</f>
        <v>30</v>
      </c>
      <c r="N437" s="1" t="b">
        <f t="shared" si="20"/>
        <v>1</v>
      </c>
    </row>
    <row r="438" spans="1:14">
      <c r="A438">
        <v>498</v>
      </c>
      <c r="B438">
        <v>594</v>
      </c>
      <c r="C438" t="s">
        <v>42</v>
      </c>
      <c r="D438" s="1">
        <v>45938</v>
      </c>
      <c r="E438" s="1">
        <v>45943</v>
      </c>
      <c r="F438" t="s">
        <v>56</v>
      </c>
      <c r="G438">
        <v>5</v>
      </c>
      <c r="H438">
        <v>44</v>
      </c>
      <c r="I438" t="s">
        <v>60</v>
      </c>
      <c r="J438">
        <f t="shared" si="18"/>
        <v>7.333333333333333</v>
      </c>
      <c r="K438" t="str">
        <f t="shared" si="19"/>
        <v>08/10/2025Gastroenterology</v>
      </c>
      <c r="L438" t="e">
        <f>VLOOKUP(K438, Sheet2!$A$2:$B$4186, 2,FALSE)</f>
        <v>#N/A</v>
      </c>
      <c r="M438">
        <f>VLOOKUP(C438,Depts!$B$1:$D$16,3,FALSE)</f>
        <v>29</v>
      </c>
      <c r="N438" s="1" t="b">
        <f t="shared" si="20"/>
        <v>1</v>
      </c>
    </row>
    <row r="439" spans="1:14">
      <c r="A439">
        <v>499</v>
      </c>
      <c r="B439">
        <v>500</v>
      </c>
      <c r="C439" t="s">
        <v>41</v>
      </c>
      <c r="D439" s="1">
        <v>45939</v>
      </c>
      <c r="E439" s="1">
        <v>45941</v>
      </c>
      <c r="F439" t="s">
        <v>57</v>
      </c>
      <c r="G439">
        <v>2</v>
      </c>
      <c r="H439">
        <v>118</v>
      </c>
      <c r="I439" t="s">
        <v>60</v>
      </c>
      <c r="J439">
        <f t="shared" si="18"/>
        <v>7.8666666666666663</v>
      </c>
      <c r="K439" t="str">
        <f t="shared" si="19"/>
        <v>09/10/2025ENT</v>
      </c>
      <c r="L439" t="e">
        <f>VLOOKUP(K439, Sheet2!$A$2:$B$4186, 2,FALSE)</f>
        <v>#N/A</v>
      </c>
      <c r="M439">
        <f>VLOOKUP(C439,Depts!$B$1:$D$16,3,FALSE)</f>
        <v>20</v>
      </c>
      <c r="N439" s="1" t="b">
        <f t="shared" si="20"/>
        <v>1</v>
      </c>
    </row>
    <row r="440" spans="1:14">
      <c r="A440">
        <v>500</v>
      </c>
      <c r="B440">
        <v>183</v>
      </c>
      <c r="C440" t="s">
        <v>44</v>
      </c>
      <c r="D440" s="1">
        <v>45939</v>
      </c>
      <c r="E440" s="1">
        <v>45945</v>
      </c>
      <c r="F440" t="s">
        <v>56</v>
      </c>
      <c r="G440">
        <v>6</v>
      </c>
      <c r="H440">
        <v>43</v>
      </c>
      <c r="I440" t="s">
        <v>60</v>
      </c>
      <c r="J440">
        <f t="shared" si="18"/>
        <v>8.6</v>
      </c>
      <c r="K440" t="str">
        <f t="shared" si="19"/>
        <v>09/10/2025Geriatrics</v>
      </c>
      <c r="L440" t="e">
        <f>VLOOKUP(K440, Sheet2!$A$2:$B$4186, 2,FALSE)</f>
        <v>#N/A</v>
      </c>
      <c r="M440">
        <f>VLOOKUP(C440,Depts!$B$1:$D$16,3,FALSE)</f>
        <v>46</v>
      </c>
      <c r="N440" s="1" t="b">
        <f t="shared" si="20"/>
        <v>1</v>
      </c>
    </row>
    <row r="441" spans="1:14">
      <c r="A441">
        <v>501</v>
      </c>
      <c r="B441">
        <v>370</v>
      </c>
      <c r="C441" t="s">
        <v>51</v>
      </c>
      <c r="D441" s="1">
        <v>45940</v>
      </c>
      <c r="E441" s="1">
        <v>45942</v>
      </c>
      <c r="F441" t="s">
        <v>57</v>
      </c>
      <c r="G441">
        <v>2</v>
      </c>
      <c r="H441">
        <v>21</v>
      </c>
      <c r="I441" t="s">
        <v>60</v>
      </c>
      <c r="J441">
        <f t="shared" si="18"/>
        <v>1.4</v>
      </c>
      <c r="K441" t="str">
        <f t="shared" si="19"/>
        <v>10/10/2025Respiratory</v>
      </c>
      <c r="L441" t="e">
        <f>VLOOKUP(K441, Sheet2!$A$2:$B$4186, 2,FALSE)</f>
        <v>#N/A</v>
      </c>
      <c r="M441">
        <f>VLOOKUP(C441,Depts!$B$1:$D$16,3,FALSE)</f>
        <v>36</v>
      </c>
      <c r="N441" s="1" t="b">
        <f t="shared" si="20"/>
        <v>1</v>
      </c>
    </row>
    <row r="442" spans="1:14">
      <c r="A442">
        <v>502</v>
      </c>
      <c r="B442">
        <v>393</v>
      </c>
      <c r="C442" t="s">
        <v>43</v>
      </c>
      <c r="D442" s="1">
        <v>45941</v>
      </c>
      <c r="E442" s="1">
        <v>45946</v>
      </c>
      <c r="F442" t="s">
        <v>56</v>
      </c>
      <c r="G442">
        <v>5</v>
      </c>
      <c r="H442">
        <v>42</v>
      </c>
      <c r="I442" t="s">
        <v>60</v>
      </c>
      <c r="J442">
        <f t="shared" si="18"/>
        <v>7</v>
      </c>
      <c r="K442" t="str">
        <f t="shared" si="19"/>
        <v>11/10/2025General Surgery</v>
      </c>
      <c r="L442" t="e">
        <f>VLOOKUP(K442, Sheet2!$A$2:$B$4186, 2,FALSE)</f>
        <v>#N/A</v>
      </c>
      <c r="M442">
        <f>VLOOKUP(C442,Depts!$B$1:$D$16,3,FALSE)</f>
        <v>44</v>
      </c>
      <c r="N442" s="1" t="b">
        <f t="shared" si="20"/>
        <v>1</v>
      </c>
    </row>
    <row r="443" spans="1:14">
      <c r="A443">
        <v>503</v>
      </c>
      <c r="B443">
        <v>445</v>
      </c>
      <c r="C443" t="s">
        <v>40</v>
      </c>
      <c r="D443" s="1">
        <v>45941</v>
      </c>
      <c r="E443" s="1">
        <v>45944</v>
      </c>
      <c r="F443" t="s">
        <v>58</v>
      </c>
      <c r="G443">
        <v>3</v>
      </c>
      <c r="H443">
        <v>31</v>
      </c>
      <c r="I443" t="s">
        <v>60</v>
      </c>
      <c r="J443">
        <f t="shared" si="18"/>
        <v>3.1000000000000005</v>
      </c>
      <c r="K443" t="str">
        <f t="shared" si="19"/>
        <v>11/10/2025Cardiology</v>
      </c>
      <c r="L443" t="e">
        <f>VLOOKUP(K443, Sheet2!$A$2:$B$4186, 2,FALSE)</f>
        <v>#N/A</v>
      </c>
      <c r="M443">
        <f>VLOOKUP(C443,Depts!$B$1:$D$16,3,FALSE)</f>
        <v>38</v>
      </c>
      <c r="N443" s="1" t="b">
        <f t="shared" si="20"/>
        <v>1</v>
      </c>
    </row>
    <row r="444" spans="1:14">
      <c r="A444">
        <v>504</v>
      </c>
      <c r="B444">
        <v>985</v>
      </c>
      <c r="C444" t="s">
        <v>47</v>
      </c>
      <c r="D444" s="1">
        <v>45942</v>
      </c>
      <c r="E444" s="1">
        <v>45947</v>
      </c>
      <c r="F444" t="s">
        <v>56</v>
      </c>
      <c r="G444">
        <v>5</v>
      </c>
      <c r="H444">
        <v>13</v>
      </c>
      <c r="I444" t="s">
        <v>60</v>
      </c>
      <c r="J444">
        <f t="shared" si="18"/>
        <v>2.166666666666667</v>
      </c>
      <c r="K444" t="str">
        <f t="shared" si="19"/>
        <v>12/10/2025Oncology</v>
      </c>
      <c r="L444" t="e">
        <f>VLOOKUP(K444, Sheet2!$A$2:$B$4186, 2,FALSE)</f>
        <v>#N/A</v>
      </c>
      <c r="M444">
        <f>VLOOKUP(C444,Depts!$B$1:$D$16,3,FALSE)</f>
        <v>28</v>
      </c>
      <c r="N444" s="1" t="b">
        <f t="shared" si="20"/>
        <v>1</v>
      </c>
    </row>
    <row r="445" spans="1:14">
      <c r="A445">
        <v>505</v>
      </c>
      <c r="B445">
        <v>310</v>
      </c>
      <c r="C445" t="s">
        <v>39</v>
      </c>
      <c r="D445" s="1">
        <v>45942</v>
      </c>
      <c r="E445" s="1">
        <v>45943</v>
      </c>
      <c r="F445" t="s">
        <v>57</v>
      </c>
      <c r="G445">
        <v>1</v>
      </c>
      <c r="H445">
        <v>36</v>
      </c>
      <c r="I445" t="s">
        <v>60</v>
      </c>
      <c r="J445">
        <f t="shared" si="18"/>
        <v>1.2</v>
      </c>
      <c r="K445" t="str">
        <f t="shared" si="19"/>
        <v>12/10/2025A&amp;E (Emergency)</v>
      </c>
      <c r="L445" t="e">
        <f>VLOOKUP(K445, Sheet2!$A$2:$B$4186, 2,FALSE)</f>
        <v>#N/A</v>
      </c>
      <c r="M445">
        <f>VLOOKUP(C445,Depts!$B$1:$D$16,3,FALSE)</f>
        <v>42</v>
      </c>
      <c r="N445" s="1" t="b">
        <f t="shared" si="20"/>
        <v>1</v>
      </c>
    </row>
    <row r="446" spans="1:14">
      <c r="A446">
        <v>506</v>
      </c>
      <c r="B446">
        <v>301</v>
      </c>
      <c r="C446" t="s">
        <v>50</v>
      </c>
      <c r="D446" s="1">
        <v>45943</v>
      </c>
      <c r="E446" s="1">
        <v>45948</v>
      </c>
      <c r="F446" t="s">
        <v>56</v>
      </c>
      <c r="G446">
        <v>5</v>
      </c>
      <c r="H446">
        <v>10</v>
      </c>
      <c r="I446" t="s">
        <v>60</v>
      </c>
      <c r="J446">
        <f t="shared" si="18"/>
        <v>1.6666666666666665</v>
      </c>
      <c r="K446" t="str">
        <f t="shared" si="19"/>
        <v>13/10/2025Renal Medicine</v>
      </c>
      <c r="L446" t="e">
        <f>VLOOKUP(K446, Sheet2!$A$2:$B$4186, 2,FALSE)</f>
        <v>#N/A</v>
      </c>
      <c r="M446">
        <f>VLOOKUP(C446,Depts!$B$1:$D$16,3,FALSE)</f>
        <v>26</v>
      </c>
      <c r="N446" s="1" t="b">
        <f t="shared" si="20"/>
        <v>1</v>
      </c>
    </row>
    <row r="447" spans="1:14">
      <c r="A447">
        <v>507</v>
      </c>
      <c r="B447">
        <v>791</v>
      </c>
      <c r="C447" t="s">
        <v>46</v>
      </c>
      <c r="D447" s="1">
        <v>45944</v>
      </c>
      <c r="E447" s="1">
        <v>45950</v>
      </c>
      <c r="F447" t="s">
        <v>56</v>
      </c>
      <c r="G447">
        <v>6</v>
      </c>
      <c r="H447">
        <v>41</v>
      </c>
      <c r="I447" t="s">
        <v>60</v>
      </c>
      <c r="J447">
        <f t="shared" si="18"/>
        <v>8.1999999999999993</v>
      </c>
      <c r="K447" t="str">
        <f t="shared" si="19"/>
        <v>14/10/2025Neurology</v>
      </c>
      <c r="L447" t="e">
        <f>VLOOKUP(K447, Sheet2!$A$2:$B$4186, 2,FALSE)</f>
        <v>#N/A</v>
      </c>
      <c r="M447">
        <f>VLOOKUP(C447,Depts!$B$1:$D$16,3,FALSE)</f>
        <v>32</v>
      </c>
      <c r="N447" s="1" t="b">
        <f t="shared" si="20"/>
        <v>1</v>
      </c>
    </row>
    <row r="448" spans="1:14">
      <c r="A448">
        <v>508</v>
      </c>
      <c r="B448">
        <v>400</v>
      </c>
      <c r="C448" t="s">
        <v>45</v>
      </c>
      <c r="D448" s="1">
        <v>45944</v>
      </c>
      <c r="E448" s="1">
        <v>45946</v>
      </c>
      <c r="F448" t="s">
        <v>57</v>
      </c>
      <c r="G448">
        <v>2</v>
      </c>
      <c r="H448">
        <v>120</v>
      </c>
      <c r="I448" t="s">
        <v>60</v>
      </c>
      <c r="J448">
        <f t="shared" si="18"/>
        <v>8</v>
      </c>
      <c r="K448" t="str">
        <f t="shared" si="19"/>
        <v>14/10/2025Maternity</v>
      </c>
      <c r="L448" t="e">
        <f>VLOOKUP(K448, Sheet2!$A$2:$B$4186, 2,FALSE)</f>
        <v>#N/A</v>
      </c>
      <c r="M448">
        <f>VLOOKUP(C448,Depts!$B$1:$D$16,3,FALSE)</f>
        <v>34</v>
      </c>
      <c r="N448" s="1" t="b">
        <f t="shared" si="20"/>
        <v>1</v>
      </c>
    </row>
    <row r="449" spans="1:14">
      <c r="A449">
        <v>509</v>
      </c>
      <c r="B449">
        <v>36</v>
      </c>
      <c r="C449" t="s">
        <v>48</v>
      </c>
      <c r="D449" s="1">
        <v>45945</v>
      </c>
      <c r="E449" s="1">
        <v>45950</v>
      </c>
      <c r="F449" t="s">
        <v>56</v>
      </c>
      <c r="G449">
        <v>5</v>
      </c>
      <c r="H449">
        <v>22</v>
      </c>
      <c r="I449" t="s">
        <v>60</v>
      </c>
      <c r="J449">
        <f t="shared" si="18"/>
        <v>3.6666666666666665</v>
      </c>
      <c r="K449" t="str">
        <f t="shared" si="19"/>
        <v>15/10/2025Orthopaedics</v>
      </c>
      <c r="L449" t="e">
        <f>VLOOKUP(K449, Sheet2!$A$2:$B$4186, 2,FALSE)</f>
        <v>#N/A</v>
      </c>
      <c r="M449">
        <f>VLOOKUP(C449,Depts!$B$1:$D$16,3,FALSE)</f>
        <v>40</v>
      </c>
      <c r="N449" s="1" t="b">
        <f t="shared" si="20"/>
        <v>1</v>
      </c>
    </row>
    <row r="450" spans="1:14">
      <c r="A450">
        <v>510</v>
      </c>
      <c r="B450">
        <v>193</v>
      </c>
      <c r="C450" t="s">
        <v>49</v>
      </c>
      <c r="D450" s="1">
        <v>45945</v>
      </c>
      <c r="E450" s="1">
        <v>45947</v>
      </c>
      <c r="F450" t="s">
        <v>57</v>
      </c>
      <c r="G450">
        <v>2</v>
      </c>
      <c r="H450">
        <v>226</v>
      </c>
      <c r="I450" t="s">
        <v>60</v>
      </c>
      <c r="J450">
        <f t="shared" si="18"/>
        <v>15.066666666666666</v>
      </c>
      <c r="K450" t="str">
        <f t="shared" si="19"/>
        <v>15/10/2025Paediatrics</v>
      </c>
      <c r="L450" t="e">
        <f>VLOOKUP(K450, Sheet2!$A$2:$B$4186, 2,FALSE)</f>
        <v>#N/A</v>
      </c>
      <c r="M450">
        <f>VLOOKUP(C450,Depts!$B$1:$D$16,3,FALSE)</f>
        <v>30</v>
      </c>
      <c r="N450" s="1" t="b">
        <f t="shared" si="20"/>
        <v>1</v>
      </c>
    </row>
    <row r="451" spans="1:14">
      <c r="A451">
        <v>511</v>
      </c>
      <c r="B451">
        <v>630</v>
      </c>
      <c r="C451" t="s">
        <v>42</v>
      </c>
      <c r="D451" s="1">
        <v>45946</v>
      </c>
      <c r="E451" s="1">
        <v>45951</v>
      </c>
      <c r="F451" t="s">
        <v>56</v>
      </c>
      <c r="G451">
        <v>5</v>
      </c>
      <c r="H451">
        <v>22</v>
      </c>
      <c r="I451" t="s">
        <v>61</v>
      </c>
      <c r="J451">
        <f t="shared" ref="J451:J514" si="21">G451*(H451/30)</f>
        <v>3.6666666666666665</v>
      </c>
      <c r="K451" t="str">
        <f t="shared" ref="K451:K514" si="22">TEXT(D451, "dd/mm/yyyy")&amp;C451</f>
        <v>16/10/2025Gastroenterology</v>
      </c>
      <c r="L451" t="e">
        <f>VLOOKUP(K451, Sheet2!$A$2:$B$4186, 2,FALSE)</f>
        <v>#N/A</v>
      </c>
      <c r="M451">
        <f>VLOOKUP(C451,Depts!$B$1:$D$16,3,FALSE)</f>
        <v>29</v>
      </c>
      <c r="N451" s="1" t="b">
        <f t="shared" si="20"/>
        <v>1</v>
      </c>
    </row>
    <row r="452" spans="1:14">
      <c r="A452">
        <v>512</v>
      </c>
      <c r="B452">
        <v>31</v>
      </c>
      <c r="C452" t="s">
        <v>41</v>
      </c>
      <c r="D452" s="1">
        <v>45947</v>
      </c>
      <c r="E452" s="1">
        <v>45949</v>
      </c>
      <c r="F452" t="s">
        <v>57</v>
      </c>
      <c r="G452">
        <v>2</v>
      </c>
      <c r="H452">
        <v>73</v>
      </c>
      <c r="I452" t="s">
        <v>60</v>
      </c>
      <c r="J452">
        <f t="shared" si="21"/>
        <v>4.8666666666666663</v>
      </c>
      <c r="K452" t="str">
        <f t="shared" si="22"/>
        <v>17/10/2025ENT</v>
      </c>
      <c r="L452" t="e">
        <f>VLOOKUP(K452, Sheet2!$A$2:$B$4186, 2,FALSE)</f>
        <v>#N/A</v>
      </c>
      <c r="M452">
        <f>VLOOKUP(C452,Depts!$B$1:$D$16,3,FALSE)</f>
        <v>20</v>
      </c>
      <c r="N452" s="1" t="b">
        <f t="shared" si="20"/>
        <v>1</v>
      </c>
    </row>
    <row r="453" spans="1:14">
      <c r="A453">
        <v>513</v>
      </c>
      <c r="B453">
        <v>292</v>
      </c>
      <c r="C453" t="s">
        <v>44</v>
      </c>
      <c r="D453" s="1">
        <v>45947</v>
      </c>
      <c r="E453" s="1">
        <v>45953</v>
      </c>
      <c r="F453" t="s">
        <v>56</v>
      </c>
      <c r="G453">
        <v>6</v>
      </c>
      <c r="H453">
        <v>34</v>
      </c>
      <c r="I453" t="s">
        <v>60</v>
      </c>
      <c r="J453">
        <f t="shared" si="21"/>
        <v>6.8</v>
      </c>
      <c r="K453" t="str">
        <f t="shared" si="22"/>
        <v>17/10/2025Geriatrics</v>
      </c>
      <c r="L453" t="e">
        <f>VLOOKUP(K453, Sheet2!$A$2:$B$4186, 2,FALSE)</f>
        <v>#N/A</v>
      </c>
      <c r="M453">
        <f>VLOOKUP(C453,Depts!$B$1:$D$16,3,FALSE)</f>
        <v>46</v>
      </c>
      <c r="N453" s="1" t="b">
        <f t="shared" si="20"/>
        <v>1</v>
      </c>
    </row>
    <row r="454" spans="1:14">
      <c r="A454">
        <v>514</v>
      </c>
      <c r="B454">
        <v>131</v>
      </c>
      <c r="C454" t="s">
        <v>51</v>
      </c>
      <c r="D454" s="1">
        <v>45948</v>
      </c>
      <c r="E454" s="1">
        <v>45950</v>
      </c>
      <c r="F454" t="s">
        <v>57</v>
      </c>
      <c r="G454">
        <v>2</v>
      </c>
      <c r="H454">
        <v>110</v>
      </c>
      <c r="I454" t="s">
        <v>60</v>
      </c>
      <c r="J454">
        <f t="shared" si="21"/>
        <v>7.333333333333333</v>
      </c>
      <c r="K454" t="str">
        <f t="shared" si="22"/>
        <v>18/10/2025Respiratory</v>
      </c>
      <c r="L454" t="e">
        <f>VLOOKUP(K454, Sheet2!$A$2:$B$4186, 2,FALSE)</f>
        <v>#N/A</v>
      </c>
      <c r="M454">
        <f>VLOOKUP(C454,Depts!$B$1:$D$16,3,FALSE)</f>
        <v>36</v>
      </c>
      <c r="N454" s="1" t="b">
        <f t="shared" si="20"/>
        <v>1</v>
      </c>
    </row>
    <row r="455" spans="1:14">
      <c r="A455">
        <v>515</v>
      </c>
      <c r="B455">
        <v>273</v>
      </c>
      <c r="C455" t="s">
        <v>43</v>
      </c>
      <c r="D455" s="1">
        <v>45949</v>
      </c>
      <c r="E455" s="1">
        <v>45954</v>
      </c>
      <c r="F455" t="s">
        <v>56</v>
      </c>
      <c r="G455">
        <v>5</v>
      </c>
      <c r="H455">
        <v>2</v>
      </c>
      <c r="I455" t="s">
        <v>61</v>
      </c>
      <c r="J455">
        <f t="shared" si="21"/>
        <v>0.33333333333333331</v>
      </c>
      <c r="K455" t="str">
        <f t="shared" si="22"/>
        <v>19/10/2025General Surgery</v>
      </c>
      <c r="L455" t="e">
        <f>VLOOKUP(K455, Sheet2!$A$2:$B$4186, 2,FALSE)</f>
        <v>#N/A</v>
      </c>
      <c r="M455">
        <f>VLOOKUP(C455,Depts!$B$1:$D$16,3,FALSE)</f>
        <v>44</v>
      </c>
      <c r="N455" s="1" t="b">
        <f t="shared" si="20"/>
        <v>1</v>
      </c>
    </row>
    <row r="456" spans="1:14">
      <c r="A456">
        <v>516</v>
      </c>
      <c r="B456">
        <v>683</v>
      </c>
      <c r="C456" t="s">
        <v>40</v>
      </c>
      <c r="D456" s="1">
        <v>45949</v>
      </c>
      <c r="E456" s="1">
        <v>45952</v>
      </c>
      <c r="F456" t="s">
        <v>58</v>
      </c>
      <c r="G456">
        <v>3</v>
      </c>
      <c r="H456">
        <v>14</v>
      </c>
      <c r="I456" t="s">
        <v>60</v>
      </c>
      <c r="J456">
        <f t="shared" si="21"/>
        <v>1.4</v>
      </c>
      <c r="K456" t="str">
        <f t="shared" si="22"/>
        <v>19/10/2025Cardiology</v>
      </c>
      <c r="L456" t="e">
        <f>VLOOKUP(K456, Sheet2!$A$2:$B$4186, 2,FALSE)</f>
        <v>#N/A</v>
      </c>
      <c r="M456">
        <f>VLOOKUP(C456,Depts!$B$1:$D$16,3,FALSE)</f>
        <v>38</v>
      </c>
      <c r="N456" s="1" t="b">
        <f t="shared" si="20"/>
        <v>1</v>
      </c>
    </row>
    <row r="457" spans="1:14">
      <c r="A457">
        <v>517</v>
      </c>
      <c r="B457">
        <v>838</v>
      </c>
      <c r="C457" t="s">
        <v>47</v>
      </c>
      <c r="D457" s="1">
        <v>45950</v>
      </c>
      <c r="E457" s="1">
        <v>45955</v>
      </c>
      <c r="F457" t="s">
        <v>56</v>
      </c>
      <c r="G457">
        <v>5</v>
      </c>
      <c r="H457">
        <v>34</v>
      </c>
      <c r="I457" t="s">
        <v>60</v>
      </c>
      <c r="J457">
        <f t="shared" si="21"/>
        <v>5.6666666666666661</v>
      </c>
      <c r="K457" t="str">
        <f t="shared" si="22"/>
        <v>20/10/2025Oncology</v>
      </c>
      <c r="L457" t="e">
        <f>VLOOKUP(K457, Sheet2!$A$2:$B$4186, 2,FALSE)</f>
        <v>#N/A</v>
      </c>
      <c r="M457">
        <f>VLOOKUP(C457,Depts!$B$1:$D$16,3,FALSE)</f>
        <v>28</v>
      </c>
      <c r="N457" s="1" t="b">
        <f t="shared" si="20"/>
        <v>1</v>
      </c>
    </row>
    <row r="458" spans="1:14">
      <c r="A458">
        <v>518</v>
      </c>
      <c r="B458">
        <v>213</v>
      </c>
      <c r="C458" t="s">
        <v>39</v>
      </c>
      <c r="D458" s="1">
        <v>45950</v>
      </c>
      <c r="E458" s="1">
        <v>45951</v>
      </c>
      <c r="F458" t="s">
        <v>57</v>
      </c>
      <c r="G458">
        <v>1</v>
      </c>
      <c r="H458">
        <v>63</v>
      </c>
      <c r="I458" t="s">
        <v>60</v>
      </c>
      <c r="J458">
        <f t="shared" si="21"/>
        <v>2.1</v>
      </c>
      <c r="K458" t="str">
        <f t="shared" si="22"/>
        <v>20/10/2025A&amp;E (Emergency)</v>
      </c>
      <c r="L458" t="e">
        <f>VLOOKUP(K458, Sheet2!$A$2:$B$4186, 2,FALSE)</f>
        <v>#N/A</v>
      </c>
      <c r="M458">
        <f>VLOOKUP(C458,Depts!$B$1:$D$16,3,FALSE)</f>
        <v>42</v>
      </c>
      <c r="N458" s="1" t="b">
        <f t="shared" si="20"/>
        <v>1</v>
      </c>
    </row>
    <row r="459" spans="1:14">
      <c r="A459">
        <v>519</v>
      </c>
      <c r="B459">
        <v>316</v>
      </c>
      <c r="C459" t="s">
        <v>50</v>
      </c>
      <c r="D459" s="1">
        <v>45951</v>
      </c>
      <c r="E459" s="1">
        <v>45956</v>
      </c>
      <c r="F459" t="s">
        <v>56</v>
      </c>
      <c r="G459">
        <v>5</v>
      </c>
      <c r="H459">
        <v>1</v>
      </c>
      <c r="I459" t="s">
        <v>60</v>
      </c>
      <c r="J459">
        <f t="shared" si="21"/>
        <v>0.16666666666666666</v>
      </c>
      <c r="K459" t="str">
        <f t="shared" si="22"/>
        <v>21/10/2025Renal Medicine</v>
      </c>
      <c r="L459" t="e">
        <f>VLOOKUP(K459, Sheet2!$A$2:$B$4186, 2,FALSE)</f>
        <v>#N/A</v>
      </c>
      <c r="M459">
        <f>VLOOKUP(C459,Depts!$B$1:$D$16,3,FALSE)</f>
        <v>26</v>
      </c>
      <c r="N459" s="1" t="b">
        <f t="shared" si="20"/>
        <v>1</v>
      </c>
    </row>
    <row r="460" spans="1:14">
      <c r="A460">
        <v>520</v>
      </c>
      <c r="B460">
        <v>499</v>
      </c>
      <c r="C460" t="s">
        <v>46</v>
      </c>
      <c r="D460" s="1">
        <v>45952</v>
      </c>
      <c r="E460" s="1">
        <v>45958</v>
      </c>
      <c r="F460" t="s">
        <v>56</v>
      </c>
      <c r="G460">
        <v>6</v>
      </c>
      <c r="H460">
        <v>42</v>
      </c>
      <c r="I460" t="s">
        <v>61</v>
      </c>
      <c r="J460">
        <f t="shared" si="21"/>
        <v>8.3999999999999986</v>
      </c>
      <c r="K460" t="str">
        <f t="shared" si="22"/>
        <v>22/10/2025Neurology</v>
      </c>
      <c r="L460" t="e">
        <f>VLOOKUP(K460, Sheet2!$A$2:$B$4186, 2,FALSE)</f>
        <v>#N/A</v>
      </c>
      <c r="M460">
        <f>VLOOKUP(C460,Depts!$B$1:$D$16,3,FALSE)</f>
        <v>32</v>
      </c>
      <c r="N460" s="1" t="b">
        <f t="shared" si="20"/>
        <v>1</v>
      </c>
    </row>
    <row r="461" spans="1:14">
      <c r="A461">
        <v>521</v>
      </c>
      <c r="B461">
        <v>994</v>
      </c>
      <c r="C461" t="s">
        <v>45</v>
      </c>
      <c r="D461" s="1">
        <v>45952</v>
      </c>
      <c r="E461" s="1">
        <v>45954</v>
      </c>
      <c r="F461" t="s">
        <v>57</v>
      </c>
      <c r="G461">
        <v>2</v>
      </c>
      <c r="H461">
        <v>238</v>
      </c>
      <c r="I461" t="s">
        <v>60</v>
      </c>
      <c r="J461">
        <f t="shared" si="21"/>
        <v>15.866666666666667</v>
      </c>
      <c r="K461" t="str">
        <f t="shared" si="22"/>
        <v>22/10/2025Maternity</v>
      </c>
      <c r="L461" t="e">
        <f>VLOOKUP(K461, Sheet2!$A$2:$B$4186, 2,FALSE)</f>
        <v>#N/A</v>
      </c>
      <c r="M461">
        <f>VLOOKUP(C461,Depts!$B$1:$D$16,3,FALSE)</f>
        <v>34</v>
      </c>
      <c r="N461" s="1" t="b">
        <f t="shared" si="20"/>
        <v>1</v>
      </c>
    </row>
    <row r="462" spans="1:14">
      <c r="A462">
        <v>522</v>
      </c>
      <c r="B462">
        <v>653</v>
      </c>
      <c r="C462" t="s">
        <v>48</v>
      </c>
      <c r="D462" s="1">
        <v>45953</v>
      </c>
      <c r="E462" s="1">
        <v>45958</v>
      </c>
      <c r="F462" t="s">
        <v>56</v>
      </c>
      <c r="G462">
        <v>5</v>
      </c>
      <c r="H462">
        <v>27</v>
      </c>
      <c r="I462" t="s">
        <v>60</v>
      </c>
      <c r="J462">
        <f t="shared" si="21"/>
        <v>4.5</v>
      </c>
      <c r="K462" t="str">
        <f t="shared" si="22"/>
        <v>23/10/2025Orthopaedics</v>
      </c>
      <c r="L462" t="e">
        <f>VLOOKUP(K462, Sheet2!$A$2:$B$4186, 2,FALSE)</f>
        <v>#N/A</v>
      </c>
      <c r="M462">
        <f>VLOOKUP(C462,Depts!$B$1:$D$16,3,FALSE)</f>
        <v>40</v>
      </c>
      <c r="N462" s="1" t="b">
        <f t="shared" si="20"/>
        <v>1</v>
      </c>
    </row>
    <row r="463" spans="1:14">
      <c r="A463">
        <v>523</v>
      </c>
      <c r="B463">
        <v>784</v>
      </c>
      <c r="C463" t="s">
        <v>49</v>
      </c>
      <c r="D463" s="1">
        <v>45953</v>
      </c>
      <c r="E463" s="1">
        <v>45955</v>
      </c>
      <c r="F463" t="s">
        <v>57</v>
      </c>
      <c r="G463">
        <v>2</v>
      </c>
      <c r="H463">
        <v>69</v>
      </c>
      <c r="I463" t="s">
        <v>60</v>
      </c>
      <c r="J463">
        <f t="shared" si="21"/>
        <v>4.5999999999999996</v>
      </c>
      <c r="K463" t="str">
        <f t="shared" si="22"/>
        <v>23/10/2025Paediatrics</v>
      </c>
      <c r="L463" t="e">
        <f>VLOOKUP(K463, Sheet2!$A$2:$B$4186, 2,FALSE)</f>
        <v>#N/A</v>
      </c>
      <c r="M463">
        <f>VLOOKUP(C463,Depts!$B$1:$D$16,3,FALSE)</f>
        <v>30</v>
      </c>
      <c r="N463" s="1" t="b">
        <f t="shared" si="20"/>
        <v>1</v>
      </c>
    </row>
    <row r="464" spans="1:14">
      <c r="A464">
        <v>524</v>
      </c>
      <c r="B464">
        <v>165</v>
      </c>
      <c r="C464" t="s">
        <v>42</v>
      </c>
      <c r="D464" s="1">
        <v>45954</v>
      </c>
      <c r="E464" s="1">
        <v>45959</v>
      </c>
      <c r="F464" t="s">
        <v>56</v>
      </c>
      <c r="G464">
        <v>5</v>
      </c>
      <c r="H464">
        <v>43</v>
      </c>
      <c r="I464" t="s">
        <v>60</v>
      </c>
      <c r="J464">
        <f t="shared" si="21"/>
        <v>7.166666666666667</v>
      </c>
      <c r="K464" t="str">
        <f t="shared" si="22"/>
        <v>24/10/2025Gastroenterology</v>
      </c>
      <c r="L464" t="e">
        <f>VLOOKUP(K464, Sheet2!$A$2:$B$4186, 2,FALSE)</f>
        <v>#N/A</v>
      </c>
      <c r="M464">
        <f>VLOOKUP(C464,Depts!$B$1:$D$16,3,FALSE)</f>
        <v>29</v>
      </c>
      <c r="N464" s="1" t="b">
        <f t="shared" si="20"/>
        <v>1</v>
      </c>
    </row>
    <row r="465" spans="1:14">
      <c r="A465">
        <v>525</v>
      </c>
      <c r="B465">
        <v>481</v>
      </c>
      <c r="C465" t="s">
        <v>41</v>
      </c>
      <c r="D465" s="1">
        <v>45955</v>
      </c>
      <c r="E465" s="1">
        <v>45957</v>
      </c>
      <c r="F465" t="s">
        <v>57</v>
      </c>
      <c r="G465">
        <v>2</v>
      </c>
      <c r="H465">
        <v>40</v>
      </c>
      <c r="I465" t="s">
        <v>60</v>
      </c>
      <c r="J465">
        <f t="shared" si="21"/>
        <v>2.6666666666666665</v>
      </c>
      <c r="K465" t="str">
        <f t="shared" si="22"/>
        <v>25/10/2025ENT</v>
      </c>
      <c r="L465" t="e">
        <f>VLOOKUP(K465, Sheet2!$A$2:$B$4186, 2,FALSE)</f>
        <v>#N/A</v>
      </c>
      <c r="M465">
        <f>VLOOKUP(C465,Depts!$B$1:$D$16,3,FALSE)</f>
        <v>20</v>
      </c>
      <c r="N465" s="1" t="b">
        <f t="shared" si="20"/>
        <v>1</v>
      </c>
    </row>
    <row r="466" spans="1:14">
      <c r="A466">
        <v>526</v>
      </c>
      <c r="B466">
        <v>829</v>
      </c>
      <c r="C466" t="s">
        <v>44</v>
      </c>
      <c r="D466" s="1">
        <v>45955</v>
      </c>
      <c r="E466" s="1">
        <v>45961</v>
      </c>
      <c r="F466" t="s">
        <v>56</v>
      </c>
      <c r="G466">
        <v>6</v>
      </c>
      <c r="H466">
        <v>11</v>
      </c>
      <c r="I466" t="s">
        <v>60</v>
      </c>
      <c r="J466">
        <f t="shared" si="21"/>
        <v>2.1999999999999997</v>
      </c>
      <c r="K466" t="str">
        <f t="shared" si="22"/>
        <v>25/10/2025Geriatrics</v>
      </c>
      <c r="L466" t="e">
        <f>VLOOKUP(K466, Sheet2!$A$2:$B$4186, 2,FALSE)</f>
        <v>#N/A</v>
      </c>
      <c r="M466">
        <f>VLOOKUP(C466,Depts!$B$1:$D$16,3,FALSE)</f>
        <v>46</v>
      </c>
      <c r="N466" s="1" t="b">
        <f t="shared" si="20"/>
        <v>1</v>
      </c>
    </row>
    <row r="467" spans="1:14">
      <c r="A467">
        <v>527</v>
      </c>
      <c r="B467">
        <v>540</v>
      </c>
      <c r="C467" t="s">
        <v>51</v>
      </c>
      <c r="D467" s="1">
        <v>45956</v>
      </c>
      <c r="E467" s="1">
        <v>45958</v>
      </c>
      <c r="F467" t="s">
        <v>57</v>
      </c>
      <c r="G467">
        <v>2</v>
      </c>
      <c r="H467">
        <v>228</v>
      </c>
      <c r="I467" t="s">
        <v>60</v>
      </c>
      <c r="J467">
        <f t="shared" si="21"/>
        <v>15.2</v>
      </c>
      <c r="K467" t="str">
        <f t="shared" si="22"/>
        <v>26/10/2025Respiratory</v>
      </c>
      <c r="L467" t="e">
        <f>VLOOKUP(K467, Sheet2!$A$2:$B$4186, 2,FALSE)</f>
        <v>#N/A</v>
      </c>
      <c r="M467">
        <f>VLOOKUP(C467,Depts!$B$1:$D$16,3,FALSE)</f>
        <v>36</v>
      </c>
      <c r="N467" s="1" t="b">
        <f t="shared" si="20"/>
        <v>1</v>
      </c>
    </row>
    <row r="468" spans="1:14">
      <c r="A468">
        <v>528</v>
      </c>
      <c r="B468">
        <v>196</v>
      </c>
      <c r="C468" t="s">
        <v>43</v>
      </c>
      <c r="D468" s="1">
        <v>45957</v>
      </c>
      <c r="E468" s="1">
        <v>45962</v>
      </c>
      <c r="F468" t="s">
        <v>56</v>
      </c>
      <c r="G468">
        <v>5</v>
      </c>
      <c r="H468">
        <v>14</v>
      </c>
      <c r="I468" t="s">
        <v>60</v>
      </c>
      <c r="J468">
        <f t="shared" si="21"/>
        <v>2.3333333333333335</v>
      </c>
      <c r="K468" t="str">
        <f t="shared" si="22"/>
        <v>27/10/2025General Surgery</v>
      </c>
      <c r="L468" t="e">
        <f>VLOOKUP(K468, Sheet2!$A$2:$B$4186, 2,FALSE)</f>
        <v>#N/A</v>
      </c>
      <c r="M468">
        <f>VLOOKUP(C468,Depts!$B$1:$D$16,3,FALSE)</f>
        <v>44</v>
      </c>
      <c r="N468" s="1" t="b">
        <f t="shared" si="20"/>
        <v>1</v>
      </c>
    </row>
    <row r="469" spans="1:14">
      <c r="A469">
        <v>529</v>
      </c>
      <c r="B469">
        <v>571</v>
      </c>
      <c r="C469" t="s">
        <v>40</v>
      </c>
      <c r="D469" s="1">
        <v>45957</v>
      </c>
      <c r="E469" s="1">
        <v>45960</v>
      </c>
      <c r="F469" t="s">
        <v>58</v>
      </c>
      <c r="G469">
        <v>3</v>
      </c>
      <c r="H469">
        <v>18</v>
      </c>
      <c r="I469" t="s">
        <v>60</v>
      </c>
      <c r="J469">
        <f t="shared" si="21"/>
        <v>1.7999999999999998</v>
      </c>
      <c r="K469" t="str">
        <f t="shared" si="22"/>
        <v>27/10/2025Cardiology</v>
      </c>
      <c r="L469" t="e">
        <f>VLOOKUP(K469, Sheet2!$A$2:$B$4186, 2,FALSE)</f>
        <v>#N/A</v>
      </c>
      <c r="M469">
        <f>VLOOKUP(C469,Depts!$B$1:$D$16,3,FALSE)</f>
        <v>38</v>
      </c>
      <c r="N469" s="1" t="b">
        <f t="shared" si="20"/>
        <v>1</v>
      </c>
    </row>
    <row r="470" spans="1:14">
      <c r="A470">
        <v>530</v>
      </c>
      <c r="B470">
        <v>389</v>
      </c>
      <c r="C470" t="s">
        <v>47</v>
      </c>
      <c r="D470" s="1">
        <v>45958</v>
      </c>
      <c r="E470" s="1">
        <v>45963</v>
      </c>
      <c r="F470" t="s">
        <v>56</v>
      </c>
      <c r="G470">
        <v>5</v>
      </c>
      <c r="H470">
        <v>42</v>
      </c>
      <c r="I470" t="s">
        <v>60</v>
      </c>
      <c r="J470">
        <f t="shared" si="21"/>
        <v>7</v>
      </c>
      <c r="K470" t="str">
        <f t="shared" si="22"/>
        <v>28/10/2025Oncology</v>
      </c>
      <c r="L470" t="e">
        <f>VLOOKUP(K470, Sheet2!$A$2:$B$4186, 2,FALSE)</f>
        <v>#N/A</v>
      </c>
      <c r="M470">
        <f>VLOOKUP(C470,Depts!$B$1:$D$16,3,FALSE)</f>
        <v>28</v>
      </c>
      <c r="N470" s="1" t="b">
        <f t="shared" si="20"/>
        <v>1</v>
      </c>
    </row>
    <row r="471" spans="1:14">
      <c r="A471">
        <v>531</v>
      </c>
      <c r="B471">
        <v>155</v>
      </c>
      <c r="C471" t="s">
        <v>39</v>
      </c>
      <c r="D471" s="1">
        <v>45958</v>
      </c>
      <c r="E471" s="1">
        <v>45959</v>
      </c>
      <c r="F471" t="s">
        <v>57</v>
      </c>
      <c r="G471">
        <v>1</v>
      </c>
      <c r="H471">
        <v>109</v>
      </c>
      <c r="I471" t="s">
        <v>60</v>
      </c>
      <c r="J471">
        <f t="shared" si="21"/>
        <v>3.6333333333333333</v>
      </c>
      <c r="K471" t="str">
        <f t="shared" si="22"/>
        <v>28/10/2025A&amp;E (Emergency)</v>
      </c>
      <c r="L471" t="e">
        <f>VLOOKUP(K471, Sheet2!$A$2:$B$4186, 2,FALSE)</f>
        <v>#N/A</v>
      </c>
      <c r="M471">
        <f>VLOOKUP(C471,Depts!$B$1:$D$16,3,FALSE)</f>
        <v>42</v>
      </c>
      <c r="N471" s="1" t="b">
        <f t="shared" si="20"/>
        <v>1</v>
      </c>
    </row>
    <row r="472" spans="1:14">
      <c r="A472">
        <v>532</v>
      </c>
      <c r="B472">
        <v>881</v>
      </c>
      <c r="C472" t="s">
        <v>50</v>
      </c>
      <c r="D472" s="1">
        <v>45959</v>
      </c>
      <c r="E472" s="1">
        <v>45964</v>
      </c>
      <c r="F472" t="s">
        <v>56</v>
      </c>
      <c r="G472">
        <v>5</v>
      </c>
      <c r="H472">
        <v>42</v>
      </c>
      <c r="I472" t="s">
        <v>60</v>
      </c>
      <c r="J472">
        <f t="shared" si="21"/>
        <v>7</v>
      </c>
      <c r="K472" t="str">
        <f t="shared" si="22"/>
        <v>29/10/2025Renal Medicine</v>
      </c>
      <c r="L472" t="e">
        <f>VLOOKUP(K472, Sheet2!$A$2:$B$4186, 2,FALSE)</f>
        <v>#N/A</v>
      </c>
      <c r="M472">
        <f>VLOOKUP(C472,Depts!$B$1:$D$16,3,FALSE)</f>
        <v>26</v>
      </c>
      <c r="N472" s="1" t="b">
        <f t="shared" si="20"/>
        <v>1</v>
      </c>
    </row>
    <row r="473" spans="1:14">
      <c r="A473">
        <v>533</v>
      </c>
      <c r="B473">
        <v>102</v>
      </c>
      <c r="C473" t="s">
        <v>46</v>
      </c>
      <c r="D473" s="1">
        <v>45960</v>
      </c>
      <c r="E473" s="1">
        <v>45966</v>
      </c>
      <c r="F473" t="s">
        <v>56</v>
      </c>
      <c r="G473">
        <v>6</v>
      </c>
      <c r="H473">
        <v>10</v>
      </c>
      <c r="I473" t="s">
        <v>60</v>
      </c>
      <c r="J473">
        <f t="shared" si="21"/>
        <v>2</v>
      </c>
      <c r="K473" t="str">
        <f t="shared" si="22"/>
        <v>30/10/2025Neurology</v>
      </c>
      <c r="L473" t="e">
        <f>VLOOKUP(K473, Sheet2!$A$2:$B$4186, 2,FALSE)</f>
        <v>#N/A</v>
      </c>
      <c r="M473">
        <f>VLOOKUP(C473,Depts!$B$1:$D$16,3,FALSE)</f>
        <v>32</v>
      </c>
      <c r="N473" s="1" t="b">
        <f t="shared" si="20"/>
        <v>1</v>
      </c>
    </row>
    <row r="474" spans="1:14">
      <c r="A474">
        <v>534</v>
      </c>
      <c r="B474">
        <v>342</v>
      </c>
      <c r="C474" t="s">
        <v>45</v>
      </c>
      <c r="D474" s="1">
        <v>45960</v>
      </c>
      <c r="E474" s="1">
        <v>45962</v>
      </c>
      <c r="F474" t="s">
        <v>57</v>
      </c>
      <c r="G474">
        <v>2</v>
      </c>
      <c r="H474">
        <v>119</v>
      </c>
      <c r="I474" t="s">
        <v>60</v>
      </c>
      <c r="J474">
        <f t="shared" si="21"/>
        <v>7.9333333333333336</v>
      </c>
      <c r="K474" t="str">
        <f t="shared" si="22"/>
        <v>30/10/2025Maternity</v>
      </c>
      <c r="L474" t="e">
        <f>VLOOKUP(K474, Sheet2!$A$2:$B$4186, 2,FALSE)</f>
        <v>#N/A</v>
      </c>
      <c r="M474">
        <f>VLOOKUP(C474,Depts!$B$1:$D$16,3,FALSE)</f>
        <v>34</v>
      </c>
      <c r="N474" s="1" t="b">
        <f t="shared" si="20"/>
        <v>1</v>
      </c>
    </row>
    <row r="475" spans="1:14">
      <c r="A475">
        <v>535</v>
      </c>
      <c r="B475">
        <v>189</v>
      </c>
      <c r="C475" t="s">
        <v>48</v>
      </c>
      <c r="D475" s="1">
        <v>45961</v>
      </c>
      <c r="E475" s="1">
        <v>45966</v>
      </c>
      <c r="F475" t="s">
        <v>56</v>
      </c>
      <c r="G475">
        <v>5</v>
      </c>
      <c r="H475">
        <v>34</v>
      </c>
      <c r="I475" t="s">
        <v>60</v>
      </c>
      <c r="J475">
        <f t="shared" si="21"/>
        <v>5.6666666666666661</v>
      </c>
      <c r="K475" t="str">
        <f t="shared" si="22"/>
        <v>31/10/2025Orthopaedics</v>
      </c>
      <c r="L475" t="e">
        <f>VLOOKUP(K475, Sheet2!$A$2:$B$4186, 2,FALSE)</f>
        <v>#N/A</v>
      </c>
      <c r="M475">
        <f>VLOOKUP(C475,Depts!$B$1:$D$16,3,FALSE)</f>
        <v>40</v>
      </c>
      <c r="N475" s="1" t="b">
        <f t="shared" si="20"/>
        <v>1</v>
      </c>
    </row>
    <row r="476" spans="1:14">
      <c r="A476">
        <v>536</v>
      </c>
      <c r="B476">
        <v>836</v>
      </c>
      <c r="C476" t="s">
        <v>49</v>
      </c>
      <c r="D476" s="1">
        <v>45961</v>
      </c>
      <c r="E476" s="1">
        <v>45963</v>
      </c>
      <c r="F476" t="s">
        <v>57</v>
      </c>
      <c r="G476">
        <v>2</v>
      </c>
      <c r="H476">
        <v>232</v>
      </c>
      <c r="I476" t="s">
        <v>60</v>
      </c>
      <c r="J476">
        <f t="shared" si="21"/>
        <v>15.466666666666667</v>
      </c>
      <c r="K476" t="str">
        <f t="shared" si="22"/>
        <v>31/10/2025Paediatrics</v>
      </c>
      <c r="L476" t="e">
        <f>VLOOKUP(K476, Sheet2!$A$2:$B$4186, 2,FALSE)</f>
        <v>#N/A</v>
      </c>
      <c r="M476">
        <f>VLOOKUP(C476,Depts!$B$1:$D$16,3,FALSE)</f>
        <v>30</v>
      </c>
      <c r="N476" s="1" t="b">
        <f t="shared" si="20"/>
        <v>1</v>
      </c>
    </row>
    <row r="477" spans="1:14">
      <c r="A477">
        <v>537</v>
      </c>
      <c r="B477">
        <v>14</v>
      </c>
      <c r="C477" t="s">
        <v>42</v>
      </c>
      <c r="D477" s="1">
        <v>45962</v>
      </c>
      <c r="E477" s="1">
        <v>45967</v>
      </c>
      <c r="F477" t="s">
        <v>56</v>
      </c>
      <c r="G477">
        <v>5</v>
      </c>
      <c r="H477">
        <v>41</v>
      </c>
      <c r="I477" t="s">
        <v>60</v>
      </c>
      <c r="J477">
        <f t="shared" si="21"/>
        <v>6.8333333333333339</v>
      </c>
      <c r="K477" t="str">
        <f t="shared" si="22"/>
        <v>01/11/2025Gastroenterology</v>
      </c>
      <c r="L477" t="e">
        <f>VLOOKUP(K477, Sheet2!$A$2:$B$4186, 2,FALSE)</f>
        <v>#N/A</v>
      </c>
      <c r="M477">
        <f>VLOOKUP(C477,Depts!$B$1:$D$16,3,FALSE)</f>
        <v>29</v>
      </c>
      <c r="N477" s="1" t="b">
        <f t="shared" si="20"/>
        <v>1</v>
      </c>
    </row>
    <row r="478" spans="1:14">
      <c r="A478">
        <v>538</v>
      </c>
      <c r="B478">
        <v>449</v>
      </c>
      <c r="C478" t="s">
        <v>41</v>
      </c>
      <c r="D478" s="1">
        <v>45963</v>
      </c>
      <c r="E478" s="1">
        <v>45965</v>
      </c>
      <c r="F478" t="s">
        <v>57</v>
      </c>
      <c r="G478">
        <v>2</v>
      </c>
      <c r="H478">
        <v>26</v>
      </c>
      <c r="I478" t="s">
        <v>60</v>
      </c>
      <c r="J478">
        <f t="shared" si="21"/>
        <v>1.7333333333333334</v>
      </c>
      <c r="K478" t="str">
        <f t="shared" si="22"/>
        <v>02/11/2025ENT</v>
      </c>
      <c r="L478" t="e">
        <f>VLOOKUP(K478, Sheet2!$A$2:$B$4186, 2,FALSE)</f>
        <v>#N/A</v>
      </c>
      <c r="M478">
        <f>VLOOKUP(C478,Depts!$B$1:$D$16,3,FALSE)</f>
        <v>20</v>
      </c>
      <c r="N478" s="1" t="b">
        <f t="shared" si="20"/>
        <v>1</v>
      </c>
    </row>
    <row r="479" spans="1:14">
      <c r="A479">
        <v>539</v>
      </c>
      <c r="B479">
        <v>93</v>
      </c>
      <c r="C479" t="s">
        <v>44</v>
      </c>
      <c r="D479" s="1">
        <v>45963</v>
      </c>
      <c r="E479" s="1">
        <v>45969</v>
      </c>
      <c r="F479" t="s">
        <v>56</v>
      </c>
      <c r="G479">
        <v>6</v>
      </c>
      <c r="H479">
        <v>31</v>
      </c>
      <c r="I479" t="s">
        <v>60</v>
      </c>
      <c r="J479">
        <f t="shared" si="21"/>
        <v>6.2000000000000011</v>
      </c>
      <c r="K479" t="str">
        <f t="shared" si="22"/>
        <v>02/11/2025Geriatrics</v>
      </c>
      <c r="L479" t="e">
        <f>VLOOKUP(K479, Sheet2!$A$2:$B$4186, 2,FALSE)</f>
        <v>#N/A</v>
      </c>
      <c r="M479">
        <f>VLOOKUP(C479,Depts!$B$1:$D$16,3,FALSE)</f>
        <v>46</v>
      </c>
      <c r="N479" s="1" t="b">
        <f t="shared" si="20"/>
        <v>1</v>
      </c>
    </row>
    <row r="480" spans="1:14">
      <c r="A480">
        <v>601</v>
      </c>
      <c r="B480">
        <v>310</v>
      </c>
      <c r="C480" t="s">
        <v>39</v>
      </c>
      <c r="D480" s="1">
        <v>45968</v>
      </c>
      <c r="E480" s="1">
        <v>45969</v>
      </c>
      <c r="F480" t="s">
        <v>57</v>
      </c>
      <c r="G480">
        <v>1</v>
      </c>
      <c r="H480">
        <v>21</v>
      </c>
      <c r="I480" t="s">
        <v>61</v>
      </c>
      <c r="J480">
        <f t="shared" si="21"/>
        <v>0.7</v>
      </c>
      <c r="K480" t="str">
        <f t="shared" si="22"/>
        <v>07/11/2025A&amp;E (Emergency)</v>
      </c>
      <c r="L480" t="e">
        <f>VLOOKUP(K480, Sheet2!$A$2:$B$4186, 2,FALSE)</f>
        <v>#N/A</v>
      </c>
      <c r="M480">
        <f>VLOOKUP(C480,Depts!$B$1:$D$16,3,FALSE)</f>
        <v>42</v>
      </c>
      <c r="N480" s="1" t="b">
        <f t="shared" si="20"/>
        <v>1</v>
      </c>
    </row>
    <row r="481" spans="1:14">
      <c r="A481">
        <v>602</v>
      </c>
      <c r="B481">
        <v>301</v>
      </c>
      <c r="C481" t="s">
        <v>50</v>
      </c>
      <c r="D481" s="1">
        <v>45969</v>
      </c>
      <c r="E481" s="1">
        <v>45974</v>
      </c>
      <c r="F481" t="s">
        <v>56</v>
      </c>
      <c r="G481">
        <v>5</v>
      </c>
      <c r="H481">
        <v>4</v>
      </c>
      <c r="I481" t="s">
        <v>60</v>
      </c>
      <c r="J481">
        <f t="shared" si="21"/>
        <v>0.66666666666666663</v>
      </c>
      <c r="K481" t="str">
        <f t="shared" si="22"/>
        <v>08/11/2025Renal Medicine</v>
      </c>
      <c r="L481" t="e">
        <f>VLOOKUP(K481, Sheet2!$A$2:$B$4186, 2,FALSE)</f>
        <v>#N/A</v>
      </c>
      <c r="M481">
        <f>VLOOKUP(C481,Depts!$B$1:$D$16,3,FALSE)</f>
        <v>26</v>
      </c>
      <c r="N481" s="1" t="b">
        <f t="shared" si="20"/>
        <v>1</v>
      </c>
    </row>
    <row r="482" spans="1:14">
      <c r="A482">
        <v>603</v>
      </c>
      <c r="B482">
        <v>791</v>
      </c>
      <c r="C482" t="s">
        <v>46</v>
      </c>
      <c r="D482" s="1">
        <v>45970</v>
      </c>
      <c r="E482" s="1">
        <v>45976</v>
      </c>
      <c r="F482" t="s">
        <v>56</v>
      </c>
      <c r="G482">
        <v>6</v>
      </c>
      <c r="H482">
        <v>13</v>
      </c>
      <c r="I482" t="s">
        <v>60</v>
      </c>
      <c r="J482">
        <f t="shared" si="21"/>
        <v>2.6</v>
      </c>
      <c r="K482" t="str">
        <f t="shared" si="22"/>
        <v>09/11/2025Neurology</v>
      </c>
      <c r="L482" t="e">
        <f>VLOOKUP(K482, Sheet2!$A$2:$B$4186, 2,FALSE)</f>
        <v>#N/A</v>
      </c>
      <c r="M482">
        <f>VLOOKUP(C482,Depts!$B$1:$D$16,3,FALSE)</f>
        <v>32</v>
      </c>
      <c r="N482" s="1" t="b">
        <f t="shared" si="20"/>
        <v>1</v>
      </c>
    </row>
    <row r="483" spans="1:14">
      <c r="A483">
        <v>604</v>
      </c>
      <c r="B483">
        <v>400</v>
      </c>
      <c r="C483" t="s">
        <v>45</v>
      </c>
      <c r="D483" s="1">
        <v>45970</v>
      </c>
      <c r="E483" s="1">
        <v>45972</v>
      </c>
      <c r="F483" t="s">
        <v>57</v>
      </c>
      <c r="G483">
        <v>2</v>
      </c>
      <c r="H483">
        <v>130</v>
      </c>
      <c r="I483" t="s">
        <v>60</v>
      </c>
      <c r="J483">
        <f t="shared" si="21"/>
        <v>8.6666666666666661</v>
      </c>
      <c r="K483" t="str">
        <f t="shared" si="22"/>
        <v>09/11/2025Maternity</v>
      </c>
      <c r="L483" t="e">
        <f>VLOOKUP(K483, Sheet2!$A$2:$B$4186, 2,FALSE)</f>
        <v>#N/A</v>
      </c>
      <c r="M483">
        <f>VLOOKUP(C483,Depts!$B$1:$D$16,3,FALSE)</f>
        <v>34</v>
      </c>
      <c r="N483" s="1" t="b">
        <f t="shared" si="20"/>
        <v>1</v>
      </c>
    </row>
    <row r="484" spans="1:14">
      <c r="A484">
        <v>605</v>
      </c>
      <c r="B484">
        <v>36</v>
      </c>
      <c r="C484" t="s">
        <v>48</v>
      </c>
      <c r="D484" s="1">
        <v>45971</v>
      </c>
      <c r="E484" s="1">
        <v>45976</v>
      </c>
      <c r="F484" t="s">
        <v>56</v>
      </c>
      <c r="G484">
        <v>5</v>
      </c>
      <c r="H484">
        <v>32</v>
      </c>
      <c r="I484" t="s">
        <v>60</v>
      </c>
      <c r="J484">
        <f t="shared" si="21"/>
        <v>5.333333333333333</v>
      </c>
      <c r="K484" t="str">
        <f t="shared" si="22"/>
        <v>10/11/2025Orthopaedics</v>
      </c>
      <c r="L484" t="e">
        <f>VLOOKUP(K484, Sheet2!$A$2:$B$4186, 2,FALSE)</f>
        <v>#N/A</v>
      </c>
      <c r="M484">
        <f>VLOOKUP(C484,Depts!$B$1:$D$16,3,FALSE)</f>
        <v>40</v>
      </c>
      <c r="N484" s="1" t="b">
        <f t="shared" si="20"/>
        <v>1</v>
      </c>
    </row>
    <row r="485" spans="1:14">
      <c r="A485">
        <v>606</v>
      </c>
      <c r="B485">
        <v>193</v>
      </c>
      <c r="C485" t="s">
        <v>49</v>
      </c>
      <c r="D485" s="1">
        <v>45971</v>
      </c>
      <c r="E485" s="1">
        <v>45973</v>
      </c>
      <c r="F485" t="s">
        <v>57</v>
      </c>
      <c r="G485">
        <v>2</v>
      </c>
      <c r="H485">
        <v>143</v>
      </c>
      <c r="I485" t="s">
        <v>60</v>
      </c>
      <c r="J485">
        <f t="shared" si="21"/>
        <v>9.5333333333333332</v>
      </c>
      <c r="K485" t="str">
        <f t="shared" si="22"/>
        <v>10/11/2025Paediatrics</v>
      </c>
      <c r="L485" t="e">
        <f>VLOOKUP(K485, Sheet2!$A$2:$B$4186, 2,FALSE)</f>
        <v>#N/A</v>
      </c>
      <c r="M485">
        <f>VLOOKUP(C485,Depts!$B$1:$D$16,3,FALSE)</f>
        <v>30</v>
      </c>
      <c r="N485" s="1" t="b">
        <f t="shared" si="20"/>
        <v>1</v>
      </c>
    </row>
    <row r="486" spans="1:14">
      <c r="A486">
        <v>607</v>
      </c>
      <c r="B486">
        <v>630</v>
      </c>
      <c r="C486" t="s">
        <v>42</v>
      </c>
      <c r="D486" s="1">
        <v>45972</v>
      </c>
      <c r="E486" s="1">
        <v>45977</v>
      </c>
      <c r="F486" t="s">
        <v>56</v>
      </c>
      <c r="G486">
        <v>5</v>
      </c>
      <c r="H486">
        <v>37</v>
      </c>
      <c r="I486" t="s">
        <v>60</v>
      </c>
      <c r="J486">
        <f t="shared" si="21"/>
        <v>6.166666666666667</v>
      </c>
      <c r="K486" t="str">
        <f t="shared" si="22"/>
        <v>11/11/2025Gastroenterology</v>
      </c>
      <c r="L486" t="e">
        <f>VLOOKUP(K486, Sheet2!$A$2:$B$4186, 2,FALSE)</f>
        <v>#N/A</v>
      </c>
      <c r="M486">
        <f>VLOOKUP(C486,Depts!$B$1:$D$16,3,FALSE)</f>
        <v>29</v>
      </c>
      <c r="N486" s="1" t="b">
        <f t="shared" si="20"/>
        <v>1</v>
      </c>
    </row>
    <row r="487" spans="1:14">
      <c r="A487">
        <v>608</v>
      </c>
      <c r="B487">
        <v>31</v>
      </c>
      <c r="C487" t="s">
        <v>41</v>
      </c>
      <c r="D487" s="1">
        <v>45973</v>
      </c>
      <c r="E487" s="1">
        <v>45975</v>
      </c>
      <c r="F487" t="s">
        <v>57</v>
      </c>
      <c r="G487">
        <v>2</v>
      </c>
      <c r="H487">
        <v>216</v>
      </c>
      <c r="I487" t="s">
        <v>60</v>
      </c>
      <c r="J487">
        <f t="shared" si="21"/>
        <v>14.4</v>
      </c>
      <c r="K487" t="str">
        <f t="shared" si="22"/>
        <v>12/11/2025ENT</v>
      </c>
      <c r="L487" t="e">
        <f>VLOOKUP(K487, Sheet2!$A$2:$B$4186, 2,FALSE)</f>
        <v>#N/A</v>
      </c>
      <c r="M487">
        <f>VLOOKUP(C487,Depts!$B$1:$D$16,3,FALSE)</f>
        <v>20</v>
      </c>
      <c r="N487" s="1" t="b">
        <f t="shared" si="20"/>
        <v>1</v>
      </c>
    </row>
    <row r="488" spans="1:14">
      <c r="A488">
        <v>609</v>
      </c>
      <c r="B488">
        <v>292</v>
      </c>
      <c r="C488" t="s">
        <v>44</v>
      </c>
      <c r="D488" s="1">
        <v>45973</v>
      </c>
      <c r="E488" s="1">
        <v>45979</v>
      </c>
      <c r="F488" t="s">
        <v>56</v>
      </c>
      <c r="G488">
        <v>6</v>
      </c>
      <c r="H488">
        <v>38</v>
      </c>
      <c r="I488" t="s">
        <v>60</v>
      </c>
      <c r="J488">
        <f t="shared" si="21"/>
        <v>7.6</v>
      </c>
      <c r="K488" t="str">
        <f t="shared" si="22"/>
        <v>12/11/2025Geriatrics</v>
      </c>
      <c r="L488" t="e">
        <f>VLOOKUP(K488, Sheet2!$A$2:$B$4186, 2,FALSE)</f>
        <v>#N/A</v>
      </c>
      <c r="M488">
        <f>VLOOKUP(C488,Depts!$B$1:$D$16,3,FALSE)</f>
        <v>46</v>
      </c>
      <c r="N488" s="1" t="b">
        <f t="shared" si="20"/>
        <v>1</v>
      </c>
    </row>
    <row r="489" spans="1:14">
      <c r="A489">
        <v>610</v>
      </c>
      <c r="B489">
        <v>131</v>
      </c>
      <c r="C489" t="s">
        <v>51</v>
      </c>
      <c r="D489" s="1">
        <v>45974</v>
      </c>
      <c r="E489" s="1">
        <v>45976</v>
      </c>
      <c r="F489" t="s">
        <v>57</v>
      </c>
      <c r="G489">
        <v>2</v>
      </c>
      <c r="H489">
        <v>228</v>
      </c>
      <c r="I489" t="s">
        <v>60</v>
      </c>
      <c r="J489">
        <f t="shared" si="21"/>
        <v>15.2</v>
      </c>
      <c r="K489" t="str">
        <f t="shared" si="22"/>
        <v>13/11/2025Respiratory</v>
      </c>
      <c r="L489" t="e">
        <f>VLOOKUP(K489, Sheet2!$A$2:$B$4186, 2,FALSE)</f>
        <v>#N/A</v>
      </c>
      <c r="M489">
        <f>VLOOKUP(C489,Depts!$B$1:$D$16,3,FALSE)</f>
        <v>36</v>
      </c>
      <c r="N489" s="1" t="b">
        <f t="shared" si="20"/>
        <v>1</v>
      </c>
    </row>
    <row r="490" spans="1:14">
      <c r="A490">
        <v>611</v>
      </c>
      <c r="B490">
        <v>273</v>
      </c>
      <c r="C490" t="s">
        <v>43</v>
      </c>
      <c r="D490" s="1">
        <v>45975</v>
      </c>
      <c r="E490" s="1">
        <v>45980</v>
      </c>
      <c r="F490" t="s">
        <v>56</v>
      </c>
      <c r="G490">
        <v>5</v>
      </c>
      <c r="H490">
        <v>20</v>
      </c>
      <c r="I490" t="s">
        <v>60</v>
      </c>
      <c r="J490">
        <f t="shared" si="21"/>
        <v>3.333333333333333</v>
      </c>
      <c r="K490" t="str">
        <f t="shared" si="22"/>
        <v>14/11/2025General Surgery</v>
      </c>
      <c r="L490" t="e">
        <f>VLOOKUP(K490, Sheet2!$A$2:$B$4186, 2,FALSE)</f>
        <v>#N/A</v>
      </c>
      <c r="M490">
        <f>VLOOKUP(C490,Depts!$B$1:$D$16,3,FALSE)</f>
        <v>44</v>
      </c>
      <c r="N490" s="1" t="b">
        <f t="shared" si="20"/>
        <v>1</v>
      </c>
    </row>
    <row r="491" spans="1:14">
      <c r="A491">
        <v>612</v>
      </c>
      <c r="B491">
        <v>683</v>
      </c>
      <c r="C491" t="s">
        <v>40</v>
      </c>
      <c r="D491" s="1">
        <v>45975</v>
      </c>
      <c r="E491" s="1">
        <v>45978</v>
      </c>
      <c r="F491" t="s">
        <v>58</v>
      </c>
      <c r="G491">
        <v>3</v>
      </c>
      <c r="H491">
        <v>27</v>
      </c>
      <c r="I491" t="s">
        <v>60</v>
      </c>
      <c r="J491">
        <f t="shared" si="21"/>
        <v>2.7</v>
      </c>
      <c r="K491" t="str">
        <f t="shared" si="22"/>
        <v>14/11/2025Cardiology</v>
      </c>
      <c r="L491" t="e">
        <f>VLOOKUP(K491, Sheet2!$A$2:$B$4186, 2,FALSE)</f>
        <v>#N/A</v>
      </c>
      <c r="M491">
        <f>VLOOKUP(C491,Depts!$B$1:$D$16,3,FALSE)</f>
        <v>38</v>
      </c>
      <c r="N491" s="1" t="b">
        <f t="shared" si="20"/>
        <v>1</v>
      </c>
    </row>
    <row r="492" spans="1:14">
      <c r="A492">
        <v>613</v>
      </c>
      <c r="B492">
        <v>838</v>
      </c>
      <c r="C492" t="s">
        <v>47</v>
      </c>
      <c r="D492" s="1">
        <v>45976</v>
      </c>
      <c r="E492" s="1">
        <v>45981</v>
      </c>
      <c r="F492" t="s">
        <v>56</v>
      </c>
      <c r="G492">
        <v>5</v>
      </c>
      <c r="H492">
        <v>35</v>
      </c>
      <c r="I492" t="s">
        <v>60</v>
      </c>
      <c r="J492">
        <f t="shared" si="21"/>
        <v>5.8333333333333339</v>
      </c>
      <c r="K492" t="str">
        <f t="shared" si="22"/>
        <v>15/11/2025Oncology</v>
      </c>
      <c r="L492" t="e">
        <f>VLOOKUP(K492, Sheet2!$A$2:$B$4186, 2,FALSE)</f>
        <v>#N/A</v>
      </c>
      <c r="M492">
        <f>VLOOKUP(C492,Depts!$B$1:$D$16,3,FALSE)</f>
        <v>28</v>
      </c>
      <c r="N492" s="1" t="b">
        <f t="shared" si="20"/>
        <v>1</v>
      </c>
    </row>
    <row r="493" spans="1:14">
      <c r="A493">
        <v>614</v>
      </c>
      <c r="B493">
        <v>213</v>
      </c>
      <c r="C493" t="s">
        <v>39</v>
      </c>
      <c r="D493" s="1">
        <v>45976</v>
      </c>
      <c r="E493" s="1">
        <v>45977</v>
      </c>
      <c r="F493" t="s">
        <v>57</v>
      </c>
      <c r="G493">
        <v>1</v>
      </c>
      <c r="H493">
        <v>140</v>
      </c>
      <c r="I493" t="s">
        <v>60</v>
      </c>
      <c r="J493">
        <f t="shared" si="21"/>
        <v>4.666666666666667</v>
      </c>
      <c r="K493" t="str">
        <f t="shared" si="22"/>
        <v>15/11/2025A&amp;E (Emergency)</v>
      </c>
      <c r="L493" t="e">
        <f>VLOOKUP(K493, Sheet2!$A$2:$B$4186, 2,FALSE)</f>
        <v>#N/A</v>
      </c>
      <c r="M493">
        <f>VLOOKUP(C493,Depts!$B$1:$D$16,3,FALSE)</f>
        <v>42</v>
      </c>
      <c r="N493" s="1" t="b">
        <f t="shared" si="20"/>
        <v>1</v>
      </c>
    </row>
    <row r="494" spans="1:14">
      <c r="A494">
        <v>615</v>
      </c>
      <c r="B494">
        <v>316</v>
      </c>
      <c r="C494" t="s">
        <v>50</v>
      </c>
      <c r="D494" s="1">
        <v>45977</v>
      </c>
      <c r="E494" s="1">
        <v>45982</v>
      </c>
      <c r="F494" t="s">
        <v>56</v>
      </c>
      <c r="G494">
        <v>5</v>
      </c>
      <c r="H494">
        <v>21</v>
      </c>
      <c r="I494" t="s">
        <v>60</v>
      </c>
      <c r="J494">
        <f t="shared" si="21"/>
        <v>3.5</v>
      </c>
      <c r="K494" t="str">
        <f t="shared" si="22"/>
        <v>16/11/2025Renal Medicine</v>
      </c>
      <c r="L494" t="e">
        <f>VLOOKUP(K494, Sheet2!$A$2:$B$4186, 2,FALSE)</f>
        <v>#N/A</v>
      </c>
      <c r="M494">
        <f>VLOOKUP(C494,Depts!$B$1:$D$16,3,FALSE)</f>
        <v>26</v>
      </c>
      <c r="N494" s="1" t="b">
        <f t="shared" si="20"/>
        <v>1</v>
      </c>
    </row>
    <row r="495" spans="1:14">
      <c r="A495">
        <v>616</v>
      </c>
      <c r="B495">
        <v>499</v>
      </c>
      <c r="C495" t="s">
        <v>46</v>
      </c>
      <c r="D495" s="1">
        <v>45978</v>
      </c>
      <c r="E495" s="1">
        <v>45984</v>
      </c>
      <c r="F495" t="s">
        <v>56</v>
      </c>
      <c r="G495">
        <v>6</v>
      </c>
      <c r="H495">
        <v>3</v>
      </c>
      <c r="I495" t="s">
        <v>60</v>
      </c>
      <c r="J495">
        <f t="shared" si="21"/>
        <v>0.60000000000000009</v>
      </c>
      <c r="K495" t="str">
        <f t="shared" si="22"/>
        <v>17/11/2025Neurology</v>
      </c>
      <c r="L495" t="e">
        <f>VLOOKUP(K495, Sheet2!$A$2:$B$4186, 2,FALSE)</f>
        <v>#N/A</v>
      </c>
      <c r="M495">
        <f>VLOOKUP(C495,Depts!$B$1:$D$16,3,FALSE)</f>
        <v>32</v>
      </c>
      <c r="N495" s="1" t="b">
        <f t="shared" si="20"/>
        <v>1</v>
      </c>
    </row>
    <row r="496" spans="1:14">
      <c r="A496">
        <v>617</v>
      </c>
      <c r="B496">
        <v>994</v>
      </c>
      <c r="C496" t="s">
        <v>45</v>
      </c>
      <c r="D496" s="1">
        <v>45978</v>
      </c>
      <c r="E496" s="1">
        <v>45980</v>
      </c>
      <c r="F496" t="s">
        <v>57</v>
      </c>
      <c r="G496">
        <v>2</v>
      </c>
      <c r="H496">
        <v>131</v>
      </c>
      <c r="I496" t="s">
        <v>60</v>
      </c>
      <c r="J496">
        <f t="shared" si="21"/>
        <v>8.7333333333333325</v>
      </c>
      <c r="K496" t="str">
        <f t="shared" si="22"/>
        <v>17/11/2025Maternity</v>
      </c>
      <c r="L496" t="e">
        <f>VLOOKUP(K496, Sheet2!$A$2:$B$4186, 2,FALSE)</f>
        <v>#N/A</v>
      </c>
      <c r="M496">
        <f>VLOOKUP(C496,Depts!$B$1:$D$16,3,FALSE)</f>
        <v>34</v>
      </c>
      <c r="N496" s="1" t="b">
        <f t="shared" si="20"/>
        <v>1</v>
      </c>
    </row>
    <row r="497" spans="1:14">
      <c r="A497">
        <v>618</v>
      </c>
      <c r="B497">
        <v>653</v>
      </c>
      <c r="C497" t="s">
        <v>48</v>
      </c>
      <c r="D497" s="1">
        <v>45979</v>
      </c>
      <c r="E497" s="1">
        <v>45984</v>
      </c>
      <c r="F497" t="s">
        <v>56</v>
      </c>
      <c r="G497">
        <v>5</v>
      </c>
      <c r="H497">
        <v>27</v>
      </c>
      <c r="I497" t="s">
        <v>60</v>
      </c>
      <c r="J497">
        <f t="shared" si="21"/>
        <v>4.5</v>
      </c>
      <c r="K497" t="str">
        <f t="shared" si="22"/>
        <v>18/11/2025Orthopaedics</v>
      </c>
      <c r="L497" t="e">
        <f>VLOOKUP(K497, Sheet2!$A$2:$B$4186, 2,FALSE)</f>
        <v>#N/A</v>
      </c>
      <c r="M497">
        <f>VLOOKUP(C497,Depts!$B$1:$D$16,3,FALSE)</f>
        <v>40</v>
      </c>
      <c r="N497" s="1" t="b">
        <f t="shared" ref="N497:N560" si="23">ISNUMBER(D497)</f>
        <v>1</v>
      </c>
    </row>
    <row r="498" spans="1:14">
      <c r="A498">
        <v>619</v>
      </c>
      <c r="B498">
        <v>784</v>
      </c>
      <c r="C498" t="s">
        <v>49</v>
      </c>
      <c r="D498" s="1">
        <v>45979</v>
      </c>
      <c r="E498" s="1">
        <v>45981</v>
      </c>
      <c r="F498" t="s">
        <v>57</v>
      </c>
      <c r="G498">
        <v>2</v>
      </c>
      <c r="H498">
        <v>148</v>
      </c>
      <c r="I498" t="s">
        <v>60</v>
      </c>
      <c r="J498">
        <f t="shared" si="21"/>
        <v>9.8666666666666671</v>
      </c>
      <c r="K498" t="str">
        <f t="shared" si="22"/>
        <v>18/11/2025Paediatrics</v>
      </c>
      <c r="L498" t="e">
        <f>VLOOKUP(K498, Sheet2!$A$2:$B$4186, 2,FALSE)</f>
        <v>#N/A</v>
      </c>
      <c r="M498">
        <f>VLOOKUP(C498,Depts!$B$1:$D$16,3,FALSE)</f>
        <v>30</v>
      </c>
      <c r="N498" s="1" t="b">
        <f t="shared" si="23"/>
        <v>1</v>
      </c>
    </row>
    <row r="499" spans="1:14">
      <c r="A499">
        <v>620</v>
      </c>
      <c r="B499">
        <v>165</v>
      </c>
      <c r="C499" t="s">
        <v>42</v>
      </c>
      <c r="D499" s="1">
        <v>45980</v>
      </c>
      <c r="E499" s="1">
        <v>45985</v>
      </c>
      <c r="F499" t="s">
        <v>56</v>
      </c>
      <c r="G499">
        <v>5</v>
      </c>
      <c r="H499">
        <v>43</v>
      </c>
      <c r="I499" t="s">
        <v>60</v>
      </c>
      <c r="J499">
        <f t="shared" si="21"/>
        <v>7.166666666666667</v>
      </c>
      <c r="K499" t="str">
        <f t="shared" si="22"/>
        <v>19/11/2025Gastroenterology</v>
      </c>
      <c r="L499" t="e">
        <f>VLOOKUP(K499, Sheet2!$A$2:$B$4186, 2,FALSE)</f>
        <v>#N/A</v>
      </c>
      <c r="M499">
        <f>VLOOKUP(C499,Depts!$B$1:$D$16,3,FALSE)</f>
        <v>29</v>
      </c>
      <c r="N499" s="1" t="b">
        <f t="shared" si="23"/>
        <v>1</v>
      </c>
    </row>
    <row r="500" spans="1:14">
      <c r="A500">
        <v>621</v>
      </c>
      <c r="B500">
        <v>481</v>
      </c>
      <c r="C500" t="s">
        <v>41</v>
      </c>
      <c r="D500" s="1">
        <v>45981</v>
      </c>
      <c r="E500" s="1">
        <v>45983</v>
      </c>
      <c r="F500" t="s">
        <v>57</v>
      </c>
      <c r="G500">
        <v>2</v>
      </c>
      <c r="H500">
        <v>101</v>
      </c>
      <c r="I500" t="s">
        <v>60</v>
      </c>
      <c r="J500">
        <f t="shared" si="21"/>
        <v>6.7333333333333334</v>
      </c>
      <c r="K500" t="str">
        <f t="shared" si="22"/>
        <v>20/11/2025ENT</v>
      </c>
      <c r="L500" t="e">
        <f>VLOOKUP(K500, Sheet2!$A$2:$B$4186, 2,FALSE)</f>
        <v>#N/A</v>
      </c>
      <c r="M500">
        <f>VLOOKUP(C500,Depts!$B$1:$D$16,3,FALSE)</f>
        <v>20</v>
      </c>
      <c r="N500" s="1" t="b">
        <f t="shared" si="23"/>
        <v>1</v>
      </c>
    </row>
    <row r="501" spans="1:14">
      <c r="A501">
        <v>622</v>
      </c>
      <c r="B501">
        <v>829</v>
      </c>
      <c r="C501" t="s">
        <v>44</v>
      </c>
      <c r="D501" s="1">
        <v>45981</v>
      </c>
      <c r="E501" s="1">
        <v>45987</v>
      </c>
      <c r="F501" t="s">
        <v>56</v>
      </c>
      <c r="G501">
        <v>6</v>
      </c>
      <c r="H501">
        <v>28</v>
      </c>
      <c r="I501" t="s">
        <v>60</v>
      </c>
      <c r="J501">
        <f t="shared" si="21"/>
        <v>5.6</v>
      </c>
      <c r="K501" t="str">
        <f t="shared" si="22"/>
        <v>20/11/2025Geriatrics</v>
      </c>
      <c r="L501" t="e">
        <f>VLOOKUP(K501, Sheet2!$A$2:$B$4186, 2,FALSE)</f>
        <v>#N/A</v>
      </c>
      <c r="M501">
        <f>VLOOKUP(C501,Depts!$B$1:$D$16,3,FALSE)</f>
        <v>46</v>
      </c>
      <c r="N501" s="1" t="b">
        <f t="shared" si="23"/>
        <v>1</v>
      </c>
    </row>
    <row r="502" spans="1:14">
      <c r="A502">
        <v>623</v>
      </c>
      <c r="B502">
        <v>540</v>
      </c>
      <c r="C502" t="s">
        <v>51</v>
      </c>
      <c r="D502" s="1">
        <v>45982</v>
      </c>
      <c r="E502" s="1">
        <v>45984</v>
      </c>
      <c r="F502" t="s">
        <v>57</v>
      </c>
      <c r="G502">
        <v>2</v>
      </c>
      <c r="H502">
        <v>24</v>
      </c>
      <c r="I502" t="s">
        <v>60</v>
      </c>
      <c r="J502">
        <f t="shared" si="21"/>
        <v>1.6</v>
      </c>
      <c r="K502" t="str">
        <f t="shared" si="22"/>
        <v>21/11/2025Respiratory</v>
      </c>
      <c r="L502" t="e">
        <f>VLOOKUP(K502, Sheet2!$A$2:$B$4186, 2,FALSE)</f>
        <v>#N/A</v>
      </c>
      <c r="M502">
        <f>VLOOKUP(C502,Depts!$B$1:$D$16,3,FALSE)</f>
        <v>36</v>
      </c>
      <c r="N502" s="1" t="b">
        <f t="shared" si="23"/>
        <v>1</v>
      </c>
    </row>
    <row r="503" spans="1:14">
      <c r="A503">
        <v>624</v>
      </c>
      <c r="B503">
        <v>196</v>
      </c>
      <c r="C503" t="s">
        <v>43</v>
      </c>
      <c r="D503" s="1">
        <v>45983</v>
      </c>
      <c r="E503" s="1">
        <v>45988</v>
      </c>
      <c r="F503" t="s">
        <v>56</v>
      </c>
      <c r="G503">
        <v>5</v>
      </c>
      <c r="H503">
        <v>15</v>
      </c>
      <c r="I503" t="s">
        <v>61</v>
      </c>
      <c r="J503">
        <f t="shared" si="21"/>
        <v>2.5</v>
      </c>
      <c r="K503" t="str">
        <f t="shared" si="22"/>
        <v>22/11/2025General Surgery</v>
      </c>
      <c r="L503" t="e">
        <f>VLOOKUP(K503, Sheet2!$A$2:$B$4186, 2,FALSE)</f>
        <v>#N/A</v>
      </c>
      <c r="M503">
        <f>VLOOKUP(C503,Depts!$B$1:$D$16,3,FALSE)</f>
        <v>44</v>
      </c>
      <c r="N503" s="1" t="b">
        <f t="shared" si="23"/>
        <v>1</v>
      </c>
    </row>
    <row r="504" spans="1:14">
      <c r="A504">
        <v>625</v>
      </c>
      <c r="B504">
        <v>571</v>
      </c>
      <c r="C504" t="s">
        <v>40</v>
      </c>
      <c r="D504" s="1">
        <v>45983</v>
      </c>
      <c r="E504" s="1">
        <v>45986</v>
      </c>
      <c r="F504" t="s">
        <v>58</v>
      </c>
      <c r="G504">
        <v>3</v>
      </c>
      <c r="H504">
        <v>56</v>
      </c>
      <c r="I504" t="s">
        <v>60</v>
      </c>
      <c r="J504">
        <f t="shared" si="21"/>
        <v>5.6</v>
      </c>
      <c r="K504" t="str">
        <f t="shared" si="22"/>
        <v>22/11/2025Cardiology</v>
      </c>
      <c r="L504" t="e">
        <f>VLOOKUP(K504, Sheet2!$A$2:$B$4186, 2,FALSE)</f>
        <v>#N/A</v>
      </c>
      <c r="M504">
        <f>VLOOKUP(C504,Depts!$B$1:$D$16,3,FALSE)</f>
        <v>38</v>
      </c>
      <c r="N504" s="1" t="b">
        <f t="shared" si="23"/>
        <v>1</v>
      </c>
    </row>
    <row r="505" spans="1:14">
      <c r="A505">
        <v>626</v>
      </c>
      <c r="B505">
        <v>389</v>
      </c>
      <c r="C505" t="s">
        <v>47</v>
      </c>
      <c r="D505" s="1">
        <v>45984</v>
      </c>
      <c r="E505" s="1">
        <v>45989</v>
      </c>
      <c r="F505" t="s">
        <v>56</v>
      </c>
      <c r="G505">
        <v>5</v>
      </c>
      <c r="H505">
        <v>11</v>
      </c>
      <c r="I505" t="s">
        <v>60</v>
      </c>
      <c r="J505">
        <f t="shared" si="21"/>
        <v>1.8333333333333333</v>
      </c>
      <c r="K505" t="str">
        <f t="shared" si="22"/>
        <v>23/11/2025Oncology</v>
      </c>
      <c r="L505" t="e">
        <f>VLOOKUP(K505, Sheet2!$A$2:$B$4186, 2,FALSE)</f>
        <v>#N/A</v>
      </c>
      <c r="M505">
        <f>VLOOKUP(C505,Depts!$B$1:$D$16,3,FALSE)</f>
        <v>28</v>
      </c>
      <c r="N505" s="1" t="b">
        <f t="shared" si="23"/>
        <v>1</v>
      </c>
    </row>
    <row r="506" spans="1:14">
      <c r="A506">
        <v>627</v>
      </c>
      <c r="B506">
        <v>155</v>
      </c>
      <c r="C506" t="s">
        <v>39</v>
      </c>
      <c r="D506" s="1">
        <v>45984</v>
      </c>
      <c r="E506" s="1">
        <v>45985</v>
      </c>
      <c r="F506" t="s">
        <v>57</v>
      </c>
      <c r="G506">
        <v>1</v>
      </c>
      <c r="H506">
        <v>185</v>
      </c>
      <c r="I506" t="s">
        <v>60</v>
      </c>
      <c r="J506">
        <f t="shared" si="21"/>
        <v>6.166666666666667</v>
      </c>
      <c r="K506" t="str">
        <f t="shared" si="22"/>
        <v>23/11/2025A&amp;E (Emergency)</v>
      </c>
      <c r="L506" t="e">
        <f>VLOOKUP(K506, Sheet2!$A$2:$B$4186, 2,FALSE)</f>
        <v>#N/A</v>
      </c>
      <c r="M506">
        <f>VLOOKUP(C506,Depts!$B$1:$D$16,3,FALSE)</f>
        <v>42</v>
      </c>
      <c r="N506" s="1" t="b">
        <f t="shared" si="23"/>
        <v>1</v>
      </c>
    </row>
    <row r="507" spans="1:14">
      <c r="A507">
        <v>628</v>
      </c>
      <c r="B507">
        <v>881</v>
      </c>
      <c r="C507" t="s">
        <v>50</v>
      </c>
      <c r="D507" s="1">
        <v>45985</v>
      </c>
      <c r="E507" s="1">
        <v>45990</v>
      </c>
      <c r="F507" t="s">
        <v>56</v>
      </c>
      <c r="G507">
        <v>5</v>
      </c>
      <c r="H507">
        <v>44</v>
      </c>
      <c r="I507" t="s">
        <v>60</v>
      </c>
      <c r="J507">
        <f t="shared" si="21"/>
        <v>7.333333333333333</v>
      </c>
      <c r="K507" t="str">
        <f t="shared" si="22"/>
        <v>24/11/2025Renal Medicine</v>
      </c>
      <c r="L507" t="e">
        <f>VLOOKUP(K507, Sheet2!$A$2:$B$4186, 2,FALSE)</f>
        <v>#N/A</v>
      </c>
      <c r="M507">
        <f>VLOOKUP(C507,Depts!$B$1:$D$16,3,FALSE)</f>
        <v>26</v>
      </c>
      <c r="N507" s="1" t="b">
        <f t="shared" si="23"/>
        <v>1</v>
      </c>
    </row>
    <row r="508" spans="1:14">
      <c r="A508">
        <v>629</v>
      </c>
      <c r="B508">
        <v>102</v>
      </c>
      <c r="C508" t="s">
        <v>46</v>
      </c>
      <c r="D508" s="1">
        <v>45986</v>
      </c>
      <c r="E508" s="1" t="s">
        <v>73</v>
      </c>
      <c r="F508" t="s">
        <v>56</v>
      </c>
      <c r="G508">
        <v>6</v>
      </c>
      <c r="H508">
        <v>31</v>
      </c>
      <c r="I508" t="s">
        <v>60</v>
      </c>
      <c r="J508">
        <f t="shared" si="21"/>
        <v>6.2000000000000011</v>
      </c>
      <c r="K508" t="str">
        <f t="shared" si="22"/>
        <v>25/11/2025Neurology</v>
      </c>
      <c r="L508" t="e">
        <f>VLOOKUP(K508, Sheet2!$A$2:$B$4186, 2,FALSE)</f>
        <v>#N/A</v>
      </c>
      <c r="M508">
        <f>VLOOKUP(C508,Depts!$B$1:$D$16,3,FALSE)</f>
        <v>32</v>
      </c>
      <c r="N508" s="1" t="b">
        <f t="shared" si="23"/>
        <v>1</v>
      </c>
    </row>
    <row r="509" spans="1:14">
      <c r="A509">
        <v>630</v>
      </c>
      <c r="B509">
        <v>342</v>
      </c>
      <c r="C509" t="s">
        <v>45</v>
      </c>
      <c r="D509" s="1">
        <v>45986</v>
      </c>
      <c r="E509" s="1">
        <v>45988</v>
      </c>
      <c r="F509" t="s">
        <v>57</v>
      </c>
      <c r="G509">
        <v>2</v>
      </c>
      <c r="H509">
        <v>192</v>
      </c>
      <c r="I509" t="s">
        <v>60</v>
      </c>
      <c r="J509">
        <f t="shared" si="21"/>
        <v>12.8</v>
      </c>
      <c r="K509" t="str">
        <f t="shared" si="22"/>
        <v>25/11/2025Maternity</v>
      </c>
      <c r="L509" t="e">
        <f>VLOOKUP(K509, Sheet2!$A$2:$B$4186, 2,FALSE)</f>
        <v>#N/A</v>
      </c>
      <c r="M509">
        <f>VLOOKUP(C509,Depts!$B$1:$D$16,3,FALSE)</f>
        <v>34</v>
      </c>
      <c r="N509" s="1" t="b">
        <f t="shared" si="23"/>
        <v>1</v>
      </c>
    </row>
    <row r="510" spans="1:14">
      <c r="A510">
        <v>631</v>
      </c>
      <c r="B510">
        <v>189</v>
      </c>
      <c r="C510" t="s">
        <v>48</v>
      </c>
      <c r="D510" s="1">
        <v>45987</v>
      </c>
      <c r="E510" s="1" t="s">
        <v>73</v>
      </c>
      <c r="F510" t="s">
        <v>56</v>
      </c>
      <c r="G510">
        <v>5</v>
      </c>
      <c r="H510">
        <v>41</v>
      </c>
      <c r="I510" t="s">
        <v>60</v>
      </c>
      <c r="J510">
        <f t="shared" si="21"/>
        <v>6.8333333333333339</v>
      </c>
      <c r="K510" t="str">
        <f t="shared" si="22"/>
        <v>26/11/2025Orthopaedics</v>
      </c>
      <c r="L510" t="e">
        <f>VLOOKUP(K510, Sheet2!$A$2:$B$4186, 2,FALSE)</f>
        <v>#N/A</v>
      </c>
      <c r="M510">
        <f>VLOOKUP(C510,Depts!$B$1:$D$16,3,FALSE)</f>
        <v>40</v>
      </c>
      <c r="N510" s="1" t="b">
        <f t="shared" si="23"/>
        <v>1</v>
      </c>
    </row>
    <row r="511" spans="1:14">
      <c r="A511">
        <v>632</v>
      </c>
      <c r="B511">
        <v>836</v>
      </c>
      <c r="C511" t="s">
        <v>49</v>
      </c>
      <c r="D511" s="1">
        <v>45987</v>
      </c>
      <c r="E511" s="1">
        <v>45989</v>
      </c>
      <c r="F511" t="s">
        <v>57</v>
      </c>
      <c r="G511">
        <v>2</v>
      </c>
      <c r="H511">
        <v>238</v>
      </c>
      <c r="I511" t="s">
        <v>60</v>
      </c>
      <c r="J511">
        <f t="shared" si="21"/>
        <v>15.866666666666667</v>
      </c>
      <c r="K511" t="str">
        <f t="shared" si="22"/>
        <v>26/11/2025Paediatrics</v>
      </c>
      <c r="L511" t="e">
        <f>VLOOKUP(K511, Sheet2!$A$2:$B$4186, 2,FALSE)</f>
        <v>#N/A</v>
      </c>
      <c r="M511">
        <f>VLOOKUP(C511,Depts!$B$1:$D$16,3,FALSE)</f>
        <v>30</v>
      </c>
      <c r="N511" s="1" t="b">
        <f t="shared" si="23"/>
        <v>1</v>
      </c>
    </row>
    <row r="512" spans="1:14">
      <c r="A512">
        <v>633</v>
      </c>
      <c r="B512">
        <v>14</v>
      </c>
      <c r="C512" t="s">
        <v>42</v>
      </c>
      <c r="D512" s="1">
        <v>45988</v>
      </c>
      <c r="E512" s="1">
        <v>45992</v>
      </c>
      <c r="F512" t="s">
        <v>56</v>
      </c>
      <c r="G512">
        <v>5</v>
      </c>
      <c r="H512">
        <v>12</v>
      </c>
      <c r="I512" t="s">
        <v>60</v>
      </c>
      <c r="J512">
        <f t="shared" si="21"/>
        <v>2</v>
      </c>
      <c r="K512" t="str">
        <f t="shared" si="22"/>
        <v>27/11/2025Gastroenterology</v>
      </c>
      <c r="L512" t="e">
        <f>VLOOKUP(K512, Sheet2!$A$2:$B$4186, 2,FALSE)</f>
        <v>#N/A</v>
      </c>
      <c r="M512">
        <f>VLOOKUP(C512,Depts!$B$1:$D$16,3,FALSE)</f>
        <v>29</v>
      </c>
      <c r="N512" s="1" t="b">
        <f t="shared" si="23"/>
        <v>1</v>
      </c>
    </row>
    <row r="513" spans="1:14">
      <c r="A513">
        <v>634</v>
      </c>
      <c r="B513">
        <v>449</v>
      </c>
      <c r="C513" t="s">
        <v>41</v>
      </c>
      <c r="D513" s="1">
        <v>45989</v>
      </c>
      <c r="E513" s="1">
        <v>45991</v>
      </c>
      <c r="F513" t="s">
        <v>57</v>
      </c>
      <c r="G513">
        <v>2</v>
      </c>
      <c r="H513">
        <v>120</v>
      </c>
      <c r="I513" t="s">
        <v>60</v>
      </c>
      <c r="J513">
        <f t="shared" si="21"/>
        <v>8</v>
      </c>
      <c r="K513" t="str">
        <f t="shared" si="22"/>
        <v>28/11/2025ENT</v>
      </c>
      <c r="L513" t="e">
        <f>VLOOKUP(K513, Sheet2!$A$2:$B$4186, 2,FALSE)</f>
        <v>#N/A</v>
      </c>
      <c r="M513">
        <f>VLOOKUP(C513,Depts!$B$1:$D$16,3,FALSE)</f>
        <v>20</v>
      </c>
      <c r="N513" s="1" t="b">
        <f t="shared" si="23"/>
        <v>1</v>
      </c>
    </row>
    <row r="514" spans="1:14">
      <c r="A514">
        <v>635</v>
      </c>
      <c r="B514">
        <v>93</v>
      </c>
      <c r="C514" t="s">
        <v>44</v>
      </c>
      <c r="D514" s="1">
        <v>45989</v>
      </c>
      <c r="E514" s="1">
        <v>45994</v>
      </c>
      <c r="F514" t="s">
        <v>56</v>
      </c>
      <c r="G514">
        <v>6</v>
      </c>
      <c r="H514">
        <v>32</v>
      </c>
      <c r="I514" t="s">
        <v>60</v>
      </c>
      <c r="J514">
        <f t="shared" si="21"/>
        <v>6.4</v>
      </c>
      <c r="K514" t="str">
        <f t="shared" si="22"/>
        <v>28/11/2025Geriatrics</v>
      </c>
      <c r="L514" t="e">
        <f>VLOOKUP(K514, Sheet2!$A$2:$B$4186, 2,FALSE)</f>
        <v>#N/A</v>
      </c>
      <c r="M514">
        <f>VLOOKUP(C514,Depts!$B$1:$D$16,3,FALSE)</f>
        <v>46</v>
      </c>
      <c r="N514" s="1" t="b">
        <f t="shared" si="23"/>
        <v>1</v>
      </c>
    </row>
    <row r="515" spans="1:14">
      <c r="A515">
        <v>636</v>
      </c>
      <c r="B515">
        <v>738</v>
      </c>
      <c r="C515" t="s">
        <v>51</v>
      </c>
      <c r="D515" s="1">
        <v>45990</v>
      </c>
      <c r="E515" s="1" t="s">
        <v>73</v>
      </c>
      <c r="F515" t="s">
        <v>57</v>
      </c>
      <c r="G515">
        <v>2</v>
      </c>
      <c r="H515">
        <v>111</v>
      </c>
      <c r="I515" t="s">
        <v>60</v>
      </c>
      <c r="J515">
        <f t="shared" ref="J515:J578" si="24">G515*(H515/30)</f>
        <v>7.4</v>
      </c>
      <c r="K515" t="str">
        <f t="shared" ref="K515:K578" si="25">TEXT(D515, "dd/mm/yyyy")&amp;C515</f>
        <v>29/11/2025Respiratory</v>
      </c>
      <c r="L515" t="e">
        <f>VLOOKUP(K515, Sheet2!$A$2:$B$4186, 2,FALSE)</f>
        <v>#N/A</v>
      </c>
      <c r="M515">
        <f>VLOOKUP(C515,Depts!$B$1:$D$16,3,FALSE)</f>
        <v>36</v>
      </c>
      <c r="N515" s="1" t="b">
        <f t="shared" si="23"/>
        <v>1</v>
      </c>
    </row>
    <row r="516" spans="1:14">
      <c r="A516">
        <v>637</v>
      </c>
      <c r="B516">
        <v>390</v>
      </c>
      <c r="C516" t="s">
        <v>43</v>
      </c>
      <c r="D516" s="1">
        <v>45991</v>
      </c>
      <c r="E516" s="1">
        <v>45995</v>
      </c>
      <c r="F516" t="s">
        <v>56</v>
      </c>
      <c r="G516">
        <v>5</v>
      </c>
      <c r="H516">
        <v>25</v>
      </c>
      <c r="I516" t="s">
        <v>60</v>
      </c>
      <c r="J516">
        <f t="shared" si="24"/>
        <v>4.166666666666667</v>
      </c>
      <c r="K516" t="str">
        <f t="shared" si="25"/>
        <v>30/11/2025General Surgery</v>
      </c>
      <c r="L516" t="e">
        <f>VLOOKUP(K516, Sheet2!$A$2:$B$4186, 2,FALSE)</f>
        <v>#N/A</v>
      </c>
      <c r="M516">
        <f>VLOOKUP(C516,Depts!$B$1:$D$16,3,FALSE)</f>
        <v>44</v>
      </c>
      <c r="N516" s="1" t="b">
        <f t="shared" si="23"/>
        <v>1</v>
      </c>
    </row>
    <row r="517" spans="1:14">
      <c r="A517">
        <v>638</v>
      </c>
      <c r="B517">
        <v>582</v>
      </c>
      <c r="C517" t="s">
        <v>40</v>
      </c>
      <c r="D517" s="1">
        <v>45991</v>
      </c>
      <c r="E517" s="1">
        <v>45993</v>
      </c>
      <c r="F517" t="s">
        <v>58</v>
      </c>
      <c r="G517">
        <v>3</v>
      </c>
      <c r="H517">
        <v>17</v>
      </c>
      <c r="I517" t="s">
        <v>61</v>
      </c>
      <c r="J517">
        <f t="shared" si="24"/>
        <v>1.7</v>
      </c>
      <c r="K517" t="str">
        <f t="shared" si="25"/>
        <v>30/11/2025Cardiology</v>
      </c>
      <c r="L517" t="e">
        <f>VLOOKUP(K517, Sheet2!$A$2:$B$4186, 2,FALSE)</f>
        <v>#N/A</v>
      </c>
      <c r="M517">
        <f>VLOOKUP(C517,Depts!$B$1:$D$16,3,FALSE)</f>
        <v>38</v>
      </c>
      <c r="N517" s="1" t="b">
        <f t="shared" si="23"/>
        <v>1</v>
      </c>
    </row>
    <row r="518" spans="1:14">
      <c r="A518">
        <v>639</v>
      </c>
      <c r="B518">
        <v>944</v>
      </c>
      <c r="C518" t="s">
        <v>47</v>
      </c>
      <c r="D518" s="1" t="s">
        <v>73</v>
      </c>
      <c r="E518" s="1">
        <v>45996</v>
      </c>
      <c r="F518" t="s">
        <v>56</v>
      </c>
      <c r="G518">
        <v>5</v>
      </c>
      <c r="H518">
        <v>42</v>
      </c>
      <c r="I518" t="s">
        <v>60</v>
      </c>
      <c r="J518">
        <f t="shared" si="24"/>
        <v>7</v>
      </c>
      <c r="K518" t="str">
        <f t="shared" si="25"/>
        <v>31/11/2025Oncology</v>
      </c>
      <c r="L518" t="e">
        <f>VLOOKUP(K518, Sheet2!$A$2:$B$4186, 2,FALSE)</f>
        <v>#N/A</v>
      </c>
      <c r="M518">
        <f>VLOOKUP(C518,Depts!$B$1:$D$16,3,FALSE)</f>
        <v>28</v>
      </c>
      <c r="N518" s="1" t="b">
        <f t="shared" si="23"/>
        <v>0</v>
      </c>
    </row>
    <row r="519" spans="1:14">
      <c r="A519">
        <v>640</v>
      </c>
      <c r="B519">
        <v>659</v>
      </c>
      <c r="C519" t="s">
        <v>39</v>
      </c>
      <c r="D519" s="1" t="s">
        <v>73</v>
      </c>
      <c r="E519" s="1">
        <v>45992</v>
      </c>
      <c r="F519" t="s">
        <v>57</v>
      </c>
      <c r="G519">
        <v>1</v>
      </c>
      <c r="H519">
        <v>21</v>
      </c>
      <c r="I519" t="s">
        <v>60</v>
      </c>
      <c r="J519">
        <f t="shared" si="24"/>
        <v>0.7</v>
      </c>
      <c r="K519" t="str">
        <f t="shared" si="25"/>
        <v>31/11/2025A&amp;E (Emergency)</v>
      </c>
      <c r="L519" t="e">
        <f>VLOOKUP(K519, Sheet2!$A$2:$B$4186, 2,FALSE)</f>
        <v>#N/A</v>
      </c>
      <c r="M519">
        <f>VLOOKUP(C519,Depts!$B$1:$D$16,3,FALSE)</f>
        <v>42</v>
      </c>
      <c r="N519" s="1" t="b">
        <f t="shared" si="23"/>
        <v>0</v>
      </c>
    </row>
    <row r="520" spans="1:14">
      <c r="A520">
        <v>641</v>
      </c>
      <c r="B520">
        <v>126</v>
      </c>
      <c r="C520" t="s">
        <v>50</v>
      </c>
      <c r="D520" s="1">
        <v>45992</v>
      </c>
      <c r="E520" s="1">
        <v>45997</v>
      </c>
      <c r="F520" t="s">
        <v>56</v>
      </c>
      <c r="G520">
        <v>5</v>
      </c>
      <c r="H520">
        <v>15</v>
      </c>
      <c r="I520" t="s">
        <v>60</v>
      </c>
      <c r="J520">
        <f t="shared" si="24"/>
        <v>2.5</v>
      </c>
      <c r="K520" t="str">
        <f t="shared" si="25"/>
        <v>01/12/2025Renal Medicine</v>
      </c>
      <c r="L520" t="e">
        <f>VLOOKUP(K520, Sheet2!$A$2:$B$4186, 2,FALSE)</f>
        <v>#N/A</v>
      </c>
      <c r="M520">
        <f>VLOOKUP(C520,Depts!$B$1:$D$16,3,FALSE)</f>
        <v>26</v>
      </c>
      <c r="N520" s="1" t="b">
        <f t="shared" si="23"/>
        <v>1</v>
      </c>
    </row>
    <row r="521" spans="1:14">
      <c r="A521">
        <v>642</v>
      </c>
      <c r="B521">
        <v>50</v>
      </c>
      <c r="C521" t="s">
        <v>46</v>
      </c>
      <c r="D521" s="1">
        <v>45993</v>
      </c>
      <c r="E521" s="1">
        <v>45999</v>
      </c>
      <c r="F521" t="s">
        <v>56</v>
      </c>
      <c r="G521">
        <v>6</v>
      </c>
      <c r="H521">
        <v>10</v>
      </c>
      <c r="I521" t="s">
        <v>60</v>
      </c>
      <c r="J521">
        <f t="shared" si="24"/>
        <v>2</v>
      </c>
      <c r="K521" t="str">
        <f t="shared" si="25"/>
        <v>02/12/2025Neurology</v>
      </c>
      <c r="L521" t="e">
        <f>VLOOKUP(K521, Sheet2!$A$2:$B$4186, 2,FALSE)</f>
        <v>#N/A</v>
      </c>
      <c r="M521">
        <f>VLOOKUP(C521,Depts!$B$1:$D$16,3,FALSE)</f>
        <v>32</v>
      </c>
      <c r="N521" s="1" t="b">
        <f t="shared" si="23"/>
        <v>1</v>
      </c>
    </row>
    <row r="522" spans="1:14">
      <c r="A522">
        <v>643</v>
      </c>
      <c r="B522">
        <v>300</v>
      </c>
      <c r="C522" t="s">
        <v>45</v>
      </c>
      <c r="D522" s="1">
        <v>45993</v>
      </c>
      <c r="E522" s="1">
        <v>45995</v>
      </c>
      <c r="F522" t="s">
        <v>57</v>
      </c>
      <c r="G522">
        <v>2</v>
      </c>
      <c r="H522">
        <v>185</v>
      </c>
      <c r="I522" t="s">
        <v>60</v>
      </c>
      <c r="J522">
        <f t="shared" si="24"/>
        <v>12.333333333333334</v>
      </c>
      <c r="K522" t="str">
        <f t="shared" si="25"/>
        <v>02/12/2025Maternity</v>
      </c>
      <c r="L522" t="e">
        <f>VLOOKUP(K522, Sheet2!$A$2:$B$4186, 2,FALSE)</f>
        <v>#N/A</v>
      </c>
      <c r="M522">
        <f>VLOOKUP(C522,Depts!$B$1:$D$16,3,FALSE)</f>
        <v>34</v>
      </c>
      <c r="N522" s="1" t="b">
        <f t="shared" si="23"/>
        <v>1</v>
      </c>
    </row>
    <row r="523" spans="1:14">
      <c r="A523">
        <v>644</v>
      </c>
      <c r="B523">
        <v>705</v>
      </c>
      <c r="C523" t="s">
        <v>48</v>
      </c>
      <c r="D523" s="1">
        <v>45994</v>
      </c>
      <c r="E523" s="1">
        <v>45999</v>
      </c>
      <c r="F523" t="s">
        <v>56</v>
      </c>
      <c r="G523">
        <v>5</v>
      </c>
      <c r="H523">
        <v>16</v>
      </c>
      <c r="I523" t="s">
        <v>60</v>
      </c>
      <c r="J523">
        <f t="shared" si="24"/>
        <v>2.6666666666666665</v>
      </c>
      <c r="K523" t="str">
        <f t="shared" si="25"/>
        <v>03/12/2025Orthopaedics</v>
      </c>
      <c r="L523" t="e">
        <f>VLOOKUP(K523, Sheet2!$A$2:$B$4186, 2,FALSE)</f>
        <v>#N/A</v>
      </c>
      <c r="M523">
        <f>VLOOKUP(C523,Depts!$B$1:$D$16,3,FALSE)</f>
        <v>40</v>
      </c>
      <c r="N523" s="1" t="b">
        <f t="shared" si="23"/>
        <v>1</v>
      </c>
    </row>
    <row r="524" spans="1:14">
      <c r="A524">
        <v>645</v>
      </c>
      <c r="B524">
        <v>435</v>
      </c>
      <c r="C524" t="s">
        <v>49</v>
      </c>
      <c r="D524" s="1">
        <v>45994</v>
      </c>
      <c r="E524" s="1">
        <v>45996</v>
      </c>
      <c r="F524" t="s">
        <v>57</v>
      </c>
      <c r="G524">
        <v>2</v>
      </c>
      <c r="H524">
        <v>148</v>
      </c>
      <c r="I524" t="s">
        <v>60</v>
      </c>
      <c r="J524">
        <f t="shared" si="24"/>
        <v>9.8666666666666671</v>
      </c>
      <c r="K524" t="str">
        <f t="shared" si="25"/>
        <v>03/12/2025Paediatrics</v>
      </c>
      <c r="L524" t="e">
        <f>VLOOKUP(K524, Sheet2!$A$2:$B$4186, 2,FALSE)</f>
        <v>#N/A</v>
      </c>
      <c r="M524">
        <f>VLOOKUP(C524,Depts!$B$1:$D$16,3,FALSE)</f>
        <v>30</v>
      </c>
      <c r="N524" s="1" t="b">
        <f t="shared" si="23"/>
        <v>1</v>
      </c>
    </row>
    <row r="525" spans="1:14">
      <c r="A525">
        <v>646</v>
      </c>
      <c r="B525">
        <v>882</v>
      </c>
      <c r="C525" t="s">
        <v>42</v>
      </c>
      <c r="D525" s="1">
        <v>45995</v>
      </c>
      <c r="E525" s="1">
        <v>46000</v>
      </c>
      <c r="F525" t="s">
        <v>56</v>
      </c>
      <c r="G525">
        <v>5</v>
      </c>
      <c r="H525">
        <v>4</v>
      </c>
      <c r="I525" t="s">
        <v>60</v>
      </c>
      <c r="J525">
        <f t="shared" si="24"/>
        <v>0.66666666666666663</v>
      </c>
      <c r="K525" t="str">
        <f t="shared" si="25"/>
        <v>04/12/2025Gastroenterology</v>
      </c>
      <c r="L525" t="e">
        <f>VLOOKUP(K525, Sheet2!$A$2:$B$4186, 2,FALSE)</f>
        <v>#N/A</v>
      </c>
      <c r="M525">
        <f>VLOOKUP(C525,Depts!$B$1:$D$16,3,FALSE)</f>
        <v>29</v>
      </c>
      <c r="N525" s="1" t="b">
        <f t="shared" si="23"/>
        <v>1</v>
      </c>
    </row>
    <row r="526" spans="1:14">
      <c r="A526">
        <v>647</v>
      </c>
      <c r="B526">
        <v>564</v>
      </c>
      <c r="C526" t="s">
        <v>41</v>
      </c>
      <c r="D526" s="1">
        <v>45996</v>
      </c>
      <c r="E526" s="1">
        <v>45998</v>
      </c>
      <c r="F526" t="s">
        <v>57</v>
      </c>
      <c r="G526">
        <v>2</v>
      </c>
      <c r="H526">
        <v>126</v>
      </c>
      <c r="I526" t="s">
        <v>61</v>
      </c>
      <c r="J526">
        <f t="shared" si="24"/>
        <v>8.4</v>
      </c>
      <c r="K526" t="str">
        <f t="shared" si="25"/>
        <v>05/12/2025ENT</v>
      </c>
      <c r="L526" t="e">
        <f>VLOOKUP(K526, Sheet2!$A$2:$B$4186, 2,FALSE)</f>
        <v>#N/A</v>
      </c>
      <c r="M526">
        <f>VLOOKUP(C526,Depts!$B$1:$D$16,3,FALSE)</f>
        <v>20</v>
      </c>
      <c r="N526" s="1" t="b">
        <f t="shared" si="23"/>
        <v>1</v>
      </c>
    </row>
    <row r="527" spans="1:14">
      <c r="A527">
        <v>648</v>
      </c>
      <c r="B527">
        <v>306</v>
      </c>
      <c r="C527" t="s">
        <v>44</v>
      </c>
      <c r="D527" s="1">
        <v>45996</v>
      </c>
      <c r="E527" s="1">
        <v>46002</v>
      </c>
      <c r="F527" t="s">
        <v>56</v>
      </c>
      <c r="G527">
        <v>6</v>
      </c>
      <c r="H527">
        <v>42</v>
      </c>
      <c r="I527" t="s">
        <v>60</v>
      </c>
      <c r="J527">
        <f t="shared" si="24"/>
        <v>8.3999999999999986</v>
      </c>
      <c r="K527" t="str">
        <f t="shared" si="25"/>
        <v>05/12/2025Geriatrics</v>
      </c>
      <c r="L527" t="e">
        <f>VLOOKUP(K527, Sheet2!$A$2:$B$4186, 2,FALSE)</f>
        <v>#N/A</v>
      </c>
      <c r="M527">
        <f>VLOOKUP(C527,Depts!$B$1:$D$16,3,FALSE)</f>
        <v>46</v>
      </c>
      <c r="N527" s="1" t="b">
        <f t="shared" si="23"/>
        <v>1</v>
      </c>
    </row>
    <row r="528" spans="1:14">
      <c r="A528">
        <v>649</v>
      </c>
      <c r="B528">
        <v>263</v>
      </c>
      <c r="C528" t="s">
        <v>51</v>
      </c>
      <c r="D528" s="1">
        <v>45997</v>
      </c>
      <c r="E528" s="1">
        <v>45999</v>
      </c>
      <c r="F528" t="s">
        <v>57</v>
      </c>
      <c r="G528">
        <v>2</v>
      </c>
      <c r="H528">
        <v>40</v>
      </c>
      <c r="I528" t="s">
        <v>60</v>
      </c>
      <c r="J528">
        <f t="shared" si="24"/>
        <v>2.6666666666666665</v>
      </c>
      <c r="K528" t="str">
        <f t="shared" si="25"/>
        <v>06/12/2025Respiratory</v>
      </c>
      <c r="L528" t="e">
        <f>VLOOKUP(K528, Sheet2!$A$2:$B$4186, 2,FALSE)</f>
        <v>#N/A</v>
      </c>
      <c r="M528">
        <f>VLOOKUP(C528,Depts!$B$1:$D$16,3,FALSE)</f>
        <v>36</v>
      </c>
      <c r="N528" s="1" t="b">
        <f t="shared" si="23"/>
        <v>1</v>
      </c>
    </row>
    <row r="529" spans="1:14">
      <c r="A529">
        <v>650</v>
      </c>
      <c r="B529">
        <v>813</v>
      </c>
      <c r="C529" t="s">
        <v>43</v>
      </c>
      <c r="D529" s="1">
        <v>45998</v>
      </c>
      <c r="E529" s="1">
        <v>46003</v>
      </c>
      <c r="F529" t="s">
        <v>56</v>
      </c>
      <c r="G529">
        <v>5</v>
      </c>
      <c r="H529">
        <v>44</v>
      </c>
      <c r="I529" t="s">
        <v>60</v>
      </c>
      <c r="J529">
        <f t="shared" si="24"/>
        <v>7.333333333333333</v>
      </c>
      <c r="K529" t="str">
        <f t="shared" si="25"/>
        <v>07/12/2025General Surgery</v>
      </c>
      <c r="L529" t="e">
        <f>VLOOKUP(K529, Sheet2!$A$2:$B$4186, 2,FALSE)</f>
        <v>#N/A</v>
      </c>
      <c r="M529">
        <f>VLOOKUP(C529,Depts!$B$1:$D$16,3,FALSE)</f>
        <v>44</v>
      </c>
      <c r="N529" s="1" t="b">
        <f t="shared" si="23"/>
        <v>1</v>
      </c>
    </row>
    <row r="530" spans="1:14">
      <c r="A530">
        <v>651</v>
      </c>
      <c r="B530">
        <v>758</v>
      </c>
      <c r="C530" t="s">
        <v>40</v>
      </c>
      <c r="D530" s="1">
        <v>45998</v>
      </c>
      <c r="E530" s="1">
        <v>46001</v>
      </c>
      <c r="F530" t="s">
        <v>58</v>
      </c>
      <c r="G530">
        <v>3</v>
      </c>
      <c r="H530">
        <v>41</v>
      </c>
      <c r="I530" t="s">
        <v>60</v>
      </c>
      <c r="J530">
        <f t="shared" si="24"/>
        <v>4.0999999999999996</v>
      </c>
      <c r="K530" t="str">
        <f t="shared" si="25"/>
        <v>07/12/2025Cardiology</v>
      </c>
      <c r="L530" t="e">
        <f>VLOOKUP(K530, Sheet2!$A$2:$B$4186, 2,FALSE)</f>
        <v>#N/A</v>
      </c>
      <c r="M530">
        <f>VLOOKUP(C530,Depts!$B$1:$D$16,3,FALSE)</f>
        <v>38</v>
      </c>
      <c r="N530" s="1" t="b">
        <f t="shared" si="23"/>
        <v>1</v>
      </c>
    </row>
    <row r="531" spans="1:14">
      <c r="A531">
        <v>652</v>
      </c>
      <c r="B531">
        <v>874</v>
      </c>
      <c r="C531" t="s">
        <v>47</v>
      </c>
      <c r="D531" s="1">
        <v>45999</v>
      </c>
      <c r="E531" s="1">
        <v>46004</v>
      </c>
      <c r="F531" t="s">
        <v>56</v>
      </c>
      <c r="G531">
        <v>5</v>
      </c>
      <c r="H531">
        <v>20</v>
      </c>
      <c r="I531" t="s">
        <v>61</v>
      </c>
      <c r="J531">
        <f t="shared" si="24"/>
        <v>3.333333333333333</v>
      </c>
      <c r="K531" t="str">
        <f t="shared" si="25"/>
        <v>08/12/2025Oncology</v>
      </c>
      <c r="L531" t="e">
        <f>VLOOKUP(K531, Sheet2!$A$2:$B$4186, 2,FALSE)</f>
        <v>#N/A</v>
      </c>
      <c r="M531">
        <f>VLOOKUP(C531,Depts!$B$1:$D$16,3,FALSE)</f>
        <v>28</v>
      </c>
      <c r="N531" s="1" t="b">
        <f t="shared" si="23"/>
        <v>1</v>
      </c>
    </row>
    <row r="532" spans="1:14">
      <c r="A532">
        <v>653</v>
      </c>
      <c r="B532">
        <v>431</v>
      </c>
      <c r="C532" t="s">
        <v>39</v>
      </c>
      <c r="D532" s="1">
        <v>45999</v>
      </c>
      <c r="E532" s="1">
        <v>46000</v>
      </c>
      <c r="F532" t="s">
        <v>57</v>
      </c>
      <c r="G532">
        <v>1</v>
      </c>
      <c r="H532">
        <v>109</v>
      </c>
      <c r="I532" t="s">
        <v>60</v>
      </c>
      <c r="J532">
        <f t="shared" si="24"/>
        <v>3.6333333333333333</v>
      </c>
      <c r="K532" t="str">
        <f t="shared" si="25"/>
        <v>08/12/2025A&amp;E (Emergency)</v>
      </c>
      <c r="L532" t="e">
        <f>VLOOKUP(K532, Sheet2!$A$2:$B$4186, 2,FALSE)</f>
        <v>#N/A</v>
      </c>
      <c r="M532">
        <f>VLOOKUP(C532,Depts!$B$1:$D$16,3,FALSE)</f>
        <v>42</v>
      </c>
      <c r="N532" s="1" t="b">
        <f t="shared" si="23"/>
        <v>1</v>
      </c>
    </row>
    <row r="533" spans="1:14">
      <c r="A533">
        <v>654</v>
      </c>
      <c r="B533">
        <v>111</v>
      </c>
      <c r="C533" t="s">
        <v>50</v>
      </c>
      <c r="D533" s="1">
        <v>46000</v>
      </c>
      <c r="E533" s="1">
        <v>46005</v>
      </c>
      <c r="F533" t="s">
        <v>56</v>
      </c>
      <c r="G533">
        <v>5</v>
      </c>
      <c r="H533">
        <v>44</v>
      </c>
      <c r="I533" t="s">
        <v>60</v>
      </c>
      <c r="J533">
        <f t="shared" si="24"/>
        <v>7.333333333333333</v>
      </c>
      <c r="K533" t="str">
        <f t="shared" si="25"/>
        <v>09/12/2025Renal Medicine</v>
      </c>
      <c r="L533" t="e">
        <f>VLOOKUP(K533, Sheet2!$A$2:$B$4186, 2,FALSE)</f>
        <v>#N/A</v>
      </c>
      <c r="M533">
        <f>VLOOKUP(C533,Depts!$B$1:$D$16,3,FALSE)</f>
        <v>26</v>
      </c>
      <c r="N533" s="1" t="b">
        <f t="shared" si="23"/>
        <v>1</v>
      </c>
    </row>
    <row r="534" spans="1:14">
      <c r="A534">
        <v>655</v>
      </c>
      <c r="B534">
        <v>19</v>
      </c>
      <c r="C534" t="s">
        <v>46</v>
      </c>
      <c r="D534" s="1">
        <v>46001</v>
      </c>
      <c r="E534" s="1">
        <v>46007</v>
      </c>
      <c r="F534" t="s">
        <v>56</v>
      </c>
      <c r="G534">
        <v>6</v>
      </c>
      <c r="H534">
        <v>38</v>
      </c>
      <c r="I534" t="s">
        <v>60</v>
      </c>
      <c r="J534">
        <f t="shared" si="24"/>
        <v>7.6</v>
      </c>
      <c r="K534" t="str">
        <f t="shared" si="25"/>
        <v>10/12/2025Neurology</v>
      </c>
      <c r="L534" t="e">
        <f>VLOOKUP(K534, Sheet2!$A$2:$B$4186, 2,FALSE)</f>
        <v>#N/A</v>
      </c>
      <c r="M534">
        <f>VLOOKUP(C534,Depts!$B$1:$D$16,3,FALSE)</f>
        <v>32</v>
      </c>
      <c r="N534" s="1" t="b">
        <f t="shared" si="23"/>
        <v>1</v>
      </c>
    </row>
    <row r="535" spans="1:14">
      <c r="A535">
        <v>656</v>
      </c>
      <c r="B535">
        <v>708</v>
      </c>
      <c r="C535" t="s">
        <v>45</v>
      </c>
      <c r="D535" s="1">
        <v>46001</v>
      </c>
      <c r="E535" s="1">
        <v>46003</v>
      </c>
      <c r="F535" t="s">
        <v>57</v>
      </c>
      <c r="G535">
        <v>2</v>
      </c>
      <c r="H535">
        <v>175</v>
      </c>
      <c r="I535" t="s">
        <v>60</v>
      </c>
      <c r="J535">
        <f t="shared" si="24"/>
        <v>11.666666666666666</v>
      </c>
      <c r="K535" t="str">
        <f t="shared" si="25"/>
        <v>10/12/2025Maternity</v>
      </c>
      <c r="L535" t="e">
        <f>VLOOKUP(K535, Sheet2!$A$2:$B$4186, 2,FALSE)</f>
        <v>#N/A</v>
      </c>
      <c r="M535">
        <f>VLOOKUP(C535,Depts!$B$1:$D$16,3,FALSE)</f>
        <v>34</v>
      </c>
      <c r="N535" s="1" t="b">
        <f t="shared" si="23"/>
        <v>1</v>
      </c>
    </row>
    <row r="536" spans="1:14">
      <c r="A536">
        <v>657</v>
      </c>
      <c r="B536">
        <v>371</v>
      </c>
      <c r="C536" t="s">
        <v>48</v>
      </c>
      <c r="D536" s="1">
        <v>46002</v>
      </c>
      <c r="E536" s="1">
        <v>46007</v>
      </c>
      <c r="F536" t="s">
        <v>56</v>
      </c>
      <c r="G536">
        <v>5</v>
      </c>
      <c r="H536">
        <v>35</v>
      </c>
      <c r="I536" t="s">
        <v>60</v>
      </c>
      <c r="J536">
        <f t="shared" si="24"/>
        <v>5.8333333333333339</v>
      </c>
      <c r="K536" t="str">
        <f t="shared" si="25"/>
        <v>11/12/2025Orthopaedics</v>
      </c>
      <c r="L536" t="e">
        <f>VLOOKUP(K536, Sheet2!$A$2:$B$4186, 2,FALSE)</f>
        <v>#N/A</v>
      </c>
      <c r="M536">
        <f>VLOOKUP(C536,Depts!$B$1:$D$16,3,FALSE)</f>
        <v>40</v>
      </c>
      <c r="N536" s="1" t="b">
        <f t="shared" si="23"/>
        <v>1</v>
      </c>
    </row>
    <row r="537" spans="1:14">
      <c r="A537">
        <v>658</v>
      </c>
      <c r="B537">
        <v>611</v>
      </c>
      <c r="C537" t="s">
        <v>49</v>
      </c>
      <c r="D537" s="1">
        <v>46002</v>
      </c>
      <c r="E537" s="1">
        <v>46004</v>
      </c>
      <c r="F537" t="s">
        <v>57</v>
      </c>
      <c r="G537">
        <v>2</v>
      </c>
      <c r="H537">
        <v>238</v>
      </c>
      <c r="I537" t="s">
        <v>60</v>
      </c>
      <c r="J537">
        <f t="shared" si="24"/>
        <v>15.866666666666667</v>
      </c>
      <c r="K537" t="str">
        <f t="shared" si="25"/>
        <v>11/12/2025Paediatrics</v>
      </c>
      <c r="L537" t="e">
        <f>VLOOKUP(K537, Sheet2!$A$2:$B$4186, 2,FALSE)</f>
        <v>#N/A</v>
      </c>
      <c r="M537">
        <f>VLOOKUP(C537,Depts!$B$1:$D$16,3,FALSE)</f>
        <v>30</v>
      </c>
      <c r="N537" s="1" t="b">
        <f t="shared" si="23"/>
        <v>1</v>
      </c>
    </row>
    <row r="538" spans="1:14">
      <c r="A538">
        <v>659</v>
      </c>
      <c r="B538">
        <v>753</v>
      </c>
      <c r="C538" t="s">
        <v>42</v>
      </c>
      <c r="D538" s="1">
        <v>46003</v>
      </c>
      <c r="E538" s="1">
        <v>46008</v>
      </c>
      <c r="F538" t="s">
        <v>56</v>
      </c>
      <c r="G538">
        <v>5</v>
      </c>
      <c r="H538">
        <v>2</v>
      </c>
      <c r="I538" t="s">
        <v>60</v>
      </c>
      <c r="J538">
        <f t="shared" si="24"/>
        <v>0.33333333333333331</v>
      </c>
      <c r="K538" t="str">
        <f t="shared" si="25"/>
        <v>12/12/2025Gastroenterology</v>
      </c>
      <c r="L538" t="e">
        <f>VLOOKUP(K538, Sheet2!$A$2:$B$4186, 2,FALSE)</f>
        <v>#N/A</v>
      </c>
      <c r="M538">
        <f>VLOOKUP(C538,Depts!$B$1:$D$16,3,FALSE)</f>
        <v>29</v>
      </c>
      <c r="N538" s="1" t="b">
        <f t="shared" si="23"/>
        <v>1</v>
      </c>
    </row>
    <row r="539" spans="1:14">
      <c r="A539">
        <v>660</v>
      </c>
      <c r="B539">
        <v>922</v>
      </c>
      <c r="C539" t="s">
        <v>41</v>
      </c>
      <c r="D539" s="1">
        <v>46004</v>
      </c>
      <c r="E539" s="1">
        <v>46006</v>
      </c>
      <c r="F539" t="s">
        <v>57</v>
      </c>
      <c r="G539">
        <v>2</v>
      </c>
      <c r="H539">
        <v>190</v>
      </c>
      <c r="I539" t="s">
        <v>60</v>
      </c>
      <c r="J539">
        <f t="shared" si="24"/>
        <v>12.666666666666666</v>
      </c>
      <c r="K539" t="str">
        <f t="shared" si="25"/>
        <v>13/12/2025ENT</v>
      </c>
      <c r="L539" t="e">
        <f>VLOOKUP(K539, Sheet2!$A$2:$B$4186, 2,FALSE)</f>
        <v>#N/A</v>
      </c>
      <c r="M539">
        <f>VLOOKUP(C539,Depts!$B$1:$D$16,3,FALSE)</f>
        <v>20</v>
      </c>
      <c r="N539" s="1" t="b">
        <f t="shared" si="23"/>
        <v>1</v>
      </c>
    </row>
    <row r="540" spans="1:14">
      <c r="A540">
        <v>661</v>
      </c>
      <c r="B540">
        <v>619</v>
      </c>
      <c r="C540" t="s">
        <v>44</v>
      </c>
      <c r="D540" s="1">
        <v>46004</v>
      </c>
      <c r="E540" s="1">
        <v>46010</v>
      </c>
      <c r="F540" t="s">
        <v>56</v>
      </c>
      <c r="G540">
        <v>6</v>
      </c>
      <c r="H540">
        <v>43</v>
      </c>
      <c r="I540" t="s">
        <v>60</v>
      </c>
      <c r="J540">
        <f t="shared" si="24"/>
        <v>8.6</v>
      </c>
      <c r="K540" t="str">
        <f t="shared" si="25"/>
        <v>13/12/2025Geriatrics</v>
      </c>
      <c r="L540" t="e">
        <f>VLOOKUP(K540, Sheet2!$A$2:$B$4186, 2,FALSE)</f>
        <v>#N/A</v>
      </c>
      <c r="M540">
        <f>VLOOKUP(C540,Depts!$B$1:$D$16,3,FALSE)</f>
        <v>46</v>
      </c>
      <c r="N540" s="1" t="b">
        <f t="shared" si="23"/>
        <v>1</v>
      </c>
    </row>
    <row r="541" spans="1:14">
      <c r="A541">
        <v>662</v>
      </c>
      <c r="B541">
        <v>546</v>
      </c>
      <c r="C541" t="s">
        <v>51</v>
      </c>
      <c r="D541" s="1">
        <v>46005</v>
      </c>
      <c r="E541" s="1">
        <v>46007</v>
      </c>
      <c r="F541" t="s">
        <v>57</v>
      </c>
      <c r="G541">
        <v>2</v>
      </c>
      <c r="H541">
        <v>140</v>
      </c>
      <c r="I541" t="s">
        <v>60</v>
      </c>
      <c r="J541">
        <f t="shared" si="24"/>
        <v>9.3333333333333339</v>
      </c>
      <c r="K541" t="str">
        <f t="shared" si="25"/>
        <v>14/12/2025Respiratory</v>
      </c>
      <c r="L541" t="e">
        <f>VLOOKUP(K541, Sheet2!$A$2:$B$4186, 2,FALSE)</f>
        <v>#N/A</v>
      </c>
      <c r="M541">
        <f>VLOOKUP(C541,Depts!$B$1:$D$16,3,FALSE)</f>
        <v>36</v>
      </c>
      <c r="N541" s="1" t="b">
        <f t="shared" si="23"/>
        <v>1</v>
      </c>
    </row>
    <row r="542" spans="1:14">
      <c r="A542">
        <v>663</v>
      </c>
      <c r="B542">
        <v>483</v>
      </c>
      <c r="C542" t="s">
        <v>43</v>
      </c>
      <c r="D542" s="1">
        <v>46006</v>
      </c>
      <c r="E542" s="1">
        <v>46011</v>
      </c>
      <c r="F542" t="s">
        <v>56</v>
      </c>
      <c r="G542">
        <v>5</v>
      </c>
      <c r="H542">
        <v>34</v>
      </c>
      <c r="I542" t="s">
        <v>60</v>
      </c>
      <c r="J542">
        <f t="shared" si="24"/>
        <v>5.6666666666666661</v>
      </c>
      <c r="K542" t="str">
        <f t="shared" si="25"/>
        <v>15/12/2025General Surgery</v>
      </c>
      <c r="L542" t="e">
        <f>VLOOKUP(K542, Sheet2!$A$2:$B$4186, 2,FALSE)</f>
        <v>#N/A</v>
      </c>
      <c r="M542">
        <f>VLOOKUP(C542,Depts!$B$1:$D$16,3,FALSE)</f>
        <v>44</v>
      </c>
      <c r="N542" s="1" t="b">
        <f t="shared" si="23"/>
        <v>1</v>
      </c>
    </row>
    <row r="543" spans="1:14">
      <c r="A543">
        <v>664</v>
      </c>
      <c r="B543">
        <v>865</v>
      </c>
      <c r="C543" t="s">
        <v>40</v>
      </c>
      <c r="D543" s="1">
        <v>46006</v>
      </c>
      <c r="E543" s="1">
        <v>46009</v>
      </c>
      <c r="F543" t="s">
        <v>58</v>
      </c>
      <c r="G543">
        <v>3</v>
      </c>
      <c r="H543">
        <v>32</v>
      </c>
      <c r="I543" t="s">
        <v>61</v>
      </c>
      <c r="J543">
        <f t="shared" si="24"/>
        <v>3.2</v>
      </c>
      <c r="K543" t="str">
        <f t="shared" si="25"/>
        <v>15/12/2025Cardiology</v>
      </c>
      <c r="L543" t="e">
        <f>VLOOKUP(K543, Sheet2!$A$2:$B$4186, 2,FALSE)</f>
        <v>#N/A</v>
      </c>
      <c r="M543">
        <f>VLOOKUP(C543,Depts!$B$1:$D$16,3,FALSE)</f>
        <v>38</v>
      </c>
      <c r="N543" s="1" t="b">
        <f t="shared" si="23"/>
        <v>1</v>
      </c>
    </row>
    <row r="544" spans="1:14">
      <c r="A544">
        <v>665</v>
      </c>
      <c r="B544">
        <v>223</v>
      </c>
      <c r="C544" t="s">
        <v>47</v>
      </c>
      <c r="D544" s="1">
        <v>46007</v>
      </c>
      <c r="E544" s="1">
        <v>46012</v>
      </c>
      <c r="F544" t="s">
        <v>56</v>
      </c>
      <c r="G544">
        <v>5</v>
      </c>
      <c r="H544">
        <v>20</v>
      </c>
      <c r="I544" t="s">
        <v>60</v>
      </c>
      <c r="J544">
        <f t="shared" si="24"/>
        <v>3.333333333333333</v>
      </c>
      <c r="K544" t="str">
        <f t="shared" si="25"/>
        <v>16/12/2025Oncology</v>
      </c>
      <c r="L544" t="e">
        <f>VLOOKUP(K544, Sheet2!$A$2:$B$4186, 2,FALSE)</f>
        <v>#N/A</v>
      </c>
      <c r="M544">
        <f>VLOOKUP(C544,Depts!$B$1:$D$16,3,FALSE)</f>
        <v>28</v>
      </c>
      <c r="N544" s="1" t="b">
        <f t="shared" si="23"/>
        <v>1</v>
      </c>
    </row>
    <row r="545" spans="1:14">
      <c r="A545">
        <v>666</v>
      </c>
      <c r="B545">
        <v>118</v>
      </c>
      <c r="C545" t="s">
        <v>39</v>
      </c>
      <c r="D545" s="1">
        <v>46007</v>
      </c>
      <c r="E545" s="1">
        <v>46008</v>
      </c>
      <c r="F545" t="s">
        <v>57</v>
      </c>
      <c r="G545">
        <v>1</v>
      </c>
      <c r="H545">
        <v>120</v>
      </c>
      <c r="I545" t="s">
        <v>60</v>
      </c>
      <c r="J545">
        <f t="shared" si="24"/>
        <v>4</v>
      </c>
      <c r="K545" t="str">
        <f t="shared" si="25"/>
        <v>16/12/2025A&amp;E (Emergency)</v>
      </c>
      <c r="L545" t="e">
        <f>VLOOKUP(K545, Sheet2!$A$2:$B$4186, 2,FALSE)</f>
        <v>#N/A</v>
      </c>
      <c r="M545">
        <f>VLOOKUP(C545,Depts!$B$1:$D$16,3,FALSE)</f>
        <v>42</v>
      </c>
      <c r="N545" s="1" t="b">
        <f t="shared" si="23"/>
        <v>1</v>
      </c>
    </row>
    <row r="546" spans="1:14">
      <c r="A546">
        <v>667</v>
      </c>
      <c r="B546">
        <v>553</v>
      </c>
      <c r="C546" t="s">
        <v>50</v>
      </c>
      <c r="D546" s="1">
        <v>46008</v>
      </c>
      <c r="E546" s="1">
        <v>46013</v>
      </c>
      <c r="F546" t="s">
        <v>56</v>
      </c>
      <c r="G546">
        <v>5</v>
      </c>
      <c r="H546">
        <v>11</v>
      </c>
      <c r="I546" t="s">
        <v>60</v>
      </c>
      <c r="J546">
        <f t="shared" si="24"/>
        <v>1.8333333333333333</v>
      </c>
      <c r="K546" t="str">
        <f t="shared" si="25"/>
        <v>17/12/2025Renal Medicine</v>
      </c>
      <c r="L546" t="e">
        <f>VLOOKUP(K546, Sheet2!$A$2:$B$4186, 2,FALSE)</f>
        <v>#N/A</v>
      </c>
      <c r="M546">
        <f>VLOOKUP(C546,Depts!$B$1:$D$16,3,FALSE)</f>
        <v>26</v>
      </c>
      <c r="N546" s="1" t="b">
        <f t="shared" si="23"/>
        <v>1</v>
      </c>
    </row>
    <row r="547" spans="1:14">
      <c r="A547">
        <v>668</v>
      </c>
      <c r="B547">
        <v>749</v>
      </c>
      <c r="C547" t="s">
        <v>46</v>
      </c>
      <c r="D547" s="1">
        <v>46009</v>
      </c>
      <c r="E547" s="1">
        <v>46015</v>
      </c>
      <c r="F547" t="s">
        <v>56</v>
      </c>
      <c r="G547">
        <v>6</v>
      </c>
      <c r="H547">
        <v>27</v>
      </c>
      <c r="I547" t="s">
        <v>60</v>
      </c>
      <c r="J547">
        <f t="shared" si="24"/>
        <v>5.4</v>
      </c>
      <c r="K547" t="str">
        <f t="shared" si="25"/>
        <v>18/12/2025Neurology</v>
      </c>
      <c r="L547" t="e">
        <f>VLOOKUP(K547, Sheet2!$A$2:$B$4186, 2,FALSE)</f>
        <v>#N/A</v>
      </c>
      <c r="M547">
        <f>VLOOKUP(C547,Depts!$B$1:$D$16,3,FALSE)</f>
        <v>32</v>
      </c>
      <c r="N547" s="1" t="b">
        <f t="shared" si="23"/>
        <v>1</v>
      </c>
    </row>
    <row r="548" spans="1:14">
      <c r="A548">
        <v>669</v>
      </c>
      <c r="B548">
        <v>115</v>
      </c>
      <c r="C548" t="s">
        <v>45</v>
      </c>
      <c r="D548" s="1">
        <v>46009</v>
      </c>
      <c r="E548" s="1">
        <v>46011</v>
      </c>
      <c r="F548" t="s">
        <v>57</v>
      </c>
      <c r="G548">
        <v>2</v>
      </c>
      <c r="H548">
        <v>110</v>
      </c>
      <c r="I548" t="s">
        <v>60</v>
      </c>
      <c r="J548">
        <f t="shared" si="24"/>
        <v>7.333333333333333</v>
      </c>
      <c r="K548" t="str">
        <f t="shared" si="25"/>
        <v>18/12/2025Maternity</v>
      </c>
      <c r="L548" t="e">
        <f>VLOOKUP(K548, Sheet2!$A$2:$B$4186, 2,FALSE)</f>
        <v>#N/A</v>
      </c>
      <c r="M548">
        <f>VLOOKUP(C548,Depts!$B$1:$D$16,3,FALSE)</f>
        <v>34</v>
      </c>
      <c r="N548" s="1" t="b">
        <f t="shared" si="23"/>
        <v>1</v>
      </c>
    </row>
    <row r="549" spans="1:14">
      <c r="A549">
        <v>670</v>
      </c>
      <c r="B549">
        <v>456</v>
      </c>
      <c r="C549" t="s">
        <v>48</v>
      </c>
      <c r="D549" s="1">
        <v>46010</v>
      </c>
      <c r="E549" s="1">
        <v>46015</v>
      </c>
      <c r="F549" t="s">
        <v>56</v>
      </c>
      <c r="G549">
        <v>5</v>
      </c>
      <c r="H549">
        <v>1</v>
      </c>
      <c r="I549" t="s">
        <v>60</v>
      </c>
      <c r="J549">
        <f t="shared" si="24"/>
        <v>0.16666666666666666</v>
      </c>
      <c r="K549" t="str">
        <f t="shared" si="25"/>
        <v>19/12/2025Orthopaedics</v>
      </c>
      <c r="L549" t="e">
        <f>VLOOKUP(K549, Sheet2!$A$2:$B$4186, 2,FALSE)</f>
        <v>#N/A</v>
      </c>
      <c r="M549">
        <f>VLOOKUP(C549,Depts!$B$1:$D$16,3,FALSE)</f>
        <v>40</v>
      </c>
      <c r="N549" s="1" t="b">
        <f t="shared" si="23"/>
        <v>1</v>
      </c>
    </row>
    <row r="550" spans="1:14">
      <c r="A550">
        <v>671</v>
      </c>
      <c r="B550">
        <v>495</v>
      </c>
      <c r="C550" t="s">
        <v>49</v>
      </c>
      <c r="D550" s="1">
        <v>46010</v>
      </c>
      <c r="E550" s="1">
        <v>46012</v>
      </c>
      <c r="F550" t="s">
        <v>57</v>
      </c>
      <c r="G550">
        <v>2</v>
      </c>
      <c r="H550">
        <v>63</v>
      </c>
      <c r="I550" t="s">
        <v>60</v>
      </c>
      <c r="J550">
        <f t="shared" si="24"/>
        <v>4.2</v>
      </c>
      <c r="K550" t="str">
        <f t="shared" si="25"/>
        <v>19/12/2025Paediatrics</v>
      </c>
      <c r="L550" t="e">
        <f>VLOOKUP(K550, Sheet2!$A$2:$B$4186, 2,FALSE)</f>
        <v>#N/A</v>
      </c>
      <c r="M550">
        <f>VLOOKUP(C550,Depts!$B$1:$D$16,3,FALSE)</f>
        <v>30</v>
      </c>
      <c r="N550" s="1" t="b">
        <f t="shared" si="23"/>
        <v>1</v>
      </c>
    </row>
    <row r="551" spans="1:14">
      <c r="A551">
        <v>672</v>
      </c>
      <c r="B551">
        <v>137</v>
      </c>
      <c r="C551" t="s">
        <v>42</v>
      </c>
      <c r="D551" s="1">
        <v>46011</v>
      </c>
      <c r="E551" s="1">
        <v>46016</v>
      </c>
      <c r="F551" t="s">
        <v>56</v>
      </c>
      <c r="G551">
        <v>5</v>
      </c>
      <c r="H551">
        <v>34</v>
      </c>
      <c r="I551" t="s">
        <v>60</v>
      </c>
      <c r="J551">
        <f t="shared" si="24"/>
        <v>5.6666666666666661</v>
      </c>
      <c r="K551" t="str">
        <f t="shared" si="25"/>
        <v>20/12/2025Gastroenterology</v>
      </c>
      <c r="L551" t="e">
        <f>VLOOKUP(K551, Sheet2!$A$2:$B$4186, 2,FALSE)</f>
        <v>#N/A</v>
      </c>
      <c r="M551">
        <f>VLOOKUP(C551,Depts!$B$1:$D$16,3,FALSE)</f>
        <v>29</v>
      </c>
      <c r="N551" s="1" t="b">
        <f t="shared" si="23"/>
        <v>1</v>
      </c>
    </row>
    <row r="552" spans="1:14">
      <c r="A552">
        <v>673</v>
      </c>
      <c r="B552">
        <v>307</v>
      </c>
      <c r="C552" t="s">
        <v>41</v>
      </c>
      <c r="D552" s="1">
        <v>46012</v>
      </c>
      <c r="E552" s="1">
        <v>46014</v>
      </c>
      <c r="F552" t="s">
        <v>57</v>
      </c>
      <c r="G552">
        <v>2</v>
      </c>
      <c r="H552">
        <v>232</v>
      </c>
      <c r="I552" t="s">
        <v>60</v>
      </c>
      <c r="J552">
        <f t="shared" si="24"/>
        <v>15.466666666666667</v>
      </c>
      <c r="K552" t="str">
        <f t="shared" si="25"/>
        <v>21/12/2025ENT</v>
      </c>
      <c r="L552" t="e">
        <f>VLOOKUP(K552, Sheet2!$A$2:$B$4186, 2,FALSE)</f>
        <v>#N/A</v>
      </c>
      <c r="M552">
        <f>VLOOKUP(C552,Depts!$B$1:$D$16,3,FALSE)</f>
        <v>20</v>
      </c>
      <c r="N552" s="1" t="b">
        <f t="shared" si="23"/>
        <v>1</v>
      </c>
    </row>
    <row r="553" spans="1:14">
      <c r="A553">
        <v>674</v>
      </c>
      <c r="B553">
        <v>174</v>
      </c>
      <c r="C553" t="s">
        <v>44</v>
      </c>
      <c r="D553" s="1">
        <v>46012</v>
      </c>
      <c r="E553" s="1">
        <v>46018</v>
      </c>
      <c r="F553" t="s">
        <v>56</v>
      </c>
      <c r="G553">
        <v>6</v>
      </c>
      <c r="H553">
        <v>21</v>
      </c>
      <c r="I553" t="s">
        <v>60</v>
      </c>
      <c r="J553">
        <f t="shared" si="24"/>
        <v>4.1999999999999993</v>
      </c>
      <c r="K553" t="str">
        <f t="shared" si="25"/>
        <v>21/12/2025Geriatrics</v>
      </c>
      <c r="L553" t="e">
        <f>VLOOKUP(K553, Sheet2!$A$2:$B$4186, 2,FALSE)</f>
        <v>#N/A</v>
      </c>
      <c r="M553">
        <f>VLOOKUP(C553,Depts!$B$1:$D$16,3,FALSE)</f>
        <v>46</v>
      </c>
      <c r="N553" s="1" t="b">
        <f t="shared" si="23"/>
        <v>1</v>
      </c>
    </row>
    <row r="554" spans="1:14">
      <c r="A554">
        <v>675</v>
      </c>
      <c r="B554">
        <v>154</v>
      </c>
      <c r="C554" t="s">
        <v>51</v>
      </c>
      <c r="D554" s="1">
        <v>46013</v>
      </c>
      <c r="E554" s="1">
        <v>46015</v>
      </c>
      <c r="F554" t="s">
        <v>57</v>
      </c>
      <c r="G554">
        <v>2</v>
      </c>
      <c r="H554">
        <v>21</v>
      </c>
      <c r="I554" t="s">
        <v>60</v>
      </c>
      <c r="J554">
        <f t="shared" si="24"/>
        <v>1.4</v>
      </c>
      <c r="K554" t="str">
        <f t="shared" si="25"/>
        <v>22/12/2025Respiratory</v>
      </c>
      <c r="L554" t="e">
        <f>VLOOKUP(K554, Sheet2!$A$2:$B$4186, 2,FALSE)</f>
        <v>#N/A</v>
      </c>
      <c r="M554">
        <f>VLOOKUP(C554,Depts!$B$1:$D$16,3,FALSE)</f>
        <v>36</v>
      </c>
      <c r="N554" s="1" t="b">
        <f t="shared" si="23"/>
        <v>1</v>
      </c>
    </row>
    <row r="555" spans="1:14">
      <c r="A555">
        <v>676</v>
      </c>
      <c r="B555">
        <v>999</v>
      </c>
      <c r="C555" t="s">
        <v>43</v>
      </c>
      <c r="D555" s="1">
        <v>46014</v>
      </c>
      <c r="E555" s="1">
        <v>46019</v>
      </c>
      <c r="F555" t="s">
        <v>56</v>
      </c>
      <c r="G555">
        <v>5</v>
      </c>
      <c r="H555">
        <v>16</v>
      </c>
      <c r="I555" t="s">
        <v>60</v>
      </c>
      <c r="J555">
        <f t="shared" si="24"/>
        <v>2.6666666666666665</v>
      </c>
      <c r="K555" t="str">
        <f t="shared" si="25"/>
        <v>23/12/2025General Surgery</v>
      </c>
      <c r="L555" t="e">
        <f>VLOOKUP(K555, Sheet2!$A$2:$B$4186, 2,FALSE)</f>
        <v>#N/A</v>
      </c>
      <c r="M555">
        <f>VLOOKUP(C555,Depts!$B$1:$D$16,3,FALSE)</f>
        <v>44</v>
      </c>
      <c r="N555" s="1" t="b">
        <f t="shared" si="23"/>
        <v>1</v>
      </c>
    </row>
    <row r="556" spans="1:14">
      <c r="A556">
        <v>677</v>
      </c>
      <c r="B556">
        <v>124</v>
      </c>
      <c r="C556" t="s">
        <v>40</v>
      </c>
      <c r="D556" s="1">
        <v>46014</v>
      </c>
      <c r="E556" s="1">
        <v>46017</v>
      </c>
      <c r="F556" t="s">
        <v>58</v>
      </c>
      <c r="G556">
        <v>3</v>
      </c>
      <c r="H556">
        <v>56</v>
      </c>
      <c r="I556" t="s">
        <v>61</v>
      </c>
      <c r="J556">
        <f t="shared" si="24"/>
        <v>5.6</v>
      </c>
      <c r="K556" t="str">
        <f t="shared" si="25"/>
        <v>23/12/2025Cardiology</v>
      </c>
      <c r="L556" t="e">
        <f>VLOOKUP(K556, Sheet2!$A$2:$B$4186, 2,FALSE)</f>
        <v>#N/A</v>
      </c>
      <c r="M556">
        <f>VLOOKUP(C556,Depts!$B$1:$D$16,3,FALSE)</f>
        <v>38</v>
      </c>
      <c r="N556" s="1" t="b">
        <f t="shared" si="23"/>
        <v>1</v>
      </c>
    </row>
    <row r="557" spans="1:14">
      <c r="A557">
        <v>678</v>
      </c>
      <c r="B557">
        <v>271</v>
      </c>
      <c r="C557" t="s">
        <v>47</v>
      </c>
      <c r="D557" s="1">
        <v>46015</v>
      </c>
      <c r="E557" s="1">
        <v>46020</v>
      </c>
      <c r="F557" t="s">
        <v>56</v>
      </c>
      <c r="G557">
        <v>5</v>
      </c>
      <c r="H557">
        <v>10</v>
      </c>
      <c r="I557" t="s">
        <v>60</v>
      </c>
      <c r="J557">
        <f t="shared" si="24"/>
        <v>1.6666666666666665</v>
      </c>
      <c r="K557" t="str">
        <f t="shared" si="25"/>
        <v>24/12/2025Oncology</v>
      </c>
      <c r="L557" t="e">
        <f>VLOOKUP(K557, Sheet2!$A$2:$B$4186, 2,FALSE)</f>
        <v>#N/A</v>
      </c>
      <c r="M557">
        <f>VLOOKUP(C557,Depts!$B$1:$D$16,3,FALSE)</f>
        <v>28</v>
      </c>
      <c r="N557" s="1" t="b">
        <f t="shared" si="23"/>
        <v>1</v>
      </c>
    </row>
    <row r="558" spans="1:14">
      <c r="A558">
        <v>679</v>
      </c>
      <c r="B558">
        <v>705</v>
      </c>
      <c r="C558" t="s">
        <v>39</v>
      </c>
      <c r="D558" s="1">
        <v>46015</v>
      </c>
      <c r="E558" s="1">
        <v>46016</v>
      </c>
      <c r="F558" t="s">
        <v>57</v>
      </c>
      <c r="G558">
        <v>1</v>
      </c>
      <c r="H558">
        <v>143</v>
      </c>
      <c r="I558" t="s">
        <v>60</v>
      </c>
      <c r="J558">
        <f t="shared" si="24"/>
        <v>4.7666666666666666</v>
      </c>
      <c r="K558" t="str">
        <f t="shared" si="25"/>
        <v>24/12/2025A&amp;E (Emergency)</v>
      </c>
      <c r="L558" t="e">
        <f>VLOOKUP(K558, Sheet2!$A$2:$B$4186, 2,FALSE)</f>
        <v>#N/A</v>
      </c>
      <c r="M558">
        <f>VLOOKUP(C558,Depts!$B$1:$D$16,3,FALSE)</f>
        <v>42</v>
      </c>
      <c r="N558" s="1" t="b">
        <f t="shared" si="23"/>
        <v>1</v>
      </c>
    </row>
    <row r="559" spans="1:14">
      <c r="A559">
        <v>680</v>
      </c>
      <c r="B559">
        <v>597</v>
      </c>
      <c r="C559" t="s">
        <v>50</v>
      </c>
      <c r="D559" s="1">
        <v>46016</v>
      </c>
      <c r="E559" s="1">
        <v>46021</v>
      </c>
      <c r="F559" t="s">
        <v>56</v>
      </c>
      <c r="G559">
        <v>5</v>
      </c>
      <c r="H559">
        <v>12</v>
      </c>
      <c r="I559" t="s">
        <v>60</v>
      </c>
      <c r="J559">
        <f t="shared" si="24"/>
        <v>2</v>
      </c>
      <c r="K559" t="str">
        <f t="shared" si="25"/>
        <v>25/12/2025Renal Medicine</v>
      </c>
      <c r="L559" t="e">
        <f>VLOOKUP(K559, Sheet2!$A$2:$B$4186, 2,FALSE)</f>
        <v>#N/A</v>
      </c>
      <c r="M559">
        <f>VLOOKUP(C559,Depts!$B$1:$D$16,3,FALSE)</f>
        <v>26</v>
      </c>
      <c r="N559" s="1" t="b">
        <f t="shared" si="23"/>
        <v>1</v>
      </c>
    </row>
    <row r="560" spans="1:14">
      <c r="A560">
        <v>681</v>
      </c>
      <c r="B560">
        <v>750</v>
      </c>
      <c r="C560" t="s">
        <v>46</v>
      </c>
      <c r="D560" s="1">
        <v>46017</v>
      </c>
      <c r="E560" s="1">
        <v>46023</v>
      </c>
      <c r="F560" t="s">
        <v>56</v>
      </c>
      <c r="G560">
        <v>6</v>
      </c>
      <c r="H560">
        <v>36</v>
      </c>
      <c r="I560" t="s">
        <v>60</v>
      </c>
      <c r="J560">
        <f t="shared" si="24"/>
        <v>7.1999999999999993</v>
      </c>
      <c r="K560" t="str">
        <f t="shared" si="25"/>
        <v>26/12/2025Neurology</v>
      </c>
      <c r="L560" t="e">
        <f>VLOOKUP(K560, Sheet2!$A$2:$B$4186, 2,FALSE)</f>
        <v>#N/A</v>
      </c>
      <c r="M560">
        <f>VLOOKUP(C560,Depts!$B$1:$D$16,3,FALSE)</f>
        <v>32</v>
      </c>
      <c r="N560" s="1" t="b">
        <f t="shared" si="23"/>
        <v>1</v>
      </c>
    </row>
    <row r="561" spans="1:14">
      <c r="A561">
        <v>682</v>
      </c>
      <c r="B561">
        <v>574</v>
      </c>
      <c r="C561" t="s">
        <v>45</v>
      </c>
      <c r="D561" s="1">
        <v>46017</v>
      </c>
      <c r="E561" s="1">
        <v>46019</v>
      </c>
      <c r="F561" t="s">
        <v>57</v>
      </c>
      <c r="G561">
        <v>2</v>
      </c>
      <c r="H561">
        <v>207</v>
      </c>
      <c r="I561" t="s">
        <v>60</v>
      </c>
      <c r="J561">
        <f t="shared" si="24"/>
        <v>13.8</v>
      </c>
      <c r="K561" t="str">
        <f t="shared" si="25"/>
        <v>26/12/2025Maternity</v>
      </c>
      <c r="L561" t="e">
        <f>VLOOKUP(K561, Sheet2!$A$2:$B$4186, 2,FALSE)</f>
        <v>#N/A</v>
      </c>
      <c r="M561">
        <f>VLOOKUP(C561,Depts!$B$1:$D$16,3,FALSE)</f>
        <v>34</v>
      </c>
      <c r="N561" s="1" t="b">
        <f t="shared" ref="N561:N624" si="26">ISNUMBER(D561)</f>
        <v>1</v>
      </c>
    </row>
    <row r="562" spans="1:14">
      <c r="A562">
        <v>683</v>
      </c>
      <c r="B562">
        <v>335</v>
      </c>
      <c r="C562" t="s">
        <v>48</v>
      </c>
      <c r="D562" s="1">
        <v>46018</v>
      </c>
      <c r="E562" s="1">
        <v>46023</v>
      </c>
      <c r="F562" t="s">
        <v>56</v>
      </c>
      <c r="G562">
        <v>5</v>
      </c>
      <c r="H562">
        <v>28</v>
      </c>
      <c r="I562" t="s">
        <v>60</v>
      </c>
      <c r="J562">
        <f t="shared" si="24"/>
        <v>4.666666666666667</v>
      </c>
      <c r="K562" t="str">
        <f t="shared" si="25"/>
        <v>27/12/2025Orthopaedics</v>
      </c>
      <c r="L562" t="e">
        <f>VLOOKUP(K562, Sheet2!$A$2:$B$4186, 2,FALSE)</f>
        <v>#N/A</v>
      </c>
      <c r="M562">
        <f>VLOOKUP(C562,Depts!$B$1:$D$16,3,FALSE)</f>
        <v>40</v>
      </c>
      <c r="N562" s="1" t="b">
        <f t="shared" si="26"/>
        <v>1</v>
      </c>
    </row>
    <row r="563" spans="1:14">
      <c r="A563">
        <v>684</v>
      </c>
      <c r="B563">
        <v>69</v>
      </c>
      <c r="C563" t="s">
        <v>49</v>
      </c>
      <c r="D563" s="1">
        <v>46018</v>
      </c>
      <c r="E563" s="1">
        <v>46020</v>
      </c>
      <c r="F563" t="s">
        <v>57</v>
      </c>
      <c r="G563">
        <v>2</v>
      </c>
      <c r="H563">
        <v>111</v>
      </c>
      <c r="I563" t="s">
        <v>60</v>
      </c>
      <c r="J563">
        <f t="shared" si="24"/>
        <v>7.4</v>
      </c>
      <c r="K563" t="str">
        <f t="shared" si="25"/>
        <v>27/12/2025Paediatrics</v>
      </c>
      <c r="L563" t="e">
        <f>VLOOKUP(K563, Sheet2!$A$2:$B$4186, 2,FALSE)</f>
        <v>#N/A</v>
      </c>
      <c r="M563">
        <f>VLOOKUP(C563,Depts!$B$1:$D$16,3,FALSE)</f>
        <v>30</v>
      </c>
      <c r="N563" s="1" t="b">
        <f t="shared" si="26"/>
        <v>1</v>
      </c>
    </row>
    <row r="564" spans="1:14">
      <c r="A564">
        <v>685</v>
      </c>
      <c r="B564">
        <v>725</v>
      </c>
      <c r="C564" t="s">
        <v>42</v>
      </c>
      <c r="D564" s="1">
        <v>46019</v>
      </c>
      <c r="E564" s="1">
        <v>46024</v>
      </c>
      <c r="F564" t="s">
        <v>56</v>
      </c>
      <c r="G564">
        <v>5</v>
      </c>
      <c r="H564">
        <v>37</v>
      </c>
      <c r="I564" t="s">
        <v>60</v>
      </c>
      <c r="J564">
        <f t="shared" si="24"/>
        <v>6.166666666666667</v>
      </c>
      <c r="K564" t="str">
        <f t="shared" si="25"/>
        <v>28/12/2025Gastroenterology</v>
      </c>
      <c r="L564" t="e">
        <f>VLOOKUP(K564, Sheet2!$A$2:$B$4186, 2,FALSE)</f>
        <v>#N/A</v>
      </c>
      <c r="M564">
        <f>VLOOKUP(C564,Depts!$B$1:$D$16,3,FALSE)</f>
        <v>29</v>
      </c>
      <c r="N564" s="1" t="b">
        <f t="shared" si="26"/>
        <v>1</v>
      </c>
    </row>
    <row r="565" spans="1:14">
      <c r="A565">
        <v>686</v>
      </c>
      <c r="B565">
        <v>754</v>
      </c>
      <c r="C565" t="s">
        <v>41</v>
      </c>
      <c r="D565" s="1">
        <v>46023</v>
      </c>
      <c r="E565" s="1">
        <v>46025</v>
      </c>
      <c r="F565" t="s">
        <v>57</v>
      </c>
      <c r="G565">
        <v>2</v>
      </c>
      <c r="H565">
        <v>77</v>
      </c>
      <c r="I565" t="s">
        <v>60</v>
      </c>
      <c r="J565">
        <f t="shared" si="24"/>
        <v>5.1333333333333337</v>
      </c>
      <c r="K565" t="str">
        <f t="shared" si="25"/>
        <v>01/01/2026ENT</v>
      </c>
      <c r="L565" t="e">
        <f>VLOOKUP(K565, Sheet2!$A$2:$B$4186, 2,FALSE)</f>
        <v>#N/A</v>
      </c>
      <c r="M565">
        <f>VLOOKUP(C565,Depts!$B$1:$D$16,3,FALSE)</f>
        <v>20</v>
      </c>
      <c r="N565" s="1" t="b">
        <f t="shared" si="26"/>
        <v>1</v>
      </c>
    </row>
    <row r="566" spans="1:14">
      <c r="A566">
        <v>687</v>
      </c>
      <c r="B566">
        <v>869</v>
      </c>
      <c r="C566" t="s">
        <v>44</v>
      </c>
      <c r="D566" s="1">
        <v>46023</v>
      </c>
      <c r="E566" s="1">
        <v>46029</v>
      </c>
      <c r="F566" t="s">
        <v>56</v>
      </c>
      <c r="G566">
        <v>6</v>
      </c>
      <c r="H566">
        <v>43</v>
      </c>
      <c r="I566" t="s">
        <v>60</v>
      </c>
      <c r="J566">
        <f t="shared" si="24"/>
        <v>8.6</v>
      </c>
      <c r="K566" t="str">
        <f t="shared" si="25"/>
        <v>01/01/2026Geriatrics</v>
      </c>
      <c r="L566" t="e">
        <f>VLOOKUP(K566, Sheet2!$A$2:$B$4186, 2,FALSE)</f>
        <v>#N/A</v>
      </c>
      <c r="M566">
        <f>VLOOKUP(C566,Depts!$B$1:$D$16,3,FALSE)</f>
        <v>46</v>
      </c>
      <c r="N566" s="1" t="b">
        <f t="shared" si="26"/>
        <v>1</v>
      </c>
    </row>
    <row r="567" spans="1:14">
      <c r="A567">
        <v>688</v>
      </c>
      <c r="B567">
        <v>818</v>
      </c>
      <c r="C567" t="s">
        <v>51</v>
      </c>
      <c r="D567" s="1">
        <v>46024</v>
      </c>
      <c r="E567" s="1">
        <v>46026</v>
      </c>
      <c r="F567" t="s">
        <v>57</v>
      </c>
      <c r="G567">
        <v>2</v>
      </c>
      <c r="H567">
        <v>238</v>
      </c>
      <c r="I567" t="s">
        <v>60</v>
      </c>
      <c r="J567">
        <f t="shared" si="24"/>
        <v>15.866666666666667</v>
      </c>
      <c r="K567" t="str">
        <f t="shared" si="25"/>
        <v>02/01/2026Respiratory</v>
      </c>
      <c r="L567" t="e">
        <f>VLOOKUP(K567, Sheet2!$A$2:$B$4186, 2,FALSE)</f>
        <v>#N/A</v>
      </c>
      <c r="M567">
        <f>VLOOKUP(C567,Depts!$B$1:$D$16,3,FALSE)</f>
        <v>36</v>
      </c>
      <c r="N567" s="1" t="b">
        <f t="shared" si="26"/>
        <v>1</v>
      </c>
    </row>
    <row r="568" spans="1:14">
      <c r="A568">
        <v>689</v>
      </c>
      <c r="B568">
        <v>558</v>
      </c>
      <c r="C568" t="s">
        <v>43</v>
      </c>
      <c r="D568" s="1">
        <v>46025</v>
      </c>
      <c r="E568" s="1">
        <v>46030</v>
      </c>
      <c r="F568" t="s">
        <v>56</v>
      </c>
      <c r="G568">
        <v>5</v>
      </c>
      <c r="H568">
        <v>41</v>
      </c>
      <c r="I568" t="s">
        <v>60</v>
      </c>
      <c r="J568">
        <f t="shared" si="24"/>
        <v>6.8333333333333339</v>
      </c>
      <c r="K568" t="str">
        <f t="shared" si="25"/>
        <v>03/01/2026General Surgery</v>
      </c>
      <c r="L568" t="e">
        <f>VLOOKUP(K568, Sheet2!$A$2:$B$4186, 2,FALSE)</f>
        <v>#N/A</v>
      </c>
      <c r="M568">
        <f>VLOOKUP(C568,Depts!$B$1:$D$16,3,FALSE)</f>
        <v>44</v>
      </c>
      <c r="N568" s="1" t="b">
        <f t="shared" si="26"/>
        <v>1</v>
      </c>
    </row>
    <row r="569" spans="1:14">
      <c r="A569">
        <v>690</v>
      </c>
      <c r="B569">
        <v>634</v>
      </c>
      <c r="C569" t="s">
        <v>40</v>
      </c>
      <c r="D569" s="1">
        <v>46025</v>
      </c>
      <c r="E569" s="1">
        <v>46028</v>
      </c>
      <c r="F569" t="s">
        <v>58</v>
      </c>
      <c r="G569">
        <v>3</v>
      </c>
      <c r="H569">
        <v>20</v>
      </c>
      <c r="I569" t="s">
        <v>60</v>
      </c>
      <c r="J569">
        <f t="shared" si="24"/>
        <v>2</v>
      </c>
      <c r="K569" t="str">
        <f t="shared" si="25"/>
        <v>03/01/2026Cardiology</v>
      </c>
      <c r="L569" t="e">
        <f>VLOOKUP(K569, Sheet2!$A$2:$B$4186, 2,FALSE)</f>
        <v>#N/A</v>
      </c>
      <c r="M569">
        <f>VLOOKUP(C569,Depts!$B$1:$D$16,3,FALSE)</f>
        <v>38</v>
      </c>
      <c r="N569" s="1" t="b">
        <f t="shared" si="26"/>
        <v>1</v>
      </c>
    </row>
    <row r="570" spans="1:14">
      <c r="A570">
        <v>691</v>
      </c>
      <c r="B570">
        <v>975</v>
      </c>
      <c r="C570" t="s">
        <v>47</v>
      </c>
      <c r="D570" s="1">
        <v>46026</v>
      </c>
      <c r="E570" s="1">
        <v>46031</v>
      </c>
      <c r="F570" t="s">
        <v>56</v>
      </c>
      <c r="G570">
        <v>5</v>
      </c>
      <c r="H570">
        <v>43</v>
      </c>
      <c r="I570" t="s">
        <v>60</v>
      </c>
      <c r="J570">
        <f t="shared" si="24"/>
        <v>7.166666666666667</v>
      </c>
      <c r="K570" t="str">
        <f t="shared" si="25"/>
        <v>04/01/2026Oncology</v>
      </c>
      <c r="L570" t="e">
        <f>VLOOKUP(K570, Sheet2!$A$2:$B$4186, 2,FALSE)</f>
        <v>#N/A</v>
      </c>
      <c r="M570">
        <f>VLOOKUP(C570,Depts!$B$1:$D$16,3,FALSE)</f>
        <v>28</v>
      </c>
      <c r="N570" s="1" t="b">
        <f t="shared" si="26"/>
        <v>1</v>
      </c>
    </row>
    <row r="571" spans="1:14">
      <c r="A571">
        <v>692</v>
      </c>
      <c r="B571">
        <v>409</v>
      </c>
      <c r="C571" t="s">
        <v>39</v>
      </c>
      <c r="D571" s="1">
        <v>46026</v>
      </c>
      <c r="E571" s="1">
        <v>46027</v>
      </c>
      <c r="F571" t="s">
        <v>57</v>
      </c>
      <c r="G571">
        <v>1</v>
      </c>
      <c r="H571">
        <v>2</v>
      </c>
      <c r="I571" t="s">
        <v>60</v>
      </c>
      <c r="J571">
        <f t="shared" si="24"/>
        <v>6.6666666666666666E-2</v>
      </c>
      <c r="K571" t="str">
        <f t="shared" si="25"/>
        <v>04/01/2026A&amp;E (Emergency)</v>
      </c>
      <c r="L571" t="e">
        <f>VLOOKUP(K571, Sheet2!$A$2:$B$4186, 2,FALSE)</f>
        <v>#N/A</v>
      </c>
      <c r="M571">
        <f>VLOOKUP(C571,Depts!$B$1:$D$16,3,FALSE)</f>
        <v>42</v>
      </c>
      <c r="N571" s="1" t="b">
        <f t="shared" si="26"/>
        <v>1</v>
      </c>
    </row>
    <row r="572" spans="1:14">
      <c r="A572">
        <v>693</v>
      </c>
      <c r="B572">
        <v>252</v>
      </c>
      <c r="C572" t="s">
        <v>50</v>
      </c>
      <c r="D572" s="1">
        <v>46027</v>
      </c>
      <c r="E572" s="1">
        <v>46032</v>
      </c>
      <c r="F572" t="s">
        <v>56</v>
      </c>
      <c r="G572">
        <v>5</v>
      </c>
      <c r="H572">
        <v>6</v>
      </c>
      <c r="I572" t="s">
        <v>60</v>
      </c>
      <c r="J572">
        <f t="shared" si="24"/>
        <v>1</v>
      </c>
      <c r="K572" t="str">
        <f t="shared" si="25"/>
        <v>05/01/2026Renal Medicine</v>
      </c>
      <c r="L572" t="e">
        <f>VLOOKUP(K572, Sheet2!$A$2:$B$4186, 2,FALSE)</f>
        <v>#N/A</v>
      </c>
      <c r="M572">
        <f>VLOOKUP(C572,Depts!$B$1:$D$16,3,FALSE)</f>
        <v>26</v>
      </c>
      <c r="N572" s="1" t="b">
        <f t="shared" si="26"/>
        <v>1</v>
      </c>
    </row>
    <row r="573" spans="1:14">
      <c r="A573">
        <v>694</v>
      </c>
      <c r="B573">
        <v>563</v>
      </c>
      <c r="C573" t="s">
        <v>46</v>
      </c>
      <c r="D573" s="1">
        <v>46028</v>
      </c>
      <c r="E573" s="1">
        <v>46034</v>
      </c>
      <c r="F573" t="s">
        <v>56</v>
      </c>
      <c r="G573">
        <v>6</v>
      </c>
      <c r="H573">
        <v>18</v>
      </c>
      <c r="I573" t="s">
        <v>60</v>
      </c>
      <c r="J573">
        <f t="shared" si="24"/>
        <v>3.5999999999999996</v>
      </c>
      <c r="K573" t="str">
        <f t="shared" si="25"/>
        <v>06/01/2026Neurology</v>
      </c>
      <c r="L573" t="e">
        <f>VLOOKUP(K573, Sheet2!$A$2:$B$4186, 2,FALSE)</f>
        <v>#N/A</v>
      </c>
      <c r="M573">
        <f>VLOOKUP(C573,Depts!$B$1:$D$16,3,FALSE)</f>
        <v>32</v>
      </c>
      <c r="N573" s="1" t="b">
        <f t="shared" si="26"/>
        <v>1</v>
      </c>
    </row>
    <row r="574" spans="1:14">
      <c r="A574">
        <v>695</v>
      </c>
      <c r="B574">
        <v>798</v>
      </c>
      <c r="C574" t="s">
        <v>45</v>
      </c>
      <c r="D574" s="1">
        <v>46028</v>
      </c>
      <c r="E574" s="1">
        <v>46030</v>
      </c>
      <c r="F574" t="s">
        <v>57</v>
      </c>
      <c r="G574">
        <v>2</v>
      </c>
      <c r="H574">
        <v>186</v>
      </c>
      <c r="I574" t="s">
        <v>60</v>
      </c>
      <c r="J574">
        <f t="shared" si="24"/>
        <v>12.4</v>
      </c>
      <c r="K574" t="str">
        <f t="shared" si="25"/>
        <v>06/01/2026Maternity</v>
      </c>
      <c r="L574" t="e">
        <f>VLOOKUP(K574, Sheet2!$A$2:$B$4186, 2,FALSE)</f>
        <v>#N/A</v>
      </c>
      <c r="M574">
        <f>VLOOKUP(C574,Depts!$B$1:$D$16,3,FALSE)</f>
        <v>34</v>
      </c>
      <c r="N574" s="1" t="b">
        <f t="shared" si="26"/>
        <v>1</v>
      </c>
    </row>
    <row r="575" spans="1:14">
      <c r="A575">
        <v>696</v>
      </c>
      <c r="B575">
        <v>572</v>
      </c>
      <c r="C575" t="s">
        <v>48</v>
      </c>
      <c r="D575" s="1">
        <v>46029</v>
      </c>
      <c r="E575" s="1">
        <v>46034</v>
      </c>
      <c r="F575" t="s">
        <v>56</v>
      </c>
      <c r="G575">
        <v>5</v>
      </c>
      <c r="H575">
        <v>24</v>
      </c>
      <c r="I575" t="s">
        <v>61</v>
      </c>
      <c r="J575">
        <f t="shared" si="24"/>
        <v>4</v>
      </c>
      <c r="K575" t="str">
        <f t="shared" si="25"/>
        <v>07/01/2026Orthopaedics</v>
      </c>
      <c r="L575" t="e">
        <f>VLOOKUP(K575, Sheet2!$A$2:$B$4186, 2,FALSE)</f>
        <v>#N/A</v>
      </c>
      <c r="M575">
        <f>VLOOKUP(C575,Depts!$B$1:$D$16,3,FALSE)</f>
        <v>40</v>
      </c>
      <c r="N575" s="1" t="b">
        <f t="shared" si="26"/>
        <v>1</v>
      </c>
    </row>
    <row r="576" spans="1:14">
      <c r="A576">
        <v>697</v>
      </c>
      <c r="B576">
        <v>425</v>
      </c>
      <c r="C576" t="s">
        <v>49</v>
      </c>
      <c r="D576" s="1">
        <v>46029</v>
      </c>
      <c r="E576" s="1">
        <v>46031</v>
      </c>
      <c r="F576" t="s">
        <v>57</v>
      </c>
      <c r="G576">
        <v>2</v>
      </c>
      <c r="H576">
        <v>8</v>
      </c>
      <c r="I576" t="s">
        <v>60</v>
      </c>
      <c r="J576">
        <f t="shared" si="24"/>
        <v>0.53333333333333333</v>
      </c>
      <c r="K576" t="str">
        <f t="shared" si="25"/>
        <v>07/01/2026Paediatrics</v>
      </c>
      <c r="L576" t="e">
        <f>VLOOKUP(K576, Sheet2!$A$2:$B$4186, 2,FALSE)</f>
        <v>#N/A</v>
      </c>
      <c r="M576">
        <f>VLOOKUP(C576,Depts!$B$1:$D$16,3,FALSE)</f>
        <v>30</v>
      </c>
      <c r="N576" s="1" t="b">
        <f t="shared" si="26"/>
        <v>1</v>
      </c>
    </row>
    <row r="577" spans="1:14">
      <c r="A577">
        <v>698</v>
      </c>
      <c r="B577">
        <v>594</v>
      </c>
      <c r="C577" t="s">
        <v>42</v>
      </c>
      <c r="D577" s="1">
        <v>46030</v>
      </c>
      <c r="E577" s="1">
        <v>46035</v>
      </c>
      <c r="F577" t="s">
        <v>56</v>
      </c>
      <c r="G577">
        <v>5</v>
      </c>
      <c r="H577">
        <v>149</v>
      </c>
      <c r="I577" t="s">
        <v>60</v>
      </c>
      <c r="J577">
        <f t="shared" si="24"/>
        <v>24.833333333333336</v>
      </c>
      <c r="K577" t="str">
        <f t="shared" si="25"/>
        <v>08/01/2026Gastroenterology</v>
      </c>
      <c r="L577" t="e">
        <f>VLOOKUP(K577, Sheet2!$A$2:$B$4186, 2,FALSE)</f>
        <v>#N/A</v>
      </c>
      <c r="M577">
        <f>VLOOKUP(C577,Depts!$B$1:$D$16,3,FALSE)</f>
        <v>29</v>
      </c>
      <c r="N577" s="1" t="b">
        <f t="shared" si="26"/>
        <v>1</v>
      </c>
    </row>
    <row r="578" spans="1:14">
      <c r="A578">
        <v>699</v>
      </c>
      <c r="B578">
        <v>500</v>
      </c>
      <c r="C578" t="s">
        <v>41</v>
      </c>
      <c r="D578" s="1">
        <v>46031</v>
      </c>
      <c r="E578" s="1">
        <v>46033</v>
      </c>
      <c r="F578" t="s">
        <v>57</v>
      </c>
      <c r="G578">
        <v>2</v>
      </c>
      <c r="H578">
        <v>6</v>
      </c>
      <c r="I578" t="s">
        <v>60</v>
      </c>
      <c r="J578">
        <f t="shared" si="24"/>
        <v>0.4</v>
      </c>
      <c r="K578" t="str">
        <f t="shared" si="25"/>
        <v>09/01/2026ENT</v>
      </c>
      <c r="L578" t="e">
        <f>VLOOKUP(K578, Sheet2!$A$2:$B$4186, 2,FALSE)</f>
        <v>#N/A</v>
      </c>
      <c r="M578">
        <f>VLOOKUP(C578,Depts!$B$1:$D$16,3,FALSE)</f>
        <v>20</v>
      </c>
      <c r="N578" s="1" t="b">
        <f t="shared" si="26"/>
        <v>1</v>
      </c>
    </row>
    <row r="579" spans="1:14">
      <c r="A579">
        <v>700</v>
      </c>
      <c r="B579">
        <v>183</v>
      </c>
      <c r="C579" t="s">
        <v>44</v>
      </c>
      <c r="D579" s="1">
        <v>46031</v>
      </c>
      <c r="E579" s="1">
        <v>46037</v>
      </c>
      <c r="F579" t="s">
        <v>56</v>
      </c>
      <c r="G579">
        <v>6</v>
      </c>
      <c r="H579">
        <v>27</v>
      </c>
      <c r="I579" t="s">
        <v>60</v>
      </c>
      <c r="J579">
        <f t="shared" ref="J579:J642" si="27">G579*(H579/30)</f>
        <v>5.4</v>
      </c>
      <c r="K579" t="str">
        <f t="shared" ref="K579:K642" si="28">TEXT(D579, "dd/mm/yyyy")&amp;C579</f>
        <v>09/01/2026Geriatrics</v>
      </c>
      <c r="L579" t="e">
        <f>VLOOKUP(K579, Sheet2!$A$2:$B$4186, 2,FALSE)</f>
        <v>#N/A</v>
      </c>
      <c r="M579">
        <f>VLOOKUP(C579,Depts!$B$1:$D$16,3,FALSE)</f>
        <v>46</v>
      </c>
      <c r="N579" s="1" t="b">
        <f t="shared" si="26"/>
        <v>1</v>
      </c>
    </row>
    <row r="580" spans="1:14">
      <c r="A580">
        <v>701</v>
      </c>
      <c r="B580">
        <v>370</v>
      </c>
      <c r="C580" t="s">
        <v>51</v>
      </c>
      <c r="D580" s="1">
        <v>46032</v>
      </c>
      <c r="E580" s="1">
        <v>46034</v>
      </c>
      <c r="F580" t="s">
        <v>57</v>
      </c>
      <c r="G580">
        <v>2</v>
      </c>
      <c r="H580">
        <v>13</v>
      </c>
      <c r="I580" t="s">
        <v>60</v>
      </c>
      <c r="J580">
        <f t="shared" si="27"/>
        <v>0.8666666666666667</v>
      </c>
      <c r="K580" t="str">
        <f t="shared" si="28"/>
        <v>10/01/2026Respiratory</v>
      </c>
      <c r="L580" t="e">
        <f>VLOOKUP(K580, Sheet2!$A$2:$B$4186, 2,FALSE)</f>
        <v>#N/A</v>
      </c>
      <c r="M580">
        <f>VLOOKUP(C580,Depts!$B$1:$D$16,3,FALSE)</f>
        <v>36</v>
      </c>
      <c r="N580" s="1" t="b">
        <f t="shared" si="26"/>
        <v>1</v>
      </c>
    </row>
    <row r="581" spans="1:14">
      <c r="A581">
        <v>702</v>
      </c>
      <c r="B581">
        <v>393</v>
      </c>
      <c r="C581" t="s">
        <v>43</v>
      </c>
      <c r="D581" s="1">
        <v>46033</v>
      </c>
      <c r="E581" s="1">
        <v>46038</v>
      </c>
      <c r="F581" t="s">
        <v>56</v>
      </c>
      <c r="G581">
        <v>5</v>
      </c>
      <c r="H581">
        <v>69</v>
      </c>
      <c r="I581" t="s">
        <v>60</v>
      </c>
      <c r="J581">
        <f t="shared" si="27"/>
        <v>11.5</v>
      </c>
      <c r="K581" t="str">
        <f t="shared" si="28"/>
        <v>11/01/2026General Surgery</v>
      </c>
      <c r="L581" t="e">
        <f>VLOOKUP(K581, Sheet2!$A$2:$B$4186, 2,FALSE)</f>
        <v>#N/A</v>
      </c>
      <c r="M581">
        <f>VLOOKUP(C581,Depts!$B$1:$D$16,3,FALSE)</f>
        <v>44</v>
      </c>
      <c r="N581" s="1" t="b">
        <f t="shared" si="26"/>
        <v>1</v>
      </c>
    </row>
    <row r="582" spans="1:14">
      <c r="A582">
        <v>703</v>
      </c>
      <c r="B582">
        <v>445</v>
      </c>
      <c r="C582" t="s">
        <v>40</v>
      </c>
      <c r="D582" s="1">
        <v>46033</v>
      </c>
      <c r="E582" s="1">
        <v>46036</v>
      </c>
      <c r="F582" t="s">
        <v>58</v>
      </c>
      <c r="G582">
        <v>3</v>
      </c>
      <c r="H582">
        <v>1</v>
      </c>
      <c r="I582" t="s">
        <v>60</v>
      </c>
      <c r="J582">
        <f t="shared" si="27"/>
        <v>0.1</v>
      </c>
      <c r="K582" t="str">
        <f t="shared" si="28"/>
        <v>11/01/2026Cardiology</v>
      </c>
      <c r="L582" t="e">
        <f>VLOOKUP(K582, Sheet2!$A$2:$B$4186, 2,FALSE)</f>
        <v>#N/A</v>
      </c>
      <c r="M582">
        <f>VLOOKUP(C582,Depts!$B$1:$D$16,3,FALSE)</f>
        <v>38</v>
      </c>
      <c r="N582" s="1" t="b">
        <f t="shared" si="26"/>
        <v>1</v>
      </c>
    </row>
    <row r="583" spans="1:14">
      <c r="A583">
        <v>704</v>
      </c>
      <c r="B583">
        <v>985</v>
      </c>
      <c r="C583" t="s">
        <v>47</v>
      </c>
      <c r="D583" s="1">
        <v>46034</v>
      </c>
      <c r="E583" s="1">
        <v>46039</v>
      </c>
      <c r="F583" t="s">
        <v>56</v>
      </c>
      <c r="G583">
        <v>5</v>
      </c>
      <c r="H583">
        <v>73</v>
      </c>
      <c r="I583" t="s">
        <v>60</v>
      </c>
      <c r="J583">
        <f t="shared" si="27"/>
        <v>12.166666666666666</v>
      </c>
      <c r="K583" t="str">
        <f t="shared" si="28"/>
        <v>12/01/2026Oncology</v>
      </c>
      <c r="L583" t="e">
        <f>VLOOKUP(K583, Sheet2!$A$2:$B$4186, 2,FALSE)</f>
        <v>#N/A</v>
      </c>
      <c r="M583">
        <f>VLOOKUP(C583,Depts!$B$1:$D$16,3,FALSE)</f>
        <v>28</v>
      </c>
      <c r="N583" s="1" t="b">
        <f t="shared" si="26"/>
        <v>1</v>
      </c>
    </row>
    <row r="584" spans="1:14">
      <c r="A584">
        <v>705</v>
      </c>
      <c r="B584">
        <v>310</v>
      </c>
      <c r="C584" t="s">
        <v>39</v>
      </c>
      <c r="D584" s="1">
        <v>46034</v>
      </c>
      <c r="E584" s="1">
        <v>46035</v>
      </c>
      <c r="F584" t="s">
        <v>57</v>
      </c>
      <c r="G584">
        <v>1</v>
      </c>
      <c r="H584">
        <v>28</v>
      </c>
      <c r="I584" t="s">
        <v>61</v>
      </c>
      <c r="J584">
        <f t="shared" si="27"/>
        <v>0.93333333333333335</v>
      </c>
      <c r="K584" t="str">
        <f t="shared" si="28"/>
        <v>12/01/2026A&amp;E (Emergency)</v>
      </c>
      <c r="L584" t="e">
        <f>VLOOKUP(K584, Sheet2!$A$2:$B$4186, 2,FALSE)</f>
        <v>#N/A</v>
      </c>
      <c r="M584">
        <f>VLOOKUP(C584,Depts!$B$1:$D$16,3,FALSE)</f>
        <v>42</v>
      </c>
      <c r="N584" s="1" t="b">
        <f t="shared" si="26"/>
        <v>1</v>
      </c>
    </row>
    <row r="585" spans="1:14">
      <c r="A585">
        <v>706</v>
      </c>
      <c r="B585">
        <v>301</v>
      </c>
      <c r="C585" t="s">
        <v>50</v>
      </c>
      <c r="D585" s="1">
        <v>46035</v>
      </c>
      <c r="E585" s="1">
        <v>46040</v>
      </c>
      <c r="F585" t="s">
        <v>56</v>
      </c>
      <c r="G585">
        <v>5</v>
      </c>
      <c r="H585">
        <v>25</v>
      </c>
      <c r="I585" t="s">
        <v>60</v>
      </c>
      <c r="J585">
        <f t="shared" si="27"/>
        <v>4.166666666666667</v>
      </c>
      <c r="K585" t="str">
        <f t="shared" si="28"/>
        <v>13/01/2026Renal Medicine</v>
      </c>
      <c r="L585" t="e">
        <f>VLOOKUP(K585, Sheet2!$A$2:$B$4186, 2,FALSE)</f>
        <v>#N/A</v>
      </c>
      <c r="M585">
        <f>VLOOKUP(C585,Depts!$B$1:$D$16,3,FALSE)</f>
        <v>26</v>
      </c>
      <c r="N585" s="1" t="b">
        <f t="shared" si="26"/>
        <v>1</v>
      </c>
    </row>
    <row r="586" spans="1:14">
      <c r="A586">
        <v>707</v>
      </c>
      <c r="B586">
        <v>791</v>
      </c>
      <c r="C586" t="s">
        <v>46</v>
      </c>
      <c r="D586" s="1">
        <v>46036</v>
      </c>
      <c r="E586" s="1">
        <v>46042</v>
      </c>
      <c r="F586" t="s">
        <v>56</v>
      </c>
      <c r="G586">
        <v>6</v>
      </c>
      <c r="H586">
        <v>43</v>
      </c>
      <c r="I586" t="s">
        <v>60</v>
      </c>
      <c r="J586">
        <f t="shared" si="27"/>
        <v>8.6</v>
      </c>
      <c r="K586" t="str">
        <f t="shared" si="28"/>
        <v>14/01/2026Neurology</v>
      </c>
      <c r="L586" t="e">
        <f>VLOOKUP(K586, Sheet2!$A$2:$B$4186, 2,FALSE)</f>
        <v>#N/A</v>
      </c>
      <c r="M586">
        <f>VLOOKUP(C586,Depts!$B$1:$D$16,3,FALSE)</f>
        <v>32</v>
      </c>
      <c r="N586" s="1" t="b">
        <f t="shared" si="26"/>
        <v>1</v>
      </c>
    </row>
    <row r="587" spans="1:14">
      <c r="A587">
        <v>708</v>
      </c>
      <c r="B587">
        <v>400</v>
      </c>
      <c r="C587" t="s">
        <v>45</v>
      </c>
      <c r="D587" s="1">
        <v>46036</v>
      </c>
      <c r="E587" s="1">
        <v>46038</v>
      </c>
      <c r="F587" t="s">
        <v>57</v>
      </c>
      <c r="G587">
        <v>2</v>
      </c>
      <c r="H587">
        <v>120</v>
      </c>
      <c r="I587" t="s">
        <v>60</v>
      </c>
      <c r="J587">
        <f t="shared" si="27"/>
        <v>8</v>
      </c>
      <c r="K587" t="str">
        <f t="shared" si="28"/>
        <v>14/01/2026Maternity</v>
      </c>
      <c r="L587" t="e">
        <f>VLOOKUP(K587, Sheet2!$A$2:$B$4186, 2,FALSE)</f>
        <v>#N/A</v>
      </c>
      <c r="M587">
        <f>VLOOKUP(C587,Depts!$B$1:$D$16,3,FALSE)</f>
        <v>34</v>
      </c>
      <c r="N587" s="1" t="b">
        <f t="shared" si="26"/>
        <v>1</v>
      </c>
    </row>
    <row r="588" spans="1:14">
      <c r="A588">
        <v>709</v>
      </c>
      <c r="B588">
        <v>36</v>
      </c>
      <c r="C588" t="s">
        <v>48</v>
      </c>
      <c r="D588" s="1">
        <v>46037</v>
      </c>
      <c r="E588" s="1">
        <v>46042</v>
      </c>
      <c r="F588" t="s">
        <v>56</v>
      </c>
      <c r="G588">
        <v>5</v>
      </c>
      <c r="H588">
        <v>44</v>
      </c>
      <c r="I588" t="s">
        <v>60</v>
      </c>
      <c r="J588">
        <f t="shared" si="27"/>
        <v>7.333333333333333</v>
      </c>
      <c r="K588" t="str">
        <f t="shared" si="28"/>
        <v>15/01/2026Orthopaedics</v>
      </c>
      <c r="L588" t="e">
        <f>VLOOKUP(K588, Sheet2!$A$2:$B$4186, 2,FALSE)</f>
        <v>#N/A</v>
      </c>
      <c r="M588">
        <f>VLOOKUP(C588,Depts!$B$1:$D$16,3,FALSE)</f>
        <v>40</v>
      </c>
      <c r="N588" s="1" t="b">
        <f t="shared" si="26"/>
        <v>1</v>
      </c>
    </row>
    <row r="589" spans="1:14">
      <c r="A589">
        <v>710</v>
      </c>
      <c r="B589">
        <v>193</v>
      </c>
      <c r="C589" t="s">
        <v>49</v>
      </c>
      <c r="D589" s="1">
        <v>46037</v>
      </c>
      <c r="E589" s="1">
        <v>46039</v>
      </c>
      <c r="F589" t="s">
        <v>57</v>
      </c>
      <c r="G589">
        <v>2</v>
      </c>
      <c r="H589">
        <v>10</v>
      </c>
      <c r="I589" t="s">
        <v>60</v>
      </c>
      <c r="J589">
        <f t="shared" si="27"/>
        <v>0.66666666666666663</v>
      </c>
      <c r="K589" t="str">
        <f t="shared" si="28"/>
        <v>15/01/2026Paediatrics</v>
      </c>
      <c r="L589" t="e">
        <f>VLOOKUP(K589, Sheet2!$A$2:$B$4186, 2,FALSE)</f>
        <v>#N/A</v>
      </c>
      <c r="M589">
        <f>VLOOKUP(C589,Depts!$B$1:$D$16,3,FALSE)</f>
        <v>30</v>
      </c>
      <c r="N589" s="1" t="b">
        <f t="shared" si="26"/>
        <v>1</v>
      </c>
    </row>
    <row r="590" spans="1:14">
      <c r="A590">
        <v>711</v>
      </c>
      <c r="B590">
        <v>630</v>
      </c>
      <c r="C590" t="s">
        <v>42</v>
      </c>
      <c r="D590" s="1">
        <v>46038</v>
      </c>
      <c r="E590" s="1">
        <v>46043</v>
      </c>
      <c r="F590" t="s">
        <v>56</v>
      </c>
      <c r="G590">
        <v>5</v>
      </c>
      <c r="H590">
        <v>12</v>
      </c>
      <c r="I590" t="s">
        <v>60</v>
      </c>
      <c r="J590">
        <f t="shared" si="27"/>
        <v>2</v>
      </c>
      <c r="K590" t="str">
        <f t="shared" si="28"/>
        <v>16/01/2026Gastroenterology</v>
      </c>
      <c r="L590" t="e">
        <f>VLOOKUP(K590, Sheet2!$A$2:$B$4186, 2,FALSE)</f>
        <v>#N/A</v>
      </c>
      <c r="M590">
        <f>VLOOKUP(C590,Depts!$B$1:$D$16,3,FALSE)</f>
        <v>29</v>
      </c>
      <c r="N590" s="1" t="b">
        <f t="shared" si="26"/>
        <v>1</v>
      </c>
    </row>
    <row r="591" spans="1:14">
      <c r="A591">
        <v>712</v>
      </c>
      <c r="B591">
        <v>31</v>
      </c>
      <c r="C591" t="s">
        <v>41</v>
      </c>
      <c r="D591" s="1">
        <v>46039</v>
      </c>
      <c r="E591" s="1">
        <v>46041</v>
      </c>
      <c r="F591" t="s">
        <v>57</v>
      </c>
      <c r="G591">
        <v>2</v>
      </c>
      <c r="H591">
        <v>36</v>
      </c>
      <c r="I591" t="s">
        <v>60</v>
      </c>
      <c r="J591">
        <f t="shared" si="27"/>
        <v>2.4</v>
      </c>
      <c r="K591" t="str">
        <f t="shared" si="28"/>
        <v>17/01/2026ENT</v>
      </c>
      <c r="L591" t="e">
        <f>VLOOKUP(K591, Sheet2!$A$2:$B$4186, 2,FALSE)</f>
        <v>#N/A</v>
      </c>
      <c r="M591">
        <f>VLOOKUP(C591,Depts!$B$1:$D$16,3,FALSE)</f>
        <v>20</v>
      </c>
      <c r="N591" s="1" t="b">
        <f t="shared" si="26"/>
        <v>1</v>
      </c>
    </row>
    <row r="592" spans="1:14">
      <c r="A592">
        <v>713</v>
      </c>
      <c r="B592">
        <v>292</v>
      </c>
      <c r="C592" t="s">
        <v>44</v>
      </c>
      <c r="D592" s="1">
        <v>46039</v>
      </c>
      <c r="E592" s="1">
        <v>46045</v>
      </c>
      <c r="F592" t="s">
        <v>56</v>
      </c>
      <c r="G592">
        <v>6</v>
      </c>
      <c r="H592">
        <v>118</v>
      </c>
      <c r="I592" t="s">
        <v>60</v>
      </c>
      <c r="J592">
        <f t="shared" si="27"/>
        <v>23.599999999999998</v>
      </c>
      <c r="K592" t="str">
        <f t="shared" si="28"/>
        <v>17/01/2026Geriatrics</v>
      </c>
      <c r="L592" t="e">
        <f>VLOOKUP(K592, Sheet2!$A$2:$B$4186, 2,FALSE)</f>
        <v>#N/A</v>
      </c>
      <c r="M592">
        <f>VLOOKUP(C592,Depts!$B$1:$D$16,3,FALSE)</f>
        <v>46</v>
      </c>
      <c r="N592" s="1" t="b">
        <f t="shared" si="26"/>
        <v>1</v>
      </c>
    </row>
    <row r="593" spans="1:14">
      <c r="A593">
        <v>714</v>
      </c>
      <c r="B593">
        <v>131</v>
      </c>
      <c r="C593" t="s">
        <v>51</v>
      </c>
      <c r="D593" s="1">
        <v>46040</v>
      </c>
      <c r="E593" s="1">
        <v>46042</v>
      </c>
      <c r="F593" t="s">
        <v>57</v>
      </c>
      <c r="G593">
        <v>2</v>
      </c>
      <c r="H593">
        <v>22</v>
      </c>
      <c r="I593" t="s">
        <v>60</v>
      </c>
      <c r="J593">
        <f t="shared" si="27"/>
        <v>1.4666666666666666</v>
      </c>
      <c r="K593" t="str">
        <f t="shared" si="28"/>
        <v>18/01/2026Respiratory</v>
      </c>
      <c r="L593" t="e">
        <f>VLOOKUP(K593, Sheet2!$A$2:$B$4186, 2,FALSE)</f>
        <v>#N/A</v>
      </c>
      <c r="M593">
        <f>VLOOKUP(C593,Depts!$B$1:$D$16,3,FALSE)</f>
        <v>36</v>
      </c>
      <c r="N593" s="1" t="b">
        <f t="shared" si="26"/>
        <v>1</v>
      </c>
    </row>
    <row r="594" spans="1:14">
      <c r="A594">
        <v>715</v>
      </c>
      <c r="B594">
        <v>273</v>
      </c>
      <c r="C594" t="s">
        <v>43</v>
      </c>
      <c r="D594" s="1">
        <v>46041</v>
      </c>
      <c r="E594" s="1">
        <v>46046</v>
      </c>
      <c r="F594" t="s">
        <v>56</v>
      </c>
      <c r="G594">
        <v>5</v>
      </c>
      <c r="H594">
        <v>42</v>
      </c>
      <c r="I594" t="s">
        <v>60</v>
      </c>
      <c r="J594">
        <f t="shared" si="27"/>
        <v>7</v>
      </c>
      <c r="K594" t="str">
        <f t="shared" si="28"/>
        <v>19/01/2026General Surgery</v>
      </c>
      <c r="L594" t="e">
        <f>VLOOKUP(K594, Sheet2!$A$2:$B$4186, 2,FALSE)</f>
        <v>#N/A</v>
      </c>
      <c r="M594">
        <f>VLOOKUP(C594,Depts!$B$1:$D$16,3,FALSE)</f>
        <v>44</v>
      </c>
      <c r="N594" s="1" t="b">
        <f t="shared" si="26"/>
        <v>1</v>
      </c>
    </row>
    <row r="595" spans="1:14">
      <c r="A595">
        <v>716</v>
      </c>
      <c r="B595">
        <v>683</v>
      </c>
      <c r="C595" t="s">
        <v>40</v>
      </c>
      <c r="D595" s="1">
        <v>46041</v>
      </c>
      <c r="E595" s="1">
        <v>46044</v>
      </c>
      <c r="F595" t="s">
        <v>58</v>
      </c>
      <c r="G595">
        <v>3</v>
      </c>
      <c r="H595">
        <v>4</v>
      </c>
      <c r="I595" t="s">
        <v>61</v>
      </c>
      <c r="J595">
        <f t="shared" si="27"/>
        <v>0.4</v>
      </c>
      <c r="K595" t="str">
        <f t="shared" si="28"/>
        <v>19/01/2026Cardiology</v>
      </c>
      <c r="L595" t="e">
        <f>VLOOKUP(K595, Sheet2!$A$2:$B$4186, 2,FALSE)</f>
        <v>#N/A</v>
      </c>
      <c r="M595">
        <f>VLOOKUP(C595,Depts!$B$1:$D$16,3,FALSE)</f>
        <v>38</v>
      </c>
      <c r="N595" s="1" t="b">
        <f t="shared" si="26"/>
        <v>1</v>
      </c>
    </row>
    <row r="596" spans="1:14">
      <c r="A596">
        <v>717</v>
      </c>
      <c r="B596">
        <v>838</v>
      </c>
      <c r="C596" t="s">
        <v>47</v>
      </c>
      <c r="D596" s="1">
        <v>46042</v>
      </c>
      <c r="E596" s="1">
        <v>46047</v>
      </c>
      <c r="F596" t="s">
        <v>56</v>
      </c>
      <c r="G596">
        <v>5</v>
      </c>
      <c r="H596">
        <v>23</v>
      </c>
      <c r="I596" t="s">
        <v>60</v>
      </c>
      <c r="J596">
        <f t="shared" si="27"/>
        <v>3.8333333333333335</v>
      </c>
      <c r="K596" t="str">
        <f t="shared" si="28"/>
        <v>20/01/2026Oncology</v>
      </c>
      <c r="L596" t="e">
        <f>VLOOKUP(K596, Sheet2!$A$2:$B$4186, 2,FALSE)</f>
        <v>#N/A</v>
      </c>
      <c r="M596">
        <f>VLOOKUP(C596,Depts!$B$1:$D$16,3,FALSE)</f>
        <v>28</v>
      </c>
      <c r="N596" s="1" t="b">
        <f t="shared" si="26"/>
        <v>1</v>
      </c>
    </row>
    <row r="597" spans="1:14">
      <c r="A597">
        <v>718</v>
      </c>
      <c r="B597">
        <v>213</v>
      </c>
      <c r="C597" t="s">
        <v>39</v>
      </c>
      <c r="D597" s="1">
        <v>46042</v>
      </c>
      <c r="E597" s="1">
        <v>46043</v>
      </c>
      <c r="F597" t="s">
        <v>57</v>
      </c>
      <c r="G597">
        <v>1</v>
      </c>
      <c r="H597">
        <v>13</v>
      </c>
      <c r="I597" t="s">
        <v>60</v>
      </c>
      <c r="J597">
        <f t="shared" si="27"/>
        <v>0.43333333333333335</v>
      </c>
      <c r="K597" t="str">
        <f t="shared" si="28"/>
        <v>20/01/2026A&amp;E (Emergency)</v>
      </c>
      <c r="L597" t="e">
        <f>VLOOKUP(K597, Sheet2!$A$2:$B$4186, 2,FALSE)</f>
        <v>#N/A</v>
      </c>
      <c r="M597">
        <f>VLOOKUP(C597,Depts!$B$1:$D$16,3,FALSE)</f>
        <v>42</v>
      </c>
      <c r="N597" s="1" t="b">
        <f t="shared" si="26"/>
        <v>1</v>
      </c>
    </row>
    <row r="598" spans="1:14">
      <c r="A598">
        <v>719</v>
      </c>
      <c r="B598">
        <v>316</v>
      </c>
      <c r="C598" t="s">
        <v>50</v>
      </c>
      <c r="D598" s="1">
        <v>46043</v>
      </c>
      <c r="E598" s="1">
        <v>46048</v>
      </c>
      <c r="F598" t="s">
        <v>56</v>
      </c>
      <c r="G598">
        <v>5</v>
      </c>
      <c r="H598">
        <v>55</v>
      </c>
      <c r="I598" t="s">
        <v>60</v>
      </c>
      <c r="J598">
        <f t="shared" si="27"/>
        <v>9.1666666666666661</v>
      </c>
      <c r="K598" t="str">
        <f t="shared" si="28"/>
        <v>21/01/2026Renal Medicine</v>
      </c>
      <c r="L598" t="e">
        <f>VLOOKUP(K598, Sheet2!$A$2:$B$4186, 2,FALSE)</f>
        <v>#N/A</v>
      </c>
      <c r="M598">
        <f>VLOOKUP(C598,Depts!$B$1:$D$16,3,FALSE)</f>
        <v>26</v>
      </c>
      <c r="N598" s="1" t="b">
        <f t="shared" si="26"/>
        <v>1</v>
      </c>
    </row>
    <row r="599" spans="1:14">
      <c r="A599">
        <v>720</v>
      </c>
      <c r="B599">
        <v>499</v>
      </c>
      <c r="C599" t="s">
        <v>46</v>
      </c>
      <c r="D599" s="1">
        <v>46044</v>
      </c>
      <c r="E599" s="1">
        <v>46050</v>
      </c>
      <c r="F599" t="s">
        <v>56</v>
      </c>
      <c r="G599">
        <v>6</v>
      </c>
      <c r="H599">
        <v>16</v>
      </c>
      <c r="I599" t="s">
        <v>60</v>
      </c>
      <c r="J599">
        <f t="shared" si="27"/>
        <v>3.2</v>
      </c>
      <c r="K599" t="str">
        <f t="shared" si="28"/>
        <v>22/01/2026Neurology</v>
      </c>
      <c r="L599" t="e">
        <f>VLOOKUP(K599, Sheet2!$A$2:$B$4186, 2,FALSE)</f>
        <v>#N/A</v>
      </c>
      <c r="M599">
        <f>VLOOKUP(C599,Depts!$B$1:$D$16,3,FALSE)</f>
        <v>32</v>
      </c>
      <c r="N599" s="1" t="b">
        <f t="shared" si="26"/>
        <v>1</v>
      </c>
    </row>
    <row r="600" spans="1:14">
      <c r="A600">
        <v>721</v>
      </c>
      <c r="B600">
        <v>994</v>
      </c>
      <c r="C600" t="s">
        <v>45</v>
      </c>
      <c r="D600" s="1">
        <v>46044</v>
      </c>
      <c r="E600" s="1">
        <v>46046</v>
      </c>
      <c r="F600" t="s">
        <v>57</v>
      </c>
      <c r="G600">
        <v>2</v>
      </c>
      <c r="H600">
        <v>30</v>
      </c>
      <c r="I600" t="s">
        <v>60</v>
      </c>
      <c r="J600">
        <f t="shared" si="27"/>
        <v>2</v>
      </c>
      <c r="K600" t="str">
        <f t="shared" si="28"/>
        <v>22/01/2026Maternity</v>
      </c>
      <c r="L600" t="e">
        <f>VLOOKUP(K600, Sheet2!$A$2:$B$4186, 2,FALSE)</f>
        <v>#N/A</v>
      </c>
      <c r="M600">
        <f>VLOOKUP(C600,Depts!$B$1:$D$16,3,FALSE)</f>
        <v>34</v>
      </c>
      <c r="N600" s="1" t="b">
        <f t="shared" si="26"/>
        <v>1</v>
      </c>
    </row>
    <row r="601" spans="1:14">
      <c r="A601">
        <v>722</v>
      </c>
      <c r="B601">
        <v>653</v>
      </c>
      <c r="C601" t="s">
        <v>48</v>
      </c>
      <c r="D601" s="1">
        <v>46045</v>
      </c>
      <c r="E601" s="1">
        <v>46050</v>
      </c>
      <c r="F601" t="s">
        <v>56</v>
      </c>
      <c r="G601">
        <v>5</v>
      </c>
      <c r="H601">
        <v>14</v>
      </c>
      <c r="I601" t="s">
        <v>60</v>
      </c>
      <c r="J601">
        <f t="shared" si="27"/>
        <v>2.3333333333333335</v>
      </c>
      <c r="K601" t="str">
        <f t="shared" si="28"/>
        <v>23/01/2026Orthopaedics</v>
      </c>
      <c r="L601" t="e">
        <f>VLOOKUP(K601, Sheet2!$A$2:$B$4186, 2,FALSE)</f>
        <v>#N/A</v>
      </c>
      <c r="M601">
        <f>VLOOKUP(C601,Depts!$B$1:$D$16,3,FALSE)</f>
        <v>40</v>
      </c>
      <c r="N601" s="1" t="b">
        <f t="shared" si="26"/>
        <v>1</v>
      </c>
    </row>
    <row r="602" spans="1:14">
      <c r="A602">
        <v>723</v>
      </c>
      <c r="B602">
        <v>784</v>
      </c>
      <c r="C602" t="s">
        <v>49</v>
      </c>
      <c r="D602" s="1">
        <v>46045</v>
      </c>
      <c r="E602" s="1">
        <v>46047</v>
      </c>
      <c r="F602" t="s">
        <v>57</v>
      </c>
      <c r="G602">
        <v>2</v>
      </c>
      <c r="H602">
        <v>58</v>
      </c>
      <c r="I602" t="s">
        <v>60</v>
      </c>
      <c r="J602">
        <f t="shared" si="27"/>
        <v>3.8666666666666667</v>
      </c>
      <c r="K602" t="str">
        <f t="shared" si="28"/>
        <v>23/01/2026Paediatrics</v>
      </c>
      <c r="L602" t="e">
        <f>VLOOKUP(K602, Sheet2!$A$2:$B$4186, 2,FALSE)</f>
        <v>#N/A</v>
      </c>
      <c r="M602">
        <f>VLOOKUP(C602,Depts!$B$1:$D$16,3,FALSE)</f>
        <v>30</v>
      </c>
      <c r="N602" s="1" t="b">
        <f t="shared" si="26"/>
        <v>1</v>
      </c>
    </row>
    <row r="603" spans="1:14">
      <c r="A603">
        <v>724</v>
      </c>
      <c r="B603">
        <v>165</v>
      </c>
      <c r="C603" t="s">
        <v>42</v>
      </c>
      <c r="D603" s="1">
        <v>46046</v>
      </c>
      <c r="E603" s="1">
        <v>46051</v>
      </c>
      <c r="F603" t="s">
        <v>56</v>
      </c>
      <c r="G603">
        <v>5</v>
      </c>
      <c r="H603">
        <v>34</v>
      </c>
      <c r="I603" t="s">
        <v>60</v>
      </c>
      <c r="J603">
        <f t="shared" si="27"/>
        <v>5.6666666666666661</v>
      </c>
      <c r="K603" t="str">
        <f t="shared" si="28"/>
        <v>24/01/2026Gastroenterology</v>
      </c>
      <c r="L603" t="e">
        <f>VLOOKUP(K603, Sheet2!$A$2:$B$4186, 2,FALSE)</f>
        <v>#N/A</v>
      </c>
      <c r="M603">
        <f>VLOOKUP(C603,Depts!$B$1:$D$16,3,FALSE)</f>
        <v>29</v>
      </c>
      <c r="N603" s="1" t="b">
        <f t="shared" si="26"/>
        <v>1</v>
      </c>
    </row>
    <row r="604" spans="1:14">
      <c r="A604">
        <v>725</v>
      </c>
      <c r="B604">
        <v>481</v>
      </c>
      <c r="C604" t="s">
        <v>41</v>
      </c>
      <c r="D604" s="1">
        <v>46047</v>
      </c>
      <c r="E604" s="1">
        <v>46049</v>
      </c>
      <c r="F604" t="s">
        <v>57</v>
      </c>
      <c r="G604">
        <v>2</v>
      </c>
      <c r="H604">
        <v>146</v>
      </c>
      <c r="I604" t="s">
        <v>60</v>
      </c>
      <c r="J604">
        <f t="shared" si="27"/>
        <v>9.7333333333333325</v>
      </c>
      <c r="K604" t="str">
        <f t="shared" si="28"/>
        <v>25/01/2026ENT</v>
      </c>
      <c r="L604" t="e">
        <f>VLOOKUP(K604, Sheet2!$A$2:$B$4186, 2,FALSE)</f>
        <v>#N/A</v>
      </c>
      <c r="M604">
        <f>VLOOKUP(C604,Depts!$B$1:$D$16,3,FALSE)</f>
        <v>20</v>
      </c>
      <c r="N604" s="1" t="b">
        <f t="shared" si="26"/>
        <v>1</v>
      </c>
    </row>
    <row r="605" spans="1:14">
      <c r="A605">
        <v>726</v>
      </c>
      <c r="B605">
        <v>829</v>
      </c>
      <c r="C605" t="s">
        <v>44</v>
      </c>
      <c r="D605" s="1">
        <v>46047</v>
      </c>
      <c r="E605" s="1">
        <v>46053</v>
      </c>
      <c r="F605" t="s">
        <v>56</v>
      </c>
      <c r="G605">
        <v>6</v>
      </c>
      <c r="H605">
        <v>31</v>
      </c>
      <c r="I605" t="s">
        <v>60</v>
      </c>
      <c r="J605">
        <f t="shared" si="27"/>
        <v>6.2000000000000011</v>
      </c>
      <c r="K605" t="str">
        <f t="shared" si="28"/>
        <v>25/01/2026Geriatrics</v>
      </c>
      <c r="L605" t="e">
        <f>VLOOKUP(K605, Sheet2!$A$2:$B$4186, 2,FALSE)</f>
        <v>#N/A</v>
      </c>
      <c r="M605">
        <f>VLOOKUP(C605,Depts!$B$1:$D$16,3,FALSE)</f>
        <v>46</v>
      </c>
      <c r="N605" s="1" t="b">
        <f t="shared" si="26"/>
        <v>1</v>
      </c>
    </row>
    <row r="606" spans="1:14">
      <c r="A606">
        <v>727</v>
      </c>
      <c r="B606">
        <v>540</v>
      </c>
      <c r="C606" t="s">
        <v>51</v>
      </c>
      <c r="D606" s="1">
        <v>46048</v>
      </c>
      <c r="E606" s="1">
        <v>46050</v>
      </c>
      <c r="F606" t="s">
        <v>57</v>
      </c>
      <c r="G606">
        <v>2</v>
      </c>
      <c r="H606">
        <v>15</v>
      </c>
      <c r="I606" t="s">
        <v>61</v>
      </c>
      <c r="J606">
        <f t="shared" si="27"/>
        <v>1</v>
      </c>
      <c r="K606" t="str">
        <f t="shared" si="28"/>
        <v>26/01/2026Respiratory</v>
      </c>
      <c r="L606" t="e">
        <f>VLOOKUP(K606, Sheet2!$A$2:$B$4186, 2,FALSE)</f>
        <v>#N/A</v>
      </c>
      <c r="M606">
        <f>VLOOKUP(C606,Depts!$B$1:$D$16,3,FALSE)</f>
        <v>36</v>
      </c>
      <c r="N606" s="1" t="b">
        <f t="shared" si="26"/>
        <v>1</v>
      </c>
    </row>
    <row r="607" spans="1:14">
      <c r="A607">
        <v>728</v>
      </c>
      <c r="B607">
        <v>196</v>
      </c>
      <c r="C607" t="s">
        <v>43</v>
      </c>
      <c r="D607" s="1">
        <v>46049</v>
      </c>
      <c r="E607" s="1">
        <v>46054</v>
      </c>
      <c r="F607" t="s">
        <v>56</v>
      </c>
      <c r="G607">
        <v>5</v>
      </c>
      <c r="H607">
        <v>216</v>
      </c>
      <c r="I607" t="s">
        <v>60</v>
      </c>
      <c r="J607">
        <f t="shared" si="27"/>
        <v>36</v>
      </c>
      <c r="K607" t="str">
        <f t="shared" si="28"/>
        <v>27/01/2026General Surgery</v>
      </c>
      <c r="L607" t="e">
        <f>VLOOKUP(K607, Sheet2!$A$2:$B$4186, 2,FALSE)</f>
        <v>#N/A</v>
      </c>
      <c r="M607">
        <f>VLOOKUP(C607,Depts!$B$1:$D$16,3,FALSE)</f>
        <v>44</v>
      </c>
      <c r="N607" s="1" t="b">
        <f t="shared" si="26"/>
        <v>1</v>
      </c>
    </row>
    <row r="608" spans="1:14">
      <c r="A608">
        <v>729</v>
      </c>
      <c r="B608">
        <v>571</v>
      </c>
      <c r="C608" t="s">
        <v>40</v>
      </c>
      <c r="D608" s="1">
        <v>46049</v>
      </c>
      <c r="E608" s="1">
        <v>46052</v>
      </c>
      <c r="F608" t="s">
        <v>58</v>
      </c>
      <c r="G608">
        <v>3</v>
      </c>
      <c r="H608">
        <v>2</v>
      </c>
      <c r="I608" t="s">
        <v>60</v>
      </c>
      <c r="J608">
        <f t="shared" si="27"/>
        <v>0.2</v>
      </c>
      <c r="K608" t="str">
        <f t="shared" si="28"/>
        <v>27/01/2026Cardiology</v>
      </c>
      <c r="L608" t="e">
        <f>VLOOKUP(K608, Sheet2!$A$2:$B$4186, 2,FALSE)</f>
        <v>#N/A</v>
      </c>
      <c r="M608">
        <f>VLOOKUP(C608,Depts!$B$1:$D$16,3,FALSE)</f>
        <v>38</v>
      </c>
      <c r="N608" s="1" t="b">
        <f t="shared" si="26"/>
        <v>1</v>
      </c>
    </row>
    <row r="609" spans="1:14">
      <c r="A609">
        <v>730</v>
      </c>
      <c r="B609">
        <v>389</v>
      </c>
      <c r="C609" t="s">
        <v>47</v>
      </c>
      <c r="D609" s="1">
        <v>46050</v>
      </c>
      <c r="E609" s="1">
        <v>46055</v>
      </c>
      <c r="F609" t="s">
        <v>56</v>
      </c>
      <c r="G609">
        <v>5</v>
      </c>
      <c r="H609">
        <v>175</v>
      </c>
      <c r="I609" t="s">
        <v>60</v>
      </c>
      <c r="J609">
        <f t="shared" si="27"/>
        <v>29.166666666666664</v>
      </c>
      <c r="K609" t="str">
        <f t="shared" si="28"/>
        <v>28/01/2026Oncology</v>
      </c>
      <c r="L609" t="e">
        <f>VLOOKUP(K609, Sheet2!$A$2:$B$4186, 2,FALSE)</f>
        <v>#N/A</v>
      </c>
      <c r="M609">
        <f>VLOOKUP(C609,Depts!$B$1:$D$16,3,FALSE)</f>
        <v>28</v>
      </c>
      <c r="N609" s="1" t="b">
        <f t="shared" si="26"/>
        <v>1</v>
      </c>
    </row>
    <row r="610" spans="1:14">
      <c r="A610">
        <v>731</v>
      </c>
      <c r="B610">
        <v>155</v>
      </c>
      <c r="C610" t="s">
        <v>39</v>
      </c>
      <c r="D610" s="1">
        <v>46050</v>
      </c>
      <c r="E610" s="1">
        <v>46051</v>
      </c>
      <c r="F610" t="s">
        <v>57</v>
      </c>
      <c r="G610">
        <v>1</v>
      </c>
      <c r="H610">
        <v>44</v>
      </c>
      <c r="I610" t="s">
        <v>60</v>
      </c>
      <c r="J610">
        <f t="shared" si="27"/>
        <v>1.4666666666666666</v>
      </c>
      <c r="K610" t="str">
        <f t="shared" si="28"/>
        <v>28/01/2026A&amp;E (Emergency)</v>
      </c>
      <c r="L610" t="e">
        <f>VLOOKUP(K610, Sheet2!$A$2:$B$4186, 2,FALSE)</f>
        <v>#N/A</v>
      </c>
      <c r="M610">
        <f>VLOOKUP(C610,Depts!$B$1:$D$16,3,FALSE)</f>
        <v>42</v>
      </c>
      <c r="N610" s="1" t="b">
        <f t="shared" si="26"/>
        <v>1</v>
      </c>
    </row>
    <row r="611" spans="1:14">
      <c r="A611">
        <v>732</v>
      </c>
      <c r="B611">
        <v>881</v>
      </c>
      <c r="C611" t="s">
        <v>50</v>
      </c>
      <c r="D611" s="1">
        <v>46051</v>
      </c>
      <c r="E611" s="1">
        <v>46056</v>
      </c>
      <c r="F611" t="s">
        <v>56</v>
      </c>
      <c r="G611">
        <v>5</v>
      </c>
      <c r="H611">
        <v>110</v>
      </c>
      <c r="I611" t="s">
        <v>60</v>
      </c>
      <c r="J611">
        <f t="shared" si="27"/>
        <v>18.333333333333332</v>
      </c>
      <c r="K611" t="str">
        <f t="shared" si="28"/>
        <v>29/01/2026Renal Medicine</v>
      </c>
      <c r="L611" t="e">
        <f>VLOOKUP(K611, Sheet2!$A$2:$B$4186, 2,FALSE)</f>
        <v>#N/A</v>
      </c>
      <c r="M611">
        <f>VLOOKUP(C611,Depts!$B$1:$D$16,3,FALSE)</f>
        <v>26</v>
      </c>
      <c r="N611" s="1" t="b">
        <f t="shared" si="26"/>
        <v>1</v>
      </c>
    </row>
    <row r="612" spans="1:14">
      <c r="A612">
        <v>733</v>
      </c>
      <c r="B612">
        <v>102</v>
      </c>
      <c r="C612" t="s">
        <v>46</v>
      </c>
      <c r="D612" s="1">
        <v>46052</v>
      </c>
      <c r="E612" s="1">
        <v>46058</v>
      </c>
      <c r="F612" t="s">
        <v>56</v>
      </c>
      <c r="G612">
        <v>6</v>
      </c>
      <c r="H612">
        <v>20</v>
      </c>
      <c r="I612" t="s">
        <v>60</v>
      </c>
      <c r="J612">
        <f t="shared" si="27"/>
        <v>4</v>
      </c>
      <c r="K612" t="str">
        <f t="shared" si="28"/>
        <v>30/01/2026Neurology</v>
      </c>
      <c r="L612" t="e">
        <f>VLOOKUP(K612, Sheet2!$A$2:$B$4186, 2,FALSE)</f>
        <v>#N/A</v>
      </c>
      <c r="M612">
        <f>VLOOKUP(C612,Depts!$B$1:$D$16,3,FALSE)</f>
        <v>32</v>
      </c>
      <c r="N612" s="1" t="b">
        <f t="shared" si="26"/>
        <v>1</v>
      </c>
    </row>
    <row r="613" spans="1:14">
      <c r="A613">
        <v>734</v>
      </c>
      <c r="B613">
        <v>342</v>
      </c>
      <c r="C613" t="s">
        <v>45</v>
      </c>
      <c r="D613" s="1">
        <v>46052</v>
      </c>
      <c r="E613" s="1">
        <v>46054</v>
      </c>
      <c r="F613" t="s">
        <v>57</v>
      </c>
      <c r="G613">
        <v>2</v>
      </c>
      <c r="H613">
        <v>226</v>
      </c>
      <c r="I613" t="s">
        <v>60</v>
      </c>
      <c r="J613">
        <f t="shared" si="27"/>
        <v>15.066666666666666</v>
      </c>
      <c r="K613" t="str">
        <f t="shared" si="28"/>
        <v>30/01/2026Maternity</v>
      </c>
      <c r="L613" t="e">
        <f>VLOOKUP(K613, Sheet2!$A$2:$B$4186, 2,FALSE)</f>
        <v>#N/A</v>
      </c>
      <c r="M613">
        <f>VLOOKUP(C613,Depts!$B$1:$D$16,3,FALSE)</f>
        <v>34</v>
      </c>
      <c r="N613" s="1" t="b">
        <f t="shared" si="26"/>
        <v>1</v>
      </c>
    </row>
    <row r="614" spans="1:14">
      <c r="A614">
        <v>735</v>
      </c>
      <c r="B614">
        <v>189</v>
      </c>
      <c r="C614" t="s">
        <v>48</v>
      </c>
      <c r="D614" s="1">
        <v>46053</v>
      </c>
      <c r="E614" s="1">
        <v>46058</v>
      </c>
      <c r="F614" t="s">
        <v>56</v>
      </c>
      <c r="G614">
        <v>5</v>
      </c>
      <c r="H614">
        <v>39</v>
      </c>
      <c r="I614" t="s">
        <v>60</v>
      </c>
      <c r="J614">
        <f t="shared" si="27"/>
        <v>6.5</v>
      </c>
      <c r="K614" t="str">
        <f t="shared" si="28"/>
        <v>31/01/2026Orthopaedics</v>
      </c>
      <c r="L614" t="e">
        <f>VLOOKUP(K614, Sheet2!$A$2:$B$4186, 2,FALSE)</f>
        <v>#N/A</v>
      </c>
      <c r="M614">
        <f>VLOOKUP(C614,Depts!$B$1:$D$16,3,FALSE)</f>
        <v>40</v>
      </c>
      <c r="N614" s="1" t="b">
        <f t="shared" si="26"/>
        <v>1</v>
      </c>
    </row>
    <row r="615" spans="1:14">
      <c r="A615">
        <v>736</v>
      </c>
      <c r="B615">
        <v>836</v>
      </c>
      <c r="C615" t="s">
        <v>49</v>
      </c>
      <c r="D615" s="1">
        <v>46053</v>
      </c>
      <c r="E615" s="1">
        <v>46055</v>
      </c>
      <c r="F615" t="s">
        <v>57</v>
      </c>
      <c r="G615">
        <v>2</v>
      </c>
      <c r="H615">
        <v>58</v>
      </c>
      <c r="I615" t="s">
        <v>60</v>
      </c>
      <c r="J615">
        <f t="shared" si="27"/>
        <v>3.8666666666666667</v>
      </c>
      <c r="K615" t="str">
        <f t="shared" si="28"/>
        <v>31/01/2026Paediatrics</v>
      </c>
      <c r="L615" t="e">
        <f>VLOOKUP(K615, Sheet2!$A$2:$B$4186, 2,FALSE)</f>
        <v>#N/A</v>
      </c>
      <c r="M615">
        <f>VLOOKUP(C615,Depts!$B$1:$D$16,3,FALSE)</f>
        <v>30</v>
      </c>
      <c r="N615" s="1" t="b">
        <f t="shared" si="26"/>
        <v>1</v>
      </c>
    </row>
    <row r="616" spans="1:14">
      <c r="A616">
        <v>737</v>
      </c>
      <c r="B616">
        <v>14</v>
      </c>
      <c r="C616" t="s">
        <v>42</v>
      </c>
      <c r="D616" s="1">
        <v>46054</v>
      </c>
      <c r="E616" s="1">
        <v>46059</v>
      </c>
      <c r="F616" t="s">
        <v>56</v>
      </c>
      <c r="G616">
        <v>5</v>
      </c>
      <c r="H616">
        <v>16</v>
      </c>
      <c r="I616" t="s">
        <v>60</v>
      </c>
      <c r="J616">
        <f t="shared" si="27"/>
        <v>2.6666666666666665</v>
      </c>
      <c r="K616" t="str">
        <f t="shared" si="28"/>
        <v>01/02/2026Gastroenterology</v>
      </c>
      <c r="L616" t="e">
        <f>VLOOKUP(K616, Sheet2!$A$2:$B$4186, 2,FALSE)</f>
        <v>#N/A</v>
      </c>
      <c r="M616">
        <f>VLOOKUP(C616,Depts!$B$1:$D$16,3,FALSE)</f>
        <v>29</v>
      </c>
      <c r="N616" s="1" t="b">
        <f t="shared" si="26"/>
        <v>1</v>
      </c>
    </row>
    <row r="617" spans="1:14">
      <c r="A617">
        <v>738</v>
      </c>
      <c r="B617">
        <v>449</v>
      </c>
      <c r="C617" t="s">
        <v>41</v>
      </c>
      <c r="D617" s="1">
        <v>46055</v>
      </c>
      <c r="E617" s="1">
        <v>46057</v>
      </c>
      <c r="F617" t="s">
        <v>57</v>
      </c>
      <c r="G617">
        <v>2</v>
      </c>
      <c r="H617">
        <v>123</v>
      </c>
      <c r="I617" t="s">
        <v>60</v>
      </c>
      <c r="J617">
        <f t="shared" si="27"/>
        <v>8.1999999999999993</v>
      </c>
      <c r="K617" t="str">
        <f t="shared" si="28"/>
        <v>02/02/2026ENT</v>
      </c>
      <c r="L617" t="e">
        <f>VLOOKUP(K617, Sheet2!$A$2:$B$4186, 2,FALSE)</f>
        <v>#N/A</v>
      </c>
      <c r="M617">
        <f>VLOOKUP(C617,Depts!$B$1:$D$16,3,FALSE)</f>
        <v>20</v>
      </c>
      <c r="N617" s="1" t="b">
        <f t="shared" si="26"/>
        <v>1</v>
      </c>
    </row>
    <row r="618" spans="1:14">
      <c r="A618">
        <v>739</v>
      </c>
      <c r="B618">
        <v>93</v>
      </c>
      <c r="C618" t="s">
        <v>44</v>
      </c>
      <c r="D618" s="1">
        <v>46055</v>
      </c>
      <c r="E618" s="1">
        <v>46061</v>
      </c>
      <c r="F618" t="s">
        <v>56</v>
      </c>
      <c r="G618">
        <v>6</v>
      </c>
      <c r="H618">
        <v>36</v>
      </c>
      <c r="I618" t="s">
        <v>60</v>
      </c>
      <c r="J618">
        <f t="shared" si="27"/>
        <v>7.1999999999999993</v>
      </c>
      <c r="K618" t="str">
        <f t="shared" si="28"/>
        <v>02/02/2026Geriatrics</v>
      </c>
      <c r="L618" t="e">
        <f>VLOOKUP(K618, Sheet2!$A$2:$B$4186, 2,FALSE)</f>
        <v>#N/A</v>
      </c>
      <c r="M618">
        <f>VLOOKUP(C618,Depts!$B$1:$D$16,3,FALSE)</f>
        <v>46</v>
      </c>
      <c r="N618" s="1" t="b">
        <f t="shared" si="26"/>
        <v>1</v>
      </c>
    </row>
    <row r="619" spans="1:14">
      <c r="A619">
        <v>801</v>
      </c>
      <c r="B619">
        <v>310</v>
      </c>
      <c r="C619" t="s">
        <v>39</v>
      </c>
      <c r="D619" s="1">
        <v>46060</v>
      </c>
      <c r="E619" s="1">
        <v>46061</v>
      </c>
      <c r="F619" t="s">
        <v>57</v>
      </c>
      <c r="G619">
        <v>1</v>
      </c>
      <c r="H619">
        <v>10</v>
      </c>
      <c r="I619" t="s">
        <v>60</v>
      </c>
      <c r="J619">
        <f t="shared" si="27"/>
        <v>0.33333333333333331</v>
      </c>
      <c r="K619" t="str">
        <f t="shared" si="28"/>
        <v>07/02/2026A&amp;E (Emergency)</v>
      </c>
      <c r="L619" t="e">
        <f>VLOOKUP(K619, Sheet2!$A$2:$B$4186, 2,FALSE)</f>
        <v>#N/A</v>
      </c>
      <c r="M619">
        <f>VLOOKUP(C619,Depts!$B$1:$D$16,3,FALSE)</f>
        <v>42</v>
      </c>
      <c r="N619" s="1" t="b">
        <f t="shared" si="26"/>
        <v>1</v>
      </c>
    </row>
    <row r="620" spans="1:14">
      <c r="A620">
        <v>802</v>
      </c>
      <c r="B620">
        <v>301</v>
      </c>
      <c r="C620" t="s">
        <v>50</v>
      </c>
      <c r="D620" s="1">
        <v>46061</v>
      </c>
      <c r="E620" s="1">
        <v>46066</v>
      </c>
      <c r="F620" t="s">
        <v>56</v>
      </c>
      <c r="G620">
        <v>5</v>
      </c>
      <c r="H620">
        <v>160</v>
      </c>
      <c r="I620" t="s">
        <v>60</v>
      </c>
      <c r="J620">
        <f t="shared" si="27"/>
        <v>26.666666666666664</v>
      </c>
      <c r="K620" t="str">
        <f t="shared" si="28"/>
        <v>08/02/2026Renal Medicine</v>
      </c>
      <c r="L620" t="e">
        <f>VLOOKUP(K620, Sheet2!$A$2:$B$4186, 2,FALSE)</f>
        <v>#N/A</v>
      </c>
      <c r="M620">
        <f>VLOOKUP(C620,Depts!$B$1:$D$16,3,FALSE)</f>
        <v>26</v>
      </c>
      <c r="N620" s="1" t="b">
        <f t="shared" si="26"/>
        <v>1</v>
      </c>
    </row>
    <row r="621" spans="1:14">
      <c r="A621">
        <v>803</v>
      </c>
      <c r="B621">
        <v>791</v>
      </c>
      <c r="C621" t="s">
        <v>46</v>
      </c>
      <c r="D621" s="1">
        <v>46062</v>
      </c>
      <c r="E621" s="1">
        <v>46068</v>
      </c>
      <c r="F621" t="s">
        <v>56</v>
      </c>
      <c r="G621">
        <v>6</v>
      </c>
      <c r="H621">
        <v>28</v>
      </c>
      <c r="I621" t="s">
        <v>60</v>
      </c>
      <c r="J621">
        <f t="shared" si="27"/>
        <v>5.6</v>
      </c>
      <c r="K621" t="str">
        <f t="shared" si="28"/>
        <v>09/02/2026Neurology</v>
      </c>
      <c r="L621" t="e">
        <f>VLOOKUP(K621, Sheet2!$A$2:$B$4186, 2,FALSE)</f>
        <v>#N/A</v>
      </c>
      <c r="M621">
        <f>VLOOKUP(C621,Depts!$B$1:$D$16,3,FALSE)</f>
        <v>32</v>
      </c>
      <c r="N621" s="1" t="b">
        <f t="shared" si="26"/>
        <v>1</v>
      </c>
    </row>
    <row r="622" spans="1:14">
      <c r="A622">
        <v>804</v>
      </c>
      <c r="B622">
        <v>400</v>
      </c>
      <c r="C622" t="s">
        <v>45</v>
      </c>
      <c r="D622" s="1">
        <v>46062</v>
      </c>
      <c r="E622" s="1">
        <v>46064</v>
      </c>
      <c r="F622" t="s">
        <v>57</v>
      </c>
      <c r="G622">
        <v>2</v>
      </c>
      <c r="H622">
        <v>216</v>
      </c>
      <c r="I622" t="s">
        <v>60</v>
      </c>
      <c r="J622">
        <f t="shared" si="27"/>
        <v>14.4</v>
      </c>
      <c r="K622" t="str">
        <f t="shared" si="28"/>
        <v>09/02/2026Maternity</v>
      </c>
      <c r="L622" t="e">
        <f>VLOOKUP(K622, Sheet2!$A$2:$B$4186, 2,FALSE)</f>
        <v>#N/A</v>
      </c>
      <c r="M622">
        <f>VLOOKUP(C622,Depts!$B$1:$D$16,3,FALSE)</f>
        <v>34</v>
      </c>
      <c r="N622" s="1" t="b">
        <f t="shared" si="26"/>
        <v>1</v>
      </c>
    </row>
    <row r="623" spans="1:14">
      <c r="A623">
        <v>805</v>
      </c>
      <c r="B623">
        <v>36</v>
      </c>
      <c r="C623" t="s">
        <v>48</v>
      </c>
      <c r="D623" s="1">
        <v>46063</v>
      </c>
      <c r="E623" s="1">
        <v>46068</v>
      </c>
      <c r="F623" t="s">
        <v>56</v>
      </c>
      <c r="G623">
        <v>5</v>
      </c>
      <c r="H623">
        <v>12</v>
      </c>
      <c r="I623" t="s">
        <v>60</v>
      </c>
      <c r="J623">
        <f t="shared" si="27"/>
        <v>2</v>
      </c>
      <c r="K623" t="str">
        <f t="shared" si="28"/>
        <v>10/02/2026Orthopaedics</v>
      </c>
      <c r="L623" t="e">
        <f>VLOOKUP(K623, Sheet2!$A$2:$B$4186, 2,FALSE)</f>
        <v>#N/A</v>
      </c>
      <c r="M623">
        <f>VLOOKUP(C623,Depts!$B$1:$D$16,3,FALSE)</f>
        <v>40</v>
      </c>
      <c r="N623" s="1" t="b">
        <f t="shared" si="26"/>
        <v>1</v>
      </c>
    </row>
    <row r="624" spans="1:14">
      <c r="A624">
        <v>806</v>
      </c>
      <c r="B624">
        <v>193</v>
      </c>
      <c r="C624" t="s">
        <v>49</v>
      </c>
      <c r="D624" s="1">
        <v>46063</v>
      </c>
      <c r="E624" s="1">
        <v>46065</v>
      </c>
      <c r="F624" t="s">
        <v>57</v>
      </c>
      <c r="G624">
        <v>2</v>
      </c>
      <c r="H624">
        <v>23</v>
      </c>
      <c r="I624" t="s">
        <v>60</v>
      </c>
      <c r="J624">
        <f t="shared" si="27"/>
        <v>1.5333333333333334</v>
      </c>
      <c r="K624" t="str">
        <f t="shared" si="28"/>
        <v>10/02/2026Paediatrics</v>
      </c>
      <c r="L624" t="e">
        <f>VLOOKUP(K624, Sheet2!$A$2:$B$4186, 2,FALSE)</f>
        <v>#N/A</v>
      </c>
      <c r="M624">
        <f>VLOOKUP(C624,Depts!$B$1:$D$16,3,FALSE)</f>
        <v>30</v>
      </c>
      <c r="N624" s="1" t="b">
        <f t="shared" si="26"/>
        <v>1</v>
      </c>
    </row>
    <row r="625" spans="1:14">
      <c r="A625">
        <v>807</v>
      </c>
      <c r="B625">
        <v>630</v>
      </c>
      <c r="C625" t="s">
        <v>42</v>
      </c>
      <c r="D625" s="1">
        <v>46064</v>
      </c>
      <c r="E625" s="1">
        <v>46069</v>
      </c>
      <c r="F625" t="s">
        <v>56</v>
      </c>
      <c r="G625">
        <v>5</v>
      </c>
      <c r="H625">
        <v>21</v>
      </c>
      <c r="I625" t="s">
        <v>60</v>
      </c>
      <c r="J625">
        <f t="shared" si="27"/>
        <v>3.5</v>
      </c>
      <c r="K625" t="str">
        <f t="shared" si="28"/>
        <v>11/02/2026Gastroenterology</v>
      </c>
      <c r="L625" t="e">
        <f>VLOOKUP(K625, Sheet2!$A$2:$B$4186, 2,FALSE)</f>
        <v>#N/A</v>
      </c>
      <c r="M625">
        <f>VLOOKUP(C625,Depts!$B$1:$D$16,3,FALSE)</f>
        <v>29</v>
      </c>
      <c r="N625" s="1" t="b">
        <f t="shared" ref="N625:N688" si="29">ISNUMBER(D625)</f>
        <v>1</v>
      </c>
    </row>
    <row r="626" spans="1:14">
      <c r="A626">
        <v>808</v>
      </c>
      <c r="B626">
        <v>31</v>
      </c>
      <c r="C626" t="s">
        <v>41</v>
      </c>
      <c r="D626" s="1">
        <v>46065</v>
      </c>
      <c r="E626" s="1">
        <v>46067</v>
      </c>
      <c r="F626" t="s">
        <v>57</v>
      </c>
      <c r="G626">
        <v>2</v>
      </c>
      <c r="H626">
        <v>44</v>
      </c>
      <c r="I626" t="s">
        <v>60</v>
      </c>
      <c r="J626">
        <f t="shared" si="27"/>
        <v>2.9333333333333331</v>
      </c>
      <c r="K626" t="str">
        <f t="shared" si="28"/>
        <v>12/02/2026ENT</v>
      </c>
      <c r="L626" t="e">
        <f>VLOOKUP(K626, Sheet2!$A$2:$B$4186, 2,FALSE)</f>
        <v>#N/A</v>
      </c>
      <c r="M626">
        <f>VLOOKUP(C626,Depts!$B$1:$D$16,3,FALSE)</f>
        <v>20</v>
      </c>
      <c r="N626" s="1" t="b">
        <f t="shared" si="29"/>
        <v>1</v>
      </c>
    </row>
    <row r="627" spans="1:14">
      <c r="A627">
        <v>809</v>
      </c>
      <c r="B627">
        <v>292</v>
      </c>
      <c r="C627" t="s">
        <v>44</v>
      </c>
      <c r="D627" s="1">
        <v>46065</v>
      </c>
      <c r="E627" s="1">
        <v>46071</v>
      </c>
      <c r="F627" t="s">
        <v>56</v>
      </c>
      <c r="G627">
        <v>6</v>
      </c>
      <c r="H627">
        <v>208</v>
      </c>
      <c r="I627" t="s">
        <v>60</v>
      </c>
      <c r="J627">
        <f t="shared" si="27"/>
        <v>41.6</v>
      </c>
      <c r="K627" t="str">
        <f t="shared" si="28"/>
        <v>12/02/2026Geriatrics</v>
      </c>
      <c r="L627" t="e">
        <f>VLOOKUP(K627, Sheet2!$A$2:$B$4186, 2,FALSE)</f>
        <v>#N/A</v>
      </c>
      <c r="M627">
        <f>VLOOKUP(C627,Depts!$B$1:$D$16,3,FALSE)</f>
        <v>46</v>
      </c>
      <c r="N627" s="1" t="b">
        <f t="shared" si="29"/>
        <v>1</v>
      </c>
    </row>
    <row r="628" spans="1:14">
      <c r="A628">
        <v>810</v>
      </c>
      <c r="B628">
        <v>131</v>
      </c>
      <c r="C628" t="s">
        <v>51</v>
      </c>
      <c r="D628" s="1">
        <v>46066</v>
      </c>
      <c r="E628" s="1">
        <v>46068</v>
      </c>
      <c r="F628" t="s">
        <v>57</v>
      </c>
      <c r="G628">
        <v>2</v>
      </c>
      <c r="H628">
        <v>31</v>
      </c>
      <c r="I628" t="s">
        <v>60</v>
      </c>
      <c r="J628">
        <f t="shared" si="27"/>
        <v>2.0666666666666669</v>
      </c>
      <c r="K628" t="str">
        <f t="shared" si="28"/>
        <v>13/02/2026Respiratory</v>
      </c>
      <c r="L628" t="e">
        <f>VLOOKUP(K628, Sheet2!$A$2:$B$4186, 2,FALSE)</f>
        <v>#N/A</v>
      </c>
      <c r="M628">
        <f>VLOOKUP(C628,Depts!$B$1:$D$16,3,FALSE)</f>
        <v>36</v>
      </c>
      <c r="N628" s="1" t="b">
        <f t="shared" si="29"/>
        <v>1</v>
      </c>
    </row>
    <row r="629" spans="1:14">
      <c r="A629">
        <v>811</v>
      </c>
      <c r="B629">
        <v>273</v>
      </c>
      <c r="C629" t="s">
        <v>43</v>
      </c>
      <c r="D629" s="1">
        <v>46067</v>
      </c>
      <c r="E629" s="1">
        <v>46072</v>
      </c>
      <c r="F629" t="s">
        <v>56</v>
      </c>
      <c r="G629">
        <v>5</v>
      </c>
      <c r="H629">
        <v>27</v>
      </c>
      <c r="I629" t="s">
        <v>60</v>
      </c>
      <c r="J629">
        <f t="shared" si="27"/>
        <v>4.5</v>
      </c>
      <c r="K629" t="str">
        <f t="shared" si="28"/>
        <v>14/02/2026General Surgery</v>
      </c>
      <c r="L629" t="e">
        <f>VLOOKUP(K629, Sheet2!$A$2:$B$4186, 2,FALSE)</f>
        <v>#N/A</v>
      </c>
      <c r="M629">
        <f>VLOOKUP(C629,Depts!$B$1:$D$16,3,FALSE)</f>
        <v>44</v>
      </c>
      <c r="N629" s="1" t="b">
        <f t="shared" si="29"/>
        <v>1</v>
      </c>
    </row>
    <row r="630" spans="1:14">
      <c r="A630">
        <v>812</v>
      </c>
      <c r="B630">
        <v>683</v>
      </c>
      <c r="C630" t="s">
        <v>40</v>
      </c>
      <c r="D630" s="1">
        <v>46067</v>
      </c>
      <c r="E630" s="1">
        <v>46070</v>
      </c>
      <c r="F630" t="s">
        <v>58</v>
      </c>
      <c r="G630">
        <v>3</v>
      </c>
      <c r="H630">
        <v>232</v>
      </c>
      <c r="I630" t="s">
        <v>60</v>
      </c>
      <c r="J630">
        <f t="shared" si="27"/>
        <v>23.2</v>
      </c>
      <c r="K630" t="str">
        <f t="shared" si="28"/>
        <v>14/02/2026Cardiology</v>
      </c>
      <c r="L630" t="e">
        <f>VLOOKUP(K630, Sheet2!$A$2:$B$4186, 2,FALSE)</f>
        <v>#N/A</v>
      </c>
      <c r="M630">
        <f>VLOOKUP(C630,Depts!$B$1:$D$16,3,FALSE)</f>
        <v>38</v>
      </c>
      <c r="N630" s="1" t="b">
        <f t="shared" si="29"/>
        <v>1</v>
      </c>
    </row>
    <row r="631" spans="1:14">
      <c r="A631">
        <v>813</v>
      </c>
      <c r="B631">
        <v>838</v>
      </c>
      <c r="C631" t="s">
        <v>47</v>
      </c>
      <c r="D631" s="1">
        <v>46068</v>
      </c>
      <c r="E631" s="1">
        <v>46073</v>
      </c>
      <c r="F631" t="s">
        <v>56</v>
      </c>
      <c r="G631">
        <v>5</v>
      </c>
      <c r="H631">
        <v>4</v>
      </c>
      <c r="I631" t="s">
        <v>60</v>
      </c>
      <c r="J631">
        <f t="shared" si="27"/>
        <v>0.66666666666666663</v>
      </c>
      <c r="K631" t="str">
        <f t="shared" si="28"/>
        <v>15/02/2026Oncology</v>
      </c>
      <c r="L631" t="e">
        <f>VLOOKUP(K631, Sheet2!$A$2:$B$4186, 2,FALSE)</f>
        <v>#N/A</v>
      </c>
      <c r="M631">
        <f>VLOOKUP(C631,Depts!$B$1:$D$16,3,FALSE)</f>
        <v>28</v>
      </c>
      <c r="N631" s="1" t="b">
        <f t="shared" si="29"/>
        <v>1</v>
      </c>
    </row>
    <row r="632" spans="1:14">
      <c r="A632">
        <v>814</v>
      </c>
      <c r="B632">
        <v>213</v>
      </c>
      <c r="C632" t="s">
        <v>39</v>
      </c>
      <c r="D632" s="1">
        <v>46068</v>
      </c>
      <c r="E632" s="1">
        <v>46069</v>
      </c>
      <c r="F632" t="s">
        <v>57</v>
      </c>
      <c r="G632">
        <v>1</v>
      </c>
      <c r="H632">
        <v>185</v>
      </c>
      <c r="I632" t="s">
        <v>60</v>
      </c>
      <c r="J632">
        <f t="shared" si="27"/>
        <v>6.166666666666667</v>
      </c>
      <c r="K632" t="str">
        <f t="shared" si="28"/>
        <v>15/02/2026A&amp;E (Emergency)</v>
      </c>
      <c r="L632" t="e">
        <f>VLOOKUP(K632, Sheet2!$A$2:$B$4186, 2,FALSE)</f>
        <v>#N/A</v>
      </c>
      <c r="M632">
        <f>VLOOKUP(C632,Depts!$B$1:$D$16,3,FALSE)</f>
        <v>42</v>
      </c>
      <c r="N632" s="1" t="b">
        <f t="shared" si="29"/>
        <v>1</v>
      </c>
    </row>
    <row r="633" spans="1:14">
      <c r="A633">
        <v>815</v>
      </c>
      <c r="B633">
        <v>316</v>
      </c>
      <c r="C633" t="s">
        <v>50</v>
      </c>
      <c r="D633" s="1">
        <v>46069</v>
      </c>
      <c r="E633" s="1">
        <v>46074</v>
      </c>
      <c r="F633" t="s">
        <v>56</v>
      </c>
      <c r="G633">
        <v>5</v>
      </c>
      <c r="H633">
        <v>35</v>
      </c>
      <c r="I633" t="s">
        <v>60</v>
      </c>
      <c r="J633">
        <f t="shared" si="27"/>
        <v>5.8333333333333339</v>
      </c>
      <c r="K633" t="str">
        <f t="shared" si="28"/>
        <v>16/02/2026Renal Medicine</v>
      </c>
      <c r="L633" t="e">
        <f>VLOOKUP(K633, Sheet2!$A$2:$B$4186, 2,FALSE)</f>
        <v>#N/A</v>
      </c>
      <c r="M633">
        <f>VLOOKUP(C633,Depts!$B$1:$D$16,3,FALSE)</f>
        <v>26</v>
      </c>
      <c r="N633" s="1" t="b">
        <f t="shared" si="29"/>
        <v>1</v>
      </c>
    </row>
    <row r="634" spans="1:14">
      <c r="A634">
        <v>816</v>
      </c>
      <c r="B634">
        <v>499</v>
      </c>
      <c r="C634" t="s">
        <v>46</v>
      </c>
      <c r="D634" s="1">
        <v>46070</v>
      </c>
      <c r="E634" s="1">
        <v>46076</v>
      </c>
      <c r="F634" t="s">
        <v>56</v>
      </c>
      <c r="G634">
        <v>6</v>
      </c>
      <c r="H634">
        <v>40</v>
      </c>
      <c r="I634" t="s">
        <v>60</v>
      </c>
      <c r="J634">
        <f t="shared" si="27"/>
        <v>8</v>
      </c>
      <c r="K634" t="str">
        <f t="shared" si="28"/>
        <v>17/02/2026Neurology</v>
      </c>
      <c r="L634" t="e">
        <f>VLOOKUP(K634, Sheet2!$A$2:$B$4186, 2,FALSE)</f>
        <v>#N/A</v>
      </c>
      <c r="M634">
        <f>VLOOKUP(C634,Depts!$B$1:$D$16,3,FALSE)</f>
        <v>32</v>
      </c>
      <c r="N634" s="1" t="b">
        <f t="shared" si="29"/>
        <v>1</v>
      </c>
    </row>
    <row r="635" spans="1:14">
      <c r="A635">
        <v>817</v>
      </c>
      <c r="B635">
        <v>994</v>
      </c>
      <c r="C635" t="s">
        <v>45</v>
      </c>
      <c r="D635" s="1">
        <v>46070</v>
      </c>
      <c r="E635" s="1">
        <v>46072</v>
      </c>
      <c r="F635" t="s">
        <v>57</v>
      </c>
      <c r="G635">
        <v>2</v>
      </c>
      <c r="H635">
        <v>27</v>
      </c>
      <c r="I635" t="s">
        <v>60</v>
      </c>
      <c r="J635">
        <f t="shared" si="27"/>
        <v>1.8</v>
      </c>
      <c r="K635" t="str">
        <f t="shared" si="28"/>
        <v>17/02/2026Maternity</v>
      </c>
      <c r="L635" t="e">
        <f>VLOOKUP(K635, Sheet2!$A$2:$B$4186, 2,FALSE)</f>
        <v>#N/A</v>
      </c>
      <c r="M635">
        <f>VLOOKUP(C635,Depts!$B$1:$D$16,3,FALSE)</f>
        <v>34</v>
      </c>
      <c r="N635" s="1" t="b">
        <f t="shared" si="29"/>
        <v>1</v>
      </c>
    </row>
    <row r="636" spans="1:14">
      <c r="A636">
        <v>818</v>
      </c>
      <c r="B636">
        <v>653</v>
      </c>
      <c r="C636" t="s">
        <v>48</v>
      </c>
      <c r="D636" s="1">
        <v>46071</v>
      </c>
      <c r="E636" s="1">
        <v>46076</v>
      </c>
      <c r="F636" t="s">
        <v>56</v>
      </c>
      <c r="G636">
        <v>5</v>
      </c>
      <c r="H636">
        <v>20</v>
      </c>
      <c r="I636" t="s">
        <v>60</v>
      </c>
      <c r="J636">
        <f t="shared" si="27"/>
        <v>3.333333333333333</v>
      </c>
      <c r="K636" t="str">
        <f t="shared" si="28"/>
        <v>18/02/2026Orthopaedics</v>
      </c>
      <c r="L636" t="e">
        <f>VLOOKUP(K636, Sheet2!$A$2:$B$4186, 2,FALSE)</f>
        <v>#N/A</v>
      </c>
      <c r="M636">
        <f>VLOOKUP(C636,Depts!$B$1:$D$16,3,FALSE)</f>
        <v>40</v>
      </c>
      <c r="N636" s="1" t="b">
        <f t="shared" si="29"/>
        <v>1</v>
      </c>
    </row>
    <row r="637" spans="1:14">
      <c r="A637">
        <v>819</v>
      </c>
      <c r="B637">
        <v>784</v>
      </c>
      <c r="C637" t="s">
        <v>49</v>
      </c>
      <c r="D637" s="1">
        <v>46071</v>
      </c>
      <c r="E637" s="1">
        <v>46073</v>
      </c>
      <c r="F637" t="s">
        <v>57</v>
      </c>
      <c r="G637">
        <v>2</v>
      </c>
      <c r="H637">
        <v>42</v>
      </c>
      <c r="I637" t="s">
        <v>60</v>
      </c>
      <c r="J637">
        <f t="shared" si="27"/>
        <v>2.8</v>
      </c>
      <c r="K637" t="str">
        <f t="shared" si="28"/>
        <v>18/02/2026Paediatrics</v>
      </c>
      <c r="L637" t="e">
        <f>VLOOKUP(K637, Sheet2!$A$2:$B$4186, 2,FALSE)</f>
        <v>#N/A</v>
      </c>
      <c r="M637">
        <f>VLOOKUP(C637,Depts!$B$1:$D$16,3,FALSE)</f>
        <v>30</v>
      </c>
      <c r="N637" s="1" t="b">
        <f t="shared" si="29"/>
        <v>1</v>
      </c>
    </row>
    <row r="638" spans="1:14">
      <c r="A638">
        <v>820</v>
      </c>
      <c r="B638">
        <v>165</v>
      </c>
      <c r="C638" t="s">
        <v>42</v>
      </c>
      <c r="D638" s="1">
        <v>46072</v>
      </c>
      <c r="E638" s="1">
        <v>46077</v>
      </c>
      <c r="F638" t="s">
        <v>56</v>
      </c>
      <c r="G638">
        <v>5</v>
      </c>
      <c r="H638">
        <v>17</v>
      </c>
      <c r="I638" t="s">
        <v>61</v>
      </c>
      <c r="J638">
        <f t="shared" si="27"/>
        <v>2.833333333333333</v>
      </c>
      <c r="K638" t="str">
        <f t="shared" si="28"/>
        <v>19/02/2026Gastroenterology</v>
      </c>
      <c r="L638" t="e">
        <f>VLOOKUP(K638, Sheet2!$A$2:$B$4186, 2,FALSE)</f>
        <v>#N/A</v>
      </c>
      <c r="M638">
        <f>VLOOKUP(C638,Depts!$B$1:$D$16,3,FALSE)</f>
        <v>29</v>
      </c>
      <c r="N638" s="1" t="b">
        <f t="shared" si="29"/>
        <v>1</v>
      </c>
    </row>
    <row r="639" spans="1:14">
      <c r="A639">
        <v>821</v>
      </c>
      <c r="B639">
        <v>481</v>
      </c>
      <c r="C639" t="s">
        <v>41</v>
      </c>
      <c r="D639" s="1">
        <v>46073</v>
      </c>
      <c r="E639" s="1">
        <v>46075</v>
      </c>
      <c r="F639" t="s">
        <v>57</v>
      </c>
      <c r="G639">
        <v>2</v>
      </c>
      <c r="H639">
        <v>3</v>
      </c>
      <c r="I639" t="s">
        <v>60</v>
      </c>
      <c r="J639">
        <f t="shared" si="27"/>
        <v>0.2</v>
      </c>
      <c r="K639" t="str">
        <f t="shared" si="28"/>
        <v>20/02/2026ENT</v>
      </c>
      <c r="L639" t="e">
        <f>VLOOKUP(K639, Sheet2!$A$2:$B$4186, 2,FALSE)</f>
        <v>#N/A</v>
      </c>
      <c r="M639">
        <f>VLOOKUP(C639,Depts!$B$1:$D$16,3,FALSE)</f>
        <v>20</v>
      </c>
      <c r="N639" s="1" t="b">
        <f t="shared" si="29"/>
        <v>1</v>
      </c>
    </row>
    <row r="640" spans="1:14">
      <c r="A640">
        <v>822</v>
      </c>
      <c r="B640">
        <v>829</v>
      </c>
      <c r="C640" t="s">
        <v>44</v>
      </c>
      <c r="D640" s="1">
        <v>46073</v>
      </c>
      <c r="E640" s="1">
        <v>46079</v>
      </c>
      <c r="F640" t="s">
        <v>56</v>
      </c>
      <c r="G640">
        <v>6</v>
      </c>
      <c r="H640">
        <v>200</v>
      </c>
      <c r="I640" t="s">
        <v>60</v>
      </c>
      <c r="J640">
        <f t="shared" si="27"/>
        <v>40</v>
      </c>
      <c r="K640" t="str">
        <f t="shared" si="28"/>
        <v>20/02/2026Geriatrics</v>
      </c>
      <c r="L640" t="e">
        <f>VLOOKUP(K640, Sheet2!$A$2:$B$4186, 2,FALSE)</f>
        <v>#N/A</v>
      </c>
      <c r="M640">
        <f>VLOOKUP(C640,Depts!$B$1:$D$16,3,FALSE)</f>
        <v>46</v>
      </c>
      <c r="N640" s="1" t="b">
        <f t="shared" si="29"/>
        <v>1</v>
      </c>
    </row>
    <row r="641" spans="1:14">
      <c r="A641">
        <v>823</v>
      </c>
      <c r="B641">
        <v>540</v>
      </c>
      <c r="C641" t="s">
        <v>51</v>
      </c>
      <c r="D641" s="1">
        <v>46074</v>
      </c>
      <c r="E641" s="1">
        <v>46076</v>
      </c>
      <c r="F641" t="s">
        <v>57</v>
      </c>
      <c r="G641">
        <v>2</v>
      </c>
      <c r="H641">
        <v>22</v>
      </c>
      <c r="I641" t="s">
        <v>60</v>
      </c>
      <c r="J641">
        <f t="shared" si="27"/>
        <v>1.4666666666666666</v>
      </c>
      <c r="K641" t="str">
        <f t="shared" si="28"/>
        <v>21/02/2026Respiratory</v>
      </c>
      <c r="L641" t="e">
        <f>VLOOKUP(K641, Sheet2!$A$2:$B$4186, 2,FALSE)</f>
        <v>#N/A</v>
      </c>
      <c r="M641">
        <f>VLOOKUP(C641,Depts!$B$1:$D$16,3,FALSE)</f>
        <v>36</v>
      </c>
      <c r="N641" s="1" t="b">
        <f t="shared" si="29"/>
        <v>1</v>
      </c>
    </row>
    <row r="642" spans="1:14">
      <c r="A642">
        <v>824</v>
      </c>
      <c r="B642">
        <v>196</v>
      </c>
      <c r="C642" t="s">
        <v>43</v>
      </c>
      <c r="D642" s="1">
        <v>46075</v>
      </c>
      <c r="E642" s="1">
        <v>46080</v>
      </c>
      <c r="F642" t="s">
        <v>56</v>
      </c>
      <c r="G642">
        <v>5</v>
      </c>
      <c r="H642">
        <v>43</v>
      </c>
      <c r="I642" t="s">
        <v>60</v>
      </c>
      <c r="J642">
        <f t="shared" si="27"/>
        <v>7.166666666666667</v>
      </c>
      <c r="K642" t="str">
        <f t="shared" si="28"/>
        <v>22/02/2026General Surgery</v>
      </c>
      <c r="L642" t="e">
        <f>VLOOKUP(K642, Sheet2!$A$2:$B$4186, 2,FALSE)</f>
        <v>#N/A</v>
      </c>
      <c r="M642">
        <f>VLOOKUP(C642,Depts!$B$1:$D$16,3,FALSE)</f>
        <v>44</v>
      </c>
      <c r="N642" s="1" t="b">
        <f t="shared" si="29"/>
        <v>1</v>
      </c>
    </row>
    <row r="643" spans="1:14">
      <c r="A643">
        <v>825</v>
      </c>
      <c r="B643">
        <v>571</v>
      </c>
      <c r="C643" t="s">
        <v>40</v>
      </c>
      <c r="D643" s="1">
        <v>46075</v>
      </c>
      <c r="E643" s="1">
        <v>46078</v>
      </c>
      <c r="F643" t="s">
        <v>58</v>
      </c>
      <c r="G643">
        <v>3</v>
      </c>
      <c r="H643">
        <v>109</v>
      </c>
      <c r="I643" t="s">
        <v>61</v>
      </c>
      <c r="J643">
        <f t="shared" ref="J643:J706" si="30">G643*(H643/30)</f>
        <v>10.9</v>
      </c>
      <c r="K643" t="str">
        <f t="shared" ref="K643:K706" si="31">TEXT(D643, "dd/mm/yyyy")&amp;C643</f>
        <v>22/02/2026Cardiology</v>
      </c>
      <c r="L643" t="e">
        <f>VLOOKUP(K643, Sheet2!$A$2:$B$4186, 2,FALSE)</f>
        <v>#N/A</v>
      </c>
      <c r="M643">
        <f>VLOOKUP(C643,Depts!$B$1:$D$16,3,FALSE)</f>
        <v>38</v>
      </c>
      <c r="N643" s="1" t="b">
        <f t="shared" si="29"/>
        <v>1</v>
      </c>
    </row>
    <row r="644" spans="1:14">
      <c r="A644">
        <v>826</v>
      </c>
      <c r="B644">
        <v>389</v>
      </c>
      <c r="C644" t="s">
        <v>47</v>
      </c>
      <c r="D644" s="1">
        <v>46076</v>
      </c>
      <c r="E644" s="1">
        <v>46081</v>
      </c>
      <c r="F644" t="s">
        <v>56</v>
      </c>
      <c r="G644">
        <v>5</v>
      </c>
      <c r="H644">
        <v>12</v>
      </c>
      <c r="I644" t="s">
        <v>60</v>
      </c>
      <c r="J644">
        <f t="shared" si="30"/>
        <v>2</v>
      </c>
      <c r="K644" t="str">
        <f t="shared" si="31"/>
        <v>23/02/2026Oncology</v>
      </c>
      <c r="L644" t="e">
        <f>VLOOKUP(K644, Sheet2!$A$2:$B$4186, 2,FALSE)</f>
        <v>#N/A</v>
      </c>
      <c r="M644">
        <f>VLOOKUP(C644,Depts!$B$1:$D$16,3,FALSE)</f>
        <v>28</v>
      </c>
      <c r="N644" s="1" t="b">
        <f t="shared" si="29"/>
        <v>1</v>
      </c>
    </row>
    <row r="645" spans="1:14">
      <c r="A645">
        <v>827</v>
      </c>
      <c r="B645">
        <v>155</v>
      </c>
      <c r="C645" t="s">
        <v>39</v>
      </c>
      <c r="D645" s="1">
        <v>46076</v>
      </c>
      <c r="E645" s="1">
        <v>46077</v>
      </c>
      <c r="F645" t="s">
        <v>57</v>
      </c>
      <c r="G645">
        <v>1</v>
      </c>
      <c r="H645">
        <v>36</v>
      </c>
      <c r="I645" t="s">
        <v>60</v>
      </c>
      <c r="J645">
        <f t="shared" si="30"/>
        <v>1.2</v>
      </c>
      <c r="K645" t="str">
        <f t="shared" si="31"/>
        <v>23/02/2026A&amp;E (Emergency)</v>
      </c>
      <c r="L645" t="e">
        <f>VLOOKUP(K645, Sheet2!$A$2:$B$4186, 2,FALSE)</f>
        <v>#N/A</v>
      </c>
      <c r="M645">
        <f>VLOOKUP(C645,Depts!$B$1:$D$16,3,FALSE)</f>
        <v>42</v>
      </c>
      <c r="N645" s="1" t="b">
        <f t="shared" si="29"/>
        <v>1</v>
      </c>
    </row>
    <row r="646" spans="1:14">
      <c r="A646">
        <v>828</v>
      </c>
      <c r="B646">
        <v>881</v>
      </c>
      <c r="C646" t="s">
        <v>50</v>
      </c>
      <c r="D646" s="1">
        <v>46077</v>
      </c>
      <c r="E646" s="1" t="s">
        <v>74</v>
      </c>
      <c r="F646" t="s">
        <v>56</v>
      </c>
      <c r="G646">
        <v>5</v>
      </c>
      <c r="H646">
        <v>22</v>
      </c>
      <c r="I646" t="s">
        <v>60</v>
      </c>
      <c r="J646">
        <f t="shared" si="30"/>
        <v>3.6666666666666665</v>
      </c>
      <c r="K646" t="str">
        <f t="shared" si="31"/>
        <v>24/02/2026Renal Medicine</v>
      </c>
      <c r="L646" t="e">
        <f>VLOOKUP(K646, Sheet2!$A$2:$B$4186, 2,FALSE)</f>
        <v>#N/A</v>
      </c>
      <c r="M646">
        <f>VLOOKUP(C646,Depts!$B$1:$D$16,3,FALSE)</f>
        <v>26</v>
      </c>
      <c r="N646" s="1" t="b">
        <f t="shared" si="29"/>
        <v>1</v>
      </c>
    </row>
    <row r="647" spans="1:14">
      <c r="A647">
        <v>829</v>
      </c>
      <c r="B647">
        <v>102</v>
      </c>
      <c r="C647" t="s">
        <v>46</v>
      </c>
      <c r="D647" s="1">
        <v>46078</v>
      </c>
      <c r="E647" s="1">
        <v>46084</v>
      </c>
      <c r="F647" t="s">
        <v>56</v>
      </c>
      <c r="G647">
        <v>6</v>
      </c>
      <c r="H647">
        <v>55</v>
      </c>
      <c r="I647" t="s">
        <v>60</v>
      </c>
      <c r="J647">
        <f t="shared" si="30"/>
        <v>11</v>
      </c>
      <c r="K647" t="str">
        <f t="shared" si="31"/>
        <v>25/02/2026Neurology</v>
      </c>
      <c r="L647" t="e">
        <f>VLOOKUP(K647, Sheet2!$A$2:$B$4186, 2,FALSE)</f>
        <v>#N/A</v>
      </c>
      <c r="M647">
        <f>VLOOKUP(C647,Depts!$B$1:$D$16,3,FALSE)</f>
        <v>32</v>
      </c>
      <c r="N647" s="1" t="b">
        <f t="shared" si="29"/>
        <v>1</v>
      </c>
    </row>
    <row r="648" spans="1:14">
      <c r="A648">
        <v>830</v>
      </c>
      <c r="B648">
        <v>342</v>
      </c>
      <c r="C648" t="s">
        <v>45</v>
      </c>
      <c r="D648" s="1">
        <v>46078</v>
      </c>
      <c r="E648" s="1">
        <v>46080</v>
      </c>
      <c r="F648" t="s">
        <v>57</v>
      </c>
      <c r="G648">
        <v>2</v>
      </c>
      <c r="H648">
        <v>27</v>
      </c>
      <c r="I648" t="s">
        <v>60</v>
      </c>
      <c r="J648">
        <f t="shared" si="30"/>
        <v>1.8</v>
      </c>
      <c r="K648" t="str">
        <f t="shared" si="31"/>
        <v>25/02/2026Maternity</v>
      </c>
      <c r="L648" t="e">
        <f>VLOOKUP(K648, Sheet2!$A$2:$B$4186, 2,FALSE)</f>
        <v>#N/A</v>
      </c>
      <c r="M648">
        <f>VLOOKUP(C648,Depts!$B$1:$D$16,3,FALSE)</f>
        <v>34</v>
      </c>
      <c r="N648" s="1" t="b">
        <f t="shared" si="29"/>
        <v>1</v>
      </c>
    </row>
    <row r="649" spans="1:14">
      <c r="A649">
        <v>831</v>
      </c>
      <c r="B649">
        <v>189</v>
      </c>
      <c r="C649" t="s">
        <v>48</v>
      </c>
      <c r="D649" s="1">
        <v>46079</v>
      </c>
      <c r="E649" s="1">
        <v>46084</v>
      </c>
      <c r="F649" t="s">
        <v>56</v>
      </c>
      <c r="G649">
        <v>5</v>
      </c>
      <c r="H649">
        <v>54</v>
      </c>
      <c r="I649" t="s">
        <v>60</v>
      </c>
      <c r="J649">
        <f t="shared" si="30"/>
        <v>9</v>
      </c>
      <c r="K649" t="str">
        <f t="shared" si="31"/>
        <v>26/02/2026Orthopaedics</v>
      </c>
      <c r="L649" t="e">
        <f>VLOOKUP(K649, Sheet2!$A$2:$B$4186, 2,FALSE)</f>
        <v>#N/A</v>
      </c>
      <c r="M649">
        <f>VLOOKUP(C649,Depts!$B$1:$D$16,3,FALSE)</f>
        <v>40</v>
      </c>
      <c r="N649" s="1" t="b">
        <f t="shared" si="29"/>
        <v>1</v>
      </c>
    </row>
    <row r="650" spans="1:14">
      <c r="A650">
        <v>832</v>
      </c>
      <c r="B650">
        <v>836</v>
      </c>
      <c r="C650" t="s">
        <v>49</v>
      </c>
      <c r="D650" s="1">
        <v>46079</v>
      </c>
      <c r="E650" s="1">
        <v>46081</v>
      </c>
      <c r="F650" t="s">
        <v>57</v>
      </c>
      <c r="G650">
        <v>2</v>
      </c>
      <c r="H650">
        <v>44</v>
      </c>
      <c r="I650" t="s">
        <v>60</v>
      </c>
      <c r="J650">
        <f t="shared" si="30"/>
        <v>2.9333333333333331</v>
      </c>
      <c r="K650" t="str">
        <f t="shared" si="31"/>
        <v>26/02/2026Paediatrics</v>
      </c>
      <c r="L650" t="e">
        <f>VLOOKUP(K650, Sheet2!$A$2:$B$4186, 2,FALSE)</f>
        <v>#N/A</v>
      </c>
      <c r="M650">
        <f>VLOOKUP(C650,Depts!$B$1:$D$16,3,FALSE)</f>
        <v>30</v>
      </c>
      <c r="N650" s="1" t="b">
        <f t="shared" si="29"/>
        <v>1</v>
      </c>
    </row>
    <row r="651" spans="1:14">
      <c r="A651">
        <v>833</v>
      </c>
      <c r="B651">
        <v>14</v>
      </c>
      <c r="C651" t="s">
        <v>42</v>
      </c>
      <c r="D651" s="1">
        <v>46080</v>
      </c>
      <c r="E651" s="1">
        <v>46085</v>
      </c>
      <c r="F651" t="s">
        <v>56</v>
      </c>
      <c r="G651">
        <v>5</v>
      </c>
      <c r="H651">
        <v>31</v>
      </c>
      <c r="I651" t="s">
        <v>60</v>
      </c>
      <c r="J651">
        <f t="shared" si="30"/>
        <v>5.166666666666667</v>
      </c>
      <c r="K651" t="str">
        <f t="shared" si="31"/>
        <v>27/02/2026Gastroenterology</v>
      </c>
      <c r="L651" t="e">
        <f>VLOOKUP(K651, Sheet2!$A$2:$B$4186, 2,FALSE)</f>
        <v>#N/A</v>
      </c>
      <c r="M651">
        <f>VLOOKUP(C651,Depts!$B$1:$D$16,3,FALSE)</f>
        <v>29</v>
      </c>
      <c r="N651" s="1" t="b">
        <f t="shared" si="29"/>
        <v>1</v>
      </c>
    </row>
    <row r="652" spans="1:14">
      <c r="A652">
        <v>834</v>
      </c>
      <c r="B652">
        <v>449</v>
      </c>
      <c r="C652" t="s">
        <v>41</v>
      </c>
      <c r="D652" s="1">
        <v>46081</v>
      </c>
      <c r="E652" s="1">
        <v>46083</v>
      </c>
      <c r="F652" t="s">
        <v>57</v>
      </c>
      <c r="G652">
        <v>2</v>
      </c>
      <c r="H652">
        <v>36</v>
      </c>
      <c r="I652" t="s">
        <v>60</v>
      </c>
      <c r="J652">
        <f t="shared" si="30"/>
        <v>2.4</v>
      </c>
      <c r="K652" t="str">
        <f t="shared" si="31"/>
        <v>28/02/2026ENT</v>
      </c>
      <c r="L652" t="e">
        <f>VLOOKUP(K652, Sheet2!$A$2:$B$4186, 2,FALSE)</f>
        <v>#N/A</v>
      </c>
      <c r="M652">
        <f>VLOOKUP(C652,Depts!$B$1:$D$16,3,FALSE)</f>
        <v>20</v>
      </c>
      <c r="N652" s="1" t="b">
        <f t="shared" si="29"/>
        <v>1</v>
      </c>
    </row>
    <row r="653" spans="1:14">
      <c r="A653">
        <v>835</v>
      </c>
      <c r="B653">
        <v>93</v>
      </c>
      <c r="C653" t="s">
        <v>44</v>
      </c>
      <c r="D653" s="1">
        <v>46081</v>
      </c>
      <c r="E653" s="1">
        <v>46087</v>
      </c>
      <c r="F653" t="s">
        <v>56</v>
      </c>
      <c r="G653">
        <v>6</v>
      </c>
      <c r="H653">
        <v>36</v>
      </c>
      <c r="I653" t="s">
        <v>60</v>
      </c>
      <c r="J653">
        <f t="shared" si="30"/>
        <v>7.1999999999999993</v>
      </c>
      <c r="K653" t="str">
        <f t="shared" si="31"/>
        <v>28/02/2026Geriatrics</v>
      </c>
      <c r="L653" t="e">
        <f>VLOOKUP(K653, Sheet2!$A$2:$B$4186, 2,FALSE)</f>
        <v>#N/A</v>
      </c>
      <c r="M653">
        <f>VLOOKUP(C653,Depts!$B$1:$D$16,3,FALSE)</f>
        <v>46</v>
      </c>
      <c r="N653" s="1" t="b">
        <f t="shared" si="29"/>
        <v>1</v>
      </c>
    </row>
    <row r="654" spans="1:14">
      <c r="A654">
        <v>836</v>
      </c>
      <c r="B654">
        <v>738</v>
      </c>
      <c r="C654" t="s">
        <v>51</v>
      </c>
      <c r="D654" s="6" t="s">
        <v>74</v>
      </c>
      <c r="E654" s="1">
        <v>46083</v>
      </c>
      <c r="F654" t="s">
        <v>57</v>
      </c>
      <c r="G654">
        <v>2</v>
      </c>
      <c r="H654">
        <v>148</v>
      </c>
      <c r="I654" t="s">
        <v>60</v>
      </c>
      <c r="J654">
        <f t="shared" si="30"/>
        <v>9.8666666666666671</v>
      </c>
      <c r="K654" t="str">
        <f t="shared" si="31"/>
        <v>29/02/2026Respiratory</v>
      </c>
      <c r="L654" t="e">
        <f>VLOOKUP(K654, Sheet2!$A$2:$B$4186, 2,FALSE)</f>
        <v>#N/A</v>
      </c>
      <c r="M654">
        <f>VLOOKUP(C654,Depts!$B$1:$D$16,3,FALSE)</f>
        <v>36</v>
      </c>
      <c r="N654" s="1" t="b">
        <f t="shared" si="29"/>
        <v>0</v>
      </c>
    </row>
    <row r="655" spans="1:14">
      <c r="A655">
        <v>837</v>
      </c>
      <c r="B655">
        <v>390</v>
      </c>
      <c r="C655" t="s">
        <v>43</v>
      </c>
      <c r="D655" s="1">
        <v>46082</v>
      </c>
      <c r="E655" s="1">
        <v>46087</v>
      </c>
      <c r="F655" t="s">
        <v>56</v>
      </c>
      <c r="G655">
        <v>5</v>
      </c>
      <c r="H655">
        <v>43</v>
      </c>
      <c r="I655" t="s">
        <v>60</v>
      </c>
      <c r="J655">
        <f t="shared" si="30"/>
        <v>7.166666666666667</v>
      </c>
      <c r="K655" t="str">
        <f t="shared" si="31"/>
        <v>01/03/2026General Surgery</v>
      </c>
      <c r="L655" t="e">
        <f>VLOOKUP(K655, Sheet2!$A$2:$B$4186, 2,FALSE)</f>
        <v>#N/A</v>
      </c>
      <c r="M655">
        <f>VLOOKUP(C655,Depts!$B$1:$D$16,3,FALSE)</f>
        <v>44</v>
      </c>
      <c r="N655" s="1" t="b">
        <f t="shared" si="29"/>
        <v>1</v>
      </c>
    </row>
    <row r="656" spans="1:14">
      <c r="A656">
        <v>838</v>
      </c>
      <c r="B656">
        <v>582</v>
      </c>
      <c r="C656" t="s">
        <v>40</v>
      </c>
      <c r="D656" s="1">
        <v>46082</v>
      </c>
      <c r="E656" s="1">
        <v>46085</v>
      </c>
      <c r="F656" t="s">
        <v>58</v>
      </c>
      <c r="G656">
        <v>3</v>
      </c>
      <c r="H656">
        <v>36</v>
      </c>
      <c r="I656" t="s">
        <v>60</v>
      </c>
      <c r="J656">
        <f t="shared" si="30"/>
        <v>3.5999999999999996</v>
      </c>
      <c r="K656" t="str">
        <f t="shared" si="31"/>
        <v>01/03/2026Cardiology</v>
      </c>
      <c r="L656" t="e">
        <f>VLOOKUP(K656, Sheet2!$A$2:$B$4186, 2,FALSE)</f>
        <v>#N/A</v>
      </c>
      <c r="M656">
        <f>VLOOKUP(C656,Depts!$B$1:$D$16,3,FALSE)</f>
        <v>38</v>
      </c>
      <c r="N656" s="1" t="b">
        <f t="shared" si="29"/>
        <v>1</v>
      </c>
    </row>
    <row r="657" spans="1:14">
      <c r="A657">
        <v>839</v>
      </c>
      <c r="B657">
        <v>944</v>
      </c>
      <c r="C657" t="s">
        <v>47</v>
      </c>
      <c r="D657" s="1">
        <v>46083</v>
      </c>
      <c r="E657" s="1">
        <v>46088</v>
      </c>
      <c r="F657" t="s">
        <v>56</v>
      </c>
      <c r="G657">
        <v>5</v>
      </c>
      <c r="H657">
        <v>111</v>
      </c>
      <c r="I657" t="s">
        <v>60</v>
      </c>
      <c r="J657">
        <f t="shared" si="30"/>
        <v>18.5</v>
      </c>
      <c r="K657" t="str">
        <f t="shared" si="31"/>
        <v>02/03/2026Oncology</v>
      </c>
      <c r="L657" t="e">
        <f>VLOOKUP(K657, Sheet2!$A$2:$B$4186, 2,FALSE)</f>
        <v>#N/A</v>
      </c>
      <c r="M657">
        <f>VLOOKUP(C657,Depts!$B$1:$D$16,3,FALSE)</f>
        <v>28</v>
      </c>
      <c r="N657" s="1" t="b">
        <f t="shared" si="29"/>
        <v>1</v>
      </c>
    </row>
    <row r="658" spans="1:14">
      <c r="A658">
        <v>840</v>
      </c>
      <c r="B658">
        <v>659</v>
      </c>
      <c r="C658" t="s">
        <v>39</v>
      </c>
      <c r="D658" s="1">
        <v>46083</v>
      </c>
      <c r="E658" s="1">
        <v>46084</v>
      </c>
      <c r="F658" t="s">
        <v>57</v>
      </c>
      <c r="G658">
        <v>1</v>
      </c>
      <c r="H658">
        <v>15</v>
      </c>
      <c r="I658" t="s">
        <v>61</v>
      </c>
      <c r="J658">
        <f t="shared" si="30"/>
        <v>0.5</v>
      </c>
      <c r="K658" t="str">
        <f t="shared" si="31"/>
        <v>02/03/2026A&amp;E (Emergency)</v>
      </c>
      <c r="L658" t="e">
        <f>VLOOKUP(K658, Sheet2!$A$2:$B$4186, 2,FALSE)</f>
        <v>#N/A</v>
      </c>
      <c r="M658">
        <f>VLOOKUP(C658,Depts!$B$1:$D$16,3,FALSE)</f>
        <v>42</v>
      </c>
      <c r="N658" s="1" t="b">
        <f t="shared" si="29"/>
        <v>1</v>
      </c>
    </row>
    <row r="659" spans="1:14">
      <c r="A659">
        <v>841</v>
      </c>
      <c r="B659">
        <v>126</v>
      </c>
      <c r="C659" t="s">
        <v>50</v>
      </c>
      <c r="D659" s="1">
        <v>46084</v>
      </c>
      <c r="E659" s="1">
        <v>46089</v>
      </c>
      <c r="F659" t="s">
        <v>56</v>
      </c>
      <c r="G659">
        <v>5</v>
      </c>
      <c r="H659">
        <v>4</v>
      </c>
      <c r="I659" t="s">
        <v>60</v>
      </c>
      <c r="J659">
        <f t="shared" si="30"/>
        <v>0.66666666666666663</v>
      </c>
      <c r="K659" t="str">
        <f t="shared" si="31"/>
        <v>03/03/2026Renal Medicine</v>
      </c>
      <c r="L659" t="e">
        <f>VLOOKUP(K659, Sheet2!$A$2:$B$4186, 2,FALSE)</f>
        <v>#N/A</v>
      </c>
      <c r="M659">
        <f>VLOOKUP(C659,Depts!$B$1:$D$16,3,FALSE)</f>
        <v>26</v>
      </c>
      <c r="N659" s="1" t="b">
        <f t="shared" si="29"/>
        <v>1</v>
      </c>
    </row>
    <row r="660" spans="1:14">
      <c r="A660">
        <v>842</v>
      </c>
      <c r="B660">
        <v>50</v>
      </c>
      <c r="C660" t="s">
        <v>46</v>
      </c>
      <c r="D660" s="1">
        <v>46085</v>
      </c>
      <c r="E660" s="1">
        <v>46091</v>
      </c>
      <c r="F660" t="s">
        <v>56</v>
      </c>
      <c r="G660">
        <v>6</v>
      </c>
      <c r="H660">
        <v>63</v>
      </c>
      <c r="I660" t="s">
        <v>61</v>
      </c>
      <c r="J660">
        <f t="shared" si="30"/>
        <v>12.600000000000001</v>
      </c>
      <c r="K660" t="str">
        <f t="shared" si="31"/>
        <v>04/03/2026Neurology</v>
      </c>
      <c r="L660" t="e">
        <f>VLOOKUP(K660, Sheet2!$A$2:$B$4186, 2,FALSE)</f>
        <v>#N/A</v>
      </c>
      <c r="M660">
        <f>VLOOKUP(C660,Depts!$B$1:$D$16,3,FALSE)</f>
        <v>32</v>
      </c>
      <c r="N660" s="1" t="b">
        <f t="shared" si="29"/>
        <v>1</v>
      </c>
    </row>
    <row r="661" spans="1:14">
      <c r="A661">
        <v>843</v>
      </c>
      <c r="B661">
        <v>300</v>
      </c>
      <c r="C661" t="s">
        <v>45</v>
      </c>
      <c r="D661" s="1">
        <v>46085</v>
      </c>
      <c r="E661" s="1">
        <v>46087</v>
      </c>
      <c r="F661" t="s">
        <v>57</v>
      </c>
      <c r="G661">
        <v>2</v>
      </c>
      <c r="H661">
        <v>21</v>
      </c>
      <c r="I661" t="s">
        <v>60</v>
      </c>
      <c r="J661">
        <f t="shared" si="30"/>
        <v>1.4</v>
      </c>
      <c r="K661" t="str">
        <f t="shared" si="31"/>
        <v>04/03/2026Maternity</v>
      </c>
      <c r="L661" t="e">
        <f>VLOOKUP(K661, Sheet2!$A$2:$B$4186, 2,FALSE)</f>
        <v>#N/A</v>
      </c>
      <c r="M661">
        <f>VLOOKUP(C661,Depts!$B$1:$D$16,3,FALSE)</f>
        <v>34</v>
      </c>
      <c r="N661" s="1" t="b">
        <f t="shared" si="29"/>
        <v>1</v>
      </c>
    </row>
    <row r="662" spans="1:14">
      <c r="A662">
        <v>844</v>
      </c>
      <c r="B662">
        <v>705</v>
      </c>
      <c r="C662" t="s">
        <v>48</v>
      </c>
      <c r="D662" s="1">
        <v>46086</v>
      </c>
      <c r="E662" s="1">
        <v>46091</v>
      </c>
      <c r="F662" t="s">
        <v>56</v>
      </c>
      <c r="G662">
        <v>5</v>
      </c>
      <c r="H662">
        <v>25</v>
      </c>
      <c r="I662" t="s">
        <v>60</v>
      </c>
      <c r="J662">
        <f t="shared" si="30"/>
        <v>4.166666666666667</v>
      </c>
      <c r="K662" t="str">
        <f t="shared" si="31"/>
        <v>05/03/2026Orthopaedics</v>
      </c>
      <c r="L662" t="e">
        <f>VLOOKUP(K662, Sheet2!$A$2:$B$4186, 2,FALSE)</f>
        <v>#N/A</v>
      </c>
      <c r="M662">
        <f>VLOOKUP(C662,Depts!$B$1:$D$16,3,FALSE)</f>
        <v>40</v>
      </c>
      <c r="N662" s="1" t="b">
        <f t="shared" si="29"/>
        <v>1</v>
      </c>
    </row>
    <row r="663" spans="1:14">
      <c r="A663">
        <v>845</v>
      </c>
      <c r="B663">
        <v>435</v>
      </c>
      <c r="C663" t="s">
        <v>49</v>
      </c>
      <c r="D663" s="1">
        <v>46086</v>
      </c>
      <c r="E663" s="1">
        <v>46088</v>
      </c>
      <c r="F663" t="s">
        <v>57</v>
      </c>
      <c r="G663">
        <v>2</v>
      </c>
      <c r="H663">
        <v>43</v>
      </c>
      <c r="I663" t="s">
        <v>60</v>
      </c>
      <c r="J663">
        <f t="shared" si="30"/>
        <v>2.8666666666666667</v>
      </c>
      <c r="K663" t="str">
        <f t="shared" si="31"/>
        <v>05/03/2026Paediatrics</v>
      </c>
      <c r="L663" t="e">
        <f>VLOOKUP(K663, Sheet2!$A$2:$B$4186, 2,FALSE)</f>
        <v>#N/A</v>
      </c>
      <c r="M663">
        <f>VLOOKUP(C663,Depts!$B$1:$D$16,3,FALSE)</f>
        <v>30</v>
      </c>
      <c r="N663" s="1" t="b">
        <f t="shared" si="29"/>
        <v>1</v>
      </c>
    </row>
    <row r="664" spans="1:14">
      <c r="A664">
        <v>846</v>
      </c>
      <c r="B664">
        <v>882</v>
      </c>
      <c r="C664" t="s">
        <v>42</v>
      </c>
      <c r="D664" s="1">
        <v>46087</v>
      </c>
      <c r="E664" s="1">
        <v>46092</v>
      </c>
      <c r="F664" t="s">
        <v>56</v>
      </c>
      <c r="G664">
        <v>5</v>
      </c>
      <c r="H664">
        <v>110</v>
      </c>
      <c r="I664" t="s">
        <v>60</v>
      </c>
      <c r="J664">
        <f t="shared" si="30"/>
        <v>18.333333333333332</v>
      </c>
      <c r="K664" t="str">
        <f t="shared" si="31"/>
        <v>06/03/2026Gastroenterology</v>
      </c>
      <c r="L664" t="e">
        <f>VLOOKUP(K664, Sheet2!$A$2:$B$4186, 2,FALSE)</f>
        <v>#N/A</v>
      </c>
      <c r="M664">
        <f>VLOOKUP(C664,Depts!$B$1:$D$16,3,FALSE)</f>
        <v>29</v>
      </c>
      <c r="N664" s="1" t="b">
        <f t="shared" si="29"/>
        <v>1</v>
      </c>
    </row>
    <row r="665" spans="1:14">
      <c r="A665">
        <v>847</v>
      </c>
      <c r="B665">
        <v>564</v>
      </c>
      <c r="C665" t="s">
        <v>41</v>
      </c>
      <c r="D665" s="1">
        <v>46088</v>
      </c>
      <c r="E665" s="1">
        <v>46090</v>
      </c>
      <c r="F665" t="s">
        <v>57</v>
      </c>
      <c r="G665">
        <v>2</v>
      </c>
      <c r="H665">
        <v>44</v>
      </c>
      <c r="I665" t="s">
        <v>60</v>
      </c>
      <c r="J665">
        <f t="shared" si="30"/>
        <v>2.9333333333333331</v>
      </c>
      <c r="K665" t="str">
        <f t="shared" si="31"/>
        <v>07/03/2026ENT</v>
      </c>
      <c r="L665" t="e">
        <f>VLOOKUP(K665, Sheet2!$A$2:$B$4186, 2,FALSE)</f>
        <v>#N/A</v>
      </c>
      <c r="M665">
        <f>VLOOKUP(C665,Depts!$B$1:$D$16,3,FALSE)</f>
        <v>20</v>
      </c>
      <c r="N665" s="1" t="b">
        <f t="shared" si="29"/>
        <v>1</v>
      </c>
    </row>
    <row r="666" spans="1:14">
      <c r="A666">
        <v>848</v>
      </c>
      <c r="B666">
        <v>306</v>
      </c>
      <c r="C666" t="s">
        <v>44</v>
      </c>
      <c r="D666" s="1">
        <v>46088</v>
      </c>
      <c r="E666" s="1">
        <v>46094</v>
      </c>
      <c r="F666" t="s">
        <v>56</v>
      </c>
      <c r="G666">
        <v>6</v>
      </c>
      <c r="H666">
        <v>44</v>
      </c>
      <c r="I666" t="s">
        <v>60</v>
      </c>
      <c r="J666">
        <f t="shared" si="30"/>
        <v>8.7999999999999989</v>
      </c>
      <c r="K666" t="str">
        <f t="shared" si="31"/>
        <v>07/03/2026Geriatrics</v>
      </c>
      <c r="L666" t="e">
        <f>VLOOKUP(K666, Sheet2!$A$2:$B$4186, 2,FALSE)</f>
        <v>#N/A</v>
      </c>
      <c r="M666">
        <f>VLOOKUP(C666,Depts!$B$1:$D$16,3,FALSE)</f>
        <v>46</v>
      </c>
      <c r="N666" s="1" t="b">
        <f t="shared" si="29"/>
        <v>1</v>
      </c>
    </row>
    <row r="667" spans="1:14">
      <c r="A667">
        <v>849</v>
      </c>
      <c r="B667">
        <v>263</v>
      </c>
      <c r="C667" t="s">
        <v>51</v>
      </c>
      <c r="D667" s="1">
        <v>46089</v>
      </c>
      <c r="E667" s="1">
        <v>46091</v>
      </c>
      <c r="F667" t="s">
        <v>57</v>
      </c>
      <c r="G667">
        <v>2</v>
      </c>
      <c r="H667">
        <v>39</v>
      </c>
      <c r="I667" t="s">
        <v>60</v>
      </c>
      <c r="J667">
        <f t="shared" si="30"/>
        <v>2.6</v>
      </c>
      <c r="K667" t="str">
        <f t="shared" si="31"/>
        <v>08/03/2026Respiratory</v>
      </c>
      <c r="L667" t="e">
        <f>VLOOKUP(K667, Sheet2!$A$2:$B$4186, 2,FALSE)</f>
        <v>#N/A</v>
      </c>
      <c r="M667">
        <f>VLOOKUP(C667,Depts!$B$1:$D$16,3,FALSE)</f>
        <v>36</v>
      </c>
      <c r="N667" s="1" t="b">
        <f t="shared" si="29"/>
        <v>1</v>
      </c>
    </row>
    <row r="668" spans="1:14">
      <c r="A668">
        <v>850</v>
      </c>
      <c r="B668">
        <v>813</v>
      </c>
      <c r="C668" t="s">
        <v>43</v>
      </c>
      <c r="D668" s="1">
        <v>46090</v>
      </c>
      <c r="E668" s="1">
        <v>46095</v>
      </c>
      <c r="F668" t="s">
        <v>56</v>
      </c>
      <c r="G668">
        <v>5</v>
      </c>
      <c r="H668">
        <v>58</v>
      </c>
      <c r="I668" t="s">
        <v>60</v>
      </c>
      <c r="J668">
        <f t="shared" si="30"/>
        <v>9.6666666666666661</v>
      </c>
      <c r="K668" t="str">
        <f t="shared" si="31"/>
        <v>09/03/2026General Surgery</v>
      </c>
      <c r="L668" t="e">
        <f>VLOOKUP(K668, Sheet2!$A$2:$B$4186, 2,FALSE)</f>
        <v>#N/A</v>
      </c>
      <c r="M668">
        <f>VLOOKUP(C668,Depts!$B$1:$D$16,3,FALSE)</f>
        <v>44</v>
      </c>
      <c r="N668" s="1" t="b">
        <f t="shared" si="29"/>
        <v>1</v>
      </c>
    </row>
    <row r="669" spans="1:14">
      <c r="A669">
        <v>851</v>
      </c>
      <c r="B669">
        <v>758</v>
      </c>
      <c r="C669" t="s">
        <v>40</v>
      </c>
      <c r="D669" s="1">
        <v>46090</v>
      </c>
      <c r="E669" s="1">
        <v>46093</v>
      </c>
      <c r="F669" t="s">
        <v>58</v>
      </c>
      <c r="G669">
        <v>3</v>
      </c>
      <c r="H669">
        <v>16</v>
      </c>
      <c r="I669" t="s">
        <v>60</v>
      </c>
      <c r="J669">
        <f t="shared" si="30"/>
        <v>1.6</v>
      </c>
      <c r="K669" t="str">
        <f t="shared" si="31"/>
        <v>09/03/2026Cardiology</v>
      </c>
      <c r="L669" t="e">
        <f>VLOOKUP(K669, Sheet2!$A$2:$B$4186, 2,FALSE)</f>
        <v>#N/A</v>
      </c>
      <c r="M669">
        <f>VLOOKUP(C669,Depts!$B$1:$D$16,3,FALSE)</f>
        <v>38</v>
      </c>
      <c r="N669" s="1" t="b">
        <f t="shared" si="29"/>
        <v>1</v>
      </c>
    </row>
    <row r="670" spans="1:14">
      <c r="A670">
        <v>852</v>
      </c>
      <c r="B670">
        <v>874</v>
      </c>
      <c r="C670" t="s">
        <v>47</v>
      </c>
      <c r="D670" s="1">
        <v>46091</v>
      </c>
      <c r="E670" s="1">
        <v>46096</v>
      </c>
      <c r="F670" t="s">
        <v>56</v>
      </c>
      <c r="G670">
        <v>5</v>
      </c>
      <c r="H670">
        <v>123</v>
      </c>
      <c r="I670" t="s">
        <v>60</v>
      </c>
      <c r="J670">
        <f t="shared" si="30"/>
        <v>20.5</v>
      </c>
      <c r="K670" t="str">
        <f t="shared" si="31"/>
        <v>10/03/2026Oncology</v>
      </c>
      <c r="L670" t="e">
        <f>VLOOKUP(K670, Sheet2!$A$2:$B$4186, 2,FALSE)</f>
        <v>#N/A</v>
      </c>
      <c r="M670">
        <f>VLOOKUP(C670,Depts!$B$1:$D$16,3,FALSE)</f>
        <v>28</v>
      </c>
      <c r="N670" s="1" t="b">
        <f t="shared" si="29"/>
        <v>1</v>
      </c>
    </row>
    <row r="671" spans="1:14">
      <c r="A671">
        <v>853</v>
      </c>
      <c r="B671">
        <v>431</v>
      </c>
      <c r="C671" t="s">
        <v>39</v>
      </c>
      <c r="D671" s="1">
        <v>46091</v>
      </c>
      <c r="E671" s="1">
        <v>46092</v>
      </c>
      <c r="F671" t="s">
        <v>57</v>
      </c>
      <c r="G671">
        <v>1</v>
      </c>
      <c r="H671">
        <v>36</v>
      </c>
      <c r="I671" t="s">
        <v>60</v>
      </c>
      <c r="J671">
        <f t="shared" si="30"/>
        <v>1.2</v>
      </c>
      <c r="K671" t="str">
        <f t="shared" si="31"/>
        <v>10/03/2026A&amp;E (Emergency)</v>
      </c>
      <c r="L671" t="e">
        <f>VLOOKUP(K671, Sheet2!$A$2:$B$4186, 2,FALSE)</f>
        <v>#N/A</v>
      </c>
      <c r="M671">
        <f>VLOOKUP(C671,Depts!$B$1:$D$16,3,FALSE)</f>
        <v>42</v>
      </c>
      <c r="N671" s="1" t="b">
        <f t="shared" si="29"/>
        <v>1</v>
      </c>
    </row>
    <row r="672" spans="1:14">
      <c r="A672">
        <v>854</v>
      </c>
      <c r="B672">
        <v>111</v>
      </c>
      <c r="C672" t="s">
        <v>50</v>
      </c>
      <c r="D672" s="1">
        <v>46092</v>
      </c>
      <c r="E672" s="1">
        <v>46097</v>
      </c>
      <c r="F672" t="s">
        <v>56</v>
      </c>
      <c r="G672">
        <v>5</v>
      </c>
      <c r="H672">
        <v>20</v>
      </c>
      <c r="I672" t="s">
        <v>60</v>
      </c>
      <c r="J672">
        <f t="shared" si="30"/>
        <v>3.333333333333333</v>
      </c>
      <c r="K672" t="str">
        <f t="shared" si="31"/>
        <v>11/03/2026Renal Medicine</v>
      </c>
      <c r="L672" t="e">
        <f>VLOOKUP(K672, Sheet2!$A$2:$B$4186, 2,FALSE)</f>
        <v>#N/A</v>
      </c>
      <c r="M672">
        <f>VLOOKUP(C672,Depts!$B$1:$D$16,3,FALSE)</f>
        <v>26</v>
      </c>
      <c r="N672" s="1" t="b">
        <f t="shared" si="29"/>
        <v>1</v>
      </c>
    </row>
    <row r="673" spans="1:14">
      <c r="A673">
        <v>855</v>
      </c>
      <c r="B673">
        <v>19</v>
      </c>
      <c r="C673" t="s">
        <v>46</v>
      </c>
      <c r="D673" s="1">
        <v>46093</v>
      </c>
      <c r="E673" s="1">
        <v>46099</v>
      </c>
      <c r="F673" t="s">
        <v>56</v>
      </c>
      <c r="G673">
        <v>6</v>
      </c>
      <c r="H673">
        <v>12</v>
      </c>
      <c r="I673" t="s">
        <v>61</v>
      </c>
      <c r="J673">
        <f t="shared" si="30"/>
        <v>2.4000000000000004</v>
      </c>
      <c r="K673" t="str">
        <f t="shared" si="31"/>
        <v>12/03/2026Neurology</v>
      </c>
      <c r="L673" t="e">
        <f>VLOOKUP(K673, Sheet2!$A$2:$B$4186, 2,FALSE)</f>
        <v>#N/A</v>
      </c>
      <c r="M673">
        <f>VLOOKUP(C673,Depts!$B$1:$D$16,3,FALSE)</f>
        <v>32</v>
      </c>
      <c r="N673" s="1" t="b">
        <f t="shared" si="29"/>
        <v>1</v>
      </c>
    </row>
    <row r="674" spans="1:14">
      <c r="A674">
        <v>856</v>
      </c>
      <c r="B674">
        <v>708</v>
      </c>
      <c r="C674" t="s">
        <v>45</v>
      </c>
      <c r="D674" s="1">
        <v>46093</v>
      </c>
      <c r="E674" s="1">
        <v>46095</v>
      </c>
      <c r="F674" t="s">
        <v>57</v>
      </c>
      <c r="G674">
        <v>2</v>
      </c>
      <c r="H674">
        <v>216</v>
      </c>
      <c r="I674" t="s">
        <v>60</v>
      </c>
      <c r="J674">
        <f t="shared" si="30"/>
        <v>14.4</v>
      </c>
      <c r="K674" t="str">
        <f t="shared" si="31"/>
        <v>12/03/2026Maternity</v>
      </c>
      <c r="L674" t="e">
        <f>VLOOKUP(K674, Sheet2!$A$2:$B$4186, 2,FALSE)</f>
        <v>#N/A</v>
      </c>
      <c r="M674">
        <f>VLOOKUP(C674,Depts!$B$1:$D$16,3,FALSE)</f>
        <v>34</v>
      </c>
      <c r="N674" s="1" t="b">
        <f t="shared" si="29"/>
        <v>1</v>
      </c>
    </row>
    <row r="675" spans="1:14">
      <c r="A675">
        <v>857</v>
      </c>
      <c r="B675">
        <v>371</v>
      </c>
      <c r="C675" t="s">
        <v>48</v>
      </c>
      <c r="D675" s="1">
        <v>46094</v>
      </c>
      <c r="E675" s="1">
        <v>46099</v>
      </c>
      <c r="F675" t="s">
        <v>56</v>
      </c>
      <c r="G675">
        <v>5</v>
      </c>
      <c r="H675">
        <v>21</v>
      </c>
      <c r="I675" t="s">
        <v>60</v>
      </c>
      <c r="J675">
        <f t="shared" si="30"/>
        <v>3.5</v>
      </c>
      <c r="K675" t="str">
        <f t="shared" si="31"/>
        <v>13/03/2026Orthopaedics</v>
      </c>
      <c r="L675" t="e">
        <f>VLOOKUP(K675, Sheet2!$A$2:$B$4186, 2,FALSE)</f>
        <v>#N/A</v>
      </c>
      <c r="M675">
        <f>VLOOKUP(C675,Depts!$B$1:$D$16,3,FALSE)</f>
        <v>40</v>
      </c>
      <c r="N675" s="1" t="b">
        <f t="shared" si="29"/>
        <v>1</v>
      </c>
    </row>
    <row r="676" spans="1:14">
      <c r="A676">
        <v>858</v>
      </c>
      <c r="B676">
        <v>611</v>
      </c>
      <c r="C676" t="s">
        <v>49</v>
      </c>
      <c r="D676" s="1">
        <v>46094</v>
      </c>
      <c r="E676" s="1">
        <v>46096</v>
      </c>
      <c r="F676" t="s">
        <v>57</v>
      </c>
      <c r="G676">
        <v>2</v>
      </c>
      <c r="H676">
        <v>44</v>
      </c>
      <c r="I676" t="s">
        <v>60</v>
      </c>
      <c r="J676">
        <f t="shared" si="30"/>
        <v>2.9333333333333331</v>
      </c>
      <c r="K676" t="str">
        <f t="shared" si="31"/>
        <v>13/03/2026Paediatrics</v>
      </c>
      <c r="L676" t="e">
        <f>VLOOKUP(K676, Sheet2!$A$2:$B$4186, 2,FALSE)</f>
        <v>#N/A</v>
      </c>
      <c r="M676">
        <f>VLOOKUP(C676,Depts!$B$1:$D$16,3,FALSE)</f>
        <v>30</v>
      </c>
      <c r="N676" s="1" t="b">
        <f t="shared" si="29"/>
        <v>1</v>
      </c>
    </row>
    <row r="677" spans="1:14">
      <c r="A677">
        <v>859</v>
      </c>
      <c r="B677">
        <v>753</v>
      </c>
      <c r="C677" t="s">
        <v>42</v>
      </c>
      <c r="D677" s="1">
        <v>46095</v>
      </c>
      <c r="E677" s="1">
        <v>46100</v>
      </c>
      <c r="F677" t="s">
        <v>56</v>
      </c>
      <c r="G677">
        <v>5</v>
      </c>
      <c r="H677">
        <v>148</v>
      </c>
      <c r="I677" t="s">
        <v>60</v>
      </c>
      <c r="J677">
        <f t="shared" si="30"/>
        <v>24.666666666666668</v>
      </c>
      <c r="K677" t="str">
        <f t="shared" si="31"/>
        <v>14/03/2026Gastroenterology</v>
      </c>
      <c r="L677" t="e">
        <f>VLOOKUP(K677, Sheet2!$A$2:$B$4186, 2,FALSE)</f>
        <v>#N/A</v>
      </c>
      <c r="M677">
        <f>VLOOKUP(C677,Depts!$B$1:$D$16,3,FALSE)</f>
        <v>29</v>
      </c>
      <c r="N677" s="1" t="b">
        <f t="shared" si="29"/>
        <v>1</v>
      </c>
    </row>
    <row r="678" spans="1:14">
      <c r="A678">
        <v>860</v>
      </c>
      <c r="B678">
        <v>922</v>
      </c>
      <c r="C678" t="s">
        <v>41</v>
      </c>
      <c r="D678" s="1">
        <v>46096</v>
      </c>
      <c r="E678" s="1">
        <v>46098</v>
      </c>
      <c r="F678" t="s">
        <v>57</v>
      </c>
      <c r="G678">
        <v>2</v>
      </c>
      <c r="H678">
        <v>13</v>
      </c>
      <c r="I678" t="s">
        <v>60</v>
      </c>
      <c r="J678">
        <f t="shared" si="30"/>
        <v>0.8666666666666667</v>
      </c>
      <c r="K678" t="str">
        <f t="shared" si="31"/>
        <v>15/03/2026ENT</v>
      </c>
      <c r="L678" t="e">
        <f>VLOOKUP(K678, Sheet2!$A$2:$B$4186, 2,FALSE)</f>
        <v>#N/A</v>
      </c>
      <c r="M678">
        <f>VLOOKUP(C678,Depts!$B$1:$D$16,3,FALSE)</f>
        <v>20</v>
      </c>
      <c r="N678" s="1" t="b">
        <f t="shared" si="29"/>
        <v>1</v>
      </c>
    </row>
    <row r="679" spans="1:14">
      <c r="A679">
        <v>861</v>
      </c>
      <c r="B679">
        <v>619</v>
      </c>
      <c r="C679" t="s">
        <v>44</v>
      </c>
      <c r="D679" s="1">
        <v>46096</v>
      </c>
      <c r="E679" s="1">
        <v>46102</v>
      </c>
      <c r="F679" t="s">
        <v>56</v>
      </c>
      <c r="G679">
        <v>6</v>
      </c>
      <c r="H679">
        <v>126</v>
      </c>
      <c r="I679" t="s">
        <v>60</v>
      </c>
      <c r="J679">
        <f t="shared" si="30"/>
        <v>25.200000000000003</v>
      </c>
      <c r="K679" t="str">
        <f t="shared" si="31"/>
        <v>15/03/2026Geriatrics</v>
      </c>
      <c r="L679" t="e">
        <f>VLOOKUP(K679, Sheet2!$A$2:$B$4186, 2,FALSE)</f>
        <v>#N/A</v>
      </c>
      <c r="M679">
        <f>VLOOKUP(C679,Depts!$B$1:$D$16,3,FALSE)</f>
        <v>46</v>
      </c>
      <c r="N679" s="1" t="b">
        <f t="shared" si="29"/>
        <v>1</v>
      </c>
    </row>
    <row r="680" spans="1:14">
      <c r="A680">
        <v>862</v>
      </c>
      <c r="B680">
        <v>546</v>
      </c>
      <c r="C680" t="s">
        <v>51</v>
      </c>
      <c r="D680" s="1">
        <v>46097</v>
      </c>
      <c r="E680" s="1">
        <v>46099</v>
      </c>
      <c r="F680" t="s">
        <v>57</v>
      </c>
      <c r="G680">
        <v>2</v>
      </c>
      <c r="H680">
        <v>44</v>
      </c>
      <c r="I680" t="s">
        <v>60</v>
      </c>
      <c r="J680">
        <f t="shared" si="30"/>
        <v>2.9333333333333331</v>
      </c>
      <c r="K680" t="str">
        <f t="shared" si="31"/>
        <v>16/03/2026Respiratory</v>
      </c>
      <c r="L680" t="e">
        <f>VLOOKUP(K680, Sheet2!$A$2:$B$4186, 2,FALSE)</f>
        <v>#N/A</v>
      </c>
      <c r="M680">
        <f>VLOOKUP(C680,Depts!$B$1:$D$16,3,FALSE)</f>
        <v>36</v>
      </c>
      <c r="N680" s="1" t="b">
        <f t="shared" si="29"/>
        <v>1</v>
      </c>
    </row>
    <row r="681" spans="1:14">
      <c r="A681">
        <v>863</v>
      </c>
      <c r="B681">
        <v>483</v>
      </c>
      <c r="C681" t="s">
        <v>43</v>
      </c>
      <c r="D681" s="1">
        <v>46098</v>
      </c>
      <c r="E681" s="1">
        <v>46103</v>
      </c>
      <c r="F681" t="s">
        <v>56</v>
      </c>
      <c r="G681">
        <v>5</v>
      </c>
      <c r="H681">
        <v>118</v>
      </c>
      <c r="I681" t="s">
        <v>60</v>
      </c>
      <c r="J681">
        <f t="shared" si="30"/>
        <v>19.666666666666664</v>
      </c>
      <c r="K681" t="str">
        <f t="shared" si="31"/>
        <v>17/03/2026General Surgery</v>
      </c>
      <c r="L681" t="e">
        <f>VLOOKUP(K681, Sheet2!$A$2:$B$4186, 2,FALSE)</f>
        <v>#N/A</v>
      </c>
      <c r="M681">
        <f>VLOOKUP(C681,Depts!$B$1:$D$16,3,FALSE)</f>
        <v>44</v>
      </c>
      <c r="N681" s="1" t="b">
        <f t="shared" si="29"/>
        <v>1</v>
      </c>
    </row>
    <row r="682" spans="1:14">
      <c r="A682">
        <v>864</v>
      </c>
      <c r="B682">
        <v>865</v>
      </c>
      <c r="C682" t="s">
        <v>40</v>
      </c>
      <c r="D682" s="1">
        <v>46098</v>
      </c>
      <c r="E682" s="1">
        <v>46101</v>
      </c>
      <c r="F682" t="s">
        <v>58</v>
      </c>
      <c r="G682">
        <v>3</v>
      </c>
      <c r="H682">
        <v>43</v>
      </c>
      <c r="I682" t="s">
        <v>61</v>
      </c>
      <c r="J682">
        <f t="shared" si="30"/>
        <v>4.3</v>
      </c>
      <c r="K682" t="str">
        <f t="shared" si="31"/>
        <v>17/03/2026Cardiology</v>
      </c>
      <c r="L682" t="e">
        <f>VLOOKUP(K682, Sheet2!$A$2:$B$4186, 2,FALSE)</f>
        <v>#N/A</v>
      </c>
      <c r="M682">
        <f>VLOOKUP(C682,Depts!$B$1:$D$16,3,FALSE)</f>
        <v>38</v>
      </c>
      <c r="N682" s="1" t="b">
        <f t="shared" si="29"/>
        <v>1</v>
      </c>
    </row>
    <row r="683" spans="1:14">
      <c r="A683">
        <v>865</v>
      </c>
      <c r="B683">
        <v>223</v>
      </c>
      <c r="C683" t="s">
        <v>47</v>
      </c>
      <c r="D683" s="1">
        <v>46099</v>
      </c>
      <c r="E683" s="1">
        <v>46104</v>
      </c>
      <c r="F683" t="s">
        <v>56</v>
      </c>
      <c r="G683">
        <v>5</v>
      </c>
      <c r="H683">
        <v>21</v>
      </c>
      <c r="I683" t="s">
        <v>60</v>
      </c>
      <c r="J683">
        <f t="shared" si="30"/>
        <v>3.5</v>
      </c>
      <c r="K683" t="str">
        <f t="shared" si="31"/>
        <v>18/03/2026Oncology</v>
      </c>
      <c r="L683" t="e">
        <f>VLOOKUP(K683, Sheet2!$A$2:$B$4186, 2,FALSE)</f>
        <v>#N/A</v>
      </c>
      <c r="M683">
        <f>VLOOKUP(C683,Depts!$B$1:$D$16,3,FALSE)</f>
        <v>28</v>
      </c>
      <c r="N683" s="1" t="b">
        <f t="shared" si="29"/>
        <v>1</v>
      </c>
    </row>
    <row r="684" spans="1:14">
      <c r="A684">
        <v>866</v>
      </c>
      <c r="B684">
        <v>118</v>
      </c>
      <c r="C684" t="s">
        <v>39</v>
      </c>
      <c r="D684" s="1">
        <v>46099</v>
      </c>
      <c r="E684" s="1">
        <v>46100</v>
      </c>
      <c r="F684" t="s">
        <v>57</v>
      </c>
      <c r="G684">
        <v>1</v>
      </c>
      <c r="H684">
        <v>21</v>
      </c>
      <c r="I684" t="s">
        <v>60</v>
      </c>
      <c r="J684">
        <f t="shared" si="30"/>
        <v>0.7</v>
      </c>
      <c r="K684" t="str">
        <f t="shared" si="31"/>
        <v>18/03/2026A&amp;E (Emergency)</v>
      </c>
      <c r="L684" t="e">
        <f>VLOOKUP(K684, Sheet2!$A$2:$B$4186, 2,FALSE)</f>
        <v>#N/A</v>
      </c>
      <c r="M684">
        <f>VLOOKUP(C684,Depts!$B$1:$D$16,3,FALSE)</f>
        <v>42</v>
      </c>
      <c r="N684" s="1" t="b">
        <f t="shared" si="29"/>
        <v>1</v>
      </c>
    </row>
    <row r="685" spans="1:14">
      <c r="A685">
        <v>867</v>
      </c>
      <c r="B685">
        <v>553</v>
      </c>
      <c r="C685" t="s">
        <v>50</v>
      </c>
      <c r="D685" s="1">
        <v>46100</v>
      </c>
      <c r="E685" s="1">
        <v>46105</v>
      </c>
      <c r="F685" t="s">
        <v>56</v>
      </c>
      <c r="G685">
        <v>5</v>
      </c>
      <c r="H685">
        <v>42</v>
      </c>
      <c r="I685" t="s">
        <v>61</v>
      </c>
      <c r="J685">
        <f t="shared" si="30"/>
        <v>7</v>
      </c>
      <c r="K685" t="str">
        <f t="shared" si="31"/>
        <v>19/03/2026Renal Medicine</v>
      </c>
      <c r="L685" t="e">
        <f>VLOOKUP(K685, Sheet2!$A$2:$B$4186, 2,FALSE)</f>
        <v>#N/A</v>
      </c>
      <c r="M685">
        <f>VLOOKUP(C685,Depts!$B$1:$D$16,3,FALSE)</f>
        <v>26</v>
      </c>
      <c r="N685" s="1" t="b">
        <f t="shared" si="29"/>
        <v>1</v>
      </c>
    </row>
    <row r="686" spans="1:14">
      <c r="A686">
        <v>868</v>
      </c>
      <c r="B686">
        <v>749</v>
      </c>
      <c r="C686" t="s">
        <v>46</v>
      </c>
      <c r="D686" s="1">
        <v>46101</v>
      </c>
      <c r="E686" s="1">
        <v>46107</v>
      </c>
      <c r="F686" t="s">
        <v>56</v>
      </c>
      <c r="G686">
        <v>6</v>
      </c>
      <c r="H686">
        <v>120</v>
      </c>
      <c r="I686" t="s">
        <v>60</v>
      </c>
      <c r="J686">
        <f t="shared" si="30"/>
        <v>24</v>
      </c>
      <c r="K686" t="str">
        <f t="shared" si="31"/>
        <v>20/03/2026Neurology</v>
      </c>
      <c r="L686" t="e">
        <f>VLOOKUP(K686, Sheet2!$A$2:$B$4186, 2,FALSE)</f>
        <v>#N/A</v>
      </c>
      <c r="M686">
        <f>VLOOKUP(C686,Depts!$B$1:$D$16,3,FALSE)</f>
        <v>32</v>
      </c>
      <c r="N686" s="1" t="b">
        <f t="shared" si="29"/>
        <v>1</v>
      </c>
    </row>
    <row r="687" spans="1:14">
      <c r="A687">
        <v>869</v>
      </c>
      <c r="B687">
        <v>115</v>
      </c>
      <c r="C687" t="s">
        <v>45</v>
      </c>
      <c r="D687" s="1">
        <v>46101</v>
      </c>
      <c r="E687" s="1">
        <v>46103</v>
      </c>
      <c r="F687" t="s">
        <v>57</v>
      </c>
      <c r="G687">
        <v>2</v>
      </c>
      <c r="H687">
        <v>22</v>
      </c>
      <c r="I687" t="s">
        <v>61</v>
      </c>
      <c r="J687">
        <f t="shared" si="30"/>
        <v>1.4666666666666666</v>
      </c>
      <c r="K687" t="str">
        <f t="shared" si="31"/>
        <v>20/03/2026Maternity</v>
      </c>
      <c r="L687" t="e">
        <f>VLOOKUP(K687, Sheet2!$A$2:$B$4186, 2,FALSE)</f>
        <v>#N/A</v>
      </c>
      <c r="M687">
        <f>VLOOKUP(C687,Depts!$B$1:$D$16,3,FALSE)</f>
        <v>34</v>
      </c>
      <c r="N687" s="1" t="b">
        <f t="shared" si="29"/>
        <v>1</v>
      </c>
    </row>
    <row r="688" spans="1:14">
      <c r="A688">
        <v>870</v>
      </c>
      <c r="B688">
        <v>456</v>
      </c>
      <c r="C688" t="s">
        <v>48</v>
      </c>
      <c r="D688" s="1">
        <v>46102</v>
      </c>
      <c r="E688" s="1">
        <v>46107</v>
      </c>
      <c r="F688" t="s">
        <v>56</v>
      </c>
      <c r="G688">
        <v>5</v>
      </c>
      <c r="H688">
        <v>226</v>
      </c>
      <c r="I688" t="s">
        <v>60</v>
      </c>
      <c r="J688">
        <f t="shared" si="30"/>
        <v>37.666666666666664</v>
      </c>
      <c r="K688" t="str">
        <f t="shared" si="31"/>
        <v>21/03/2026Orthopaedics</v>
      </c>
      <c r="L688" t="e">
        <f>VLOOKUP(K688, Sheet2!$A$2:$B$4186, 2,FALSE)</f>
        <v>#N/A</v>
      </c>
      <c r="M688">
        <f>VLOOKUP(C688,Depts!$B$1:$D$16,3,FALSE)</f>
        <v>40</v>
      </c>
      <c r="N688" s="1" t="b">
        <f t="shared" si="29"/>
        <v>1</v>
      </c>
    </row>
    <row r="689" spans="1:14">
      <c r="A689">
        <v>871</v>
      </c>
      <c r="B689">
        <v>495</v>
      </c>
      <c r="C689" t="s">
        <v>49</v>
      </c>
      <c r="D689" s="1">
        <v>46102</v>
      </c>
      <c r="E689" s="1">
        <v>46104</v>
      </c>
      <c r="F689" t="s">
        <v>57</v>
      </c>
      <c r="G689">
        <v>2</v>
      </c>
      <c r="H689">
        <v>22</v>
      </c>
      <c r="I689" t="s">
        <v>60</v>
      </c>
      <c r="J689">
        <f t="shared" si="30"/>
        <v>1.4666666666666666</v>
      </c>
      <c r="K689" t="str">
        <f t="shared" si="31"/>
        <v>21/03/2026Paediatrics</v>
      </c>
      <c r="L689" t="e">
        <f>VLOOKUP(K689, Sheet2!$A$2:$B$4186, 2,FALSE)</f>
        <v>#N/A</v>
      </c>
      <c r="M689">
        <f>VLOOKUP(C689,Depts!$B$1:$D$16,3,FALSE)</f>
        <v>30</v>
      </c>
      <c r="N689" s="1" t="b">
        <f t="shared" ref="N689:N752" si="32">ISNUMBER(D689)</f>
        <v>1</v>
      </c>
    </row>
    <row r="690" spans="1:14">
      <c r="A690">
        <v>872</v>
      </c>
      <c r="B690">
        <v>137</v>
      </c>
      <c r="C690" t="s">
        <v>42</v>
      </c>
      <c r="D690" s="1">
        <v>46103</v>
      </c>
      <c r="E690" s="1">
        <v>46108</v>
      </c>
      <c r="F690" t="s">
        <v>56</v>
      </c>
      <c r="G690">
        <v>5</v>
      </c>
      <c r="H690">
        <v>34</v>
      </c>
      <c r="I690" t="s">
        <v>60</v>
      </c>
      <c r="J690">
        <f t="shared" si="30"/>
        <v>5.6666666666666661</v>
      </c>
      <c r="K690" t="str">
        <f t="shared" si="31"/>
        <v>22/03/2026Gastroenterology</v>
      </c>
      <c r="L690" t="e">
        <f>VLOOKUP(K690, Sheet2!$A$2:$B$4186, 2,FALSE)</f>
        <v>#N/A</v>
      </c>
      <c r="M690">
        <f>VLOOKUP(C690,Depts!$B$1:$D$16,3,FALSE)</f>
        <v>29</v>
      </c>
      <c r="N690" s="1" t="b">
        <f t="shared" si="32"/>
        <v>1</v>
      </c>
    </row>
    <row r="691" spans="1:14">
      <c r="A691">
        <v>873</v>
      </c>
      <c r="B691">
        <v>307</v>
      </c>
      <c r="C691" t="s">
        <v>41</v>
      </c>
      <c r="D691" s="1">
        <v>46104</v>
      </c>
      <c r="E691" s="1">
        <v>46106</v>
      </c>
      <c r="F691" t="s">
        <v>57</v>
      </c>
      <c r="G691">
        <v>2</v>
      </c>
      <c r="H691">
        <v>4</v>
      </c>
      <c r="I691" t="s">
        <v>60</v>
      </c>
      <c r="J691">
        <f t="shared" si="30"/>
        <v>0.26666666666666666</v>
      </c>
      <c r="K691" t="str">
        <f t="shared" si="31"/>
        <v>23/03/2026ENT</v>
      </c>
      <c r="L691" t="e">
        <f>VLOOKUP(K691, Sheet2!$A$2:$B$4186, 2,FALSE)</f>
        <v>#N/A</v>
      </c>
      <c r="M691">
        <f>VLOOKUP(C691,Depts!$B$1:$D$16,3,FALSE)</f>
        <v>20</v>
      </c>
      <c r="N691" s="1" t="b">
        <f t="shared" si="32"/>
        <v>1</v>
      </c>
    </row>
    <row r="692" spans="1:14">
      <c r="A692">
        <v>874</v>
      </c>
      <c r="B692">
        <v>174</v>
      </c>
      <c r="C692" t="s">
        <v>44</v>
      </c>
      <c r="D692" s="1">
        <v>46104</v>
      </c>
      <c r="E692" s="1">
        <v>46110</v>
      </c>
      <c r="F692" t="s">
        <v>56</v>
      </c>
      <c r="G692">
        <v>6</v>
      </c>
      <c r="H692">
        <v>42</v>
      </c>
      <c r="I692" t="s">
        <v>60</v>
      </c>
      <c r="J692">
        <f t="shared" si="30"/>
        <v>8.3999999999999986</v>
      </c>
      <c r="K692" t="str">
        <f t="shared" si="31"/>
        <v>23/03/2026Geriatrics</v>
      </c>
      <c r="L692" t="e">
        <f>VLOOKUP(K692, Sheet2!$A$2:$B$4186, 2,FALSE)</f>
        <v>#N/A</v>
      </c>
      <c r="M692">
        <f>VLOOKUP(C692,Depts!$B$1:$D$16,3,FALSE)</f>
        <v>46</v>
      </c>
      <c r="N692" s="1" t="b">
        <f t="shared" si="32"/>
        <v>1</v>
      </c>
    </row>
    <row r="693" spans="1:14">
      <c r="A693">
        <v>875</v>
      </c>
      <c r="B693">
        <v>154</v>
      </c>
      <c r="C693" t="s">
        <v>51</v>
      </c>
      <c r="D693" s="1">
        <v>46105</v>
      </c>
      <c r="E693" s="1">
        <v>46107</v>
      </c>
      <c r="F693" t="s">
        <v>57</v>
      </c>
      <c r="G693">
        <v>2</v>
      </c>
      <c r="H693">
        <v>1</v>
      </c>
      <c r="I693" t="s">
        <v>60</v>
      </c>
      <c r="J693">
        <f t="shared" si="30"/>
        <v>6.6666666666666666E-2</v>
      </c>
      <c r="K693" t="str">
        <f t="shared" si="31"/>
        <v>24/03/2026Respiratory</v>
      </c>
      <c r="L693" t="e">
        <f>VLOOKUP(K693, Sheet2!$A$2:$B$4186, 2,FALSE)</f>
        <v>#N/A</v>
      </c>
      <c r="M693">
        <f>VLOOKUP(C693,Depts!$B$1:$D$16,3,FALSE)</f>
        <v>36</v>
      </c>
      <c r="N693" s="1" t="b">
        <f t="shared" si="32"/>
        <v>1</v>
      </c>
    </row>
    <row r="694" spans="1:14">
      <c r="A694">
        <v>876</v>
      </c>
      <c r="B694">
        <v>999</v>
      </c>
      <c r="C694" t="s">
        <v>43</v>
      </c>
      <c r="D694" s="1">
        <v>46106</v>
      </c>
      <c r="E694" s="1">
        <v>46111</v>
      </c>
      <c r="F694" t="s">
        <v>56</v>
      </c>
      <c r="G694">
        <v>5</v>
      </c>
      <c r="H694">
        <v>42</v>
      </c>
      <c r="I694" t="s">
        <v>60</v>
      </c>
      <c r="J694">
        <f t="shared" si="30"/>
        <v>7</v>
      </c>
      <c r="K694" t="str">
        <f t="shared" si="31"/>
        <v>25/03/2026General Surgery</v>
      </c>
      <c r="L694" t="e">
        <f>VLOOKUP(K694, Sheet2!$A$2:$B$4186, 2,FALSE)</f>
        <v>#N/A</v>
      </c>
      <c r="M694">
        <f>VLOOKUP(C694,Depts!$B$1:$D$16,3,FALSE)</f>
        <v>44</v>
      </c>
      <c r="N694" s="1" t="b">
        <f t="shared" si="32"/>
        <v>1</v>
      </c>
    </row>
    <row r="695" spans="1:14">
      <c r="A695">
        <v>877</v>
      </c>
      <c r="B695">
        <v>124</v>
      </c>
      <c r="C695" t="s">
        <v>40</v>
      </c>
      <c r="D695" s="1">
        <v>46106</v>
      </c>
      <c r="E695" s="1">
        <v>46109</v>
      </c>
      <c r="F695" t="s">
        <v>58</v>
      </c>
      <c r="G695">
        <v>3</v>
      </c>
      <c r="H695">
        <v>238</v>
      </c>
      <c r="I695" t="s">
        <v>60</v>
      </c>
      <c r="J695">
        <f t="shared" si="30"/>
        <v>23.8</v>
      </c>
      <c r="K695" t="str">
        <f t="shared" si="31"/>
        <v>25/03/2026Cardiology</v>
      </c>
      <c r="L695" t="e">
        <f>VLOOKUP(K695, Sheet2!$A$2:$B$4186, 2,FALSE)</f>
        <v>#N/A</v>
      </c>
      <c r="M695">
        <f>VLOOKUP(C695,Depts!$B$1:$D$16,3,FALSE)</f>
        <v>38</v>
      </c>
      <c r="N695" s="1" t="b">
        <f t="shared" si="32"/>
        <v>1</v>
      </c>
    </row>
    <row r="696" spans="1:14">
      <c r="A696">
        <v>878</v>
      </c>
      <c r="B696">
        <v>271</v>
      </c>
      <c r="C696" t="s">
        <v>47</v>
      </c>
      <c r="D696" s="1">
        <v>46107</v>
      </c>
      <c r="E696" s="1">
        <v>46112</v>
      </c>
      <c r="F696" t="s">
        <v>56</v>
      </c>
      <c r="G696">
        <v>5</v>
      </c>
      <c r="H696">
        <v>27</v>
      </c>
      <c r="I696" t="s">
        <v>60</v>
      </c>
      <c r="J696">
        <f t="shared" si="30"/>
        <v>4.5</v>
      </c>
      <c r="K696" t="str">
        <f t="shared" si="31"/>
        <v>26/03/2026Oncology</v>
      </c>
      <c r="L696" t="e">
        <f>VLOOKUP(K696, Sheet2!$A$2:$B$4186, 2,FALSE)</f>
        <v>#N/A</v>
      </c>
      <c r="M696">
        <f>VLOOKUP(C696,Depts!$B$1:$D$16,3,FALSE)</f>
        <v>28</v>
      </c>
      <c r="N696" s="1" t="b">
        <f t="shared" si="32"/>
        <v>1</v>
      </c>
    </row>
    <row r="697" spans="1:14">
      <c r="A697">
        <v>879</v>
      </c>
      <c r="B697">
        <v>705</v>
      </c>
      <c r="C697" t="s">
        <v>39</v>
      </c>
      <c r="D697" s="1">
        <v>46107</v>
      </c>
      <c r="E697" s="1">
        <v>46108</v>
      </c>
      <c r="F697" t="s">
        <v>57</v>
      </c>
      <c r="G697">
        <v>1</v>
      </c>
      <c r="H697">
        <v>69</v>
      </c>
      <c r="I697" t="s">
        <v>60</v>
      </c>
      <c r="J697">
        <f t="shared" si="30"/>
        <v>2.2999999999999998</v>
      </c>
      <c r="K697" t="str">
        <f t="shared" si="31"/>
        <v>26/03/2026A&amp;E (Emergency)</v>
      </c>
      <c r="L697" t="e">
        <f>VLOOKUP(K697, Sheet2!$A$2:$B$4186, 2,FALSE)</f>
        <v>#N/A</v>
      </c>
      <c r="M697">
        <f>VLOOKUP(C697,Depts!$B$1:$D$16,3,FALSE)</f>
        <v>42</v>
      </c>
      <c r="N697" s="1" t="b">
        <f t="shared" si="32"/>
        <v>1</v>
      </c>
    </row>
    <row r="698" spans="1:14">
      <c r="A698">
        <v>880</v>
      </c>
      <c r="B698">
        <v>597</v>
      </c>
      <c r="C698" t="s">
        <v>50</v>
      </c>
      <c r="D698" s="1">
        <v>46108</v>
      </c>
      <c r="E698" s="1">
        <v>46113</v>
      </c>
      <c r="F698" t="s">
        <v>56</v>
      </c>
      <c r="G698">
        <v>5</v>
      </c>
      <c r="H698">
        <v>43</v>
      </c>
      <c r="I698" t="s">
        <v>60</v>
      </c>
      <c r="J698">
        <f t="shared" si="30"/>
        <v>7.166666666666667</v>
      </c>
      <c r="K698" t="str">
        <f t="shared" si="31"/>
        <v>27/03/2026Renal Medicine</v>
      </c>
      <c r="L698" t="e">
        <f>VLOOKUP(K698, Sheet2!$A$2:$B$4186, 2,FALSE)</f>
        <v>#N/A</v>
      </c>
      <c r="M698">
        <f>VLOOKUP(C698,Depts!$B$1:$D$16,3,FALSE)</f>
        <v>26</v>
      </c>
      <c r="N698" s="1" t="b">
        <f t="shared" si="32"/>
        <v>1</v>
      </c>
    </row>
    <row r="699" spans="1:14">
      <c r="A699">
        <v>881</v>
      </c>
      <c r="B699">
        <v>750</v>
      </c>
      <c r="C699" t="s">
        <v>46</v>
      </c>
      <c r="D699" s="1">
        <v>46109</v>
      </c>
      <c r="E699" s="1">
        <v>46115</v>
      </c>
      <c r="F699" t="s">
        <v>56</v>
      </c>
      <c r="G699">
        <v>6</v>
      </c>
      <c r="H699">
        <v>40</v>
      </c>
      <c r="I699" t="s">
        <v>60</v>
      </c>
      <c r="J699">
        <f t="shared" si="30"/>
        <v>8</v>
      </c>
      <c r="K699" t="str">
        <f t="shared" si="31"/>
        <v>28/03/2026Neurology</v>
      </c>
      <c r="L699" t="e">
        <f>VLOOKUP(K699, Sheet2!$A$2:$B$4186, 2,FALSE)</f>
        <v>#N/A</v>
      </c>
      <c r="M699">
        <f>VLOOKUP(C699,Depts!$B$1:$D$16,3,FALSE)</f>
        <v>32</v>
      </c>
      <c r="N699" s="1" t="b">
        <f t="shared" si="32"/>
        <v>1</v>
      </c>
    </row>
    <row r="700" spans="1:14">
      <c r="A700">
        <v>882</v>
      </c>
      <c r="B700">
        <v>574</v>
      </c>
      <c r="C700" t="s">
        <v>45</v>
      </c>
      <c r="D700" s="1">
        <v>46109</v>
      </c>
      <c r="E700" s="1">
        <v>46111</v>
      </c>
      <c r="F700" t="s">
        <v>57</v>
      </c>
      <c r="G700">
        <v>2</v>
      </c>
      <c r="H700">
        <v>44</v>
      </c>
      <c r="I700" t="s">
        <v>60</v>
      </c>
      <c r="J700">
        <f t="shared" si="30"/>
        <v>2.9333333333333331</v>
      </c>
      <c r="K700" t="str">
        <f t="shared" si="31"/>
        <v>28/03/2026Maternity</v>
      </c>
      <c r="L700" t="e">
        <f>VLOOKUP(K700, Sheet2!$A$2:$B$4186, 2,FALSE)</f>
        <v>#N/A</v>
      </c>
      <c r="M700">
        <f>VLOOKUP(C700,Depts!$B$1:$D$16,3,FALSE)</f>
        <v>34</v>
      </c>
      <c r="N700" s="1" t="b">
        <f t="shared" si="32"/>
        <v>1</v>
      </c>
    </row>
    <row r="701" spans="1:14">
      <c r="A701">
        <v>883</v>
      </c>
      <c r="B701">
        <v>335</v>
      </c>
      <c r="C701" t="s">
        <v>48</v>
      </c>
      <c r="D701" s="1">
        <v>46110</v>
      </c>
      <c r="E701" s="1">
        <v>46115</v>
      </c>
      <c r="F701" t="s">
        <v>56</v>
      </c>
      <c r="G701">
        <v>5</v>
      </c>
      <c r="H701">
        <v>228</v>
      </c>
      <c r="I701" t="s">
        <v>61</v>
      </c>
      <c r="J701">
        <f t="shared" si="30"/>
        <v>38</v>
      </c>
      <c r="K701" t="str">
        <f t="shared" si="31"/>
        <v>29/03/2026Orthopaedics</v>
      </c>
      <c r="L701" t="e">
        <f>VLOOKUP(K701, Sheet2!$A$2:$B$4186, 2,FALSE)</f>
        <v>#N/A</v>
      </c>
      <c r="M701">
        <f>VLOOKUP(C701,Depts!$B$1:$D$16,3,FALSE)</f>
        <v>40</v>
      </c>
      <c r="N701" s="1" t="b">
        <f t="shared" si="32"/>
        <v>1</v>
      </c>
    </row>
    <row r="702" spans="1:14">
      <c r="A702">
        <v>884</v>
      </c>
      <c r="B702">
        <v>69</v>
      </c>
      <c r="C702" t="s">
        <v>49</v>
      </c>
      <c r="D702" s="1">
        <v>46110</v>
      </c>
      <c r="E702" s="1">
        <v>46112</v>
      </c>
      <c r="F702" t="s">
        <v>57</v>
      </c>
      <c r="G702">
        <v>2</v>
      </c>
      <c r="H702">
        <v>14</v>
      </c>
      <c r="I702" t="s">
        <v>60</v>
      </c>
      <c r="J702">
        <f t="shared" si="30"/>
        <v>0.93333333333333335</v>
      </c>
      <c r="K702" t="str">
        <f t="shared" si="31"/>
        <v>29/03/2026Paediatrics</v>
      </c>
      <c r="L702" t="e">
        <f>VLOOKUP(K702, Sheet2!$A$2:$B$4186, 2,FALSE)</f>
        <v>#N/A</v>
      </c>
      <c r="M702">
        <f>VLOOKUP(C702,Depts!$B$1:$D$16,3,FALSE)</f>
        <v>30</v>
      </c>
      <c r="N702" s="1" t="b">
        <f t="shared" si="32"/>
        <v>1</v>
      </c>
    </row>
    <row r="703" spans="1:14">
      <c r="A703">
        <v>885</v>
      </c>
      <c r="B703">
        <v>725</v>
      </c>
      <c r="C703" t="s">
        <v>42</v>
      </c>
      <c r="D703" s="1">
        <v>46111</v>
      </c>
      <c r="E703" s="1">
        <v>46116</v>
      </c>
      <c r="F703" t="s">
        <v>56</v>
      </c>
      <c r="G703">
        <v>5</v>
      </c>
      <c r="H703">
        <v>18</v>
      </c>
      <c r="I703" t="s">
        <v>60</v>
      </c>
      <c r="J703">
        <f t="shared" si="30"/>
        <v>3</v>
      </c>
      <c r="K703" t="str">
        <f t="shared" si="31"/>
        <v>30/03/2026Gastroenterology</v>
      </c>
      <c r="L703" t="e">
        <f>VLOOKUP(K703, Sheet2!$A$2:$B$4186, 2,FALSE)</f>
        <v>#N/A</v>
      </c>
      <c r="M703">
        <f>VLOOKUP(C703,Depts!$B$1:$D$16,3,FALSE)</f>
        <v>29</v>
      </c>
      <c r="N703" s="1" t="b">
        <f t="shared" si="32"/>
        <v>1</v>
      </c>
    </row>
    <row r="704" spans="1:14">
      <c r="A704">
        <v>886</v>
      </c>
      <c r="B704">
        <v>754</v>
      </c>
      <c r="C704" t="s">
        <v>41</v>
      </c>
      <c r="D704" s="1">
        <v>46113</v>
      </c>
      <c r="E704" s="1">
        <v>46115</v>
      </c>
      <c r="F704" t="s">
        <v>57</v>
      </c>
      <c r="G704">
        <v>2</v>
      </c>
      <c r="H704">
        <v>42</v>
      </c>
      <c r="I704" t="s">
        <v>60</v>
      </c>
      <c r="J704">
        <f t="shared" si="30"/>
        <v>2.8</v>
      </c>
      <c r="K704" t="str">
        <f t="shared" si="31"/>
        <v>01/04/2026ENT</v>
      </c>
      <c r="L704" t="e">
        <f>VLOOKUP(K704, Sheet2!$A$2:$B$4186, 2,FALSE)</f>
        <v>#N/A</v>
      </c>
      <c r="M704">
        <f>VLOOKUP(C704,Depts!$B$1:$D$16,3,FALSE)</f>
        <v>20</v>
      </c>
      <c r="N704" s="1" t="b">
        <f t="shared" si="32"/>
        <v>1</v>
      </c>
    </row>
    <row r="705" spans="1:14">
      <c r="A705">
        <v>887</v>
      </c>
      <c r="B705">
        <v>869</v>
      </c>
      <c r="C705" t="s">
        <v>44</v>
      </c>
      <c r="D705" s="1">
        <v>46113</v>
      </c>
      <c r="E705" s="1">
        <v>46119</v>
      </c>
      <c r="F705" t="s">
        <v>56</v>
      </c>
      <c r="G705">
        <v>6</v>
      </c>
      <c r="H705">
        <v>109</v>
      </c>
      <c r="I705" t="s">
        <v>60</v>
      </c>
      <c r="J705">
        <f t="shared" si="30"/>
        <v>21.8</v>
      </c>
      <c r="K705" t="str">
        <f t="shared" si="31"/>
        <v>01/04/2026Geriatrics</v>
      </c>
      <c r="L705" t="e">
        <f>VLOOKUP(K705, Sheet2!$A$2:$B$4186, 2,FALSE)</f>
        <v>#N/A</v>
      </c>
      <c r="M705">
        <f>VLOOKUP(C705,Depts!$B$1:$D$16,3,FALSE)</f>
        <v>46</v>
      </c>
      <c r="N705" s="1" t="b">
        <f t="shared" si="32"/>
        <v>1</v>
      </c>
    </row>
    <row r="706" spans="1:14">
      <c r="A706">
        <v>888</v>
      </c>
      <c r="B706">
        <v>818</v>
      </c>
      <c r="C706" t="s">
        <v>51</v>
      </c>
      <c r="D706" s="1">
        <v>46114</v>
      </c>
      <c r="E706" s="1">
        <v>46116</v>
      </c>
      <c r="F706" t="s">
        <v>57</v>
      </c>
      <c r="G706">
        <v>2</v>
      </c>
      <c r="H706">
        <v>42</v>
      </c>
      <c r="I706" t="s">
        <v>60</v>
      </c>
      <c r="J706">
        <f t="shared" si="30"/>
        <v>2.8</v>
      </c>
      <c r="K706" t="str">
        <f t="shared" si="31"/>
        <v>02/04/2026Respiratory</v>
      </c>
      <c r="L706" t="e">
        <f>VLOOKUP(K706, Sheet2!$A$2:$B$4186, 2,FALSE)</f>
        <v>#N/A</v>
      </c>
      <c r="M706">
        <f>VLOOKUP(C706,Depts!$B$1:$D$16,3,FALSE)</f>
        <v>36</v>
      </c>
      <c r="N706" s="1" t="b">
        <f t="shared" si="32"/>
        <v>1</v>
      </c>
    </row>
    <row r="707" spans="1:14">
      <c r="A707">
        <v>889</v>
      </c>
      <c r="B707">
        <v>558</v>
      </c>
      <c r="C707" t="s">
        <v>43</v>
      </c>
      <c r="D707" s="1">
        <v>46115</v>
      </c>
      <c r="E707" s="1">
        <v>46120</v>
      </c>
      <c r="F707" t="s">
        <v>56</v>
      </c>
      <c r="G707">
        <v>5</v>
      </c>
      <c r="H707">
        <v>10</v>
      </c>
      <c r="I707" t="s">
        <v>60</v>
      </c>
      <c r="J707">
        <f t="shared" ref="J707:J770" si="33">G707*(H707/30)</f>
        <v>1.6666666666666665</v>
      </c>
      <c r="K707" t="str">
        <f t="shared" ref="K707:K770" si="34">TEXT(D707, "dd/mm/yyyy")&amp;C707</f>
        <v>03/04/2026General Surgery</v>
      </c>
      <c r="L707" t="e">
        <f>VLOOKUP(K707, Sheet2!$A$2:$B$4186, 2,FALSE)</f>
        <v>#N/A</v>
      </c>
      <c r="M707">
        <f>VLOOKUP(C707,Depts!$B$1:$D$16,3,FALSE)</f>
        <v>44</v>
      </c>
      <c r="N707" s="1" t="b">
        <f t="shared" si="32"/>
        <v>1</v>
      </c>
    </row>
    <row r="708" spans="1:14">
      <c r="A708">
        <v>890</v>
      </c>
      <c r="B708">
        <v>634</v>
      </c>
      <c r="C708" t="s">
        <v>40</v>
      </c>
      <c r="D708" s="1">
        <v>46115</v>
      </c>
      <c r="E708" s="1">
        <v>46118</v>
      </c>
      <c r="F708" t="s">
        <v>58</v>
      </c>
      <c r="G708">
        <v>3</v>
      </c>
      <c r="H708">
        <v>119</v>
      </c>
      <c r="I708" t="s">
        <v>60</v>
      </c>
      <c r="J708">
        <f t="shared" si="33"/>
        <v>11.9</v>
      </c>
      <c r="K708" t="str">
        <f t="shared" si="34"/>
        <v>03/04/2026Cardiology</v>
      </c>
      <c r="L708" t="e">
        <f>VLOOKUP(K708, Sheet2!$A$2:$B$4186, 2,FALSE)</f>
        <v>#N/A</v>
      </c>
      <c r="M708">
        <f>VLOOKUP(C708,Depts!$B$1:$D$16,3,FALSE)</f>
        <v>38</v>
      </c>
      <c r="N708" s="1" t="b">
        <f t="shared" si="32"/>
        <v>1</v>
      </c>
    </row>
    <row r="709" spans="1:14">
      <c r="A709">
        <v>891</v>
      </c>
      <c r="B709">
        <v>975</v>
      </c>
      <c r="C709" t="s">
        <v>47</v>
      </c>
      <c r="D709" s="1">
        <v>46116</v>
      </c>
      <c r="E709" s="1">
        <v>46121</v>
      </c>
      <c r="F709" t="s">
        <v>56</v>
      </c>
      <c r="G709">
        <v>5</v>
      </c>
      <c r="H709">
        <v>34</v>
      </c>
      <c r="I709" t="s">
        <v>60</v>
      </c>
      <c r="J709">
        <f t="shared" si="33"/>
        <v>5.6666666666666661</v>
      </c>
      <c r="K709" t="str">
        <f t="shared" si="34"/>
        <v>04/04/2026Oncology</v>
      </c>
      <c r="L709" t="e">
        <f>VLOOKUP(K709, Sheet2!$A$2:$B$4186, 2,FALSE)</f>
        <v>#N/A</v>
      </c>
      <c r="M709">
        <f>VLOOKUP(C709,Depts!$B$1:$D$16,3,FALSE)</f>
        <v>28</v>
      </c>
      <c r="N709" s="1" t="b">
        <f t="shared" si="32"/>
        <v>1</v>
      </c>
    </row>
    <row r="710" spans="1:14">
      <c r="A710">
        <v>892</v>
      </c>
      <c r="B710">
        <v>409</v>
      </c>
      <c r="C710" t="s">
        <v>39</v>
      </c>
      <c r="D710" s="1">
        <v>46116</v>
      </c>
      <c r="E710" s="1">
        <v>46117</v>
      </c>
      <c r="F710" t="s">
        <v>57</v>
      </c>
      <c r="G710">
        <v>1</v>
      </c>
      <c r="H710">
        <v>232</v>
      </c>
      <c r="I710" t="s">
        <v>60</v>
      </c>
      <c r="J710">
        <f t="shared" si="33"/>
        <v>7.7333333333333334</v>
      </c>
      <c r="K710" t="str">
        <f t="shared" si="34"/>
        <v>04/04/2026A&amp;E (Emergency)</v>
      </c>
      <c r="L710" t="e">
        <f>VLOOKUP(K710, Sheet2!$A$2:$B$4186, 2,FALSE)</f>
        <v>#N/A</v>
      </c>
      <c r="M710">
        <f>VLOOKUP(C710,Depts!$B$1:$D$16,3,FALSE)</f>
        <v>42</v>
      </c>
      <c r="N710" s="1" t="b">
        <f t="shared" si="32"/>
        <v>1</v>
      </c>
    </row>
    <row r="711" spans="1:14">
      <c r="A711">
        <v>893</v>
      </c>
      <c r="B711">
        <v>252</v>
      </c>
      <c r="C711" t="s">
        <v>50</v>
      </c>
      <c r="D711" s="1">
        <v>46117</v>
      </c>
      <c r="E711" s="1">
        <v>46122</v>
      </c>
      <c r="F711" t="s">
        <v>56</v>
      </c>
      <c r="G711">
        <v>5</v>
      </c>
      <c r="H711">
        <v>41</v>
      </c>
      <c r="I711" t="s">
        <v>60</v>
      </c>
      <c r="J711">
        <f t="shared" si="33"/>
        <v>6.8333333333333339</v>
      </c>
      <c r="K711" t="str">
        <f t="shared" si="34"/>
        <v>05/04/2026Renal Medicine</v>
      </c>
      <c r="L711" t="e">
        <f>VLOOKUP(K711, Sheet2!$A$2:$B$4186, 2,FALSE)</f>
        <v>#N/A</v>
      </c>
      <c r="M711">
        <f>VLOOKUP(C711,Depts!$B$1:$D$16,3,FALSE)</f>
        <v>26</v>
      </c>
      <c r="N711" s="1" t="b">
        <f t="shared" si="32"/>
        <v>1</v>
      </c>
    </row>
    <row r="712" spans="1:14">
      <c r="A712">
        <v>894</v>
      </c>
      <c r="B712">
        <v>563</v>
      </c>
      <c r="C712" t="s">
        <v>46</v>
      </c>
      <c r="D712" s="1">
        <v>46118</v>
      </c>
      <c r="E712" s="1">
        <v>46124</v>
      </c>
      <c r="F712" t="s">
        <v>56</v>
      </c>
      <c r="G712">
        <v>6</v>
      </c>
      <c r="H712">
        <v>26</v>
      </c>
      <c r="I712" t="s">
        <v>60</v>
      </c>
      <c r="J712">
        <f t="shared" si="33"/>
        <v>5.2</v>
      </c>
      <c r="K712" t="str">
        <f t="shared" si="34"/>
        <v>06/04/2026Neurology</v>
      </c>
      <c r="L712" t="e">
        <f>VLOOKUP(K712, Sheet2!$A$2:$B$4186, 2,FALSE)</f>
        <v>#N/A</v>
      </c>
      <c r="M712">
        <f>VLOOKUP(C712,Depts!$B$1:$D$16,3,FALSE)</f>
        <v>32</v>
      </c>
      <c r="N712" s="1" t="b">
        <f t="shared" si="32"/>
        <v>1</v>
      </c>
    </row>
    <row r="713" spans="1:14">
      <c r="A713">
        <v>895</v>
      </c>
      <c r="B713">
        <v>798</v>
      </c>
      <c r="C713" t="s">
        <v>45</v>
      </c>
      <c r="D713" s="1">
        <v>46118</v>
      </c>
      <c r="E713" s="1">
        <v>46120</v>
      </c>
      <c r="F713" t="s">
        <v>57</v>
      </c>
      <c r="G713">
        <v>2</v>
      </c>
      <c r="H713">
        <v>31</v>
      </c>
      <c r="I713" t="s">
        <v>60</v>
      </c>
      <c r="J713">
        <f t="shared" si="33"/>
        <v>2.0666666666666669</v>
      </c>
      <c r="K713" t="str">
        <f t="shared" si="34"/>
        <v>06/04/2026Maternity</v>
      </c>
      <c r="L713" t="e">
        <f>VLOOKUP(K713, Sheet2!$A$2:$B$4186, 2,FALSE)</f>
        <v>#N/A</v>
      </c>
      <c r="M713">
        <f>VLOOKUP(C713,Depts!$B$1:$D$16,3,FALSE)</f>
        <v>34</v>
      </c>
      <c r="N713" s="1" t="b">
        <f t="shared" si="32"/>
        <v>1</v>
      </c>
    </row>
    <row r="714" spans="1:14">
      <c r="A714">
        <v>896</v>
      </c>
      <c r="B714">
        <v>572</v>
      </c>
      <c r="C714" t="s">
        <v>48</v>
      </c>
      <c r="D714" s="1">
        <v>46119</v>
      </c>
      <c r="E714" s="1">
        <v>46124</v>
      </c>
      <c r="F714" t="s">
        <v>56</v>
      </c>
      <c r="G714">
        <v>5</v>
      </c>
      <c r="H714">
        <v>21</v>
      </c>
      <c r="I714" t="s">
        <v>60</v>
      </c>
      <c r="J714">
        <f t="shared" si="33"/>
        <v>3.5</v>
      </c>
      <c r="K714" t="str">
        <f t="shared" si="34"/>
        <v>07/04/2026Orthopaedics</v>
      </c>
      <c r="L714" t="e">
        <f>VLOOKUP(K714, Sheet2!$A$2:$B$4186, 2,FALSE)</f>
        <v>#N/A</v>
      </c>
      <c r="M714">
        <f>VLOOKUP(C714,Depts!$B$1:$D$16,3,FALSE)</f>
        <v>40</v>
      </c>
      <c r="N714" s="1" t="b">
        <f t="shared" si="32"/>
        <v>1</v>
      </c>
    </row>
    <row r="715" spans="1:14">
      <c r="A715">
        <v>897</v>
      </c>
      <c r="B715">
        <v>425</v>
      </c>
      <c r="C715" t="s">
        <v>49</v>
      </c>
      <c r="D715" s="1">
        <v>46119</v>
      </c>
      <c r="E715" s="1">
        <v>46121</v>
      </c>
      <c r="F715" t="s">
        <v>57</v>
      </c>
      <c r="G715">
        <v>2</v>
      </c>
      <c r="H715">
        <v>4</v>
      </c>
      <c r="I715" t="s">
        <v>60</v>
      </c>
      <c r="J715">
        <f t="shared" si="33"/>
        <v>0.26666666666666666</v>
      </c>
      <c r="K715" t="str">
        <f t="shared" si="34"/>
        <v>07/04/2026Paediatrics</v>
      </c>
      <c r="L715" t="e">
        <f>VLOOKUP(K715, Sheet2!$A$2:$B$4186, 2,FALSE)</f>
        <v>#N/A</v>
      </c>
      <c r="M715">
        <f>VLOOKUP(C715,Depts!$B$1:$D$16,3,FALSE)</f>
        <v>30</v>
      </c>
      <c r="N715" s="1" t="b">
        <f t="shared" si="32"/>
        <v>1</v>
      </c>
    </row>
    <row r="716" spans="1:14">
      <c r="A716">
        <v>898</v>
      </c>
      <c r="B716">
        <v>594</v>
      </c>
      <c r="C716" t="s">
        <v>42</v>
      </c>
      <c r="D716" s="1">
        <v>46120</v>
      </c>
      <c r="E716" s="1">
        <v>46125</v>
      </c>
      <c r="F716" t="s">
        <v>56</v>
      </c>
      <c r="G716">
        <v>5</v>
      </c>
      <c r="H716">
        <v>13</v>
      </c>
      <c r="I716" t="s">
        <v>60</v>
      </c>
      <c r="J716">
        <f t="shared" si="33"/>
        <v>2.166666666666667</v>
      </c>
      <c r="K716" t="str">
        <f t="shared" si="34"/>
        <v>08/04/2026Gastroenterology</v>
      </c>
      <c r="L716" t="e">
        <f>VLOOKUP(K716, Sheet2!$A$2:$B$4186, 2,FALSE)</f>
        <v>#N/A</v>
      </c>
      <c r="M716">
        <f>VLOOKUP(C716,Depts!$B$1:$D$16,3,FALSE)</f>
        <v>29</v>
      </c>
      <c r="N716" s="1" t="b">
        <f t="shared" si="32"/>
        <v>1</v>
      </c>
    </row>
    <row r="717" spans="1:14">
      <c r="A717">
        <v>899</v>
      </c>
      <c r="B717">
        <v>500</v>
      </c>
      <c r="C717" t="s">
        <v>41</v>
      </c>
      <c r="D717" s="1">
        <v>46121</v>
      </c>
      <c r="E717" s="1">
        <v>46123</v>
      </c>
      <c r="F717" t="s">
        <v>57</v>
      </c>
      <c r="G717">
        <v>2</v>
      </c>
      <c r="H717">
        <v>130</v>
      </c>
      <c r="I717" t="s">
        <v>60</v>
      </c>
      <c r="J717">
        <f t="shared" si="33"/>
        <v>8.6666666666666661</v>
      </c>
      <c r="K717" t="str">
        <f t="shared" si="34"/>
        <v>09/04/2026ENT</v>
      </c>
      <c r="L717" t="e">
        <f>VLOOKUP(K717, Sheet2!$A$2:$B$4186, 2,FALSE)</f>
        <v>#N/A</v>
      </c>
      <c r="M717">
        <f>VLOOKUP(C717,Depts!$B$1:$D$16,3,FALSE)</f>
        <v>20</v>
      </c>
      <c r="N717" s="1" t="b">
        <f t="shared" si="32"/>
        <v>1</v>
      </c>
    </row>
    <row r="718" spans="1:14">
      <c r="A718">
        <v>900</v>
      </c>
      <c r="B718">
        <v>183</v>
      </c>
      <c r="C718" t="s">
        <v>44</v>
      </c>
      <c r="D718" s="1">
        <v>46121</v>
      </c>
      <c r="E718" s="1">
        <v>46127</v>
      </c>
      <c r="F718" t="s">
        <v>56</v>
      </c>
      <c r="G718">
        <v>6</v>
      </c>
      <c r="H718">
        <v>32</v>
      </c>
      <c r="I718" t="s">
        <v>60</v>
      </c>
      <c r="J718">
        <f t="shared" si="33"/>
        <v>6.4</v>
      </c>
      <c r="K718" t="str">
        <f t="shared" si="34"/>
        <v>09/04/2026Geriatrics</v>
      </c>
      <c r="L718" t="e">
        <f>VLOOKUP(K718, Sheet2!$A$2:$B$4186, 2,FALSE)</f>
        <v>#N/A</v>
      </c>
      <c r="M718">
        <f>VLOOKUP(C718,Depts!$B$1:$D$16,3,FALSE)</f>
        <v>46</v>
      </c>
      <c r="N718" s="1" t="b">
        <f t="shared" si="32"/>
        <v>1</v>
      </c>
    </row>
    <row r="719" spans="1:14">
      <c r="A719">
        <v>901</v>
      </c>
      <c r="B719">
        <v>370</v>
      </c>
      <c r="C719" t="s">
        <v>51</v>
      </c>
      <c r="D719" s="1">
        <v>46122</v>
      </c>
      <c r="E719" s="1">
        <v>46124</v>
      </c>
      <c r="F719" t="s">
        <v>57</v>
      </c>
      <c r="G719">
        <v>2</v>
      </c>
      <c r="H719">
        <v>143</v>
      </c>
      <c r="I719" t="s">
        <v>60</v>
      </c>
      <c r="J719">
        <f t="shared" si="33"/>
        <v>9.5333333333333332</v>
      </c>
      <c r="K719" t="str">
        <f t="shared" si="34"/>
        <v>10/04/2026Respiratory</v>
      </c>
      <c r="L719" t="e">
        <f>VLOOKUP(K719, Sheet2!$A$2:$B$4186, 2,FALSE)</f>
        <v>#N/A</v>
      </c>
      <c r="M719">
        <f>VLOOKUP(C719,Depts!$B$1:$D$16,3,FALSE)</f>
        <v>36</v>
      </c>
      <c r="N719" s="1" t="b">
        <f t="shared" si="32"/>
        <v>1</v>
      </c>
    </row>
    <row r="720" spans="1:14">
      <c r="A720">
        <v>902</v>
      </c>
      <c r="B720">
        <v>393</v>
      </c>
      <c r="C720" t="s">
        <v>43</v>
      </c>
      <c r="D720" s="1">
        <v>46123</v>
      </c>
      <c r="E720" s="1">
        <v>46128</v>
      </c>
      <c r="F720" t="s">
        <v>56</v>
      </c>
      <c r="G720">
        <v>5</v>
      </c>
      <c r="H720">
        <v>37</v>
      </c>
      <c r="I720" t="s">
        <v>60</v>
      </c>
      <c r="J720">
        <f t="shared" si="33"/>
        <v>6.166666666666667</v>
      </c>
      <c r="K720" t="str">
        <f t="shared" si="34"/>
        <v>11/04/2026General Surgery</v>
      </c>
      <c r="L720" t="e">
        <f>VLOOKUP(K720, Sheet2!$A$2:$B$4186, 2,FALSE)</f>
        <v>#N/A</v>
      </c>
      <c r="M720">
        <f>VLOOKUP(C720,Depts!$B$1:$D$16,3,FALSE)</f>
        <v>44</v>
      </c>
      <c r="N720" s="1" t="b">
        <f t="shared" si="32"/>
        <v>1</v>
      </c>
    </row>
    <row r="721" spans="1:14">
      <c r="A721">
        <v>903</v>
      </c>
      <c r="B721">
        <v>445</v>
      </c>
      <c r="C721" t="s">
        <v>40</v>
      </c>
      <c r="D721" s="1">
        <v>46123</v>
      </c>
      <c r="E721" s="1">
        <v>46126</v>
      </c>
      <c r="F721" t="s">
        <v>58</v>
      </c>
      <c r="G721">
        <v>3</v>
      </c>
      <c r="H721">
        <v>216</v>
      </c>
      <c r="I721" t="s">
        <v>60</v>
      </c>
      <c r="J721">
        <f t="shared" si="33"/>
        <v>21.6</v>
      </c>
      <c r="K721" t="str">
        <f t="shared" si="34"/>
        <v>11/04/2026Cardiology</v>
      </c>
      <c r="L721" t="e">
        <f>VLOOKUP(K721, Sheet2!$A$2:$B$4186, 2,FALSE)</f>
        <v>#N/A</v>
      </c>
      <c r="M721">
        <f>VLOOKUP(C721,Depts!$B$1:$D$16,3,FALSE)</f>
        <v>38</v>
      </c>
      <c r="N721" s="1" t="b">
        <f t="shared" si="32"/>
        <v>1</v>
      </c>
    </row>
    <row r="722" spans="1:14">
      <c r="A722">
        <v>904</v>
      </c>
      <c r="B722">
        <v>985</v>
      </c>
      <c r="C722" t="s">
        <v>47</v>
      </c>
      <c r="D722" s="1">
        <v>46124</v>
      </c>
      <c r="E722" s="1">
        <v>46129</v>
      </c>
      <c r="F722" t="s">
        <v>56</v>
      </c>
      <c r="G722">
        <v>5</v>
      </c>
      <c r="H722">
        <v>38</v>
      </c>
      <c r="I722" t="s">
        <v>60</v>
      </c>
      <c r="J722">
        <f t="shared" si="33"/>
        <v>6.333333333333333</v>
      </c>
      <c r="K722" t="str">
        <f t="shared" si="34"/>
        <v>12/04/2026Oncology</v>
      </c>
      <c r="L722" t="e">
        <f>VLOOKUP(K722, Sheet2!$A$2:$B$4186, 2,FALSE)</f>
        <v>#N/A</v>
      </c>
      <c r="M722">
        <f>VLOOKUP(C722,Depts!$B$1:$D$16,3,FALSE)</f>
        <v>28</v>
      </c>
      <c r="N722" s="1" t="b">
        <f t="shared" si="32"/>
        <v>1</v>
      </c>
    </row>
    <row r="723" spans="1:14">
      <c r="A723">
        <v>905</v>
      </c>
      <c r="B723">
        <v>310</v>
      </c>
      <c r="C723" t="s">
        <v>39</v>
      </c>
      <c r="D723" s="1">
        <v>46124</v>
      </c>
      <c r="E723" s="1">
        <v>46125</v>
      </c>
      <c r="F723" t="s">
        <v>57</v>
      </c>
      <c r="G723">
        <v>1</v>
      </c>
      <c r="H723">
        <v>228</v>
      </c>
      <c r="I723" t="s">
        <v>61</v>
      </c>
      <c r="J723">
        <f t="shared" si="33"/>
        <v>7.6</v>
      </c>
      <c r="K723" t="str">
        <f t="shared" si="34"/>
        <v>12/04/2026A&amp;E (Emergency)</v>
      </c>
      <c r="L723" t="e">
        <f>VLOOKUP(K723, Sheet2!$A$2:$B$4186, 2,FALSE)</f>
        <v>#N/A</v>
      </c>
      <c r="M723">
        <f>VLOOKUP(C723,Depts!$B$1:$D$16,3,FALSE)</f>
        <v>42</v>
      </c>
      <c r="N723" s="1" t="b">
        <f t="shared" si="32"/>
        <v>1</v>
      </c>
    </row>
    <row r="724" spans="1:14">
      <c r="A724">
        <v>906</v>
      </c>
      <c r="B724">
        <v>301</v>
      </c>
      <c r="C724" t="s">
        <v>50</v>
      </c>
      <c r="D724" s="1">
        <v>46125</v>
      </c>
      <c r="E724" s="1">
        <v>46130</v>
      </c>
      <c r="F724" t="s">
        <v>56</v>
      </c>
      <c r="G724">
        <v>5</v>
      </c>
      <c r="H724">
        <v>20</v>
      </c>
      <c r="I724" t="s">
        <v>60</v>
      </c>
      <c r="J724">
        <f t="shared" si="33"/>
        <v>3.333333333333333</v>
      </c>
      <c r="K724" t="str">
        <f t="shared" si="34"/>
        <v>13/04/2026Renal Medicine</v>
      </c>
      <c r="L724" t="e">
        <f>VLOOKUP(K724, Sheet2!$A$2:$B$4186, 2,FALSE)</f>
        <v>#N/A</v>
      </c>
      <c r="M724">
        <f>VLOOKUP(C724,Depts!$B$1:$D$16,3,FALSE)</f>
        <v>26</v>
      </c>
      <c r="N724" s="1" t="b">
        <f t="shared" si="32"/>
        <v>1</v>
      </c>
    </row>
    <row r="725" spans="1:14">
      <c r="A725">
        <v>907</v>
      </c>
      <c r="B725">
        <v>791</v>
      </c>
      <c r="C725" t="s">
        <v>46</v>
      </c>
      <c r="D725" s="1">
        <v>46126</v>
      </c>
      <c r="E725" s="1">
        <v>46132</v>
      </c>
      <c r="F725" t="s">
        <v>56</v>
      </c>
      <c r="G725">
        <v>6</v>
      </c>
      <c r="H725">
        <v>27</v>
      </c>
      <c r="I725" t="s">
        <v>60</v>
      </c>
      <c r="J725">
        <f t="shared" si="33"/>
        <v>5.4</v>
      </c>
      <c r="K725" t="str">
        <f t="shared" si="34"/>
        <v>14/04/2026Neurology</v>
      </c>
      <c r="L725" t="e">
        <f>VLOOKUP(K725, Sheet2!$A$2:$B$4186, 2,FALSE)</f>
        <v>#N/A</v>
      </c>
      <c r="M725">
        <f>VLOOKUP(C725,Depts!$B$1:$D$16,3,FALSE)</f>
        <v>32</v>
      </c>
      <c r="N725" s="1" t="b">
        <f t="shared" si="32"/>
        <v>1</v>
      </c>
    </row>
    <row r="726" spans="1:14">
      <c r="A726">
        <v>908</v>
      </c>
      <c r="B726">
        <v>400</v>
      </c>
      <c r="C726" t="s">
        <v>45</v>
      </c>
      <c r="D726" s="1">
        <v>46126</v>
      </c>
      <c r="E726" s="1">
        <v>46128</v>
      </c>
      <c r="F726" t="s">
        <v>57</v>
      </c>
      <c r="G726">
        <v>2</v>
      </c>
      <c r="H726">
        <v>35</v>
      </c>
      <c r="I726" t="s">
        <v>60</v>
      </c>
      <c r="J726">
        <f t="shared" si="33"/>
        <v>2.3333333333333335</v>
      </c>
      <c r="K726" t="str">
        <f t="shared" si="34"/>
        <v>14/04/2026Maternity</v>
      </c>
      <c r="L726" t="e">
        <f>VLOOKUP(K726, Sheet2!$A$2:$B$4186, 2,FALSE)</f>
        <v>#N/A</v>
      </c>
      <c r="M726">
        <f>VLOOKUP(C726,Depts!$B$1:$D$16,3,FALSE)</f>
        <v>34</v>
      </c>
      <c r="N726" s="1" t="b">
        <f t="shared" si="32"/>
        <v>1</v>
      </c>
    </row>
    <row r="727" spans="1:14">
      <c r="A727">
        <v>909</v>
      </c>
      <c r="B727">
        <v>36</v>
      </c>
      <c r="C727" t="s">
        <v>48</v>
      </c>
      <c r="D727" s="1">
        <v>46127</v>
      </c>
      <c r="E727" s="1">
        <v>46132</v>
      </c>
      <c r="F727" t="s">
        <v>56</v>
      </c>
      <c r="G727">
        <v>5</v>
      </c>
      <c r="H727">
        <v>140</v>
      </c>
      <c r="I727" t="s">
        <v>60</v>
      </c>
      <c r="J727">
        <f t="shared" si="33"/>
        <v>23.333333333333336</v>
      </c>
      <c r="K727" t="str">
        <f t="shared" si="34"/>
        <v>15/04/2026Orthopaedics</v>
      </c>
      <c r="L727" t="e">
        <f>VLOOKUP(K727, Sheet2!$A$2:$B$4186, 2,FALSE)</f>
        <v>#N/A</v>
      </c>
      <c r="M727">
        <f>VLOOKUP(C727,Depts!$B$1:$D$16,3,FALSE)</f>
        <v>40</v>
      </c>
      <c r="N727" s="1" t="b">
        <f t="shared" si="32"/>
        <v>1</v>
      </c>
    </row>
    <row r="728" spans="1:14">
      <c r="A728">
        <v>910</v>
      </c>
      <c r="B728">
        <v>193</v>
      </c>
      <c r="C728" t="s">
        <v>49</v>
      </c>
      <c r="D728" s="1">
        <v>46127</v>
      </c>
      <c r="E728" s="1">
        <v>46129</v>
      </c>
      <c r="F728" t="s">
        <v>57</v>
      </c>
      <c r="G728">
        <v>2</v>
      </c>
      <c r="H728">
        <v>21</v>
      </c>
      <c r="I728" t="s">
        <v>60</v>
      </c>
      <c r="J728">
        <f t="shared" si="33"/>
        <v>1.4</v>
      </c>
      <c r="K728" t="str">
        <f t="shared" si="34"/>
        <v>15/04/2026Paediatrics</v>
      </c>
      <c r="L728" t="e">
        <f>VLOOKUP(K728, Sheet2!$A$2:$B$4186, 2,FALSE)</f>
        <v>#N/A</v>
      </c>
      <c r="M728">
        <f>VLOOKUP(C728,Depts!$B$1:$D$16,3,FALSE)</f>
        <v>30</v>
      </c>
      <c r="N728" s="1" t="b">
        <f t="shared" si="32"/>
        <v>1</v>
      </c>
    </row>
    <row r="729" spans="1:14">
      <c r="A729">
        <v>911</v>
      </c>
      <c r="B729">
        <v>630</v>
      </c>
      <c r="C729" t="s">
        <v>42</v>
      </c>
      <c r="D729" s="1">
        <v>46128</v>
      </c>
      <c r="E729" s="1">
        <v>46133</v>
      </c>
      <c r="F729" t="s">
        <v>56</v>
      </c>
      <c r="G729">
        <v>5</v>
      </c>
      <c r="H729">
        <v>3</v>
      </c>
      <c r="I729" t="s">
        <v>61</v>
      </c>
      <c r="J729">
        <f t="shared" si="33"/>
        <v>0.5</v>
      </c>
      <c r="K729" t="str">
        <f t="shared" si="34"/>
        <v>16/04/2026Gastroenterology</v>
      </c>
      <c r="L729" t="e">
        <f>VLOOKUP(K729, Sheet2!$A$2:$B$4186, 2,FALSE)</f>
        <v>#N/A</v>
      </c>
      <c r="M729">
        <f>VLOOKUP(C729,Depts!$B$1:$D$16,3,FALSE)</f>
        <v>29</v>
      </c>
      <c r="N729" s="1" t="b">
        <f t="shared" si="32"/>
        <v>1</v>
      </c>
    </row>
    <row r="730" spans="1:14">
      <c r="A730">
        <v>912</v>
      </c>
      <c r="B730">
        <v>31</v>
      </c>
      <c r="C730" t="s">
        <v>41</v>
      </c>
      <c r="D730" s="1">
        <v>46129</v>
      </c>
      <c r="E730" s="1">
        <v>46131</v>
      </c>
      <c r="F730" t="s">
        <v>57</v>
      </c>
      <c r="G730">
        <v>2</v>
      </c>
      <c r="H730">
        <v>131</v>
      </c>
      <c r="I730" t="s">
        <v>60</v>
      </c>
      <c r="J730">
        <f t="shared" si="33"/>
        <v>8.7333333333333325</v>
      </c>
      <c r="K730" t="str">
        <f t="shared" si="34"/>
        <v>17/04/2026ENT</v>
      </c>
      <c r="L730" t="e">
        <f>VLOOKUP(K730, Sheet2!$A$2:$B$4186, 2,FALSE)</f>
        <v>#N/A</v>
      </c>
      <c r="M730">
        <f>VLOOKUP(C730,Depts!$B$1:$D$16,3,FALSE)</f>
        <v>20</v>
      </c>
      <c r="N730" s="1" t="b">
        <f t="shared" si="32"/>
        <v>1</v>
      </c>
    </row>
    <row r="731" spans="1:14">
      <c r="A731">
        <v>913</v>
      </c>
      <c r="B731">
        <v>292</v>
      </c>
      <c r="C731" t="s">
        <v>44</v>
      </c>
      <c r="D731" s="1">
        <v>46129</v>
      </c>
      <c r="E731" s="1">
        <v>46135</v>
      </c>
      <c r="F731" t="s">
        <v>56</v>
      </c>
      <c r="G731">
        <v>6</v>
      </c>
      <c r="H731">
        <v>27</v>
      </c>
      <c r="I731" t="s">
        <v>60</v>
      </c>
      <c r="J731">
        <f t="shared" si="33"/>
        <v>5.4</v>
      </c>
      <c r="K731" t="str">
        <f t="shared" si="34"/>
        <v>17/04/2026Geriatrics</v>
      </c>
      <c r="L731" t="e">
        <f>VLOOKUP(K731, Sheet2!$A$2:$B$4186, 2,FALSE)</f>
        <v>#N/A</v>
      </c>
      <c r="M731">
        <f>VLOOKUP(C731,Depts!$B$1:$D$16,3,FALSE)</f>
        <v>46</v>
      </c>
      <c r="N731" s="1" t="b">
        <f t="shared" si="32"/>
        <v>1</v>
      </c>
    </row>
    <row r="732" spans="1:14">
      <c r="A732">
        <v>914</v>
      </c>
      <c r="B732">
        <v>131</v>
      </c>
      <c r="C732" t="s">
        <v>51</v>
      </c>
      <c r="D732" s="1">
        <v>46130</v>
      </c>
      <c r="E732" s="1">
        <v>46132</v>
      </c>
      <c r="F732" t="s">
        <v>57</v>
      </c>
      <c r="G732">
        <v>2</v>
      </c>
      <c r="H732">
        <v>10</v>
      </c>
      <c r="I732" t="s">
        <v>60</v>
      </c>
      <c r="J732">
        <f t="shared" si="33"/>
        <v>0.66666666666666663</v>
      </c>
      <c r="K732" t="str">
        <f t="shared" si="34"/>
        <v>18/04/2026Respiratory</v>
      </c>
      <c r="L732" t="e">
        <f>VLOOKUP(K732, Sheet2!$A$2:$B$4186, 2,FALSE)</f>
        <v>#N/A</v>
      </c>
      <c r="M732">
        <f>VLOOKUP(C732,Depts!$B$1:$D$16,3,FALSE)</f>
        <v>36</v>
      </c>
      <c r="N732" s="1" t="b">
        <f t="shared" si="32"/>
        <v>1</v>
      </c>
    </row>
    <row r="733" spans="1:14">
      <c r="A733">
        <v>915</v>
      </c>
      <c r="B733">
        <v>273</v>
      </c>
      <c r="C733" t="s">
        <v>43</v>
      </c>
      <c r="D733" s="1">
        <v>46131</v>
      </c>
      <c r="E733" s="1">
        <v>46136</v>
      </c>
      <c r="F733" t="s">
        <v>56</v>
      </c>
      <c r="G733">
        <v>5</v>
      </c>
      <c r="H733">
        <v>175</v>
      </c>
      <c r="I733" t="s">
        <v>60</v>
      </c>
      <c r="J733">
        <f t="shared" si="33"/>
        <v>29.166666666666664</v>
      </c>
      <c r="K733" t="str">
        <f t="shared" si="34"/>
        <v>19/04/2026General Surgery</v>
      </c>
      <c r="L733" t="e">
        <f>VLOOKUP(K733, Sheet2!$A$2:$B$4186, 2,FALSE)</f>
        <v>#N/A</v>
      </c>
      <c r="M733">
        <f>VLOOKUP(C733,Depts!$B$1:$D$16,3,FALSE)</f>
        <v>44</v>
      </c>
      <c r="N733" s="1" t="b">
        <f t="shared" si="32"/>
        <v>1</v>
      </c>
    </row>
    <row r="734" spans="1:14">
      <c r="A734">
        <v>916</v>
      </c>
      <c r="B734">
        <v>683</v>
      </c>
      <c r="C734" t="s">
        <v>40</v>
      </c>
      <c r="D734" s="1">
        <v>46131</v>
      </c>
      <c r="E734" s="1">
        <v>46134</v>
      </c>
      <c r="F734" t="s">
        <v>58</v>
      </c>
      <c r="G734">
        <v>3</v>
      </c>
      <c r="H734">
        <v>44</v>
      </c>
      <c r="I734" t="s">
        <v>60</v>
      </c>
      <c r="J734">
        <f t="shared" si="33"/>
        <v>4.3999999999999995</v>
      </c>
      <c r="K734" t="str">
        <f t="shared" si="34"/>
        <v>19/04/2026Cardiology</v>
      </c>
      <c r="L734" t="e">
        <f>VLOOKUP(K734, Sheet2!$A$2:$B$4186, 2,FALSE)</f>
        <v>#N/A</v>
      </c>
      <c r="M734">
        <f>VLOOKUP(C734,Depts!$B$1:$D$16,3,FALSE)</f>
        <v>38</v>
      </c>
      <c r="N734" s="1" t="b">
        <f t="shared" si="32"/>
        <v>1</v>
      </c>
    </row>
    <row r="735" spans="1:14">
      <c r="A735">
        <v>917</v>
      </c>
      <c r="B735">
        <v>838</v>
      </c>
      <c r="C735" t="s">
        <v>47</v>
      </c>
      <c r="D735" s="1">
        <v>46132</v>
      </c>
      <c r="E735" s="1">
        <v>46137</v>
      </c>
      <c r="F735" t="s">
        <v>56</v>
      </c>
      <c r="G735">
        <v>5</v>
      </c>
      <c r="H735">
        <v>26</v>
      </c>
      <c r="I735" t="s">
        <v>60</v>
      </c>
      <c r="J735">
        <f t="shared" si="33"/>
        <v>4.3333333333333339</v>
      </c>
      <c r="K735" t="str">
        <f t="shared" si="34"/>
        <v>20/04/2026Oncology</v>
      </c>
      <c r="L735" t="e">
        <f>VLOOKUP(K735, Sheet2!$A$2:$B$4186, 2,FALSE)</f>
        <v>#N/A</v>
      </c>
      <c r="M735">
        <f>VLOOKUP(C735,Depts!$B$1:$D$16,3,FALSE)</f>
        <v>28</v>
      </c>
      <c r="N735" s="1" t="b">
        <f t="shared" si="32"/>
        <v>1</v>
      </c>
    </row>
    <row r="736" spans="1:14">
      <c r="A736">
        <v>918</v>
      </c>
      <c r="B736">
        <v>213</v>
      </c>
      <c r="C736" t="s">
        <v>39</v>
      </c>
      <c r="D736" s="1">
        <v>46132</v>
      </c>
      <c r="E736" s="1">
        <v>46133</v>
      </c>
      <c r="F736" t="s">
        <v>57</v>
      </c>
      <c r="G736">
        <v>1</v>
      </c>
      <c r="H736">
        <v>44</v>
      </c>
      <c r="I736" t="s">
        <v>60</v>
      </c>
      <c r="J736">
        <f t="shared" si="33"/>
        <v>1.4666666666666666</v>
      </c>
      <c r="K736" t="str">
        <f t="shared" si="34"/>
        <v>20/04/2026A&amp;E (Emergency)</v>
      </c>
      <c r="L736" t="e">
        <f>VLOOKUP(K736, Sheet2!$A$2:$B$4186, 2,FALSE)</f>
        <v>#N/A</v>
      </c>
      <c r="M736">
        <f>VLOOKUP(C736,Depts!$B$1:$D$16,3,FALSE)</f>
        <v>42</v>
      </c>
      <c r="N736" s="1" t="b">
        <f t="shared" si="32"/>
        <v>1</v>
      </c>
    </row>
    <row r="737" spans="1:14">
      <c r="A737">
        <v>919</v>
      </c>
      <c r="B737">
        <v>316</v>
      </c>
      <c r="C737" t="s">
        <v>50</v>
      </c>
      <c r="D737" s="1">
        <v>46133</v>
      </c>
      <c r="E737" s="1">
        <v>46138</v>
      </c>
      <c r="F737" t="s">
        <v>56</v>
      </c>
      <c r="G737">
        <v>5</v>
      </c>
      <c r="H737">
        <v>111</v>
      </c>
      <c r="I737" t="s">
        <v>60</v>
      </c>
      <c r="J737">
        <f t="shared" si="33"/>
        <v>18.5</v>
      </c>
      <c r="K737" t="str">
        <f t="shared" si="34"/>
        <v>21/04/2026Renal Medicine</v>
      </c>
      <c r="L737" t="e">
        <f>VLOOKUP(K737, Sheet2!$A$2:$B$4186, 2,FALSE)</f>
        <v>#N/A</v>
      </c>
      <c r="M737">
        <f>VLOOKUP(C737,Depts!$B$1:$D$16,3,FALSE)</f>
        <v>26</v>
      </c>
      <c r="N737" s="1" t="b">
        <f t="shared" si="32"/>
        <v>1</v>
      </c>
    </row>
    <row r="738" spans="1:14">
      <c r="A738">
        <v>920</v>
      </c>
      <c r="B738">
        <v>499</v>
      </c>
      <c r="C738" t="s">
        <v>46</v>
      </c>
      <c r="D738" s="1">
        <v>46134</v>
      </c>
      <c r="E738" s="1">
        <v>46140</v>
      </c>
      <c r="F738" t="s">
        <v>56</v>
      </c>
      <c r="G738">
        <v>6</v>
      </c>
      <c r="H738">
        <v>36</v>
      </c>
      <c r="I738" t="s">
        <v>60</v>
      </c>
      <c r="J738">
        <f t="shared" si="33"/>
        <v>7.1999999999999993</v>
      </c>
      <c r="K738" t="str">
        <f t="shared" si="34"/>
        <v>22/04/2026Neurology</v>
      </c>
      <c r="L738" t="e">
        <f>VLOOKUP(K738, Sheet2!$A$2:$B$4186, 2,FALSE)</f>
        <v>#N/A</v>
      </c>
      <c r="M738">
        <f>VLOOKUP(C738,Depts!$B$1:$D$16,3,FALSE)</f>
        <v>32</v>
      </c>
      <c r="N738" s="1" t="b">
        <f t="shared" si="32"/>
        <v>1</v>
      </c>
    </row>
    <row r="739" spans="1:14">
      <c r="A739">
        <v>921</v>
      </c>
      <c r="B739">
        <v>994</v>
      </c>
      <c r="C739" t="s">
        <v>45</v>
      </c>
      <c r="D739" s="1">
        <v>46134</v>
      </c>
      <c r="E739" s="1">
        <v>46136</v>
      </c>
      <c r="F739" t="s">
        <v>57</v>
      </c>
      <c r="G739">
        <v>2</v>
      </c>
      <c r="H739">
        <v>20</v>
      </c>
      <c r="I739" t="s">
        <v>60</v>
      </c>
      <c r="J739">
        <f t="shared" si="33"/>
        <v>1.3333333333333333</v>
      </c>
      <c r="K739" t="str">
        <f t="shared" si="34"/>
        <v>22/04/2026Maternity</v>
      </c>
      <c r="L739" t="e">
        <f>VLOOKUP(K739, Sheet2!$A$2:$B$4186, 2,FALSE)</f>
        <v>#N/A</v>
      </c>
      <c r="M739">
        <f>VLOOKUP(C739,Depts!$B$1:$D$16,3,FALSE)</f>
        <v>34</v>
      </c>
      <c r="N739" s="1" t="b">
        <f t="shared" si="32"/>
        <v>1</v>
      </c>
    </row>
    <row r="740" spans="1:14">
      <c r="A740">
        <v>922</v>
      </c>
      <c r="B740">
        <v>653</v>
      </c>
      <c r="C740" t="s">
        <v>48</v>
      </c>
      <c r="D740" s="1">
        <v>46135</v>
      </c>
      <c r="E740" s="1">
        <v>46140</v>
      </c>
      <c r="F740" t="s">
        <v>56</v>
      </c>
      <c r="G740">
        <v>5</v>
      </c>
      <c r="H740">
        <v>42</v>
      </c>
      <c r="I740" t="s">
        <v>60</v>
      </c>
      <c r="J740">
        <f t="shared" si="33"/>
        <v>7</v>
      </c>
      <c r="K740" t="str">
        <f t="shared" si="34"/>
        <v>23/04/2026Orthopaedics</v>
      </c>
      <c r="L740" t="e">
        <f>VLOOKUP(K740, Sheet2!$A$2:$B$4186, 2,FALSE)</f>
        <v>#N/A</v>
      </c>
      <c r="M740">
        <f>VLOOKUP(C740,Depts!$B$1:$D$16,3,FALSE)</f>
        <v>40</v>
      </c>
      <c r="N740" s="1" t="b">
        <f t="shared" si="32"/>
        <v>1</v>
      </c>
    </row>
    <row r="741" spans="1:14">
      <c r="A741">
        <v>923</v>
      </c>
      <c r="B741">
        <v>784</v>
      </c>
      <c r="C741" t="s">
        <v>49</v>
      </c>
      <c r="D741" s="1">
        <v>46135</v>
      </c>
      <c r="E741" s="1">
        <v>46137</v>
      </c>
      <c r="F741" t="s">
        <v>57</v>
      </c>
      <c r="G741">
        <v>2</v>
      </c>
      <c r="H741">
        <v>38</v>
      </c>
      <c r="I741" t="s">
        <v>60</v>
      </c>
      <c r="J741">
        <f t="shared" si="33"/>
        <v>2.5333333333333332</v>
      </c>
      <c r="K741" t="str">
        <f t="shared" si="34"/>
        <v>23/04/2026Paediatrics</v>
      </c>
      <c r="L741" t="e">
        <f>VLOOKUP(K741, Sheet2!$A$2:$B$4186, 2,FALSE)</f>
        <v>#N/A</v>
      </c>
      <c r="M741">
        <f>VLOOKUP(C741,Depts!$B$1:$D$16,3,FALSE)</f>
        <v>30</v>
      </c>
      <c r="N741" s="1" t="b">
        <f t="shared" si="32"/>
        <v>1</v>
      </c>
    </row>
    <row r="742" spans="1:14">
      <c r="A742">
        <v>924</v>
      </c>
      <c r="B742">
        <v>165</v>
      </c>
      <c r="C742" t="s">
        <v>42</v>
      </c>
      <c r="D742" s="1">
        <v>46136</v>
      </c>
      <c r="E742" s="1">
        <v>46141</v>
      </c>
      <c r="F742" t="s">
        <v>56</v>
      </c>
      <c r="G742">
        <v>5</v>
      </c>
      <c r="H742">
        <v>20</v>
      </c>
      <c r="I742" t="s">
        <v>60</v>
      </c>
      <c r="J742">
        <f t="shared" si="33"/>
        <v>3.333333333333333</v>
      </c>
      <c r="K742" t="str">
        <f t="shared" si="34"/>
        <v>24/04/2026Gastroenterology</v>
      </c>
      <c r="L742" t="e">
        <f>VLOOKUP(K742, Sheet2!$A$2:$B$4186, 2,FALSE)</f>
        <v>#N/A</v>
      </c>
      <c r="M742">
        <f>VLOOKUP(C742,Depts!$B$1:$D$16,3,FALSE)</f>
        <v>29</v>
      </c>
      <c r="N742" s="1" t="b">
        <f t="shared" si="32"/>
        <v>1</v>
      </c>
    </row>
    <row r="743" spans="1:14">
      <c r="A743">
        <v>925</v>
      </c>
      <c r="B743">
        <v>481</v>
      </c>
      <c r="C743" t="s">
        <v>41</v>
      </c>
      <c r="D743" s="1">
        <v>46137</v>
      </c>
      <c r="E743" s="1">
        <v>46139</v>
      </c>
      <c r="F743" t="s">
        <v>57</v>
      </c>
      <c r="G743">
        <v>2</v>
      </c>
      <c r="H743">
        <v>12</v>
      </c>
      <c r="I743" t="s">
        <v>60</v>
      </c>
      <c r="J743">
        <f t="shared" si="33"/>
        <v>0.8</v>
      </c>
      <c r="K743" t="str">
        <f t="shared" si="34"/>
        <v>25/04/2026ENT</v>
      </c>
      <c r="L743" t="e">
        <f>VLOOKUP(K743, Sheet2!$A$2:$B$4186, 2,FALSE)</f>
        <v>#N/A</v>
      </c>
      <c r="M743">
        <f>VLOOKUP(C743,Depts!$B$1:$D$16,3,FALSE)</f>
        <v>20</v>
      </c>
      <c r="N743" s="1" t="b">
        <f t="shared" si="32"/>
        <v>1</v>
      </c>
    </row>
    <row r="744" spans="1:14">
      <c r="A744">
        <v>926</v>
      </c>
      <c r="B744">
        <v>829</v>
      </c>
      <c r="C744" t="s">
        <v>44</v>
      </c>
      <c r="D744" s="1">
        <v>46137</v>
      </c>
      <c r="E744" s="1" t="s">
        <v>75</v>
      </c>
      <c r="F744" t="s">
        <v>56</v>
      </c>
      <c r="G744">
        <v>6</v>
      </c>
      <c r="H744">
        <v>36</v>
      </c>
      <c r="I744" t="s">
        <v>60</v>
      </c>
      <c r="J744">
        <f t="shared" si="33"/>
        <v>7.1999999999999993</v>
      </c>
      <c r="K744" t="str">
        <f t="shared" si="34"/>
        <v>25/04/2026Geriatrics</v>
      </c>
      <c r="L744" t="e">
        <f>VLOOKUP(K744, Sheet2!$A$2:$B$4186, 2,FALSE)</f>
        <v>#N/A</v>
      </c>
      <c r="M744">
        <f>VLOOKUP(C744,Depts!$B$1:$D$16,3,FALSE)</f>
        <v>46</v>
      </c>
      <c r="N744" s="1" t="b">
        <f t="shared" si="32"/>
        <v>1</v>
      </c>
    </row>
    <row r="745" spans="1:14">
      <c r="A745">
        <v>927</v>
      </c>
      <c r="B745">
        <v>540</v>
      </c>
      <c r="C745" t="s">
        <v>51</v>
      </c>
      <c r="D745" s="1">
        <v>46138</v>
      </c>
      <c r="E745" s="1">
        <v>46140</v>
      </c>
      <c r="F745" t="s">
        <v>57</v>
      </c>
      <c r="G745">
        <v>2</v>
      </c>
      <c r="H745">
        <v>24</v>
      </c>
      <c r="I745" t="s">
        <v>60</v>
      </c>
      <c r="J745">
        <f t="shared" si="33"/>
        <v>1.6</v>
      </c>
      <c r="K745" t="str">
        <f t="shared" si="34"/>
        <v>26/04/2026Respiratory</v>
      </c>
      <c r="L745" t="e">
        <f>VLOOKUP(K745, Sheet2!$A$2:$B$4186, 2,FALSE)</f>
        <v>#N/A</v>
      </c>
      <c r="M745">
        <f>VLOOKUP(C745,Depts!$B$1:$D$16,3,FALSE)</f>
        <v>36</v>
      </c>
      <c r="N745" s="1" t="b">
        <f t="shared" si="32"/>
        <v>1</v>
      </c>
    </row>
    <row r="746" spans="1:14">
      <c r="A746">
        <v>928</v>
      </c>
      <c r="B746">
        <v>196</v>
      </c>
      <c r="C746" t="s">
        <v>43</v>
      </c>
      <c r="D746" s="1">
        <v>46139</v>
      </c>
      <c r="E746" s="1">
        <v>46143</v>
      </c>
      <c r="F746" t="s">
        <v>56</v>
      </c>
      <c r="G746">
        <v>5</v>
      </c>
      <c r="H746">
        <v>232</v>
      </c>
      <c r="I746" t="s">
        <v>60</v>
      </c>
      <c r="J746">
        <f t="shared" si="33"/>
        <v>38.666666666666664</v>
      </c>
      <c r="K746" t="str">
        <f t="shared" si="34"/>
        <v>27/04/2026General Surgery</v>
      </c>
      <c r="L746" t="e">
        <f>VLOOKUP(K746, Sheet2!$A$2:$B$4186, 2,FALSE)</f>
        <v>#N/A</v>
      </c>
      <c r="M746">
        <f>VLOOKUP(C746,Depts!$B$1:$D$16,3,FALSE)</f>
        <v>44</v>
      </c>
      <c r="N746" s="1" t="b">
        <f t="shared" si="32"/>
        <v>1</v>
      </c>
    </row>
    <row r="747" spans="1:14">
      <c r="A747">
        <v>929</v>
      </c>
      <c r="B747">
        <v>571</v>
      </c>
      <c r="C747" t="s">
        <v>40</v>
      </c>
      <c r="D747" s="1">
        <v>46139</v>
      </c>
      <c r="E747" s="1">
        <v>46142</v>
      </c>
      <c r="F747" t="s">
        <v>58</v>
      </c>
      <c r="G747">
        <v>3</v>
      </c>
      <c r="H747">
        <v>27</v>
      </c>
      <c r="I747" t="s">
        <v>60</v>
      </c>
      <c r="J747">
        <f t="shared" si="33"/>
        <v>2.7</v>
      </c>
      <c r="K747" t="str">
        <f t="shared" si="34"/>
        <v>27/04/2026Cardiology</v>
      </c>
      <c r="L747" t="e">
        <f>VLOOKUP(K747, Sheet2!$A$2:$B$4186, 2,FALSE)</f>
        <v>#N/A</v>
      </c>
      <c r="M747">
        <f>VLOOKUP(C747,Depts!$B$1:$D$16,3,FALSE)</f>
        <v>38</v>
      </c>
      <c r="N747" s="1" t="b">
        <f t="shared" si="32"/>
        <v>1</v>
      </c>
    </row>
    <row r="748" spans="1:14">
      <c r="A748">
        <v>930</v>
      </c>
      <c r="B748">
        <v>389</v>
      </c>
      <c r="C748" t="s">
        <v>47</v>
      </c>
      <c r="D748" s="1">
        <v>46140</v>
      </c>
      <c r="E748" s="1">
        <v>46145</v>
      </c>
      <c r="F748" t="s">
        <v>56</v>
      </c>
      <c r="G748">
        <v>5</v>
      </c>
      <c r="H748">
        <v>31</v>
      </c>
      <c r="I748" t="s">
        <v>60</v>
      </c>
      <c r="J748">
        <f t="shared" si="33"/>
        <v>5.166666666666667</v>
      </c>
      <c r="K748" t="str">
        <f t="shared" si="34"/>
        <v>28/04/2026Oncology</v>
      </c>
      <c r="L748" t="e">
        <f>VLOOKUP(K748, Sheet2!$A$2:$B$4186, 2,FALSE)</f>
        <v>#N/A</v>
      </c>
      <c r="M748">
        <f>VLOOKUP(C748,Depts!$B$1:$D$16,3,FALSE)</f>
        <v>28</v>
      </c>
      <c r="N748" s="1" t="b">
        <f t="shared" si="32"/>
        <v>1</v>
      </c>
    </row>
    <row r="749" spans="1:14">
      <c r="A749">
        <v>931</v>
      </c>
      <c r="B749">
        <v>155</v>
      </c>
      <c r="C749" t="s">
        <v>39</v>
      </c>
      <c r="D749" s="1">
        <v>46140</v>
      </c>
      <c r="E749" s="1">
        <v>46141</v>
      </c>
      <c r="F749" t="s">
        <v>57</v>
      </c>
      <c r="G749">
        <v>1</v>
      </c>
      <c r="H749">
        <v>16</v>
      </c>
      <c r="I749" t="s">
        <v>60</v>
      </c>
      <c r="J749">
        <f t="shared" si="33"/>
        <v>0.53333333333333333</v>
      </c>
      <c r="K749" t="str">
        <f t="shared" si="34"/>
        <v>28/04/2026A&amp;E (Emergency)</v>
      </c>
      <c r="L749" t="e">
        <f>VLOOKUP(K749, Sheet2!$A$2:$B$4186, 2,FALSE)</f>
        <v>#N/A</v>
      </c>
      <c r="M749">
        <f>VLOOKUP(C749,Depts!$B$1:$D$16,3,FALSE)</f>
        <v>42</v>
      </c>
      <c r="N749" s="1" t="b">
        <f t="shared" si="32"/>
        <v>1</v>
      </c>
    </row>
    <row r="750" spans="1:14">
      <c r="A750">
        <v>932</v>
      </c>
      <c r="B750">
        <v>881</v>
      </c>
      <c r="C750" t="s">
        <v>50</v>
      </c>
      <c r="D750" s="1">
        <v>46141</v>
      </c>
      <c r="E750" s="1">
        <v>46146</v>
      </c>
      <c r="F750" t="s">
        <v>56</v>
      </c>
      <c r="G750">
        <v>5</v>
      </c>
      <c r="H750">
        <v>22</v>
      </c>
      <c r="I750" t="s">
        <v>60</v>
      </c>
      <c r="J750">
        <f t="shared" si="33"/>
        <v>3.6666666666666665</v>
      </c>
      <c r="K750" t="str">
        <f t="shared" si="34"/>
        <v>29/04/2026Renal Medicine</v>
      </c>
      <c r="L750" t="e">
        <f>VLOOKUP(K750, Sheet2!$A$2:$B$4186, 2,FALSE)</f>
        <v>#N/A</v>
      </c>
      <c r="M750">
        <f>VLOOKUP(C750,Depts!$B$1:$D$16,3,FALSE)</f>
        <v>26</v>
      </c>
      <c r="N750" s="1" t="b">
        <f t="shared" si="32"/>
        <v>1</v>
      </c>
    </row>
    <row r="751" spans="1:14">
      <c r="A751">
        <v>933</v>
      </c>
      <c r="B751">
        <v>102</v>
      </c>
      <c r="C751" t="s">
        <v>46</v>
      </c>
      <c r="D751" s="1">
        <v>46142</v>
      </c>
      <c r="E751" s="1">
        <v>46148</v>
      </c>
      <c r="F751" t="s">
        <v>56</v>
      </c>
      <c r="G751">
        <v>6</v>
      </c>
      <c r="H751">
        <v>118</v>
      </c>
      <c r="I751" t="s">
        <v>60</v>
      </c>
      <c r="J751">
        <f t="shared" si="33"/>
        <v>23.599999999999998</v>
      </c>
      <c r="K751" t="str">
        <f t="shared" si="34"/>
        <v>30/04/2026Neurology</v>
      </c>
      <c r="L751" t="e">
        <f>VLOOKUP(K751, Sheet2!$A$2:$B$4186, 2,FALSE)</f>
        <v>#N/A</v>
      </c>
      <c r="M751">
        <f>VLOOKUP(C751,Depts!$B$1:$D$16,3,FALSE)</f>
        <v>32</v>
      </c>
      <c r="N751" s="1" t="b">
        <f t="shared" si="32"/>
        <v>1</v>
      </c>
    </row>
    <row r="752" spans="1:14">
      <c r="A752">
        <v>934</v>
      </c>
      <c r="B752">
        <v>342</v>
      </c>
      <c r="C752" t="s">
        <v>45</v>
      </c>
      <c r="D752" s="1">
        <v>46142</v>
      </c>
      <c r="E752" s="1">
        <v>46144</v>
      </c>
      <c r="F752" t="s">
        <v>57</v>
      </c>
      <c r="G752">
        <v>2</v>
      </c>
      <c r="H752">
        <v>44</v>
      </c>
      <c r="I752" t="s">
        <v>60</v>
      </c>
      <c r="J752">
        <f t="shared" si="33"/>
        <v>2.9333333333333331</v>
      </c>
      <c r="K752" t="str">
        <f t="shared" si="34"/>
        <v>30/04/2026Maternity</v>
      </c>
      <c r="L752" t="e">
        <f>VLOOKUP(K752, Sheet2!$A$2:$B$4186, 2,FALSE)</f>
        <v>#N/A</v>
      </c>
      <c r="M752">
        <f>VLOOKUP(C752,Depts!$B$1:$D$16,3,FALSE)</f>
        <v>34</v>
      </c>
      <c r="N752" s="1" t="b">
        <f t="shared" si="32"/>
        <v>1</v>
      </c>
    </row>
    <row r="753" spans="1:14">
      <c r="A753">
        <v>935</v>
      </c>
      <c r="B753">
        <v>189</v>
      </c>
      <c r="C753" t="s">
        <v>48</v>
      </c>
      <c r="D753" s="1" t="s">
        <v>75</v>
      </c>
      <c r="E753" s="1">
        <v>46147</v>
      </c>
      <c r="F753" t="s">
        <v>56</v>
      </c>
      <c r="G753">
        <v>5</v>
      </c>
      <c r="H753">
        <v>4</v>
      </c>
      <c r="I753" t="s">
        <v>61</v>
      </c>
      <c r="J753">
        <f t="shared" si="33"/>
        <v>0.66666666666666663</v>
      </c>
      <c r="K753" t="str">
        <f t="shared" si="34"/>
        <v>31/04/2026Orthopaedics</v>
      </c>
      <c r="L753" t="e">
        <f>VLOOKUP(K753, Sheet2!$A$2:$B$4186, 2,FALSE)</f>
        <v>#N/A</v>
      </c>
      <c r="M753">
        <f>VLOOKUP(C753,Depts!$B$1:$D$16,3,FALSE)</f>
        <v>40</v>
      </c>
      <c r="N753" s="1" t="b">
        <f t="shared" ref="N753:N816" si="35">ISNUMBER(D753)</f>
        <v>0</v>
      </c>
    </row>
    <row r="754" spans="1:14">
      <c r="A754">
        <v>936</v>
      </c>
      <c r="B754">
        <v>836</v>
      </c>
      <c r="C754" t="s">
        <v>49</v>
      </c>
      <c r="D754" s="1" t="s">
        <v>75</v>
      </c>
      <c r="E754" s="1">
        <v>46144</v>
      </c>
      <c r="F754" t="s">
        <v>57</v>
      </c>
      <c r="G754">
        <v>2</v>
      </c>
      <c r="H754">
        <v>190</v>
      </c>
      <c r="I754" t="s">
        <v>60</v>
      </c>
      <c r="J754">
        <f t="shared" si="33"/>
        <v>12.666666666666666</v>
      </c>
      <c r="K754" t="str">
        <f t="shared" si="34"/>
        <v>31/04/2026Paediatrics</v>
      </c>
      <c r="L754" t="e">
        <f>VLOOKUP(K754, Sheet2!$A$2:$B$4186, 2,FALSE)</f>
        <v>#N/A</v>
      </c>
      <c r="M754">
        <f>VLOOKUP(C754,Depts!$B$1:$D$16,3,FALSE)</f>
        <v>30</v>
      </c>
      <c r="N754" s="1" t="b">
        <f t="shared" si="35"/>
        <v>0</v>
      </c>
    </row>
    <row r="755" spans="1:14">
      <c r="A755">
        <v>937</v>
      </c>
      <c r="B755">
        <v>14</v>
      </c>
      <c r="C755" t="s">
        <v>42</v>
      </c>
      <c r="D755" s="1">
        <v>46143</v>
      </c>
      <c r="E755" s="1">
        <v>46148</v>
      </c>
      <c r="F755" t="s">
        <v>56</v>
      </c>
      <c r="G755">
        <v>5</v>
      </c>
      <c r="H755">
        <v>13</v>
      </c>
      <c r="I755" t="s">
        <v>60</v>
      </c>
      <c r="J755">
        <f t="shared" si="33"/>
        <v>2.166666666666667</v>
      </c>
      <c r="K755" t="str">
        <f t="shared" si="34"/>
        <v>01/05/2026Gastroenterology</v>
      </c>
      <c r="L755" t="e">
        <f>VLOOKUP(K755, Sheet2!$A$2:$B$4186, 2,FALSE)</f>
        <v>#N/A</v>
      </c>
      <c r="M755">
        <f>VLOOKUP(C755,Depts!$B$1:$D$16,3,FALSE)</f>
        <v>29</v>
      </c>
      <c r="N755" s="1" t="b">
        <f t="shared" si="35"/>
        <v>1</v>
      </c>
    </row>
    <row r="756" spans="1:14">
      <c r="A756">
        <v>938</v>
      </c>
      <c r="B756">
        <v>449</v>
      </c>
      <c r="C756" t="s">
        <v>41</v>
      </c>
      <c r="D756" s="1">
        <v>46144</v>
      </c>
      <c r="E756" s="1">
        <v>46146</v>
      </c>
      <c r="F756" t="s">
        <v>57</v>
      </c>
      <c r="G756">
        <v>2</v>
      </c>
      <c r="H756">
        <v>126</v>
      </c>
      <c r="I756" t="s">
        <v>60</v>
      </c>
      <c r="J756">
        <f t="shared" si="33"/>
        <v>8.4</v>
      </c>
      <c r="K756" t="str">
        <f t="shared" si="34"/>
        <v>02/05/2026ENT</v>
      </c>
      <c r="L756" t="e">
        <f>VLOOKUP(K756, Sheet2!$A$2:$B$4186, 2,FALSE)</f>
        <v>#N/A</v>
      </c>
      <c r="M756">
        <f>VLOOKUP(C756,Depts!$B$1:$D$16,3,FALSE)</f>
        <v>20</v>
      </c>
      <c r="N756" s="1" t="b">
        <f t="shared" si="35"/>
        <v>1</v>
      </c>
    </row>
    <row r="757" spans="1:14">
      <c r="A757">
        <v>939</v>
      </c>
      <c r="B757">
        <v>93</v>
      </c>
      <c r="C757" t="s">
        <v>44</v>
      </c>
      <c r="D757" s="1">
        <v>46144</v>
      </c>
      <c r="E757" s="1">
        <v>46150</v>
      </c>
      <c r="F757" t="s">
        <v>56</v>
      </c>
      <c r="G757">
        <v>6</v>
      </c>
      <c r="H757">
        <v>44</v>
      </c>
      <c r="I757" t="s">
        <v>60</v>
      </c>
      <c r="J757">
        <f t="shared" si="33"/>
        <v>8.7999999999999989</v>
      </c>
      <c r="K757" t="str">
        <f t="shared" si="34"/>
        <v>02/05/2026Geriatrics</v>
      </c>
      <c r="L757" t="e">
        <f>VLOOKUP(K757, Sheet2!$A$2:$B$4186, 2,FALSE)</f>
        <v>#N/A</v>
      </c>
      <c r="M757">
        <f>VLOOKUP(C757,Depts!$B$1:$D$16,3,FALSE)</f>
        <v>46</v>
      </c>
      <c r="N757" s="1" t="b">
        <f t="shared" si="35"/>
        <v>1</v>
      </c>
    </row>
    <row r="758" spans="1:14">
      <c r="A758">
        <v>940</v>
      </c>
      <c r="B758">
        <v>738</v>
      </c>
      <c r="C758" t="s">
        <v>51</v>
      </c>
      <c r="D758" s="1">
        <v>46145</v>
      </c>
      <c r="E758" s="1">
        <v>46147</v>
      </c>
      <c r="F758" t="s">
        <v>57</v>
      </c>
      <c r="G758">
        <v>2</v>
      </c>
      <c r="H758">
        <v>118</v>
      </c>
      <c r="I758" t="s">
        <v>60</v>
      </c>
      <c r="J758">
        <f t="shared" si="33"/>
        <v>7.8666666666666663</v>
      </c>
      <c r="K758" t="str">
        <f t="shared" si="34"/>
        <v>03/05/2026Respiratory</v>
      </c>
      <c r="L758" t="e">
        <f>VLOOKUP(K758, Sheet2!$A$2:$B$4186, 2,FALSE)</f>
        <v>#N/A</v>
      </c>
      <c r="M758">
        <f>VLOOKUP(C758,Depts!$B$1:$D$16,3,FALSE)</f>
        <v>36</v>
      </c>
      <c r="N758" s="1" t="b">
        <f t="shared" si="35"/>
        <v>1</v>
      </c>
    </row>
    <row r="759" spans="1:14">
      <c r="A759">
        <v>941</v>
      </c>
      <c r="B759">
        <v>390</v>
      </c>
      <c r="C759" t="s">
        <v>43</v>
      </c>
      <c r="D759" s="1">
        <v>46146</v>
      </c>
      <c r="E759" s="1">
        <v>46151</v>
      </c>
      <c r="F759" t="s">
        <v>56</v>
      </c>
      <c r="G759">
        <v>5</v>
      </c>
      <c r="H759">
        <v>22</v>
      </c>
      <c r="I759" t="s">
        <v>60</v>
      </c>
      <c r="J759">
        <f t="shared" si="33"/>
        <v>3.6666666666666665</v>
      </c>
      <c r="K759" t="str">
        <f t="shared" si="34"/>
        <v>04/05/2026General Surgery</v>
      </c>
      <c r="L759" t="e">
        <f>VLOOKUP(K759, Sheet2!$A$2:$B$4186, 2,FALSE)</f>
        <v>#N/A</v>
      </c>
      <c r="M759">
        <f>VLOOKUP(C759,Depts!$B$1:$D$16,3,FALSE)</f>
        <v>44</v>
      </c>
      <c r="N759" s="1" t="b">
        <f t="shared" si="35"/>
        <v>1</v>
      </c>
    </row>
    <row r="760" spans="1:14">
      <c r="A760">
        <v>942</v>
      </c>
      <c r="B760">
        <v>582</v>
      </c>
      <c r="C760" t="s">
        <v>40</v>
      </c>
      <c r="D760" s="1">
        <v>46146</v>
      </c>
      <c r="E760" s="1">
        <v>46149</v>
      </c>
      <c r="F760" t="s">
        <v>58</v>
      </c>
      <c r="G760">
        <v>3</v>
      </c>
      <c r="H760">
        <v>42</v>
      </c>
      <c r="I760" t="s">
        <v>61</v>
      </c>
      <c r="J760">
        <f t="shared" si="33"/>
        <v>4.1999999999999993</v>
      </c>
      <c r="K760" t="str">
        <f t="shared" si="34"/>
        <v>04/05/2026Cardiology</v>
      </c>
      <c r="L760" t="e">
        <f>VLOOKUP(K760, Sheet2!$A$2:$B$4186, 2,FALSE)</f>
        <v>#N/A</v>
      </c>
      <c r="M760">
        <f>VLOOKUP(C760,Depts!$B$1:$D$16,3,FALSE)</f>
        <v>38</v>
      </c>
      <c r="N760" s="1" t="b">
        <f t="shared" si="35"/>
        <v>1</v>
      </c>
    </row>
    <row r="761" spans="1:14">
      <c r="A761">
        <v>943</v>
      </c>
      <c r="B761">
        <v>944</v>
      </c>
      <c r="C761" t="s">
        <v>47</v>
      </c>
      <c r="D761" s="1">
        <v>46147</v>
      </c>
      <c r="E761" s="1">
        <v>46152</v>
      </c>
      <c r="F761" t="s">
        <v>56</v>
      </c>
      <c r="G761">
        <v>5</v>
      </c>
      <c r="H761">
        <v>42</v>
      </c>
      <c r="I761" t="s">
        <v>61</v>
      </c>
      <c r="J761">
        <f t="shared" si="33"/>
        <v>7</v>
      </c>
      <c r="K761" t="str">
        <f t="shared" si="34"/>
        <v>05/05/2026Oncology</v>
      </c>
      <c r="L761" t="e">
        <f>VLOOKUP(K761, Sheet2!$A$2:$B$4186, 2,FALSE)</f>
        <v>#N/A</v>
      </c>
      <c r="M761">
        <f>VLOOKUP(C761,Depts!$B$1:$D$16,3,FALSE)</f>
        <v>28</v>
      </c>
      <c r="N761" s="1" t="b">
        <f t="shared" si="35"/>
        <v>1</v>
      </c>
    </row>
    <row r="762" spans="1:14">
      <c r="A762">
        <v>944</v>
      </c>
      <c r="B762">
        <v>659</v>
      </c>
      <c r="C762" t="s">
        <v>39</v>
      </c>
      <c r="D762" s="1">
        <v>46147</v>
      </c>
      <c r="E762" s="1">
        <v>46148</v>
      </c>
      <c r="F762" t="s">
        <v>57</v>
      </c>
      <c r="G762">
        <v>1</v>
      </c>
      <c r="H762">
        <v>111</v>
      </c>
      <c r="I762" t="s">
        <v>60</v>
      </c>
      <c r="J762">
        <f t="shared" si="33"/>
        <v>3.7</v>
      </c>
      <c r="K762" t="str">
        <f t="shared" si="34"/>
        <v>05/05/2026A&amp;E (Emergency)</v>
      </c>
      <c r="L762" t="e">
        <f>VLOOKUP(K762, Sheet2!$A$2:$B$4186, 2,FALSE)</f>
        <v>#N/A</v>
      </c>
      <c r="M762">
        <f>VLOOKUP(C762,Depts!$B$1:$D$16,3,FALSE)</f>
        <v>42</v>
      </c>
      <c r="N762" s="1" t="b">
        <f t="shared" si="35"/>
        <v>1</v>
      </c>
    </row>
    <row r="763" spans="1:14">
      <c r="A763">
        <v>945</v>
      </c>
      <c r="B763">
        <v>126</v>
      </c>
      <c r="C763" t="s">
        <v>50</v>
      </c>
      <c r="D763" s="1">
        <v>46148</v>
      </c>
      <c r="E763" s="1">
        <v>46153</v>
      </c>
      <c r="F763" t="s">
        <v>56</v>
      </c>
      <c r="G763">
        <v>5</v>
      </c>
      <c r="H763">
        <v>42</v>
      </c>
      <c r="I763" t="s">
        <v>60</v>
      </c>
      <c r="J763">
        <f t="shared" si="33"/>
        <v>7</v>
      </c>
      <c r="K763" t="str">
        <f t="shared" si="34"/>
        <v>06/05/2026Renal Medicine</v>
      </c>
      <c r="L763" t="e">
        <f>VLOOKUP(K763, Sheet2!$A$2:$B$4186, 2,FALSE)</f>
        <v>#N/A</v>
      </c>
      <c r="M763">
        <f>VLOOKUP(C763,Depts!$B$1:$D$16,3,FALSE)</f>
        <v>26</v>
      </c>
      <c r="N763" s="1" t="b">
        <f t="shared" si="35"/>
        <v>1</v>
      </c>
    </row>
    <row r="764" spans="1:14">
      <c r="A764">
        <v>946</v>
      </c>
      <c r="B764">
        <v>50</v>
      </c>
      <c r="C764" t="s">
        <v>46</v>
      </c>
      <c r="D764" s="1">
        <v>46149</v>
      </c>
      <c r="E764" s="1">
        <v>46155</v>
      </c>
      <c r="F764" t="s">
        <v>56</v>
      </c>
      <c r="G764">
        <v>6</v>
      </c>
      <c r="H764">
        <v>1</v>
      </c>
      <c r="I764" t="s">
        <v>61</v>
      </c>
      <c r="J764">
        <f t="shared" si="33"/>
        <v>0.2</v>
      </c>
      <c r="K764" t="str">
        <f t="shared" si="34"/>
        <v>07/05/2026Neurology</v>
      </c>
      <c r="L764" t="e">
        <f>VLOOKUP(K764, Sheet2!$A$2:$B$4186, 2,FALSE)</f>
        <v>#N/A</v>
      </c>
      <c r="M764">
        <f>VLOOKUP(C764,Depts!$B$1:$D$16,3,FALSE)</f>
        <v>32</v>
      </c>
      <c r="N764" s="1" t="b">
        <f t="shared" si="35"/>
        <v>1</v>
      </c>
    </row>
    <row r="765" spans="1:14">
      <c r="A765">
        <v>947</v>
      </c>
      <c r="B765">
        <v>300</v>
      </c>
      <c r="C765" t="s">
        <v>45</v>
      </c>
      <c r="D765" s="1">
        <v>46149</v>
      </c>
      <c r="E765" s="1">
        <v>46151</v>
      </c>
      <c r="F765" t="s">
        <v>57</v>
      </c>
      <c r="G765">
        <v>2</v>
      </c>
      <c r="H765">
        <v>10</v>
      </c>
      <c r="I765" t="s">
        <v>60</v>
      </c>
      <c r="J765">
        <f t="shared" si="33"/>
        <v>0.66666666666666663</v>
      </c>
      <c r="K765" t="str">
        <f t="shared" si="34"/>
        <v>07/05/2026Maternity</v>
      </c>
      <c r="L765" t="e">
        <f>VLOOKUP(K765, Sheet2!$A$2:$B$4186, 2,FALSE)</f>
        <v>#N/A</v>
      </c>
      <c r="M765">
        <f>VLOOKUP(C765,Depts!$B$1:$D$16,3,FALSE)</f>
        <v>34</v>
      </c>
      <c r="N765" s="1" t="b">
        <f t="shared" si="35"/>
        <v>1</v>
      </c>
    </row>
    <row r="766" spans="1:14">
      <c r="A766">
        <v>948</v>
      </c>
      <c r="B766">
        <v>705</v>
      </c>
      <c r="C766" t="s">
        <v>48</v>
      </c>
      <c r="D766" s="1">
        <v>46150</v>
      </c>
      <c r="E766" s="1">
        <v>46155</v>
      </c>
      <c r="F766" t="s">
        <v>56</v>
      </c>
      <c r="G766">
        <v>5</v>
      </c>
      <c r="H766">
        <v>41</v>
      </c>
      <c r="I766" t="s">
        <v>60</v>
      </c>
      <c r="J766">
        <f t="shared" si="33"/>
        <v>6.8333333333333339</v>
      </c>
      <c r="K766" t="str">
        <f t="shared" si="34"/>
        <v>08/05/2026Orthopaedics</v>
      </c>
      <c r="L766" t="e">
        <f>VLOOKUP(K766, Sheet2!$A$2:$B$4186, 2,FALSE)</f>
        <v>#N/A</v>
      </c>
      <c r="M766">
        <f>VLOOKUP(C766,Depts!$B$1:$D$16,3,FALSE)</f>
        <v>40</v>
      </c>
      <c r="N766" s="1" t="b">
        <f t="shared" si="35"/>
        <v>1</v>
      </c>
    </row>
    <row r="767" spans="1:14">
      <c r="A767">
        <v>949</v>
      </c>
      <c r="B767">
        <v>435</v>
      </c>
      <c r="C767" t="s">
        <v>49</v>
      </c>
      <c r="D767" s="1">
        <v>46150</v>
      </c>
      <c r="E767" s="1">
        <v>46152</v>
      </c>
      <c r="F767" t="s">
        <v>57</v>
      </c>
      <c r="G767">
        <v>2</v>
      </c>
      <c r="H767">
        <v>120</v>
      </c>
      <c r="I767" t="s">
        <v>60</v>
      </c>
      <c r="J767">
        <f t="shared" si="33"/>
        <v>8</v>
      </c>
      <c r="K767" t="str">
        <f t="shared" si="34"/>
        <v>08/05/2026Paediatrics</v>
      </c>
      <c r="L767" t="e">
        <f>VLOOKUP(K767, Sheet2!$A$2:$B$4186, 2,FALSE)</f>
        <v>#N/A</v>
      </c>
      <c r="M767">
        <f>VLOOKUP(C767,Depts!$B$1:$D$16,3,FALSE)</f>
        <v>30</v>
      </c>
      <c r="N767" s="1" t="b">
        <f t="shared" si="35"/>
        <v>1</v>
      </c>
    </row>
    <row r="768" spans="1:14">
      <c r="A768">
        <v>950</v>
      </c>
      <c r="B768">
        <v>882</v>
      </c>
      <c r="C768" t="s">
        <v>42</v>
      </c>
      <c r="D768" s="1">
        <v>46151</v>
      </c>
      <c r="E768" s="1">
        <v>46156</v>
      </c>
      <c r="F768" t="s">
        <v>56</v>
      </c>
      <c r="G768">
        <v>5</v>
      </c>
      <c r="H768">
        <v>22</v>
      </c>
      <c r="I768" t="s">
        <v>60</v>
      </c>
      <c r="J768">
        <f t="shared" si="33"/>
        <v>3.6666666666666665</v>
      </c>
      <c r="K768" t="str">
        <f t="shared" si="34"/>
        <v>09/05/2026Gastroenterology</v>
      </c>
      <c r="L768" t="e">
        <f>VLOOKUP(K768, Sheet2!$A$2:$B$4186, 2,FALSE)</f>
        <v>#N/A</v>
      </c>
      <c r="M768">
        <f>VLOOKUP(C768,Depts!$B$1:$D$16,3,FALSE)</f>
        <v>29</v>
      </c>
      <c r="N768" s="1" t="b">
        <f t="shared" si="35"/>
        <v>1</v>
      </c>
    </row>
    <row r="769" spans="1:14">
      <c r="A769">
        <v>951</v>
      </c>
      <c r="B769">
        <v>564</v>
      </c>
      <c r="C769" t="s">
        <v>41</v>
      </c>
      <c r="D769" s="1">
        <v>46152</v>
      </c>
      <c r="E769" s="1">
        <v>46154</v>
      </c>
      <c r="F769" t="s">
        <v>57</v>
      </c>
      <c r="G769">
        <v>2</v>
      </c>
      <c r="H769">
        <v>226</v>
      </c>
      <c r="I769" t="s">
        <v>60</v>
      </c>
      <c r="J769">
        <f t="shared" si="33"/>
        <v>15.066666666666666</v>
      </c>
      <c r="K769" t="str">
        <f t="shared" si="34"/>
        <v>10/05/2026ENT</v>
      </c>
      <c r="L769" t="e">
        <f>VLOOKUP(K769, Sheet2!$A$2:$B$4186, 2,FALSE)</f>
        <v>#N/A</v>
      </c>
      <c r="M769">
        <f>VLOOKUP(C769,Depts!$B$1:$D$16,3,FALSE)</f>
        <v>20</v>
      </c>
      <c r="N769" s="1" t="b">
        <f t="shared" si="35"/>
        <v>1</v>
      </c>
    </row>
    <row r="770" spans="1:14">
      <c r="A770">
        <v>952</v>
      </c>
      <c r="B770">
        <v>306</v>
      </c>
      <c r="C770" t="s">
        <v>44</v>
      </c>
      <c r="D770" s="1">
        <v>46152</v>
      </c>
      <c r="E770" s="1">
        <v>46158</v>
      </c>
      <c r="F770" t="s">
        <v>56</v>
      </c>
      <c r="G770">
        <v>6</v>
      </c>
      <c r="H770">
        <v>22</v>
      </c>
      <c r="I770" t="s">
        <v>60</v>
      </c>
      <c r="J770">
        <f t="shared" si="33"/>
        <v>4.3999999999999995</v>
      </c>
      <c r="K770" t="str">
        <f t="shared" si="34"/>
        <v>10/05/2026Geriatrics</v>
      </c>
      <c r="L770" t="e">
        <f>VLOOKUP(K770, Sheet2!$A$2:$B$4186, 2,FALSE)</f>
        <v>#N/A</v>
      </c>
      <c r="M770">
        <f>VLOOKUP(C770,Depts!$B$1:$D$16,3,FALSE)</f>
        <v>46</v>
      </c>
      <c r="N770" s="1" t="b">
        <f t="shared" si="35"/>
        <v>1</v>
      </c>
    </row>
    <row r="771" spans="1:14">
      <c r="A771">
        <v>953</v>
      </c>
      <c r="B771">
        <v>263</v>
      </c>
      <c r="C771" t="s">
        <v>51</v>
      </c>
      <c r="D771" s="1">
        <v>46153</v>
      </c>
      <c r="E771" s="1">
        <v>46155</v>
      </c>
      <c r="F771" t="s">
        <v>57</v>
      </c>
      <c r="G771">
        <v>2</v>
      </c>
      <c r="H771">
        <v>73</v>
      </c>
      <c r="I771" t="s">
        <v>60</v>
      </c>
      <c r="J771">
        <f t="shared" ref="J771:J818" si="36">G771*(H771/30)</f>
        <v>4.8666666666666663</v>
      </c>
      <c r="K771" t="str">
        <f t="shared" ref="K771:K818" si="37">TEXT(D771, "dd/mm/yyyy")&amp;C771</f>
        <v>11/05/2026Respiratory</v>
      </c>
      <c r="L771" t="e">
        <f>VLOOKUP(K771, Sheet2!$A$2:$B$4186, 2,FALSE)</f>
        <v>#N/A</v>
      </c>
      <c r="M771">
        <f>VLOOKUP(C771,Depts!$B$1:$D$16,3,FALSE)</f>
        <v>36</v>
      </c>
      <c r="N771" s="1" t="b">
        <f t="shared" si="35"/>
        <v>1</v>
      </c>
    </row>
    <row r="772" spans="1:14">
      <c r="A772">
        <v>954</v>
      </c>
      <c r="B772">
        <v>813</v>
      </c>
      <c r="C772" t="s">
        <v>43</v>
      </c>
      <c r="D772" s="1">
        <v>46154</v>
      </c>
      <c r="E772" s="1">
        <v>46159</v>
      </c>
      <c r="F772" t="s">
        <v>56</v>
      </c>
      <c r="G772">
        <v>5</v>
      </c>
      <c r="H772">
        <v>34</v>
      </c>
      <c r="I772" t="s">
        <v>60</v>
      </c>
      <c r="J772">
        <f t="shared" si="36"/>
        <v>5.6666666666666661</v>
      </c>
      <c r="K772" t="str">
        <f t="shared" si="37"/>
        <v>12/05/2026General Surgery</v>
      </c>
      <c r="L772" t="e">
        <f>VLOOKUP(K772, Sheet2!$A$2:$B$4186, 2,FALSE)</f>
        <v>#N/A</v>
      </c>
      <c r="M772">
        <f>VLOOKUP(C772,Depts!$B$1:$D$16,3,FALSE)</f>
        <v>44</v>
      </c>
      <c r="N772" s="1" t="b">
        <f t="shared" si="35"/>
        <v>1</v>
      </c>
    </row>
    <row r="773" spans="1:14">
      <c r="A773">
        <v>955</v>
      </c>
      <c r="B773">
        <v>758</v>
      </c>
      <c r="C773" t="s">
        <v>40</v>
      </c>
      <c r="D773" s="1">
        <v>46154</v>
      </c>
      <c r="E773" s="1">
        <v>46157</v>
      </c>
      <c r="F773" t="s">
        <v>58</v>
      </c>
      <c r="G773">
        <v>3</v>
      </c>
      <c r="H773">
        <v>110</v>
      </c>
      <c r="I773" t="s">
        <v>60</v>
      </c>
      <c r="J773">
        <f t="shared" si="36"/>
        <v>11</v>
      </c>
      <c r="K773" t="str">
        <f t="shared" si="37"/>
        <v>12/05/2026Cardiology</v>
      </c>
      <c r="L773" t="e">
        <f>VLOOKUP(K773, Sheet2!$A$2:$B$4186, 2,FALSE)</f>
        <v>#N/A</v>
      </c>
      <c r="M773">
        <f>VLOOKUP(C773,Depts!$B$1:$D$16,3,FALSE)</f>
        <v>38</v>
      </c>
      <c r="N773" s="1" t="b">
        <f t="shared" si="35"/>
        <v>1</v>
      </c>
    </row>
    <row r="774" spans="1:14">
      <c r="A774">
        <v>956</v>
      </c>
      <c r="B774">
        <v>874</v>
      </c>
      <c r="C774" t="s">
        <v>47</v>
      </c>
      <c r="D774" s="1">
        <v>46155</v>
      </c>
      <c r="E774" s="1">
        <v>46160</v>
      </c>
      <c r="F774" t="s">
        <v>56</v>
      </c>
      <c r="G774">
        <v>5</v>
      </c>
      <c r="H774">
        <v>2</v>
      </c>
      <c r="I774" t="s">
        <v>60</v>
      </c>
      <c r="J774">
        <f t="shared" si="36"/>
        <v>0.33333333333333331</v>
      </c>
      <c r="K774" t="str">
        <f t="shared" si="37"/>
        <v>13/05/2026Oncology</v>
      </c>
      <c r="L774" t="e">
        <f>VLOOKUP(K774, Sheet2!$A$2:$B$4186, 2,FALSE)</f>
        <v>#N/A</v>
      </c>
      <c r="M774">
        <f>VLOOKUP(C774,Depts!$B$1:$D$16,3,FALSE)</f>
        <v>28</v>
      </c>
      <c r="N774" s="1" t="b">
        <f t="shared" si="35"/>
        <v>1</v>
      </c>
    </row>
    <row r="775" spans="1:14">
      <c r="A775">
        <v>957</v>
      </c>
      <c r="B775">
        <v>431</v>
      </c>
      <c r="C775" t="s">
        <v>39</v>
      </c>
      <c r="D775" s="1">
        <v>46155</v>
      </c>
      <c r="E775" s="1">
        <v>46156</v>
      </c>
      <c r="F775" t="s">
        <v>57</v>
      </c>
      <c r="G775">
        <v>1</v>
      </c>
      <c r="H775">
        <v>14</v>
      </c>
      <c r="I775" t="s">
        <v>60</v>
      </c>
      <c r="J775">
        <f t="shared" si="36"/>
        <v>0.46666666666666667</v>
      </c>
      <c r="K775" t="str">
        <f t="shared" si="37"/>
        <v>13/05/2026A&amp;E (Emergency)</v>
      </c>
      <c r="L775" t="e">
        <f>VLOOKUP(K775, Sheet2!$A$2:$B$4186, 2,FALSE)</f>
        <v>#N/A</v>
      </c>
      <c r="M775">
        <f>VLOOKUP(C775,Depts!$B$1:$D$16,3,FALSE)</f>
        <v>42</v>
      </c>
      <c r="N775" s="1" t="b">
        <f t="shared" si="35"/>
        <v>1</v>
      </c>
    </row>
    <row r="776" spans="1:14">
      <c r="A776">
        <v>958</v>
      </c>
      <c r="B776">
        <v>111</v>
      </c>
      <c r="C776" t="s">
        <v>50</v>
      </c>
      <c r="D776" s="1">
        <v>46156</v>
      </c>
      <c r="E776" s="1">
        <v>46161</v>
      </c>
      <c r="F776" t="s">
        <v>56</v>
      </c>
      <c r="G776">
        <v>5</v>
      </c>
      <c r="H776">
        <v>34</v>
      </c>
      <c r="I776" t="s">
        <v>60</v>
      </c>
      <c r="J776">
        <f t="shared" si="36"/>
        <v>5.6666666666666661</v>
      </c>
      <c r="K776" t="str">
        <f t="shared" si="37"/>
        <v>14/05/2026Renal Medicine</v>
      </c>
      <c r="L776" t="e">
        <f>VLOOKUP(K776, Sheet2!$A$2:$B$4186, 2,FALSE)</f>
        <v>#N/A</v>
      </c>
      <c r="M776">
        <f>VLOOKUP(C776,Depts!$B$1:$D$16,3,FALSE)</f>
        <v>26</v>
      </c>
      <c r="N776" s="1" t="b">
        <f t="shared" si="35"/>
        <v>1</v>
      </c>
    </row>
    <row r="777" spans="1:14">
      <c r="A777">
        <v>959</v>
      </c>
      <c r="B777">
        <v>19</v>
      </c>
      <c r="C777" t="s">
        <v>46</v>
      </c>
      <c r="D777" s="1">
        <v>46157</v>
      </c>
      <c r="E777" s="1">
        <v>46163</v>
      </c>
      <c r="F777" t="s">
        <v>56</v>
      </c>
      <c r="G777">
        <v>6</v>
      </c>
      <c r="H777">
        <v>63</v>
      </c>
      <c r="I777" t="s">
        <v>60</v>
      </c>
      <c r="J777">
        <f t="shared" si="36"/>
        <v>12.600000000000001</v>
      </c>
      <c r="K777" t="str">
        <f t="shared" si="37"/>
        <v>15/05/2026Neurology</v>
      </c>
      <c r="L777" t="e">
        <f>VLOOKUP(K777, Sheet2!$A$2:$B$4186, 2,FALSE)</f>
        <v>#N/A</v>
      </c>
      <c r="M777">
        <f>VLOOKUP(C777,Depts!$B$1:$D$16,3,FALSE)</f>
        <v>32</v>
      </c>
      <c r="N777" s="1" t="b">
        <f t="shared" si="35"/>
        <v>1</v>
      </c>
    </row>
    <row r="778" spans="1:14">
      <c r="A778">
        <v>960</v>
      </c>
      <c r="B778">
        <v>708</v>
      </c>
      <c r="C778" t="s">
        <v>45</v>
      </c>
      <c r="D778" s="1">
        <v>46157</v>
      </c>
      <c r="E778" s="1">
        <v>46159</v>
      </c>
      <c r="F778" t="s">
        <v>57</v>
      </c>
      <c r="G778">
        <v>2</v>
      </c>
      <c r="H778">
        <v>1</v>
      </c>
      <c r="I778" t="s">
        <v>60</v>
      </c>
      <c r="J778">
        <f t="shared" si="36"/>
        <v>6.6666666666666666E-2</v>
      </c>
      <c r="K778" t="str">
        <f t="shared" si="37"/>
        <v>15/05/2026Maternity</v>
      </c>
      <c r="L778" t="e">
        <f>VLOOKUP(K778, Sheet2!$A$2:$B$4186, 2,FALSE)</f>
        <v>#N/A</v>
      </c>
      <c r="M778">
        <f>VLOOKUP(C778,Depts!$B$1:$D$16,3,FALSE)</f>
        <v>34</v>
      </c>
      <c r="N778" s="1" t="b">
        <f t="shared" si="35"/>
        <v>1</v>
      </c>
    </row>
    <row r="779" spans="1:14">
      <c r="A779">
        <v>961</v>
      </c>
      <c r="B779">
        <v>371</v>
      </c>
      <c r="C779" t="s">
        <v>48</v>
      </c>
      <c r="D779" s="1">
        <v>46158</v>
      </c>
      <c r="E779" s="1">
        <v>46163</v>
      </c>
      <c r="F779" t="s">
        <v>56</v>
      </c>
      <c r="G779">
        <v>5</v>
      </c>
      <c r="H779">
        <v>42</v>
      </c>
      <c r="I779" t="s">
        <v>60</v>
      </c>
      <c r="J779">
        <f t="shared" si="36"/>
        <v>7</v>
      </c>
      <c r="K779" t="str">
        <f t="shared" si="37"/>
        <v>16/05/2026Orthopaedics</v>
      </c>
      <c r="L779" t="e">
        <f>VLOOKUP(K779, Sheet2!$A$2:$B$4186, 2,FALSE)</f>
        <v>#N/A</v>
      </c>
      <c r="M779">
        <f>VLOOKUP(C779,Depts!$B$1:$D$16,3,FALSE)</f>
        <v>40</v>
      </c>
      <c r="N779" s="1" t="b">
        <f t="shared" si="35"/>
        <v>1</v>
      </c>
    </row>
    <row r="780" spans="1:14">
      <c r="A780">
        <v>962</v>
      </c>
      <c r="B780">
        <v>611</v>
      </c>
      <c r="C780" t="s">
        <v>49</v>
      </c>
      <c r="D780" s="1">
        <v>46158</v>
      </c>
      <c r="E780" s="1">
        <v>46160</v>
      </c>
      <c r="F780" t="s">
        <v>57</v>
      </c>
      <c r="G780">
        <v>2</v>
      </c>
      <c r="H780">
        <v>43</v>
      </c>
      <c r="I780" t="s">
        <v>60</v>
      </c>
      <c r="J780">
        <f t="shared" si="36"/>
        <v>2.8666666666666667</v>
      </c>
      <c r="K780" t="str">
        <f t="shared" si="37"/>
        <v>16/05/2026Paediatrics</v>
      </c>
      <c r="L780" t="e">
        <f>VLOOKUP(K780, Sheet2!$A$2:$B$4186, 2,FALSE)</f>
        <v>#N/A</v>
      </c>
      <c r="M780">
        <f>VLOOKUP(C780,Depts!$B$1:$D$16,3,FALSE)</f>
        <v>30</v>
      </c>
      <c r="N780" s="1" t="b">
        <f t="shared" si="35"/>
        <v>1</v>
      </c>
    </row>
    <row r="781" spans="1:14">
      <c r="A781">
        <v>963</v>
      </c>
      <c r="B781">
        <v>753</v>
      </c>
      <c r="C781" t="s">
        <v>42</v>
      </c>
      <c r="D781" s="1">
        <v>46159</v>
      </c>
      <c r="E781" s="1">
        <v>46164</v>
      </c>
      <c r="F781" t="s">
        <v>56</v>
      </c>
      <c r="G781">
        <v>5</v>
      </c>
      <c r="H781">
        <v>40</v>
      </c>
      <c r="I781" t="s">
        <v>60</v>
      </c>
      <c r="J781">
        <f t="shared" si="36"/>
        <v>6.6666666666666661</v>
      </c>
      <c r="K781" t="str">
        <f t="shared" si="37"/>
        <v>17/05/2026Gastroenterology</v>
      </c>
      <c r="L781" t="e">
        <f>VLOOKUP(K781, Sheet2!$A$2:$B$4186, 2,FALSE)</f>
        <v>#N/A</v>
      </c>
      <c r="M781">
        <f>VLOOKUP(C781,Depts!$B$1:$D$16,3,FALSE)</f>
        <v>29</v>
      </c>
      <c r="N781" s="1" t="b">
        <f t="shared" si="35"/>
        <v>1</v>
      </c>
    </row>
    <row r="782" spans="1:14">
      <c r="A782">
        <v>964</v>
      </c>
      <c r="B782">
        <v>922</v>
      </c>
      <c r="C782" t="s">
        <v>41</v>
      </c>
      <c r="D782" s="1">
        <v>46160</v>
      </c>
      <c r="E782" s="1">
        <v>46162</v>
      </c>
      <c r="F782" t="s">
        <v>57</v>
      </c>
      <c r="G782">
        <v>2</v>
      </c>
      <c r="H782">
        <v>44</v>
      </c>
      <c r="I782" t="s">
        <v>60</v>
      </c>
      <c r="J782">
        <f t="shared" si="36"/>
        <v>2.9333333333333331</v>
      </c>
      <c r="K782" t="str">
        <f t="shared" si="37"/>
        <v>18/05/2026ENT</v>
      </c>
      <c r="L782" t="e">
        <f>VLOOKUP(K782, Sheet2!$A$2:$B$4186, 2,FALSE)</f>
        <v>#N/A</v>
      </c>
      <c r="M782">
        <f>VLOOKUP(C782,Depts!$B$1:$D$16,3,FALSE)</f>
        <v>20</v>
      </c>
      <c r="N782" s="1" t="b">
        <f t="shared" si="35"/>
        <v>1</v>
      </c>
    </row>
    <row r="783" spans="1:14">
      <c r="A783">
        <v>965</v>
      </c>
      <c r="B783">
        <v>619</v>
      </c>
      <c r="C783" t="s">
        <v>44</v>
      </c>
      <c r="D783" s="1">
        <v>46160</v>
      </c>
      <c r="E783" s="1">
        <v>46166</v>
      </c>
      <c r="F783" t="s">
        <v>56</v>
      </c>
      <c r="G783">
        <v>6</v>
      </c>
      <c r="H783">
        <v>228</v>
      </c>
      <c r="I783" t="s">
        <v>60</v>
      </c>
      <c r="J783">
        <f t="shared" si="36"/>
        <v>45.599999999999994</v>
      </c>
      <c r="K783" t="str">
        <f t="shared" si="37"/>
        <v>18/05/2026Geriatrics</v>
      </c>
      <c r="L783" t="e">
        <f>VLOOKUP(K783, Sheet2!$A$2:$B$4186, 2,FALSE)</f>
        <v>#N/A</v>
      </c>
      <c r="M783">
        <f>VLOOKUP(C783,Depts!$B$1:$D$16,3,FALSE)</f>
        <v>46</v>
      </c>
      <c r="N783" s="1" t="b">
        <f t="shared" si="35"/>
        <v>1</v>
      </c>
    </row>
    <row r="784" spans="1:14">
      <c r="A784">
        <v>966</v>
      </c>
      <c r="B784">
        <v>546</v>
      </c>
      <c r="C784" t="s">
        <v>51</v>
      </c>
      <c r="D784" s="1">
        <v>46161</v>
      </c>
      <c r="E784" s="1">
        <v>46163</v>
      </c>
      <c r="F784" t="s">
        <v>57</v>
      </c>
      <c r="G784">
        <v>2</v>
      </c>
      <c r="H784">
        <v>14</v>
      </c>
      <c r="I784" t="s">
        <v>60</v>
      </c>
      <c r="J784">
        <f t="shared" si="36"/>
        <v>0.93333333333333335</v>
      </c>
      <c r="K784" t="str">
        <f t="shared" si="37"/>
        <v>19/05/2026Respiratory</v>
      </c>
      <c r="L784" t="e">
        <f>VLOOKUP(K784, Sheet2!$A$2:$B$4186, 2,FALSE)</f>
        <v>#N/A</v>
      </c>
      <c r="M784">
        <f>VLOOKUP(C784,Depts!$B$1:$D$16,3,FALSE)</f>
        <v>36</v>
      </c>
      <c r="N784" s="1" t="b">
        <f t="shared" si="35"/>
        <v>1</v>
      </c>
    </row>
    <row r="785" spans="1:14">
      <c r="A785">
        <v>967</v>
      </c>
      <c r="B785">
        <v>483</v>
      </c>
      <c r="C785" t="s">
        <v>43</v>
      </c>
      <c r="D785" s="1">
        <v>46162</v>
      </c>
      <c r="E785" s="1">
        <v>46167</v>
      </c>
      <c r="F785" t="s">
        <v>56</v>
      </c>
      <c r="G785">
        <v>5</v>
      </c>
      <c r="H785">
        <v>18</v>
      </c>
      <c r="I785" t="s">
        <v>60</v>
      </c>
      <c r="J785">
        <f t="shared" si="36"/>
        <v>3</v>
      </c>
      <c r="K785" t="str">
        <f t="shared" si="37"/>
        <v>20/05/2026General Surgery</v>
      </c>
      <c r="L785" t="e">
        <f>VLOOKUP(K785, Sheet2!$A$2:$B$4186, 2,FALSE)</f>
        <v>#N/A</v>
      </c>
      <c r="M785">
        <f>VLOOKUP(C785,Depts!$B$1:$D$16,3,FALSE)</f>
        <v>44</v>
      </c>
      <c r="N785" s="1" t="b">
        <f t="shared" si="35"/>
        <v>1</v>
      </c>
    </row>
    <row r="786" spans="1:14">
      <c r="A786">
        <v>968</v>
      </c>
      <c r="B786">
        <v>312</v>
      </c>
      <c r="C786" t="s">
        <v>40</v>
      </c>
      <c r="D786" s="1">
        <v>46250</v>
      </c>
      <c r="E786" s="1">
        <v>46253</v>
      </c>
      <c r="F786" t="s">
        <v>58</v>
      </c>
      <c r="G786">
        <v>3</v>
      </c>
      <c r="H786">
        <v>56</v>
      </c>
      <c r="I786" t="s">
        <v>60</v>
      </c>
      <c r="J786">
        <f t="shared" si="36"/>
        <v>5.6</v>
      </c>
      <c r="K786" t="str">
        <f t="shared" si="37"/>
        <v>16/08/2026Cardiology</v>
      </c>
      <c r="L786" t="e">
        <f>VLOOKUP(K786, Sheet2!$A$2:$B$4186, 2,FALSE)</f>
        <v>#N/A</v>
      </c>
      <c r="M786">
        <f>VLOOKUP(C786,Depts!$B$1:$D$16,3,FALSE)</f>
        <v>38</v>
      </c>
      <c r="N786" s="1" t="b">
        <f t="shared" si="35"/>
        <v>1</v>
      </c>
    </row>
    <row r="787" spans="1:14">
      <c r="A787">
        <v>969</v>
      </c>
      <c r="B787">
        <v>770</v>
      </c>
      <c r="C787" t="s">
        <v>47</v>
      </c>
      <c r="D787" s="1">
        <v>46251</v>
      </c>
      <c r="E787" s="1">
        <v>46256</v>
      </c>
      <c r="F787" t="s">
        <v>56</v>
      </c>
      <c r="G787">
        <v>5</v>
      </c>
      <c r="H787">
        <v>42</v>
      </c>
      <c r="I787" t="s">
        <v>60</v>
      </c>
      <c r="J787">
        <f t="shared" si="36"/>
        <v>7</v>
      </c>
      <c r="K787" t="str">
        <f t="shared" si="37"/>
        <v>17/08/2026Oncology</v>
      </c>
      <c r="L787" t="e">
        <f>VLOOKUP(K787, Sheet2!$A$2:$B$4186, 2,FALSE)</f>
        <v>#N/A</v>
      </c>
      <c r="M787">
        <f>VLOOKUP(C787,Depts!$B$1:$D$16,3,FALSE)</f>
        <v>28</v>
      </c>
      <c r="N787" s="1" t="b">
        <f t="shared" si="35"/>
        <v>1</v>
      </c>
    </row>
    <row r="788" spans="1:14">
      <c r="A788">
        <v>970</v>
      </c>
      <c r="B788">
        <v>49</v>
      </c>
      <c r="C788" t="s">
        <v>39</v>
      </c>
      <c r="D788" s="1">
        <v>46251</v>
      </c>
      <c r="E788" s="1">
        <v>46252</v>
      </c>
      <c r="F788" t="s">
        <v>57</v>
      </c>
      <c r="G788">
        <v>1</v>
      </c>
      <c r="H788">
        <v>109</v>
      </c>
      <c r="I788" t="s">
        <v>60</v>
      </c>
      <c r="J788">
        <f t="shared" si="36"/>
        <v>3.6333333333333333</v>
      </c>
      <c r="K788" t="str">
        <f t="shared" si="37"/>
        <v>17/08/2026A&amp;E (Emergency)</v>
      </c>
      <c r="L788" t="e">
        <f>VLOOKUP(K788, Sheet2!$A$2:$B$4186, 2,FALSE)</f>
        <v>#N/A</v>
      </c>
      <c r="M788">
        <f>VLOOKUP(C788,Depts!$B$1:$D$16,3,FALSE)</f>
        <v>42</v>
      </c>
      <c r="N788" s="1" t="b">
        <f t="shared" si="35"/>
        <v>1</v>
      </c>
    </row>
    <row r="789" spans="1:14">
      <c r="A789">
        <v>971</v>
      </c>
      <c r="B789">
        <v>622</v>
      </c>
      <c r="C789" t="s">
        <v>50</v>
      </c>
      <c r="D789" s="1">
        <v>46252</v>
      </c>
      <c r="E789" s="1">
        <v>46257</v>
      </c>
      <c r="F789" t="s">
        <v>56</v>
      </c>
      <c r="G789">
        <v>5</v>
      </c>
      <c r="H789">
        <v>42</v>
      </c>
      <c r="I789" t="s">
        <v>60</v>
      </c>
      <c r="J789">
        <f t="shared" si="36"/>
        <v>7</v>
      </c>
      <c r="K789" t="str">
        <f t="shared" si="37"/>
        <v>18/08/2026Renal Medicine</v>
      </c>
      <c r="L789" t="e">
        <f>VLOOKUP(K789, Sheet2!$A$2:$B$4186, 2,FALSE)</f>
        <v>#N/A</v>
      </c>
      <c r="M789">
        <f>VLOOKUP(C789,Depts!$B$1:$D$16,3,FALSE)</f>
        <v>26</v>
      </c>
      <c r="N789" s="1" t="b">
        <f t="shared" si="35"/>
        <v>1</v>
      </c>
    </row>
    <row r="790" spans="1:14">
      <c r="A790">
        <v>972</v>
      </c>
      <c r="B790">
        <v>359</v>
      </c>
      <c r="C790" t="s">
        <v>46</v>
      </c>
      <c r="D790" s="1">
        <v>46253</v>
      </c>
      <c r="E790" s="1">
        <v>46259</v>
      </c>
      <c r="F790" t="s">
        <v>56</v>
      </c>
      <c r="G790">
        <v>6</v>
      </c>
      <c r="H790">
        <v>10</v>
      </c>
      <c r="I790" t="s">
        <v>60</v>
      </c>
      <c r="J790">
        <f t="shared" si="36"/>
        <v>2</v>
      </c>
      <c r="K790" t="str">
        <f t="shared" si="37"/>
        <v>19/08/2026Neurology</v>
      </c>
      <c r="L790" t="e">
        <f>VLOOKUP(K790, Sheet2!$A$2:$B$4186, 2,FALSE)</f>
        <v>#N/A</v>
      </c>
      <c r="M790">
        <f>VLOOKUP(C790,Depts!$B$1:$D$16,3,FALSE)</f>
        <v>32</v>
      </c>
      <c r="N790" s="1" t="b">
        <f t="shared" si="35"/>
        <v>1</v>
      </c>
    </row>
    <row r="791" spans="1:14">
      <c r="A791">
        <v>973</v>
      </c>
      <c r="B791">
        <v>927</v>
      </c>
      <c r="C791" t="s">
        <v>45</v>
      </c>
      <c r="D791" s="1">
        <v>46253</v>
      </c>
      <c r="E791" s="1">
        <v>46255</v>
      </c>
      <c r="F791" t="s">
        <v>57</v>
      </c>
      <c r="G791">
        <v>2</v>
      </c>
      <c r="H791">
        <v>119</v>
      </c>
      <c r="I791" t="s">
        <v>60</v>
      </c>
      <c r="J791">
        <f t="shared" si="36"/>
        <v>7.9333333333333336</v>
      </c>
      <c r="K791" t="str">
        <f t="shared" si="37"/>
        <v>19/08/2026Maternity</v>
      </c>
      <c r="L791" t="e">
        <f>VLOOKUP(K791, Sheet2!$A$2:$B$4186, 2,FALSE)</f>
        <v>#N/A</v>
      </c>
      <c r="M791">
        <f>VLOOKUP(C791,Depts!$B$1:$D$16,3,FALSE)</f>
        <v>34</v>
      </c>
      <c r="N791" s="1" t="b">
        <f t="shared" si="35"/>
        <v>1</v>
      </c>
    </row>
    <row r="792" spans="1:14">
      <c r="A792">
        <v>974</v>
      </c>
      <c r="B792">
        <v>201</v>
      </c>
      <c r="C792" t="s">
        <v>48</v>
      </c>
      <c r="D792" s="1">
        <v>46254</v>
      </c>
      <c r="E792" s="1">
        <v>46259</v>
      </c>
      <c r="F792" t="s">
        <v>56</v>
      </c>
      <c r="G792">
        <v>5</v>
      </c>
      <c r="H792">
        <v>34</v>
      </c>
      <c r="I792" t="s">
        <v>60</v>
      </c>
      <c r="J792">
        <f t="shared" si="36"/>
        <v>5.6666666666666661</v>
      </c>
      <c r="K792" t="str">
        <f t="shared" si="37"/>
        <v>20/08/2026Orthopaedics</v>
      </c>
      <c r="L792" t="e">
        <f>VLOOKUP(K792, Sheet2!$A$2:$B$4186, 2,FALSE)</f>
        <v>#N/A</v>
      </c>
      <c r="M792">
        <f>VLOOKUP(C792,Depts!$B$1:$D$16,3,FALSE)</f>
        <v>40</v>
      </c>
      <c r="N792" s="1" t="b">
        <f t="shared" si="35"/>
        <v>1</v>
      </c>
    </row>
    <row r="793" spans="1:14">
      <c r="A793">
        <v>975</v>
      </c>
      <c r="B793">
        <v>744</v>
      </c>
      <c r="C793" t="s">
        <v>49</v>
      </c>
      <c r="D793" s="1">
        <v>46254</v>
      </c>
      <c r="E793" s="1">
        <v>46256</v>
      </c>
      <c r="F793" t="s">
        <v>57</v>
      </c>
      <c r="G793">
        <v>2</v>
      </c>
      <c r="H793">
        <v>232</v>
      </c>
      <c r="I793" t="s">
        <v>60</v>
      </c>
      <c r="J793">
        <f t="shared" si="36"/>
        <v>15.466666666666667</v>
      </c>
      <c r="K793" t="str">
        <f t="shared" si="37"/>
        <v>20/08/2026Paediatrics</v>
      </c>
      <c r="L793" t="e">
        <f>VLOOKUP(K793, Sheet2!$A$2:$B$4186, 2,FALSE)</f>
        <v>#N/A</v>
      </c>
      <c r="M793">
        <f>VLOOKUP(C793,Depts!$B$1:$D$16,3,FALSE)</f>
        <v>30</v>
      </c>
      <c r="N793" s="1" t="b">
        <f t="shared" si="35"/>
        <v>1</v>
      </c>
    </row>
    <row r="794" spans="1:14">
      <c r="A794">
        <v>976</v>
      </c>
      <c r="B794">
        <v>410</v>
      </c>
      <c r="C794" t="s">
        <v>42</v>
      </c>
      <c r="D794" s="1">
        <v>46255</v>
      </c>
      <c r="E794" s="1">
        <v>46260</v>
      </c>
      <c r="F794" t="s">
        <v>56</v>
      </c>
      <c r="G794">
        <v>5</v>
      </c>
      <c r="H794">
        <v>41</v>
      </c>
      <c r="I794" t="s">
        <v>60</v>
      </c>
      <c r="J794">
        <f t="shared" si="36"/>
        <v>6.8333333333333339</v>
      </c>
      <c r="K794" t="str">
        <f t="shared" si="37"/>
        <v>21/08/2026Gastroenterology</v>
      </c>
      <c r="L794" t="e">
        <f>VLOOKUP(K794, Sheet2!$A$2:$B$4186, 2,FALSE)</f>
        <v>#N/A</v>
      </c>
      <c r="M794">
        <f>VLOOKUP(C794,Depts!$B$1:$D$16,3,FALSE)</f>
        <v>29</v>
      </c>
      <c r="N794" s="1" t="b">
        <f t="shared" si="35"/>
        <v>1</v>
      </c>
    </row>
    <row r="795" spans="1:14">
      <c r="A795">
        <v>977</v>
      </c>
      <c r="B795">
        <v>132</v>
      </c>
      <c r="C795" t="s">
        <v>41</v>
      </c>
      <c r="D795" s="1">
        <v>46256</v>
      </c>
      <c r="E795" s="1">
        <v>46258</v>
      </c>
      <c r="F795" t="s">
        <v>57</v>
      </c>
      <c r="G795">
        <v>2</v>
      </c>
      <c r="H795">
        <v>26</v>
      </c>
      <c r="I795" t="s">
        <v>60</v>
      </c>
      <c r="J795">
        <f t="shared" si="36"/>
        <v>1.7333333333333334</v>
      </c>
      <c r="K795" t="str">
        <f t="shared" si="37"/>
        <v>22/08/2026ENT</v>
      </c>
      <c r="L795" t="e">
        <f>VLOOKUP(K795, Sheet2!$A$2:$B$4186, 2,FALSE)</f>
        <v>#N/A</v>
      </c>
      <c r="M795">
        <f>VLOOKUP(C795,Depts!$B$1:$D$16,3,FALSE)</f>
        <v>20</v>
      </c>
      <c r="N795" s="1" t="b">
        <f t="shared" si="35"/>
        <v>1</v>
      </c>
    </row>
    <row r="796" spans="1:14">
      <c r="A796">
        <v>978</v>
      </c>
      <c r="B796">
        <v>40</v>
      </c>
      <c r="C796" t="s">
        <v>44</v>
      </c>
      <c r="D796" s="1">
        <v>46256</v>
      </c>
      <c r="E796" s="1">
        <v>46262</v>
      </c>
      <c r="F796" t="s">
        <v>56</v>
      </c>
      <c r="G796">
        <v>6</v>
      </c>
      <c r="H796">
        <v>31</v>
      </c>
      <c r="I796" t="s">
        <v>60</v>
      </c>
      <c r="J796">
        <f t="shared" si="36"/>
        <v>6.2000000000000011</v>
      </c>
      <c r="K796" t="str">
        <f t="shared" si="37"/>
        <v>22/08/2026Geriatrics</v>
      </c>
      <c r="L796" t="e">
        <f>VLOOKUP(K796, Sheet2!$A$2:$B$4186, 2,FALSE)</f>
        <v>#N/A</v>
      </c>
      <c r="M796">
        <f>VLOOKUP(C796,Depts!$B$1:$D$16,3,FALSE)</f>
        <v>46</v>
      </c>
      <c r="N796" s="1" t="b">
        <f t="shared" si="35"/>
        <v>1</v>
      </c>
    </row>
    <row r="797" spans="1:14">
      <c r="A797">
        <v>979</v>
      </c>
      <c r="B797">
        <v>531</v>
      </c>
      <c r="C797" t="s">
        <v>51</v>
      </c>
      <c r="D797" s="1">
        <v>46257</v>
      </c>
      <c r="E797" s="1">
        <v>46259</v>
      </c>
      <c r="F797" t="s">
        <v>57</v>
      </c>
      <c r="G797">
        <v>2</v>
      </c>
      <c r="H797">
        <v>31</v>
      </c>
      <c r="I797" t="s">
        <v>61</v>
      </c>
      <c r="J797">
        <f t="shared" si="36"/>
        <v>2.0666666666666669</v>
      </c>
      <c r="K797" t="str">
        <f t="shared" si="37"/>
        <v>23/08/2026Respiratory</v>
      </c>
      <c r="L797" t="e">
        <f>VLOOKUP(K797, Sheet2!$A$2:$B$4186, 2,FALSE)</f>
        <v>#N/A</v>
      </c>
      <c r="M797">
        <f>VLOOKUP(C797,Depts!$B$1:$D$16,3,FALSE)</f>
        <v>36</v>
      </c>
      <c r="N797" s="1" t="b">
        <f t="shared" si="35"/>
        <v>1</v>
      </c>
    </row>
    <row r="798" spans="1:14">
      <c r="A798">
        <v>980</v>
      </c>
      <c r="B798">
        <v>422</v>
      </c>
      <c r="C798" t="s">
        <v>43</v>
      </c>
      <c r="D798" s="1">
        <v>46258</v>
      </c>
      <c r="E798" s="1">
        <v>46263</v>
      </c>
      <c r="F798" t="s">
        <v>56</v>
      </c>
      <c r="G798">
        <v>5</v>
      </c>
      <c r="H798">
        <v>21</v>
      </c>
      <c r="I798" t="s">
        <v>60</v>
      </c>
      <c r="J798">
        <f t="shared" si="36"/>
        <v>3.5</v>
      </c>
      <c r="K798" t="str">
        <f t="shared" si="37"/>
        <v>24/08/2026General Surgery</v>
      </c>
      <c r="L798" t="e">
        <f>VLOOKUP(K798, Sheet2!$A$2:$B$4186, 2,FALSE)</f>
        <v>#N/A</v>
      </c>
      <c r="M798">
        <f>VLOOKUP(C798,Depts!$B$1:$D$16,3,FALSE)</f>
        <v>44</v>
      </c>
      <c r="N798" s="1" t="b">
        <f t="shared" si="35"/>
        <v>1</v>
      </c>
    </row>
    <row r="799" spans="1:14">
      <c r="A799">
        <v>981</v>
      </c>
      <c r="B799">
        <v>42</v>
      </c>
      <c r="C799" t="s">
        <v>40</v>
      </c>
      <c r="D799" s="1">
        <v>46258</v>
      </c>
      <c r="E799" s="1">
        <v>46261</v>
      </c>
      <c r="F799" t="s">
        <v>58</v>
      </c>
      <c r="G799">
        <v>3</v>
      </c>
      <c r="H799">
        <v>4</v>
      </c>
      <c r="I799" t="s">
        <v>60</v>
      </c>
      <c r="J799">
        <f t="shared" si="36"/>
        <v>0.4</v>
      </c>
      <c r="K799" t="str">
        <f t="shared" si="37"/>
        <v>24/08/2026Cardiology</v>
      </c>
      <c r="L799" t="e">
        <f>VLOOKUP(K799, Sheet2!$A$2:$B$4186, 2,FALSE)</f>
        <v>#N/A</v>
      </c>
      <c r="M799">
        <f>VLOOKUP(C799,Depts!$B$1:$D$16,3,FALSE)</f>
        <v>38</v>
      </c>
      <c r="N799" s="1" t="b">
        <f t="shared" si="35"/>
        <v>1</v>
      </c>
    </row>
    <row r="800" spans="1:14">
      <c r="A800">
        <v>982</v>
      </c>
      <c r="B800">
        <v>53</v>
      </c>
      <c r="C800" t="s">
        <v>47</v>
      </c>
      <c r="D800" s="1">
        <v>46259</v>
      </c>
      <c r="E800" s="1">
        <v>46264</v>
      </c>
      <c r="F800" t="s">
        <v>56</v>
      </c>
      <c r="G800">
        <v>5</v>
      </c>
      <c r="H800">
        <v>13</v>
      </c>
      <c r="I800" t="s">
        <v>60</v>
      </c>
      <c r="J800">
        <f t="shared" si="36"/>
        <v>2.166666666666667</v>
      </c>
      <c r="K800" t="str">
        <f t="shared" si="37"/>
        <v>25/08/2026Oncology</v>
      </c>
      <c r="L800" t="e">
        <f>VLOOKUP(K800, Sheet2!$A$2:$B$4186, 2,FALSE)</f>
        <v>#N/A</v>
      </c>
      <c r="M800">
        <f>VLOOKUP(C800,Depts!$B$1:$D$16,3,FALSE)</f>
        <v>28</v>
      </c>
      <c r="N800" s="1" t="b">
        <f t="shared" si="35"/>
        <v>1</v>
      </c>
    </row>
    <row r="801" spans="1:14">
      <c r="A801">
        <v>983</v>
      </c>
      <c r="B801">
        <v>184</v>
      </c>
      <c r="C801" t="s">
        <v>39</v>
      </c>
      <c r="D801" s="1">
        <v>46259</v>
      </c>
      <c r="E801" s="1">
        <v>46260</v>
      </c>
      <c r="F801" t="s">
        <v>57</v>
      </c>
      <c r="G801">
        <v>1</v>
      </c>
      <c r="H801">
        <v>130</v>
      </c>
      <c r="I801" t="s">
        <v>60</v>
      </c>
      <c r="J801">
        <f t="shared" si="36"/>
        <v>4.333333333333333</v>
      </c>
      <c r="K801" t="str">
        <f t="shared" si="37"/>
        <v>25/08/2026A&amp;E (Emergency)</v>
      </c>
      <c r="L801" t="e">
        <f>VLOOKUP(K801, Sheet2!$A$2:$B$4186, 2,FALSE)</f>
        <v>#N/A</v>
      </c>
      <c r="M801">
        <f>VLOOKUP(C801,Depts!$B$1:$D$16,3,FALSE)</f>
        <v>42</v>
      </c>
      <c r="N801" s="1" t="b">
        <f t="shared" si="35"/>
        <v>1</v>
      </c>
    </row>
    <row r="802" spans="1:14">
      <c r="A802">
        <v>984</v>
      </c>
      <c r="B802">
        <v>241</v>
      </c>
      <c r="C802" t="s">
        <v>50</v>
      </c>
      <c r="D802" s="1">
        <v>46260</v>
      </c>
      <c r="E802" s="1">
        <v>46265</v>
      </c>
      <c r="F802" t="s">
        <v>56</v>
      </c>
      <c r="G802">
        <v>5</v>
      </c>
      <c r="H802">
        <v>32</v>
      </c>
      <c r="I802" t="s">
        <v>60</v>
      </c>
      <c r="J802">
        <f t="shared" si="36"/>
        <v>5.333333333333333</v>
      </c>
      <c r="K802" t="str">
        <f t="shared" si="37"/>
        <v>26/08/2026Renal Medicine</v>
      </c>
      <c r="L802" t="e">
        <f>VLOOKUP(K802, Sheet2!$A$2:$B$4186, 2,FALSE)</f>
        <v>#N/A</v>
      </c>
      <c r="M802">
        <f>VLOOKUP(C802,Depts!$B$1:$D$16,3,FALSE)</f>
        <v>26</v>
      </c>
      <c r="N802" s="1" t="b">
        <f t="shared" si="35"/>
        <v>1</v>
      </c>
    </row>
    <row r="803" spans="1:14">
      <c r="A803">
        <v>985</v>
      </c>
      <c r="B803">
        <v>803</v>
      </c>
      <c r="C803" t="s">
        <v>46</v>
      </c>
      <c r="D803" s="1">
        <v>46261</v>
      </c>
      <c r="E803" s="1">
        <v>46267</v>
      </c>
      <c r="F803" t="s">
        <v>56</v>
      </c>
      <c r="G803">
        <v>6</v>
      </c>
      <c r="H803">
        <v>143</v>
      </c>
      <c r="I803" t="s">
        <v>60</v>
      </c>
      <c r="J803">
        <f t="shared" si="36"/>
        <v>28.6</v>
      </c>
      <c r="K803" t="str">
        <f t="shared" si="37"/>
        <v>27/08/2026Neurology</v>
      </c>
      <c r="L803" t="e">
        <f>VLOOKUP(K803, Sheet2!$A$2:$B$4186, 2,FALSE)</f>
        <v>#N/A</v>
      </c>
      <c r="M803">
        <f>VLOOKUP(C803,Depts!$B$1:$D$16,3,FALSE)</f>
        <v>32</v>
      </c>
      <c r="N803" s="1" t="b">
        <f t="shared" si="35"/>
        <v>1</v>
      </c>
    </row>
    <row r="804" spans="1:14">
      <c r="A804">
        <v>986</v>
      </c>
      <c r="B804">
        <v>528</v>
      </c>
      <c r="C804" t="s">
        <v>45</v>
      </c>
      <c r="D804" s="1">
        <v>46261</v>
      </c>
      <c r="E804" s="1">
        <v>46263</v>
      </c>
      <c r="F804" t="s">
        <v>57</v>
      </c>
      <c r="G804">
        <v>2</v>
      </c>
      <c r="H804">
        <v>37</v>
      </c>
      <c r="I804" t="s">
        <v>60</v>
      </c>
      <c r="J804">
        <f t="shared" si="36"/>
        <v>2.4666666666666668</v>
      </c>
      <c r="K804" t="str">
        <f t="shared" si="37"/>
        <v>27/08/2026Maternity</v>
      </c>
      <c r="L804" t="e">
        <f>VLOOKUP(K804, Sheet2!$A$2:$B$4186, 2,FALSE)</f>
        <v>#N/A</v>
      </c>
      <c r="M804">
        <f>VLOOKUP(C804,Depts!$B$1:$D$16,3,FALSE)</f>
        <v>34</v>
      </c>
      <c r="N804" s="1" t="b">
        <f t="shared" si="35"/>
        <v>1</v>
      </c>
    </row>
    <row r="805" spans="1:14">
      <c r="A805">
        <v>987</v>
      </c>
      <c r="B805">
        <v>835</v>
      </c>
      <c r="C805" t="s">
        <v>48</v>
      </c>
      <c r="D805" s="1">
        <v>46262</v>
      </c>
      <c r="E805" s="1">
        <v>46267</v>
      </c>
      <c r="F805" t="s">
        <v>56</v>
      </c>
      <c r="G805">
        <v>5</v>
      </c>
      <c r="H805">
        <v>216</v>
      </c>
      <c r="I805" t="s">
        <v>60</v>
      </c>
      <c r="J805">
        <f t="shared" si="36"/>
        <v>36</v>
      </c>
      <c r="K805" t="str">
        <f t="shared" si="37"/>
        <v>28/08/2026Orthopaedics</v>
      </c>
      <c r="L805" t="e">
        <f>VLOOKUP(K805, Sheet2!$A$2:$B$4186, 2,FALSE)</f>
        <v>#N/A</v>
      </c>
      <c r="M805">
        <f>VLOOKUP(C805,Depts!$B$1:$D$16,3,FALSE)</f>
        <v>40</v>
      </c>
      <c r="N805" s="1" t="b">
        <f t="shared" si="35"/>
        <v>1</v>
      </c>
    </row>
    <row r="806" spans="1:14">
      <c r="A806">
        <v>988</v>
      </c>
      <c r="B806">
        <v>608</v>
      </c>
      <c r="C806" t="s">
        <v>49</v>
      </c>
      <c r="D806" s="1">
        <v>46262</v>
      </c>
      <c r="E806" s="1">
        <v>46264</v>
      </c>
      <c r="F806" t="s">
        <v>57</v>
      </c>
      <c r="G806">
        <v>2</v>
      </c>
      <c r="H806">
        <v>38</v>
      </c>
      <c r="I806" t="s">
        <v>60</v>
      </c>
      <c r="J806">
        <f t="shared" si="36"/>
        <v>2.5333333333333332</v>
      </c>
      <c r="K806" t="str">
        <f t="shared" si="37"/>
        <v>28/08/2026Paediatrics</v>
      </c>
      <c r="L806" t="e">
        <f>VLOOKUP(K806, Sheet2!$A$2:$B$4186, 2,FALSE)</f>
        <v>#N/A</v>
      </c>
      <c r="M806">
        <f>VLOOKUP(C806,Depts!$B$1:$D$16,3,FALSE)</f>
        <v>30</v>
      </c>
      <c r="N806" s="1" t="b">
        <f t="shared" si="35"/>
        <v>1</v>
      </c>
    </row>
    <row r="807" spans="1:14">
      <c r="A807">
        <v>989</v>
      </c>
      <c r="B807">
        <v>451</v>
      </c>
      <c r="C807" t="s">
        <v>42</v>
      </c>
      <c r="D807" s="1">
        <v>46263</v>
      </c>
      <c r="E807" s="1">
        <v>46268</v>
      </c>
      <c r="F807" t="s">
        <v>56</v>
      </c>
      <c r="G807">
        <v>5</v>
      </c>
      <c r="H807">
        <v>27</v>
      </c>
      <c r="I807" t="s">
        <v>60</v>
      </c>
      <c r="J807">
        <f t="shared" si="36"/>
        <v>4.5</v>
      </c>
      <c r="K807" t="str">
        <f t="shared" si="37"/>
        <v>29/08/2026Gastroenterology</v>
      </c>
      <c r="L807" t="e">
        <f>VLOOKUP(K807, Sheet2!$A$2:$B$4186, 2,FALSE)</f>
        <v>#N/A</v>
      </c>
      <c r="M807">
        <f>VLOOKUP(C807,Depts!$B$1:$D$16,3,FALSE)</f>
        <v>29</v>
      </c>
      <c r="N807" s="1" t="b">
        <f t="shared" si="35"/>
        <v>1</v>
      </c>
    </row>
    <row r="808" spans="1:14">
      <c r="A808">
        <v>990</v>
      </c>
      <c r="B808">
        <v>328</v>
      </c>
      <c r="C808" t="s">
        <v>41</v>
      </c>
      <c r="D808" s="1">
        <v>46264</v>
      </c>
      <c r="E808" s="1">
        <v>46266</v>
      </c>
      <c r="F808" t="s">
        <v>57</v>
      </c>
      <c r="G808">
        <v>2</v>
      </c>
      <c r="H808">
        <v>35</v>
      </c>
      <c r="I808" t="s">
        <v>60</v>
      </c>
      <c r="J808">
        <f t="shared" si="36"/>
        <v>2.3333333333333335</v>
      </c>
      <c r="K808" t="str">
        <f t="shared" si="37"/>
        <v>30/08/2026ENT</v>
      </c>
      <c r="L808" t="e">
        <f>VLOOKUP(K808, Sheet2!$A$2:$B$4186, 2,FALSE)</f>
        <v>#N/A</v>
      </c>
      <c r="M808">
        <f>VLOOKUP(C808,Depts!$B$1:$D$16,3,FALSE)</f>
        <v>20</v>
      </c>
      <c r="N808" s="1" t="b">
        <f t="shared" si="35"/>
        <v>1</v>
      </c>
    </row>
    <row r="809" spans="1:14">
      <c r="A809">
        <v>991</v>
      </c>
      <c r="B809">
        <v>62</v>
      </c>
      <c r="C809" t="s">
        <v>44</v>
      </c>
      <c r="D809" s="1">
        <v>46264</v>
      </c>
      <c r="E809" s="1">
        <v>46270</v>
      </c>
      <c r="F809" t="s">
        <v>56</v>
      </c>
      <c r="G809">
        <v>6</v>
      </c>
      <c r="H809">
        <v>140</v>
      </c>
      <c r="I809" t="s">
        <v>60</v>
      </c>
      <c r="J809">
        <f t="shared" si="36"/>
        <v>28</v>
      </c>
      <c r="K809" t="str">
        <f t="shared" si="37"/>
        <v>30/08/2026Geriatrics</v>
      </c>
      <c r="L809" t="e">
        <f>VLOOKUP(K809, Sheet2!$A$2:$B$4186, 2,FALSE)</f>
        <v>#N/A</v>
      </c>
      <c r="M809">
        <f>VLOOKUP(C809,Depts!$B$1:$D$16,3,FALSE)</f>
        <v>46</v>
      </c>
      <c r="N809" s="1" t="b">
        <f t="shared" si="35"/>
        <v>1</v>
      </c>
    </row>
    <row r="810" spans="1:14">
      <c r="A810">
        <v>992</v>
      </c>
      <c r="B810">
        <v>308</v>
      </c>
      <c r="C810" t="s">
        <v>51</v>
      </c>
      <c r="D810" s="1">
        <v>46265</v>
      </c>
      <c r="E810" s="1">
        <v>46267</v>
      </c>
      <c r="F810" t="s">
        <v>57</v>
      </c>
      <c r="G810">
        <v>2</v>
      </c>
      <c r="H810">
        <v>21</v>
      </c>
      <c r="I810" t="s">
        <v>60</v>
      </c>
      <c r="J810">
        <f t="shared" si="36"/>
        <v>1.4</v>
      </c>
      <c r="K810" t="str">
        <f t="shared" si="37"/>
        <v>31/08/2026Respiratory</v>
      </c>
      <c r="L810" t="e">
        <f>VLOOKUP(K810, Sheet2!$A$2:$B$4186, 2,FALSE)</f>
        <v>#N/A</v>
      </c>
      <c r="M810">
        <f>VLOOKUP(C810,Depts!$B$1:$D$16,3,FALSE)</f>
        <v>36</v>
      </c>
      <c r="N810" s="1" t="b">
        <f t="shared" si="35"/>
        <v>1</v>
      </c>
    </row>
    <row r="811" spans="1:14">
      <c r="A811">
        <v>993</v>
      </c>
      <c r="B811">
        <v>429</v>
      </c>
      <c r="C811" t="s">
        <v>43</v>
      </c>
      <c r="D811" s="1">
        <v>46266</v>
      </c>
      <c r="E811" s="1">
        <v>46271</v>
      </c>
      <c r="F811" t="s">
        <v>56</v>
      </c>
      <c r="G811">
        <v>5</v>
      </c>
      <c r="H811">
        <v>3</v>
      </c>
      <c r="I811" t="s">
        <v>61</v>
      </c>
      <c r="J811">
        <f t="shared" si="36"/>
        <v>0.5</v>
      </c>
      <c r="K811" t="str">
        <f t="shared" si="37"/>
        <v>01/09/2026General Surgery</v>
      </c>
      <c r="L811" t="e">
        <f>VLOOKUP(K811, Sheet2!$A$2:$B$4186, 2,FALSE)</f>
        <v>#N/A</v>
      </c>
      <c r="M811">
        <f>VLOOKUP(C811,Depts!$B$1:$D$16,3,FALSE)</f>
        <v>44</v>
      </c>
      <c r="N811" s="1" t="b">
        <f t="shared" si="35"/>
        <v>1</v>
      </c>
    </row>
    <row r="812" spans="1:14">
      <c r="A812">
        <v>994</v>
      </c>
      <c r="B812">
        <v>158</v>
      </c>
      <c r="C812" t="s">
        <v>40</v>
      </c>
      <c r="D812" s="1">
        <v>46266</v>
      </c>
      <c r="E812" s="1">
        <v>46269</v>
      </c>
      <c r="F812" t="s">
        <v>58</v>
      </c>
      <c r="G812">
        <v>3</v>
      </c>
      <c r="H812">
        <v>131</v>
      </c>
      <c r="I812" t="s">
        <v>60</v>
      </c>
      <c r="J812">
        <f t="shared" si="36"/>
        <v>13.099999999999998</v>
      </c>
      <c r="K812" t="str">
        <f t="shared" si="37"/>
        <v>01/09/2026Cardiology</v>
      </c>
      <c r="L812" t="e">
        <f>VLOOKUP(K812, Sheet2!$A$2:$B$4186, 2,FALSE)</f>
        <v>#N/A</v>
      </c>
      <c r="M812">
        <f>VLOOKUP(C812,Depts!$B$1:$D$16,3,FALSE)</f>
        <v>38</v>
      </c>
      <c r="N812" s="1" t="b">
        <f t="shared" si="35"/>
        <v>1</v>
      </c>
    </row>
    <row r="813" spans="1:14">
      <c r="A813">
        <v>995</v>
      </c>
      <c r="B813">
        <v>74</v>
      </c>
      <c r="C813" t="s">
        <v>47</v>
      </c>
      <c r="D813" s="1">
        <v>46267</v>
      </c>
      <c r="E813" s="1">
        <v>46272</v>
      </c>
      <c r="F813" t="s">
        <v>56</v>
      </c>
      <c r="G813">
        <v>5</v>
      </c>
      <c r="H813">
        <v>27</v>
      </c>
      <c r="I813" t="s">
        <v>60</v>
      </c>
      <c r="J813">
        <f t="shared" si="36"/>
        <v>4.5</v>
      </c>
      <c r="K813" t="str">
        <f t="shared" si="37"/>
        <v>02/09/2026Oncology</v>
      </c>
      <c r="L813" t="e">
        <f>VLOOKUP(K813, Sheet2!$A$2:$B$4186, 2,FALSE)</f>
        <v>#N/A</v>
      </c>
      <c r="M813">
        <f>VLOOKUP(C813,Depts!$B$1:$D$16,3,FALSE)</f>
        <v>28</v>
      </c>
      <c r="N813" s="1" t="b">
        <f t="shared" si="35"/>
        <v>1</v>
      </c>
    </row>
    <row r="814" spans="1:14">
      <c r="A814">
        <v>996</v>
      </c>
      <c r="B814">
        <v>151</v>
      </c>
      <c r="C814" t="s">
        <v>39</v>
      </c>
      <c r="D814" s="1">
        <v>46267</v>
      </c>
      <c r="E814" s="1">
        <v>46268</v>
      </c>
      <c r="F814" t="s">
        <v>57</v>
      </c>
      <c r="G814">
        <v>1</v>
      </c>
      <c r="H814">
        <v>10</v>
      </c>
      <c r="I814" t="s">
        <v>60</v>
      </c>
      <c r="J814">
        <f t="shared" si="36"/>
        <v>0.33333333333333331</v>
      </c>
      <c r="K814" t="str">
        <f t="shared" si="37"/>
        <v>02/09/2026A&amp;E (Emergency)</v>
      </c>
      <c r="L814" t="e">
        <f>VLOOKUP(K814, Sheet2!$A$2:$B$4186, 2,FALSE)</f>
        <v>#N/A</v>
      </c>
      <c r="M814">
        <f>VLOOKUP(C814,Depts!$B$1:$D$16,3,FALSE)</f>
        <v>42</v>
      </c>
      <c r="N814" s="1" t="b">
        <f t="shared" si="35"/>
        <v>1</v>
      </c>
    </row>
    <row r="815" spans="1:14">
      <c r="A815">
        <v>997</v>
      </c>
      <c r="B815">
        <v>294</v>
      </c>
      <c r="C815" t="s">
        <v>50</v>
      </c>
      <c r="D815" s="1">
        <v>46268</v>
      </c>
      <c r="E815" s="1">
        <v>46273</v>
      </c>
      <c r="F815" t="s">
        <v>56</v>
      </c>
      <c r="G815">
        <v>5</v>
      </c>
      <c r="H815">
        <v>175</v>
      </c>
      <c r="I815" t="s">
        <v>60</v>
      </c>
      <c r="J815">
        <f t="shared" si="36"/>
        <v>29.166666666666664</v>
      </c>
      <c r="K815" t="str">
        <f t="shared" si="37"/>
        <v>03/09/2026Renal Medicine</v>
      </c>
      <c r="L815" t="e">
        <f>VLOOKUP(K815, Sheet2!$A$2:$B$4186, 2,FALSE)</f>
        <v>#N/A</v>
      </c>
      <c r="M815">
        <f>VLOOKUP(C815,Depts!$B$1:$D$16,3,FALSE)</f>
        <v>26</v>
      </c>
      <c r="N815" s="1" t="b">
        <f t="shared" si="35"/>
        <v>1</v>
      </c>
    </row>
    <row r="816" spans="1:14">
      <c r="A816">
        <v>998</v>
      </c>
      <c r="B816">
        <v>401</v>
      </c>
      <c r="C816" t="s">
        <v>46</v>
      </c>
      <c r="D816" s="1">
        <v>46269</v>
      </c>
      <c r="E816" s="1">
        <v>46275</v>
      </c>
      <c r="F816" t="s">
        <v>56</v>
      </c>
      <c r="G816">
        <v>6</v>
      </c>
      <c r="H816">
        <v>44</v>
      </c>
      <c r="I816" t="s">
        <v>60</v>
      </c>
      <c r="J816">
        <f t="shared" si="36"/>
        <v>8.7999999999999989</v>
      </c>
      <c r="K816" t="str">
        <f t="shared" si="37"/>
        <v>04/09/2026Neurology</v>
      </c>
      <c r="L816" t="e">
        <f>VLOOKUP(K816, Sheet2!$A$2:$B$4186, 2,FALSE)</f>
        <v>#N/A</v>
      </c>
      <c r="M816">
        <f>VLOOKUP(C816,Depts!$B$1:$D$16,3,FALSE)</f>
        <v>32</v>
      </c>
      <c r="N816" s="1" t="b">
        <f t="shared" si="35"/>
        <v>1</v>
      </c>
    </row>
    <row r="817" spans="1:14">
      <c r="A817">
        <v>999</v>
      </c>
      <c r="B817">
        <v>562</v>
      </c>
      <c r="C817" t="s">
        <v>45</v>
      </c>
      <c r="D817" s="1">
        <v>46269</v>
      </c>
      <c r="E817" s="1">
        <v>46271</v>
      </c>
      <c r="F817" t="s">
        <v>57</v>
      </c>
      <c r="G817">
        <v>2</v>
      </c>
      <c r="H817">
        <v>26</v>
      </c>
      <c r="I817" t="s">
        <v>60</v>
      </c>
      <c r="J817">
        <f t="shared" si="36"/>
        <v>1.7333333333333334</v>
      </c>
      <c r="K817" t="str">
        <f t="shared" si="37"/>
        <v>04/09/2026Maternity</v>
      </c>
      <c r="L817" t="e">
        <f>VLOOKUP(K817, Sheet2!$A$2:$B$4186, 2,FALSE)</f>
        <v>#N/A</v>
      </c>
      <c r="M817">
        <f>VLOOKUP(C817,Depts!$B$1:$D$16,3,FALSE)</f>
        <v>34</v>
      </c>
      <c r="N817" s="1" t="b">
        <f t="shared" ref="N817:N818" si="38">ISNUMBER(D817)</f>
        <v>1</v>
      </c>
    </row>
    <row r="818" spans="1:14">
      <c r="A818">
        <v>1000</v>
      </c>
      <c r="B818">
        <v>129</v>
      </c>
      <c r="C818" t="s">
        <v>48</v>
      </c>
      <c r="D818" s="1">
        <v>46270</v>
      </c>
      <c r="E818" s="1">
        <v>46275</v>
      </c>
      <c r="F818" t="s">
        <v>56</v>
      </c>
      <c r="G818">
        <v>5</v>
      </c>
      <c r="H818">
        <v>44</v>
      </c>
      <c r="I818" t="s">
        <v>60</v>
      </c>
      <c r="J818">
        <f t="shared" si="36"/>
        <v>7.333333333333333</v>
      </c>
      <c r="K818" t="str">
        <f t="shared" si="37"/>
        <v>05/09/2026Orthopaedics</v>
      </c>
      <c r="L818" t="e">
        <f>VLOOKUP(K818, Sheet2!$A$2:$B$4186, 2,FALSE)</f>
        <v>#N/A</v>
      </c>
      <c r="M818">
        <f>VLOOKUP(C818,Depts!$B$1:$D$16,3,FALSE)</f>
        <v>40</v>
      </c>
      <c r="N818" s="1" t="b">
        <f t="shared" si="38"/>
        <v>1</v>
      </c>
    </row>
  </sheetData>
  <autoFilter ref="A1:O818" xr:uid="{7D3D34A0-0D11-465A-98D6-81657FC1A8F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D753-97C3-4B73-9A4D-266BECA9A0F0}">
  <dimension ref="A1:N16"/>
  <sheetViews>
    <sheetView workbookViewId="0">
      <selection activeCell="B4" sqref="B4"/>
    </sheetView>
  </sheetViews>
  <sheetFormatPr defaultRowHeight="15"/>
  <cols>
    <col min="1" max="1" width="15" customWidth="1"/>
    <col min="2" max="2" width="14.7109375" customWidth="1"/>
    <col min="3" max="3" width="25.140625" customWidth="1"/>
    <col min="4" max="4" width="19" customWidth="1"/>
  </cols>
  <sheetData>
    <row r="1" spans="1:14">
      <c r="A1" t="s">
        <v>37</v>
      </c>
      <c r="B1" t="s">
        <v>76</v>
      </c>
      <c r="C1" t="s">
        <v>77</v>
      </c>
      <c r="D1" t="s">
        <v>78</v>
      </c>
      <c r="E1" t="s">
        <v>79</v>
      </c>
      <c r="L1" t="s">
        <v>76</v>
      </c>
      <c r="N1" t="s">
        <v>78</v>
      </c>
    </row>
    <row r="2" spans="1:14">
      <c r="A2">
        <v>1</v>
      </c>
      <c r="B2" t="s">
        <v>39</v>
      </c>
      <c r="C2" t="s">
        <v>80</v>
      </c>
      <c r="D2">
        <v>42</v>
      </c>
      <c r="E2" t="s">
        <v>81</v>
      </c>
      <c r="L2" t="s">
        <v>39</v>
      </c>
      <c r="N2">
        <v>42</v>
      </c>
    </row>
    <row r="3" spans="1:14">
      <c r="A3">
        <v>2</v>
      </c>
      <c r="B3" t="s">
        <v>40</v>
      </c>
      <c r="C3" t="s">
        <v>82</v>
      </c>
      <c r="D3">
        <v>38</v>
      </c>
      <c r="E3" t="s">
        <v>83</v>
      </c>
      <c r="L3" t="s">
        <v>40</v>
      </c>
      <c r="N3">
        <v>38</v>
      </c>
    </row>
    <row r="4" spans="1:14">
      <c r="A4">
        <v>3</v>
      </c>
      <c r="B4" t="s">
        <v>51</v>
      </c>
      <c r="C4" t="s">
        <v>84</v>
      </c>
      <c r="D4">
        <v>36</v>
      </c>
      <c r="E4" t="s">
        <v>85</v>
      </c>
      <c r="L4" t="s">
        <v>51</v>
      </c>
      <c r="N4">
        <v>36</v>
      </c>
    </row>
    <row r="5" spans="1:14">
      <c r="A5">
        <v>4</v>
      </c>
      <c r="B5" t="s">
        <v>43</v>
      </c>
      <c r="C5" t="s">
        <v>86</v>
      </c>
      <c r="D5">
        <v>44</v>
      </c>
      <c r="E5" t="s">
        <v>87</v>
      </c>
      <c r="L5" t="s">
        <v>43</v>
      </c>
      <c r="N5">
        <v>44</v>
      </c>
    </row>
    <row r="6" spans="1:14">
      <c r="A6">
        <v>5</v>
      </c>
      <c r="B6" t="s">
        <v>48</v>
      </c>
      <c r="C6" t="s">
        <v>88</v>
      </c>
      <c r="D6">
        <v>40</v>
      </c>
      <c r="E6" t="s">
        <v>89</v>
      </c>
      <c r="L6" t="s">
        <v>48</v>
      </c>
      <c r="N6">
        <v>40</v>
      </c>
    </row>
    <row r="7" spans="1:14">
      <c r="A7">
        <v>6</v>
      </c>
      <c r="B7" t="s">
        <v>46</v>
      </c>
      <c r="C7" t="s">
        <v>90</v>
      </c>
      <c r="D7">
        <v>32</v>
      </c>
      <c r="E7" t="s">
        <v>81</v>
      </c>
      <c r="L7" t="s">
        <v>46</v>
      </c>
      <c r="N7">
        <v>32</v>
      </c>
    </row>
    <row r="8" spans="1:14">
      <c r="A8">
        <v>7</v>
      </c>
      <c r="B8" t="s">
        <v>47</v>
      </c>
      <c r="C8" t="s">
        <v>91</v>
      </c>
      <c r="D8">
        <v>28</v>
      </c>
      <c r="E8" t="s">
        <v>92</v>
      </c>
      <c r="L8" t="s">
        <v>47</v>
      </c>
      <c r="N8">
        <v>28</v>
      </c>
    </row>
    <row r="9" spans="1:14">
      <c r="A9">
        <v>8</v>
      </c>
      <c r="B9" t="s">
        <v>49</v>
      </c>
      <c r="C9" t="s">
        <v>93</v>
      </c>
      <c r="D9">
        <v>30</v>
      </c>
      <c r="E9" t="s">
        <v>94</v>
      </c>
      <c r="L9" t="s">
        <v>49</v>
      </c>
      <c r="N9">
        <v>30</v>
      </c>
    </row>
    <row r="10" spans="1:14">
      <c r="A10">
        <v>9</v>
      </c>
      <c r="B10" t="s">
        <v>45</v>
      </c>
      <c r="C10" t="s">
        <v>95</v>
      </c>
      <c r="D10">
        <v>34</v>
      </c>
      <c r="E10" t="s">
        <v>83</v>
      </c>
      <c r="L10" t="s">
        <v>45</v>
      </c>
      <c r="N10">
        <v>34</v>
      </c>
    </row>
    <row r="11" spans="1:14">
      <c r="A11">
        <v>10</v>
      </c>
      <c r="B11" t="s">
        <v>50</v>
      </c>
      <c r="C11" t="s">
        <v>96</v>
      </c>
      <c r="D11">
        <v>26</v>
      </c>
      <c r="E11" t="s">
        <v>85</v>
      </c>
      <c r="L11" t="s">
        <v>50</v>
      </c>
      <c r="N11">
        <v>26</v>
      </c>
    </row>
    <row r="12" spans="1:14">
      <c r="A12">
        <v>11</v>
      </c>
      <c r="B12" t="s">
        <v>42</v>
      </c>
      <c r="C12" t="s">
        <v>97</v>
      </c>
      <c r="D12">
        <v>29</v>
      </c>
      <c r="E12" t="s">
        <v>87</v>
      </c>
      <c r="L12" t="s">
        <v>42</v>
      </c>
      <c r="N12">
        <v>29</v>
      </c>
    </row>
    <row r="13" spans="1:14">
      <c r="A13">
        <v>12</v>
      </c>
      <c r="B13" t="s">
        <v>98</v>
      </c>
      <c r="C13" t="s">
        <v>99</v>
      </c>
      <c r="D13">
        <v>22</v>
      </c>
      <c r="E13" t="s">
        <v>89</v>
      </c>
      <c r="L13" t="s">
        <v>98</v>
      </c>
      <c r="N13">
        <v>22</v>
      </c>
    </row>
    <row r="14" spans="1:14">
      <c r="A14">
        <v>13</v>
      </c>
      <c r="B14" t="s">
        <v>100</v>
      </c>
      <c r="C14" t="s">
        <v>101</v>
      </c>
      <c r="D14">
        <v>24</v>
      </c>
      <c r="E14" t="s">
        <v>92</v>
      </c>
      <c r="L14" t="s">
        <v>100</v>
      </c>
      <c r="N14">
        <v>24</v>
      </c>
    </row>
    <row r="15" spans="1:14">
      <c r="A15">
        <v>14</v>
      </c>
      <c r="B15" t="s">
        <v>41</v>
      </c>
      <c r="C15" t="s">
        <v>102</v>
      </c>
      <c r="D15">
        <v>20</v>
      </c>
      <c r="E15" t="s">
        <v>94</v>
      </c>
      <c r="L15" t="s">
        <v>41</v>
      </c>
      <c r="N15">
        <v>20</v>
      </c>
    </row>
    <row r="16" spans="1:14">
      <c r="A16">
        <v>15</v>
      </c>
      <c r="B16" t="s">
        <v>44</v>
      </c>
      <c r="C16" t="s">
        <v>103</v>
      </c>
      <c r="D16">
        <v>46</v>
      </c>
      <c r="E16" t="s">
        <v>81</v>
      </c>
      <c r="L16" t="s">
        <v>44</v>
      </c>
      <c r="N1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1F54-9F57-46A9-A233-61FA5296E63C}">
  <dimension ref="A1:D4186"/>
  <sheetViews>
    <sheetView workbookViewId="0">
      <pane ySplit="1" topLeftCell="A51" activePane="bottomLeft" state="frozen"/>
      <selection pane="bottomLeft" activeCell="C3" sqref="C3"/>
    </sheetView>
  </sheetViews>
  <sheetFormatPr defaultRowHeight="15"/>
  <cols>
    <col min="1" max="1" width="17.5703125" customWidth="1"/>
    <col min="2" max="2" width="18.85546875" customWidth="1"/>
    <col min="3" max="3" width="16.5703125" customWidth="1"/>
    <col min="4" max="4" width="27.85546875" customWidth="1"/>
  </cols>
  <sheetData>
    <row r="1" spans="1:4" s="2" customFormat="1">
      <c r="A1" s="2" t="s">
        <v>104</v>
      </c>
      <c r="B1" s="2" t="s">
        <v>37</v>
      </c>
      <c r="C1" s="2" t="s">
        <v>62</v>
      </c>
      <c r="D1" s="2" t="s">
        <v>71</v>
      </c>
    </row>
    <row r="2" spans="1:4">
      <c r="A2" s="1">
        <v>45658</v>
      </c>
      <c r="B2" t="s">
        <v>39</v>
      </c>
      <c r="C2">
        <v>24</v>
      </c>
      <c r="D2" t="str">
        <f>TEXT(A2, "dd/mm/yyyy")&amp;B2</f>
        <v>01/01/2025A&amp;E (Emergency)</v>
      </c>
    </row>
    <row r="3" spans="1:4">
      <c r="A3" s="1">
        <v>45658</v>
      </c>
      <c r="B3" t="s">
        <v>40</v>
      </c>
      <c r="C3">
        <v>16</v>
      </c>
      <c r="D3" t="str">
        <f t="shared" ref="D3:D66" si="0">TEXT(A3, "dd/mm/yyyy")&amp;B3</f>
        <v>01/01/2025Cardiology</v>
      </c>
    </row>
    <row r="4" spans="1:4">
      <c r="A4" s="1">
        <v>45658</v>
      </c>
      <c r="B4" t="s">
        <v>51</v>
      </c>
      <c r="C4">
        <v>12</v>
      </c>
      <c r="D4" t="str">
        <f t="shared" si="0"/>
        <v>01/01/2025Respiratory</v>
      </c>
    </row>
    <row r="5" spans="1:4">
      <c r="A5" s="1">
        <v>45658</v>
      </c>
      <c r="B5" t="s">
        <v>43</v>
      </c>
      <c r="C5">
        <v>19</v>
      </c>
      <c r="D5" t="str">
        <f t="shared" si="0"/>
        <v>01/01/2025General Surgery</v>
      </c>
    </row>
    <row r="6" spans="1:4">
      <c r="A6" s="1">
        <v>45658</v>
      </c>
      <c r="B6" t="s">
        <v>48</v>
      </c>
      <c r="C6">
        <v>14</v>
      </c>
      <c r="D6" t="str">
        <f t="shared" si="0"/>
        <v>01/01/2025Orthopaedics</v>
      </c>
    </row>
    <row r="7" spans="1:4">
      <c r="A7" s="1">
        <v>45658</v>
      </c>
      <c r="B7" t="s">
        <v>46</v>
      </c>
      <c r="C7">
        <v>12</v>
      </c>
      <c r="D7" t="str">
        <f t="shared" si="0"/>
        <v>01/01/2025Neurology</v>
      </c>
    </row>
    <row r="8" spans="1:4">
      <c r="A8" s="1">
        <v>45658</v>
      </c>
      <c r="B8" t="s">
        <v>47</v>
      </c>
      <c r="C8">
        <v>17</v>
      </c>
      <c r="D8" t="str">
        <f t="shared" si="0"/>
        <v>01/01/2025Oncology</v>
      </c>
    </row>
    <row r="9" spans="1:4">
      <c r="A9" s="1">
        <v>45658</v>
      </c>
      <c r="B9" t="s">
        <v>49</v>
      </c>
      <c r="C9">
        <v>11</v>
      </c>
      <c r="D9" t="str">
        <f t="shared" si="0"/>
        <v>01/01/2025Paediatrics</v>
      </c>
    </row>
    <row r="10" spans="1:4">
      <c r="A10" s="1">
        <v>45658</v>
      </c>
      <c r="B10" t="s">
        <v>45</v>
      </c>
      <c r="C10">
        <v>12</v>
      </c>
      <c r="D10" t="str">
        <f t="shared" si="0"/>
        <v>01/01/2025Maternity</v>
      </c>
    </row>
    <row r="11" spans="1:4">
      <c r="A11" s="1">
        <v>45658</v>
      </c>
      <c r="B11" t="s">
        <v>50</v>
      </c>
      <c r="C11">
        <v>20</v>
      </c>
      <c r="D11" t="str">
        <f t="shared" si="0"/>
        <v>01/01/2025Renal Medicine</v>
      </c>
    </row>
    <row r="12" spans="1:4">
      <c r="A12" s="1">
        <v>45658</v>
      </c>
      <c r="B12" t="s">
        <v>42</v>
      </c>
      <c r="C12">
        <v>10</v>
      </c>
      <c r="D12" t="str">
        <f t="shared" si="0"/>
        <v>01/01/2025Gastroenterology</v>
      </c>
    </row>
    <row r="13" spans="1:4">
      <c r="A13" s="1">
        <v>45658</v>
      </c>
      <c r="B13" t="s">
        <v>98</v>
      </c>
      <c r="C13">
        <v>8</v>
      </c>
      <c r="D13" t="str">
        <f t="shared" si="0"/>
        <v>01/01/2025Endocrinology</v>
      </c>
    </row>
    <row r="14" spans="1:4">
      <c r="A14" s="1">
        <v>45658</v>
      </c>
      <c r="B14" t="s">
        <v>100</v>
      </c>
      <c r="C14">
        <v>10</v>
      </c>
      <c r="D14" t="str">
        <f t="shared" si="0"/>
        <v>01/01/2025Urology</v>
      </c>
    </row>
    <row r="15" spans="1:4">
      <c r="A15" s="1">
        <v>45658</v>
      </c>
      <c r="B15" t="s">
        <v>41</v>
      </c>
      <c r="C15">
        <v>12</v>
      </c>
      <c r="D15" t="str">
        <f t="shared" si="0"/>
        <v>01/01/2025ENT</v>
      </c>
    </row>
    <row r="16" spans="1:4">
      <c r="A16" s="1">
        <v>45658</v>
      </c>
      <c r="B16" t="s">
        <v>44</v>
      </c>
      <c r="C16">
        <v>15</v>
      </c>
      <c r="D16" t="str">
        <f t="shared" si="0"/>
        <v>01/01/2025Geriatrics</v>
      </c>
    </row>
    <row r="17" spans="1:4">
      <c r="A17" s="1">
        <v>45659</v>
      </c>
      <c r="B17" t="s">
        <v>39</v>
      </c>
      <c r="C17">
        <v>23</v>
      </c>
      <c r="D17" t="str">
        <f t="shared" si="0"/>
        <v>02/01/2025A&amp;E (Emergency)</v>
      </c>
    </row>
    <row r="18" spans="1:4">
      <c r="A18" s="1">
        <v>45659</v>
      </c>
      <c r="B18" t="s">
        <v>40</v>
      </c>
      <c r="C18">
        <v>15</v>
      </c>
      <c r="D18" t="str">
        <f t="shared" si="0"/>
        <v>02/01/2025Cardiology</v>
      </c>
    </row>
    <row r="19" spans="1:4">
      <c r="A19" s="1">
        <v>45659</v>
      </c>
      <c r="B19" t="s">
        <v>51</v>
      </c>
      <c r="C19">
        <v>11</v>
      </c>
      <c r="D19" t="str">
        <f t="shared" si="0"/>
        <v>02/01/2025Respiratory</v>
      </c>
    </row>
    <row r="20" spans="1:4">
      <c r="A20" s="1">
        <v>45659</v>
      </c>
      <c r="B20" t="s">
        <v>43</v>
      </c>
      <c r="C20">
        <v>18</v>
      </c>
      <c r="D20" t="str">
        <f t="shared" si="0"/>
        <v>02/01/2025General Surgery</v>
      </c>
    </row>
    <row r="21" spans="1:4">
      <c r="A21" s="1">
        <v>45659</v>
      </c>
      <c r="B21" t="s">
        <v>48</v>
      </c>
      <c r="C21">
        <v>13</v>
      </c>
      <c r="D21" t="str">
        <f t="shared" si="0"/>
        <v>02/01/2025Orthopaedics</v>
      </c>
    </row>
    <row r="22" spans="1:4">
      <c r="A22" s="1">
        <v>45659</v>
      </c>
      <c r="B22" t="s">
        <v>46</v>
      </c>
      <c r="C22">
        <v>11</v>
      </c>
      <c r="D22" t="str">
        <f t="shared" si="0"/>
        <v>02/01/2025Neurology</v>
      </c>
    </row>
    <row r="23" spans="1:4">
      <c r="A23" s="1">
        <v>45659</v>
      </c>
      <c r="B23" t="s">
        <v>47</v>
      </c>
      <c r="C23">
        <v>16</v>
      </c>
      <c r="D23" t="str">
        <f t="shared" si="0"/>
        <v>02/01/2025Oncology</v>
      </c>
    </row>
    <row r="24" spans="1:4">
      <c r="A24" s="1">
        <v>45659</v>
      </c>
      <c r="B24" t="s">
        <v>49</v>
      </c>
      <c r="C24">
        <v>10</v>
      </c>
      <c r="D24" t="str">
        <f t="shared" si="0"/>
        <v>02/01/2025Paediatrics</v>
      </c>
    </row>
    <row r="25" spans="1:4">
      <c r="A25" s="1">
        <v>45659</v>
      </c>
      <c r="B25" t="s">
        <v>45</v>
      </c>
      <c r="C25">
        <v>11</v>
      </c>
      <c r="D25" t="str">
        <f t="shared" si="0"/>
        <v>02/01/2025Maternity</v>
      </c>
    </row>
    <row r="26" spans="1:4">
      <c r="A26" s="1">
        <v>45659</v>
      </c>
      <c r="B26" t="s">
        <v>50</v>
      </c>
      <c r="C26">
        <v>19</v>
      </c>
      <c r="D26" t="str">
        <f t="shared" si="0"/>
        <v>02/01/2025Renal Medicine</v>
      </c>
    </row>
    <row r="27" spans="1:4">
      <c r="A27" s="1">
        <v>45659</v>
      </c>
      <c r="B27" t="s">
        <v>42</v>
      </c>
      <c r="C27">
        <v>9</v>
      </c>
      <c r="D27" t="str">
        <f t="shared" si="0"/>
        <v>02/01/2025Gastroenterology</v>
      </c>
    </row>
    <row r="28" spans="1:4">
      <c r="A28" s="1">
        <v>45659</v>
      </c>
      <c r="B28" t="s">
        <v>98</v>
      </c>
      <c r="C28">
        <v>7</v>
      </c>
      <c r="D28" t="str">
        <f t="shared" si="0"/>
        <v>02/01/2025Endocrinology</v>
      </c>
    </row>
    <row r="29" spans="1:4">
      <c r="A29" s="1">
        <v>45659</v>
      </c>
      <c r="B29" t="s">
        <v>100</v>
      </c>
      <c r="C29">
        <v>9</v>
      </c>
      <c r="D29" t="str">
        <f t="shared" si="0"/>
        <v>02/01/2025Urology</v>
      </c>
    </row>
    <row r="30" spans="1:4">
      <c r="A30" s="1">
        <v>45659</v>
      </c>
      <c r="B30" t="s">
        <v>41</v>
      </c>
      <c r="C30">
        <v>11</v>
      </c>
      <c r="D30" t="str">
        <f t="shared" si="0"/>
        <v>02/01/2025ENT</v>
      </c>
    </row>
    <row r="31" spans="1:4">
      <c r="A31" s="1">
        <v>45659</v>
      </c>
      <c r="B31" t="s">
        <v>44</v>
      </c>
      <c r="C31">
        <v>14</v>
      </c>
      <c r="D31" t="str">
        <f t="shared" si="0"/>
        <v>02/01/2025Geriatrics</v>
      </c>
    </row>
    <row r="32" spans="1:4">
      <c r="A32" s="1">
        <v>45660</v>
      </c>
      <c r="B32" t="s">
        <v>39</v>
      </c>
      <c r="C32">
        <v>22</v>
      </c>
      <c r="D32" t="str">
        <f t="shared" si="0"/>
        <v>03/01/2025A&amp;E (Emergency)</v>
      </c>
    </row>
    <row r="33" spans="1:4">
      <c r="A33" s="1">
        <v>45660</v>
      </c>
      <c r="B33" t="s">
        <v>40</v>
      </c>
      <c r="C33">
        <v>15</v>
      </c>
      <c r="D33" t="str">
        <f t="shared" si="0"/>
        <v>03/01/2025Cardiology</v>
      </c>
    </row>
    <row r="34" spans="1:4">
      <c r="A34" s="1">
        <v>45660</v>
      </c>
      <c r="B34" t="s">
        <v>51</v>
      </c>
      <c r="C34">
        <v>12</v>
      </c>
      <c r="D34" t="str">
        <f t="shared" si="0"/>
        <v>03/01/2025Respiratory</v>
      </c>
    </row>
    <row r="35" spans="1:4">
      <c r="A35" s="1">
        <v>45660</v>
      </c>
      <c r="B35" t="s">
        <v>43</v>
      </c>
      <c r="C35">
        <v>18</v>
      </c>
      <c r="D35" t="str">
        <f t="shared" si="0"/>
        <v>03/01/2025General Surgery</v>
      </c>
    </row>
    <row r="36" spans="1:4">
      <c r="A36" s="1">
        <v>45660</v>
      </c>
      <c r="B36" t="s">
        <v>48</v>
      </c>
      <c r="C36">
        <v>14</v>
      </c>
      <c r="D36" t="str">
        <f t="shared" si="0"/>
        <v>03/01/2025Orthopaedics</v>
      </c>
    </row>
    <row r="37" spans="1:4">
      <c r="A37" s="1">
        <v>45660</v>
      </c>
      <c r="B37" t="s">
        <v>46</v>
      </c>
      <c r="C37">
        <v>12</v>
      </c>
      <c r="D37" t="str">
        <f t="shared" si="0"/>
        <v>03/01/2025Neurology</v>
      </c>
    </row>
    <row r="38" spans="1:4">
      <c r="A38" s="1">
        <v>45660</v>
      </c>
      <c r="B38" t="s">
        <v>47</v>
      </c>
      <c r="C38">
        <v>17</v>
      </c>
      <c r="D38" t="str">
        <f t="shared" si="0"/>
        <v>03/01/2025Oncology</v>
      </c>
    </row>
    <row r="39" spans="1:4">
      <c r="A39" s="1">
        <v>45660</v>
      </c>
      <c r="B39" t="s">
        <v>49</v>
      </c>
      <c r="C39">
        <v>11</v>
      </c>
      <c r="D39" t="str">
        <f t="shared" si="0"/>
        <v>03/01/2025Paediatrics</v>
      </c>
    </row>
    <row r="40" spans="1:4">
      <c r="A40" s="1">
        <v>45660</v>
      </c>
      <c r="B40" t="s">
        <v>45</v>
      </c>
      <c r="C40">
        <v>12</v>
      </c>
      <c r="D40" t="str">
        <f t="shared" si="0"/>
        <v>03/01/2025Maternity</v>
      </c>
    </row>
    <row r="41" spans="1:4">
      <c r="A41" s="1">
        <v>45660</v>
      </c>
      <c r="B41" t="s">
        <v>50</v>
      </c>
      <c r="C41">
        <v>19</v>
      </c>
      <c r="D41" t="str">
        <f t="shared" si="0"/>
        <v>03/01/2025Renal Medicine</v>
      </c>
    </row>
    <row r="42" spans="1:4">
      <c r="A42" s="1">
        <v>45660</v>
      </c>
      <c r="B42" t="s">
        <v>42</v>
      </c>
      <c r="C42">
        <v>10</v>
      </c>
      <c r="D42" t="str">
        <f t="shared" si="0"/>
        <v>03/01/2025Gastroenterology</v>
      </c>
    </row>
    <row r="43" spans="1:4">
      <c r="A43" s="1">
        <v>45660</v>
      </c>
      <c r="B43" t="s">
        <v>98</v>
      </c>
      <c r="C43">
        <v>8</v>
      </c>
      <c r="D43" t="str">
        <f t="shared" si="0"/>
        <v>03/01/2025Endocrinology</v>
      </c>
    </row>
    <row r="44" spans="1:4">
      <c r="A44" s="1">
        <v>45660</v>
      </c>
      <c r="B44" t="s">
        <v>100</v>
      </c>
      <c r="C44">
        <v>10</v>
      </c>
      <c r="D44" t="str">
        <f t="shared" si="0"/>
        <v>03/01/2025Urology</v>
      </c>
    </row>
    <row r="45" spans="1:4">
      <c r="A45" s="1">
        <v>45660</v>
      </c>
      <c r="B45" t="s">
        <v>41</v>
      </c>
      <c r="C45">
        <v>12</v>
      </c>
      <c r="D45" t="str">
        <f t="shared" si="0"/>
        <v>03/01/2025ENT</v>
      </c>
    </row>
    <row r="46" spans="1:4">
      <c r="A46" s="1">
        <v>45660</v>
      </c>
      <c r="B46" t="s">
        <v>44</v>
      </c>
      <c r="C46">
        <v>15</v>
      </c>
      <c r="D46" t="str">
        <f t="shared" si="0"/>
        <v>03/01/2025Geriatrics</v>
      </c>
    </row>
    <row r="47" spans="1:4">
      <c r="A47" s="1">
        <v>45661</v>
      </c>
      <c r="B47" t="s">
        <v>39</v>
      </c>
      <c r="C47">
        <v>21</v>
      </c>
      <c r="D47" t="str">
        <f t="shared" si="0"/>
        <v>04/01/2025A&amp;E (Emergency)</v>
      </c>
    </row>
    <row r="48" spans="1:4">
      <c r="A48" s="1">
        <v>45661</v>
      </c>
      <c r="B48" t="s">
        <v>40</v>
      </c>
      <c r="C48">
        <v>12</v>
      </c>
      <c r="D48" t="str">
        <f t="shared" si="0"/>
        <v>04/01/2025Cardiology</v>
      </c>
    </row>
    <row r="49" spans="1:4">
      <c r="A49" s="1">
        <v>45661</v>
      </c>
      <c r="B49" t="s">
        <v>51</v>
      </c>
      <c r="C49">
        <v>9</v>
      </c>
      <c r="D49" t="str">
        <f t="shared" si="0"/>
        <v>04/01/2025Respiratory</v>
      </c>
    </row>
    <row r="50" spans="1:4">
      <c r="A50" s="1">
        <v>45661</v>
      </c>
      <c r="B50" t="s">
        <v>43</v>
      </c>
      <c r="C50">
        <v>15</v>
      </c>
      <c r="D50" t="str">
        <f t="shared" si="0"/>
        <v>04/01/2025General Surgery</v>
      </c>
    </row>
    <row r="51" spans="1:4">
      <c r="A51" s="1">
        <v>45661</v>
      </c>
      <c r="B51" t="s">
        <v>48</v>
      </c>
      <c r="C51">
        <v>11</v>
      </c>
      <c r="D51" t="str">
        <f t="shared" si="0"/>
        <v>04/01/2025Orthopaedics</v>
      </c>
    </row>
    <row r="52" spans="1:4">
      <c r="A52" s="1">
        <v>45661</v>
      </c>
      <c r="B52" t="s">
        <v>46</v>
      </c>
      <c r="C52">
        <v>9</v>
      </c>
      <c r="D52" t="str">
        <f t="shared" si="0"/>
        <v>04/01/2025Neurology</v>
      </c>
    </row>
    <row r="53" spans="1:4">
      <c r="A53" s="1">
        <v>45661</v>
      </c>
      <c r="B53" t="s">
        <v>47</v>
      </c>
      <c r="C53">
        <v>13</v>
      </c>
      <c r="D53" t="str">
        <f t="shared" si="0"/>
        <v>04/01/2025Oncology</v>
      </c>
    </row>
    <row r="54" spans="1:4">
      <c r="A54" s="1">
        <v>45661</v>
      </c>
      <c r="B54" t="s">
        <v>49</v>
      </c>
      <c r="C54">
        <v>9</v>
      </c>
      <c r="D54" t="str">
        <f t="shared" si="0"/>
        <v>04/01/2025Paediatrics</v>
      </c>
    </row>
    <row r="55" spans="1:4">
      <c r="A55" s="1">
        <v>45661</v>
      </c>
      <c r="B55" t="s">
        <v>45</v>
      </c>
      <c r="C55">
        <v>10</v>
      </c>
      <c r="D55" t="str">
        <f t="shared" si="0"/>
        <v>04/01/2025Maternity</v>
      </c>
    </row>
    <row r="56" spans="1:4">
      <c r="A56" s="1">
        <v>45661</v>
      </c>
      <c r="B56" t="s">
        <v>50</v>
      </c>
      <c r="C56">
        <v>18</v>
      </c>
      <c r="D56" t="str">
        <f t="shared" si="0"/>
        <v>04/01/2025Renal Medicine</v>
      </c>
    </row>
    <row r="57" spans="1:4">
      <c r="A57" s="1">
        <v>45661</v>
      </c>
      <c r="B57" t="s">
        <v>42</v>
      </c>
      <c r="C57">
        <v>7</v>
      </c>
      <c r="D57" t="str">
        <f t="shared" si="0"/>
        <v>04/01/2025Gastroenterology</v>
      </c>
    </row>
    <row r="58" spans="1:4">
      <c r="A58" s="1">
        <v>45661</v>
      </c>
      <c r="B58" t="s">
        <v>98</v>
      </c>
      <c r="C58">
        <v>6</v>
      </c>
      <c r="D58" t="str">
        <f t="shared" si="0"/>
        <v>04/01/2025Endocrinology</v>
      </c>
    </row>
    <row r="59" spans="1:4">
      <c r="A59" s="1">
        <v>45661</v>
      </c>
      <c r="B59" t="s">
        <v>100</v>
      </c>
      <c r="C59">
        <v>8</v>
      </c>
      <c r="D59" t="str">
        <f t="shared" si="0"/>
        <v>04/01/2025Urology</v>
      </c>
    </row>
    <row r="60" spans="1:4">
      <c r="A60" s="1">
        <v>45661</v>
      </c>
      <c r="B60" t="s">
        <v>41</v>
      </c>
      <c r="C60">
        <v>10</v>
      </c>
      <c r="D60" t="str">
        <f t="shared" si="0"/>
        <v>04/01/2025ENT</v>
      </c>
    </row>
    <row r="61" spans="1:4">
      <c r="A61" s="1">
        <v>45661</v>
      </c>
      <c r="B61" t="s">
        <v>44</v>
      </c>
      <c r="C61">
        <v>12</v>
      </c>
      <c r="D61" t="str">
        <f t="shared" si="0"/>
        <v>04/01/2025Geriatrics</v>
      </c>
    </row>
    <row r="62" spans="1:4">
      <c r="A62" s="1">
        <v>45662</v>
      </c>
      <c r="B62" t="s">
        <v>39</v>
      </c>
      <c r="C62">
        <v>20</v>
      </c>
      <c r="D62" t="str">
        <f t="shared" si="0"/>
        <v>05/01/2025A&amp;E (Emergency)</v>
      </c>
    </row>
    <row r="63" spans="1:4">
      <c r="A63" s="1">
        <v>45662</v>
      </c>
      <c r="B63" t="s">
        <v>40</v>
      </c>
      <c r="C63">
        <v>11</v>
      </c>
      <c r="D63" t="str">
        <f t="shared" si="0"/>
        <v>05/01/2025Cardiology</v>
      </c>
    </row>
    <row r="64" spans="1:4">
      <c r="A64" s="1">
        <v>45662</v>
      </c>
      <c r="B64" t="s">
        <v>51</v>
      </c>
      <c r="C64">
        <v>9</v>
      </c>
      <c r="D64" t="str">
        <f t="shared" si="0"/>
        <v>05/01/2025Respiratory</v>
      </c>
    </row>
    <row r="65" spans="1:4">
      <c r="A65" s="1">
        <v>45662</v>
      </c>
      <c r="B65" t="s">
        <v>43</v>
      </c>
      <c r="C65">
        <v>14</v>
      </c>
      <c r="D65" t="str">
        <f t="shared" si="0"/>
        <v>05/01/2025General Surgery</v>
      </c>
    </row>
    <row r="66" spans="1:4">
      <c r="A66" s="1">
        <v>45662</v>
      </c>
      <c r="B66" t="s">
        <v>48</v>
      </c>
      <c r="C66">
        <v>10</v>
      </c>
      <c r="D66" t="str">
        <f t="shared" si="0"/>
        <v>05/01/2025Orthopaedics</v>
      </c>
    </row>
    <row r="67" spans="1:4">
      <c r="A67" s="1">
        <v>45662</v>
      </c>
      <c r="B67" t="s">
        <v>46</v>
      </c>
      <c r="C67">
        <v>9</v>
      </c>
      <c r="D67" t="str">
        <f t="shared" ref="D67:D130" si="1">TEXT(A67, "dd/mm/yyyy")&amp;B67</f>
        <v>05/01/2025Neurology</v>
      </c>
    </row>
    <row r="68" spans="1:4">
      <c r="A68" s="1">
        <v>45662</v>
      </c>
      <c r="B68" t="s">
        <v>47</v>
      </c>
      <c r="C68">
        <v>12</v>
      </c>
      <c r="D68" t="str">
        <f t="shared" si="1"/>
        <v>05/01/2025Oncology</v>
      </c>
    </row>
    <row r="69" spans="1:4">
      <c r="A69" s="1">
        <v>45662</v>
      </c>
      <c r="B69" t="s">
        <v>49</v>
      </c>
      <c r="C69">
        <v>8</v>
      </c>
      <c r="D69" t="str">
        <f t="shared" si="1"/>
        <v>05/01/2025Paediatrics</v>
      </c>
    </row>
    <row r="70" spans="1:4">
      <c r="A70" s="1">
        <v>45662</v>
      </c>
      <c r="B70" t="s">
        <v>45</v>
      </c>
      <c r="C70">
        <v>9</v>
      </c>
      <c r="D70" t="str">
        <f t="shared" si="1"/>
        <v>05/01/2025Maternity</v>
      </c>
    </row>
    <row r="71" spans="1:4">
      <c r="A71" s="1">
        <v>45662</v>
      </c>
      <c r="B71" t="s">
        <v>50</v>
      </c>
      <c r="C71">
        <v>17</v>
      </c>
      <c r="D71" t="str">
        <f t="shared" si="1"/>
        <v>05/01/2025Renal Medicine</v>
      </c>
    </row>
    <row r="72" spans="1:4">
      <c r="A72" s="1">
        <v>45662</v>
      </c>
      <c r="B72" t="s">
        <v>42</v>
      </c>
      <c r="C72">
        <v>7</v>
      </c>
      <c r="D72" t="str">
        <f t="shared" si="1"/>
        <v>05/01/2025Gastroenterology</v>
      </c>
    </row>
    <row r="73" spans="1:4">
      <c r="A73" s="1">
        <v>45662</v>
      </c>
      <c r="B73" t="s">
        <v>98</v>
      </c>
      <c r="C73">
        <v>6</v>
      </c>
      <c r="D73" t="str">
        <f t="shared" si="1"/>
        <v>05/01/2025Endocrinology</v>
      </c>
    </row>
    <row r="74" spans="1:4">
      <c r="A74" s="1">
        <v>45662</v>
      </c>
      <c r="B74" t="s">
        <v>100</v>
      </c>
      <c r="C74">
        <v>8</v>
      </c>
      <c r="D74" t="str">
        <f t="shared" si="1"/>
        <v>05/01/2025Urology</v>
      </c>
    </row>
    <row r="75" spans="1:4">
      <c r="A75" s="1">
        <v>45662</v>
      </c>
      <c r="B75" t="s">
        <v>41</v>
      </c>
      <c r="C75">
        <v>10</v>
      </c>
      <c r="D75" t="str">
        <f t="shared" si="1"/>
        <v>05/01/2025ENT</v>
      </c>
    </row>
    <row r="76" spans="1:4">
      <c r="A76" s="1">
        <v>45662</v>
      </c>
      <c r="B76" t="s">
        <v>44</v>
      </c>
      <c r="C76">
        <v>12</v>
      </c>
      <c r="D76" t="str">
        <f t="shared" si="1"/>
        <v>05/01/2025Geriatrics</v>
      </c>
    </row>
    <row r="77" spans="1:4">
      <c r="A77" s="1">
        <v>45663</v>
      </c>
      <c r="B77" t="s">
        <v>39</v>
      </c>
      <c r="C77">
        <v>27</v>
      </c>
      <c r="D77" t="str">
        <f t="shared" si="1"/>
        <v>06/01/2025A&amp;E (Emergency)</v>
      </c>
    </row>
    <row r="78" spans="1:4">
      <c r="A78" s="1">
        <v>45663</v>
      </c>
      <c r="B78" t="s">
        <v>40</v>
      </c>
      <c r="C78">
        <v>18</v>
      </c>
      <c r="D78" t="str">
        <f t="shared" si="1"/>
        <v>06/01/2025Cardiology</v>
      </c>
    </row>
    <row r="79" spans="1:4">
      <c r="A79" s="1">
        <v>45663</v>
      </c>
      <c r="B79" t="s">
        <v>51</v>
      </c>
      <c r="C79">
        <v>15</v>
      </c>
      <c r="D79" t="str">
        <f t="shared" si="1"/>
        <v>06/01/2025Respiratory</v>
      </c>
    </row>
    <row r="80" spans="1:4">
      <c r="A80" s="1">
        <v>45663</v>
      </c>
      <c r="B80" t="s">
        <v>43</v>
      </c>
      <c r="C80">
        <v>21</v>
      </c>
      <c r="D80" t="str">
        <f t="shared" si="1"/>
        <v>06/01/2025General Surgery</v>
      </c>
    </row>
    <row r="81" spans="1:4">
      <c r="A81" s="1">
        <v>45663</v>
      </c>
      <c r="B81" t="s">
        <v>48</v>
      </c>
      <c r="C81">
        <v>16</v>
      </c>
      <c r="D81" t="str">
        <f t="shared" si="1"/>
        <v>06/01/2025Orthopaedics</v>
      </c>
    </row>
    <row r="82" spans="1:4">
      <c r="A82" s="1">
        <v>45663</v>
      </c>
      <c r="B82" t="s">
        <v>46</v>
      </c>
      <c r="C82">
        <v>14</v>
      </c>
      <c r="D82" t="str">
        <f t="shared" si="1"/>
        <v>06/01/2025Neurology</v>
      </c>
    </row>
    <row r="83" spans="1:4">
      <c r="A83" s="1">
        <v>45663</v>
      </c>
      <c r="B83" t="s">
        <v>47</v>
      </c>
      <c r="C83">
        <v>18</v>
      </c>
      <c r="D83" t="str">
        <f t="shared" si="1"/>
        <v>06/01/2025Oncology</v>
      </c>
    </row>
    <row r="84" spans="1:4">
      <c r="A84" s="1">
        <v>45663</v>
      </c>
      <c r="B84" t="s">
        <v>49</v>
      </c>
      <c r="C84">
        <v>13</v>
      </c>
      <c r="D84" t="str">
        <f t="shared" si="1"/>
        <v>06/01/2025Paediatrics</v>
      </c>
    </row>
    <row r="85" spans="1:4">
      <c r="A85" s="1">
        <v>45663</v>
      </c>
      <c r="B85" t="s">
        <v>45</v>
      </c>
      <c r="C85">
        <v>13</v>
      </c>
      <c r="D85" t="str">
        <f t="shared" si="1"/>
        <v>06/01/2025Maternity</v>
      </c>
    </row>
    <row r="86" spans="1:4">
      <c r="A86" s="1">
        <v>45663</v>
      </c>
      <c r="B86" t="s">
        <v>50</v>
      </c>
      <c r="C86">
        <v>21</v>
      </c>
      <c r="D86" t="str">
        <f t="shared" si="1"/>
        <v>06/01/2025Renal Medicine</v>
      </c>
    </row>
    <row r="87" spans="1:4">
      <c r="A87" s="1">
        <v>45663</v>
      </c>
      <c r="B87" t="s">
        <v>42</v>
      </c>
      <c r="C87">
        <v>12</v>
      </c>
      <c r="D87" t="str">
        <f t="shared" si="1"/>
        <v>06/01/2025Gastroenterology</v>
      </c>
    </row>
    <row r="88" spans="1:4">
      <c r="A88" s="1">
        <v>45663</v>
      </c>
      <c r="B88" t="s">
        <v>98</v>
      </c>
      <c r="C88">
        <v>10</v>
      </c>
      <c r="D88" t="str">
        <f t="shared" si="1"/>
        <v>06/01/2025Endocrinology</v>
      </c>
    </row>
    <row r="89" spans="1:4">
      <c r="A89" s="1">
        <v>45663</v>
      </c>
      <c r="B89" t="s">
        <v>100</v>
      </c>
      <c r="C89">
        <v>11</v>
      </c>
      <c r="D89" t="str">
        <f t="shared" si="1"/>
        <v>06/01/2025Urology</v>
      </c>
    </row>
    <row r="90" spans="1:4">
      <c r="A90" s="1">
        <v>45663</v>
      </c>
      <c r="B90" t="s">
        <v>41</v>
      </c>
      <c r="C90">
        <v>13</v>
      </c>
      <c r="D90" t="str">
        <f t="shared" si="1"/>
        <v>06/01/2025ENT</v>
      </c>
    </row>
    <row r="91" spans="1:4">
      <c r="A91" s="1">
        <v>45663</v>
      </c>
      <c r="B91" t="s">
        <v>44</v>
      </c>
      <c r="C91">
        <v>16</v>
      </c>
      <c r="D91" t="str">
        <f t="shared" si="1"/>
        <v>06/01/2025Geriatrics</v>
      </c>
    </row>
    <row r="92" spans="1:4">
      <c r="A92" s="1">
        <v>45664</v>
      </c>
      <c r="B92" t="s">
        <v>39</v>
      </c>
      <c r="C92">
        <v>25</v>
      </c>
      <c r="D92" t="str">
        <f t="shared" si="1"/>
        <v>07/01/2025A&amp;E (Emergency)</v>
      </c>
    </row>
    <row r="93" spans="1:4">
      <c r="A93" s="1">
        <v>45664</v>
      </c>
      <c r="B93" t="s">
        <v>40</v>
      </c>
      <c r="C93">
        <v>17</v>
      </c>
      <c r="D93" t="str">
        <f t="shared" si="1"/>
        <v>07/01/2025Cardiology</v>
      </c>
    </row>
    <row r="94" spans="1:4">
      <c r="A94" s="1">
        <v>45664</v>
      </c>
      <c r="B94" t="s">
        <v>51</v>
      </c>
      <c r="C94">
        <v>14</v>
      </c>
      <c r="D94" t="str">
        <f t="shared" si="1"/>
        <v>07/01/2025Respiratory</v>
      </c>
    </row>
    <row r="95" spans="1:4">
      <c r="A95" s="1">
        <v>45664</v>
      </c>
      <c r="B95" t="s">
        <v>43</v>
      </c>
      <c r="C95">
        <v>20</v>
      </c>
      <c r="D95" t="str">
        <f t="shared" si="1"/>
        <v>07/01/2025General Surgery</v>
      </c>
    </row>
    <row r="96" spans="1:4">
      <c r="A96" s="1">
        <v>45664</v>
      </c>
      <c r="B96" t="s">
        <v>48</v>
      </c>
      <c r="C96">
        <v>15</v>
      </c>
      <c r="D96" t="str">
        <f t="shared" si="1"/>
        <v>07/01/2025Orthopaedics</v>
      </c>
    </row>
    <row r="97" spans="1:4">
      <c r="A97" s="1">
        <v>45664</v>
      </c>
      <c r="B97" t="s">
        <v>46</v>
      </c>
      <c r="C97">
        <v>13</v>
      </c>
      <c r="D97" t="str">
        <f t="shared" si="1"/>
        <v>07/01/2025Neurology</v>
      </c>
    </row>
    <row r="98" spans="1:4">
      <c r="A98" s="1">
        <v>45664</v>
      </c>
      <c r="B98" t="s">
        <v>47</v>
      </c>
      <c r="C98">
        <v>17</v>
      </c>
      <c r="D98" t="str">
        <f t="shared" si="1"/>
        <v>07/01/2025Oncology</v>
      </c>
    </row>
    <row r="99" spans="1:4">
      <c r="A99" s="1">
        <v>45664</v>
      </c>
      <c r="B99" t="s">
        <v>49</v>
      </c>
      <c r="C99">
        <v>12</v>
      </c>
      <c r="D99" t="str">
        <f t="shared" si="1"/>
        <v>07/01/2025Paediatrics</v>
      </c>
    </row>
    <row r="100" spans="1:4">
      <c r="A100" s="1">
        <v>45664</v>
      </c>
      <c r="B100" t="s">
        <v>45</v>
      </c>
      <c r="C100">
        <v>12</v>
      </c>
      <c r="D100" t="str">
        <f t="shared" si="1"/>
        <v>07/01/2025Maternity</v>
      </c>
    </row>
    <row r="101" spans="1:4">
      <c r="A101" s="1">
        <v>45664</v>
      </c>
      <c r="B101" t="s">
        <v>50</v>
      </c>
      <c r="C101">
        <v>20</v>
      </c>
      <c r="D101" t="str">
        <f t="shared" si="1"/>
        <v>07/01/2025Renal Medicine</v>
      </c>
    </row>
    <row r="102" spans="1:4">
      <c r="A102" s="1">
        <v>45664</v>
      </c>
      <c r="B102" t="s">
        <v>42</v>
      </c>
      <c r="C102">
        <v>11</v>
      </c>
      <c r="D102" t="str">
        <f t="shared" si="1"/>
        <v>07/01/2025Gastroenterology</v>
      </c>
    </row>
    <row r="103" spans="1:4">
      <c r="A103" s="1">
        <v>45664</v>
      </c>
      <c r="B103" t="s">
        <v>98</v>
      </c>
      <c r="C103">
        <v>9</v>
      </c>
      <c r="D103" t="str">
        <f t="shared" si="1"/>
        <v>07/01/2025Endocrinology</v>
      </c>
    </row>
    <row r="104" spans="1:4">
      <c r="A104" s="1">
        <v>45664</v>
      </c>
      <c r="B104" t="s">
        <v>100</v>
      </c>
      <c r="C104">
        <v>10</v>
      </c>
      <c r="D104" t="str">
        <f t="shared" si="1"/>
        <v>07/01/2025Urology</v>
      </c>
    </row>
    <row r="105" spans="1:4">
      <c r="A105" s="1">
        <v>45664</v>
      </c>
      <c r="B105" t="s">
        <v>41</v>
      </c>
      <c r="C105">
        <v>12</v>
      </c>
      <c r="D105" t="str">
        <f t="shared" si="1"/>
        <v>07/01/2025ENT</v>
      </c>
    </row>
    <row r="106" spans="1:4">
      <c r="A106" s="1">
        <v>45664</v>
      </c>
      <c r="B106" t="s">
        <v>44</v>
      </c>
      <c r="C106">
        <v>15</v>
      </c>
      <c r="D106" t="str">
        <f t="shared" si="1"/>
        <v>07/01/2025Geriatrics</v>
      </c>
    </row>
    <row r="107" spans="1:4">
      <c r="A107" s="1">
        <v>45665</v>
      </c>
      <c r="B107" t="s">
        <v>39</v>
      </c>
      <c r="C107">
        <v>24</v>
      </c>
      <c r="D107" t="str">
        <f t="shared" si="1"/>
        <v>08/01/2025A&amp;E (Emergency)</v>
      </c>
    </row>
    <row r="108" spans="1:4">
      <c r="A108" s="1">
        <v>45665</v>
      </c>
      <c r="B108" t="s">
        <v>40</v>
      </c>
      <c r="C108">
        <v>16</v>
      </c>
      <c r="D108" t="str">
        <f t="shared" si="1"/>
        <v>08/01/2025Cardiology</v>
      </c>
    </row>
    <row r="109" spans="1:4">
      <c r="A109" s="1">
        <v>45665</v>
      </c>
      <c r="B109" t="s">
        <v>51</v>
      </c>
      <c r="C109">
        <v>13</v>
      </c>
      <c r="D109" t="str">
        <f t="shared" si="1"/>
        <v>08/01/2025Respiratory</v>
      </c>
    </row>
    <row r="110" spans="1:4">
      <c r="A110" s="1">
        <v>45665</v>
      </c>
      <c r="B110" t="s">
        <v>43</v>
      </c>
      <c r="C110">
        <v>19</v>
      </c>
      <c r="D110" t="str">
        <f t="shared" si="1"/>
        <v>08/01/2025General Surgery</v>
      </c>
    </row>
    <row r="111" spans="1:4">
      <c r="A111" s="1">
        <v>45665</v>
      </c>
      <c r="B111" t="s">
        <v>48</v>
      </c>
      <c r="C111">
        <v>14</v>
      </c>
      <c r="D111" t="str">
        <f t="shared" si="1"/>
        <v>08/01/2025Orthopaedics</v>
      </c>
    </row>
    <row r="112" spans="1:4">
      <c r="A112" s="1">
        <v>45665</v>
      </c>
      <c r="B112" t="s">
        <v>46</v>
      </c>
      <c r="C112">
        <v>12</v>
      </c>
      <c r="D112" t="str">
        <f t="shared" si="1"/>
        <v>08/01/2025Neurology</v>
      </c>
    </row>
    <row r="113" spans="1:4">
      <c r="A113" s="1">
        <v>45665</v>
      </c>
      <c r="B113" t="s">
        <v>47</v>
      </c>
      <c r="C113">
        <v>16</v>
      </c>
      <c r="D113" t="str">
        <f t="shared" si="1"/>
        <v>08/01/2025Oncology</v>
      </c>
    </row>
    <row r="114" spans="1:4">
      <c r="A114" s="1">
        <v>45665</v>
      </c>
      <c r="B114" t="s">
        <v>49</v>
      </c>
      <c r="C114">
        <v>11</v>
      </c>
      <c r="D114" t="str">
        <f t="shared" si="1"/>
        <v>08/01/2025Paediatrics</v>
      </c>
    </row>
    <row r="115" spans="1:4">
      <c r="A115" s="1">
        <v>45665</v>
      </c>
      <c r="B115" t="s">
        <v>45</v>
      </c>
      <c r="C115">
        <v>12</v>
      </c>
      <c r="D115" t="str">
        <f t="shared" si="1"/>
        <v>08/01/2025Maternity</v>
      </c>
    </row>
    <row r="116" spans="1:4">
      <c r="A116" s="1">
        <v>45665</v>
      </c>
      <c r="B116" t="s">
        <v>50</v>
      </c>
      <c r="C116">
        <v>19</v>
      </c>
      <c r="D116" t="str">
        <f t="shared" si="1"/>
        <v>08/01/2025Renal Medicine</v>
      </c>
    </row>
    <row r="117" spans="1:4">
      <c r="A117" s="1">
        <v>45665</v>
      </c>
      <c r="B117" t="s">
        <v>42</v>
      </c>
      <c r="C117">
        <v>10</v>
      </c>
      <c r="D117" t="str">
        <f t="shared" si="1"/>
        <v>08/01/2025Gastroenterology</v>
      </c>
    </row>
    <row r="118" spans="1:4">
      <c r="A118" s="1">
        <v>45665</v>
      </c>
      <c r="B118" t="s">
        <v>98</v>
      </c>
      <c r="C118">
        <v>8</v>
      </c>
      <c r="D118" t="str">
        <f t="shared" si="1"/>
        <v>08/01/2025Endocrinology</v>
      </c>
    </row>
    <row r="119" spans="1:4">
      <c r="A119" s="1">
        <v>45665</v>
      </c>
      <c r="B119" t="s">
        <v>100</v>
      </c>
      <c r="C119">
        <v>10</v>
      </c>
      <c r="D119" t="str">
        <f t="shared" si="1"/>
        <v>08/01/2025Urology</v>
      </c>
    </row>
    <row r="120" spans="1:4">
      <c r="A120" s="1">
        <v>45665</v>
      </c>
      <c r="B120" t="s">
        <v>41</v>
      </c>
      <c r="C120">
        <v>12</v>
      </c>
      <c r="D120" t="str">
        <f t="shared" si="1"/>
        <v>08/01/2025ENT</v>
      </c>
    </row>
    <row r="121" spans="1:4">
      <c r="A121" s="1">
        <v>45665</v>
      </c>
      <c r="B121" t="s">
        <v>44</v>
      </c>
      <c r="C121">
        <v>14</v>
      </c>
      <c r="D121" t="str">
        <f t="shared" si="1"/>
        <v>08/01/2025Geriatrics</v>
      </c>
    </row>
    <row r="122" spans="1:4">
      <c r="A122" s="1">
        <v>45666</v>
      </c>
      <c r="B122" t="s">
        <v>39</v>
      </c>
      <c r="C122">
        <v>23</v>
      </c>
      <c r="D122" t="str">
        <f t="shared" si="1"/>
        <v>09/01/2025A&amp;E (Emergency)</v>
      </c>
    </row>
    <row r="123" spans="1:4">
      <c r="A123" s="1">
        <v>45666</v>
      </c>
      <c r="B123" t="s">
        <v>40</v>
      </c>
      <c r="C123">
        <v>16</v>
      </c>
      <c r="D123" t="str">
        <f t="shared" si="1"/>
        <v>09/01/2025Cardiology</v>
      </c>
    </row>
    <row r="124" spans="1:4">
      <c r="A124" s="1">
        <v>45666</v>
      </c>
      <c r="B124" t="s">
        <v>51</v>
      </c>
      <c r="C124">
        <v>13</v>
      </c>
      <c r="D124" t="str">
        <f t="shared" si="1"/>
        <v>09/01/2025Respiratory</v>
      </c>
    </row>
    <row r="125" spans="1:4">
      <c r="A125" s="1">
        <v>45666</v>
      </c>
      <c r="B125" t="s">
        <v>43</v>
      </c>
      <c r="C125">
        <v>19</v>
      </c>
      <c r="D125" t="str">
        <f t="shared" si="1"/>
        <v>09/01/2025General Surgery</v>
      </c>
    </row>
    <row r="126" spans="1:4">
      <c r="A126" s="1">
        <v>45666</v>
      </c>
      <c r="B126" t="s">
        <v>48</v>
      </c>
      <c r="C126">
        <v>14</v>
      </c>
      <c r="D126" t="str">
        <f t="shared" si="1"/>
        <v>09/01/2025Orthopaedics</v>
      </c>
    </row>
    <row r="127" spans="1:4">
      <c r="A127" s="1">
        <v>45666</v>
      </c>
      <c r="B127" t="s">
        <v>46</v>
      </c>
      <c r="C127">
        <v>12</v>
      </c>
      <c r="D127" t="str">
        <f t="shared" si="1"/>
        <v>09/01/2025Neurology</v>
      </c>
    </row>
    <row r="128" spans="1:4">
      <c r="A128" s="1">
        <v>45666</v>
      </c>
      <c r="B128" t="s">
        <v>47</v>
      </c>
      <c r="C128">
        <v>16</v>
      </c>
      <c r="D128" t="str">
        <f t="shared" si="1"/>
        <v>09/01/2025Oncology</v>
      </c>
    </row>
    <row r="129" spans="1:4">
      <c r="A129" s="1">
        <v>45666</v>
      </c>
      <c r="B129" t="s">
        <v>49</v>
      </c>
      <c r="C129">
        <v>11</v>
      </c>
      <c r="D129" t="str">
        <f t="shared" si="1"/>
        <v>09/01/2025Paediatrics</v>
      </c>
    </row>
    <row r="130" spans="1:4">
      <c r="A130" s="1">
        <v>45666</v>
      </c>
      <c r="B130" t="s">
        <v>45</v>
      </c>
      <c r="C130">
        <v>12</v>
      </c>
      <c r="D130" t="str">
        <f t="shared" si="1"/>
        <v>09/01/2025Maternity</v>
      </c>
    </row>
    <row r="131" spans="1:4">
      <c r="A131" s="1">
        <v>45666</v>
      </c>
      <c r="B131" t="s">
        <v>50</v>
      </c>
      <c r="C131">
        <v>19</v>
      </c>
      <c r="D131" t="str">
        <f t="shared" ref="D131:D194" si="2">TEXT(A131, "dd/mm/yyyy")&amp;B131</f>
        <v>09/01/2025Renal Medicine</v>
      </c>
    </row>
    <row r="132" spans="1:4">
      <c r="A132" s="1">
        <v>45666</v>
      </c>
      <c r="B132" t="s">
        <v>42</v>
      </c>
      <c r="C132">
        <v>10</v>
      </c>
      <c r="D132" t="str">
        <f t="shared" si="2"/>
        <v>09/01/2025Gastroenterology</v>
      </c>
    </row>
    <row r="133" spans="1:4">
      <c r="A133" s="1">
        <v>45666</v>
      </c>
      <c r="B133" t="s">
        <v>98</v>
      </c>
      <c r="C133">
        <v>8</v>
      </c>
      <c r="D133" t="str">
        <f t="shared" si="2"/>
        <v>09/01/2025Endocrinology</v>
      </c>
    </row>
    <row r="134" spans="1:4">
      <c r="A134" s="1">
        <v>45666</v>
      </c>
      <c r="B134" t="s">
        <v>100</v>
      </c>
      <c r="C134">
        <v>10</v>
      </c>
      <c r="D134" t="str">
        <f t="shared" si="2"/>
        <v>09/01/2025Urology</v>
      </c>
    </row>
    <row r="135" spans="1:4">
      <c r="A135" s="1">
        <v>45666</v>
      </c>
      <c r="B135" t="s">
        <v>41</v>
      </c>
      <c r="C135">
        <v>12</v>
      </c>
      <c r="D135" t="str">
        <f t="shared" si="2"/>
        <v>09/01/2025ENT</v>
      </c>
    </row>
    <row r="136" spans="1:4">
      <c r="A136" s="1">
        <v>45666</v>
      </c>
      <c r="B136" t="s">
        <v>44</v>
      </c>
      <c r="C136">
        <v>14</v>
      </c>
      <c r="D136" t="str">
        <f t="shared" si="2"/>
        <v>09/01/2025Geriatrics</v>
      </c>
    </row>
    <row r="137" spans="1:4">
      <c r="A137" s="1">
        <v>45667</v>
      </c>
      <c r="B137" t="s">
        <v>39</v>
      </c>
      <c r="C137">
        <v>22</v>
      </c>
      <c r="D137" t="str">
        <f t="shared" si="2"/>
        <v>10/01/2025A&amp;E (Emergency)</v>
      </c>
    </row>
    <row r="138" spans="1:4">
      <c r="A138" s="1">
        <v>45667</v>
      </c>
      <c r="B138" t="s">
        <v>40</v>
      </c>
      <c r="C138">
        <v>15</v>
      </c>
      <c r="D138" t="str">
        <f t="shared" si="2"/>
        <v>10/01/2025Cardiology</v>
      </c>
    </row>
    <row r="139" spans="1:4">
      <c r="A139" s="1">
        <v>45667</v>
      </c>
      <c r="B139" t="s">
        <v>51</v>
      </c>
      <c r="C139">
        <v>12</v>
      </c>
      <c r="D139" t="str">
        <f t="shared" si="2"/>
        <v>10/01/2025Respiratory</v>
      </c>
    </row>
    <row r="140" spans="1:4">
      <c r="A140" s="1">
        <v>45667</v>
      </c>
      <c r="B140" t="s">
        <v>43</v>
      </c>
      <c r="C140">
        <v>18</v>
      </c>
      <c r="D140" t="str">
        <f t="shared" si="2"/>
        <v>10/01/2025General Surgery</v>
      </c>
    </row>
    <row r="141" spans="1:4">
      <c r="A141" s="1">
        <v>45667</v>
      </c>
      <c r="B141" t="s">
        <v>48</v>
      </c>
      <c r="C141">
        <v>13</v>
      </c>
      <c r="D141" t="str">
        <f t="shared" si="2"/>
        <v>10/01/2025Orthopaedics</v>
      </c>
    </row>
    <row r="142" spans="1:4">
      <c r="A142" s="1">
        <v>45667</v>
      </c>
      <c r="B142" t="s">
        <v>46</v>
      </c>
      <c r="C142">
        <v>11</v>
      </c>
      <c r="D142" t="str">
        <f t="shared" si="2"/>
        <v>10/01/2025Neurology</v>
      </c>
    </row>
    <row r="143" spans="1:4">
      <c r="A143" s="1">
        <v>45667</v>
      </c>
      <c r="B143" t="s">
        <v>47</v>
      </c>
      <c r="C143">
        <v>15</v>
      </c>
      <c r="D143" t="str">
        <f t="shared" si="2"/>
        <v>10/01/2025Oncology</v>
      </c>
    </row>
    <row r="144" spans="1:4">
      <c r="A144" s="1">
        <v>45667</v>
      </c>
      <c r="B144" t="s">
        <v>49</v>
      </c>
      <c r="C144">
        <v>10</v>
      </c>
      <c r="D144" t="str">
        <f t="shared" si="2"/>
        <v>10/01/2025Paediatrics</v>
      </c>
    </row>
    <row r="145" spans="1:4">
      <c r="A145" s="1">
        <v>45667</v>
      </c>
      <c r="B145" t="s">
        <v>45</v>
      </c>
      <c r="C145">
        <v>11</v>
      </c>
      <c r="D145" t="str">
        <f t="shared" si="2"/>
        <v>10/01/2025Maternity</v>
      </c>
    </row>
    <row r="146" spans="1:4">
      <c r="A146" s="1">
        <v>45667</v>
      </c>
      <c r="B146" t="s">
        <v>50</v>
      </c>
      <c r="C146">
        <v>18</v>
      </c>
      <c r="D146" t="str">
        <f t="shared" si="2"/>
        <v>10/01/2025Renal Medicine</v>
      </c>
    </row>
    <row r="147" spans="1:4">
      <c r="A147" s="1">
        <v>45667</v>
      </c>
      <c r="B147" t="s">
        <v>42</v>
      </c>
      <c r="C147">
        <v>9</v>
      </c>
      <c r="D147" t="str">
        <f t="shared" si="2"/>
        <v>10/01/2025Gastroenterology</v>
      </c>
    </row>
    <row r="148" spans="1:4">
      <c r="A148" s="1">
        <v>45667</v>
      </c>
      <c r="B148" t="s">
        <v>98</v>
      </c>
      <c r="C148">
        <v>7</v>
      </c>
      <c r="D148" t="str">
        <f t="shared" si="2"/>
        <v>10/01/2025Endocrinology</v>
      </c>
    </row>
    <row r="149" spans="1:4">
      <c r="A149" s="1">
        <v>45667</v>
      </c>
      <c r="B149" t="s">
        <v>100</v>
      </c>
      <c r="C149">
        <v>9</v>
      </c>
      <c r="D149" t="str">
        <f t="shared" si="2"/>
        <v>10/01/2025Urology</v>
      </c>
    </row>
    <row r="150" spans="1:4">
      <c r="A150" s="1">
        <v>45667</v>
      </c>
      <c r="B150" t="s">
        <v>41</v>
      </c>
      <c r="C150">
        <v>11</v>
      </c>
      <c r="D150" t="str">
        <f t="shared" si="2"/>
        <v>10/01/2025ENT</v>
      </c>
    </row>
    <row r="151" spans="1:4">
      <c r="A151" s="1">
        <v>45667</v>
      </c>
      <c r="B151" t="s">
        <v>44</v>
      </c>
      <c r="C151">
        <v>13</v>
      </c>
      <c r="D151" t="str">
        <f t="shared" si="2"/>
        <v>10/01/2025Geriatrics</v>
      </c>
    </row>
    <row r="152" spans="1:4">
      <c r="A152" s="1">
        <v>45668</v>
      </c>
      <c r="B152" t="s">
        <v>39</v>
      </c>
      <c r="C152">
        <v>20</v>
      </c>
      <c r="D152" t="str">
        <f t="shared" si="2"/>
        <v>11/01/2025A&amp;E (Emergency)</v>
      </c>
    </row>
    <row r="153" spans="1:4">
      <c r="A153" s="1">
        <v>45668</v>
      </c>
      <c r="B153" t="s">
        <v>40</v>
      </c>
      <c r="C153">
        <v>12</v>
      </c>
      <c r="D153" t="str">
        <f t="shared" si="2"/>
        <v>11/01/2025Cardiology</v>
      </c>
    </row>
    <row r="154" spans="1:4">
      <c r="A154" s="1">
        <v>45668</v>
      </c>
      <c r="B154" t="s">
        <v>51</v>
      </c>
      <c r="C154">
        <v>9</v>
      </c>
      <c r="D154" t="str">
        <f t="shared" si="2"/>
        <v>11/01/2025Respiratory</v>
      </c>
    </row>
    <row r="155" spans="1:4">
      <c r="A155" s="1">
        <v>45668</v>
      </c>
      <c r="B155" t="s">
        <v>43</v>
      </c>
      <c r="C155">
        <v>15</v>
      </c>
      <c r="D155" t="str">
        <f t="shared" si="2"/>
        <v>11/01/2025General Surgery</v>
      </c>
    </row>
    <row r="156" spans="1:4">
      <c r="A156" s="1">
        <v>45668</v>
      </c>
      <c r="B156" t="s">
        <v>48</v>
      </c>
      <c r="C156">
        <v>11</v>
      </c>
      <c r="D156" t="str">
        <f t="shared" si="2"/>
        <v>11/01/2025Orthopaedics</v>
      </c>
    </row>
    <row r="157" spans="1:4">
      <c r="A157" s="1">
        <v>45668</v>
      </c>
      <c r="B157" t="s">
        <v>46</v>
      </c>
      <c r="C157">
        <v>9</v>
      </c>
      <c r="D157" t="str">
        <f t="shared" si="2"/>
        <v>11/01/2025Neurology</v>
      </c>
    </row>
    <row r="158" spans="1:4">
      <c r="A158" s="1">
        <v>45668</v>
      </c>
      <c r="B158" t="s">
        <v>47</v>
      </c>
      <c r="C158">
        <v>13</v>
      </c>
      <c r="D158" t="str">
        <f t="shared" si="2"/>
        <v>11/01/2025Oncology</v>
      </c>
    </row>
    <row r="159" spans="1:4">
      <c r="A159" s="1">
        <v>45668</v>
      </c>
      <c r="B159" t="s">
        <v>49</v>
      </c>
      <c r="C159">
        <v>9</v>
      </c>
      <c r="D159" t="str">
        <f t="shared" si="2"/>
        <v>11/01/2025Paediatrics</v>
      </c>
    </row>
    <row r="160" spans="1:4">
      <c r="A160" s="1">
        <v>45668</v>
      </c>
      <c r="B160" t="s">
        <v>45</v>
      </c>
      <c r="C160">
        <v>10</v>
      </c>
      <c r="D160" t="str">
        <f t="shared" si="2"/>
        <v>11/01/2025Maternity</v>
      </c>
    </row>
    <row r="161" spans="1:4">
      <c r="A161" s="1">
        <v>45668</v>
      </c>
      <c r="B161" t="s">
        <v>50</v>
      </c>
      <c r="C161">
        <v>17</v>
      </c>
      <c r="D161" t="str">
        <f t="shared" si="2"/>
        <v>11/01/2025Renal Medicine</v>
      </c>
    </row>
    <row r="162" spans="1:4">
      <c r="A162" s="1">
        <v>45668</v>
      </c>
      <c r="B162" t="s">
        <v>42</v>
      </c>
      <c r="C162">
        <v>7</v>
      </c>
      <c r="D162" t="str">
        <f t="shared" si="2"/>
        <v>11/01/2025Gastroenterology</v>
      </c>
    </row>
    <row r="163" spans="1:4">
      <c r="A163" s="1">
        <v>45668</v>
      </c>
      <c r="B163" t="s">
        <v>98</v>
      </c>
      <c r="C163">
        <v>6</v>
      </c>
      <c r="D163" t="str">
        <f t="shared" si="2"/>
        <v>11/01/2025Endocrinology</v>
      </c>
    </row>
    <row r="164" spans="1:4">
      <c r="A164" s="1">
        <v>45668</v>
      </c>
      <c r="B164" t="s">
        <v>100</v>
      </c>
      <c r="C164">
        <v>8</v>
      </c>
      <c r="D164" t="str">
        <f t="shared" si="2"/>
        <v>11/01/2025Urology</v>
      </c>
    </row>
    <row r="165" spans="1:4">
      <c r="A165" s="1">
        <v>45668</v>
      </c>
      <c r="B165" t="s">
        <v>41</v>
      </c>
      <c r="C165">
        <v>10</v>
      </c>
      <c r="D165" t="str">
        <f t="shared" si="2"/>
        <v>11/01/2025ENT</v>
      </c>
    </row>
    <row r="166" spans="1:4">
      <c r="A166" s="1">
        <v>45668</v>
      </c>
      <c r="B166" t="s">
        <v>44</v>
      </c>
      <c r="C166">
        <v>12</v>
      </c>
      <c r="D166" t="str">
        <f t="shared" si="2"/>
        <v>11/01/2025Geriatrics</v>
      </c>
    </row>
    <row r="167" spans="1:4">
      <c r="A167" s="1">
        <v>45669</v>
      </c>
      <c r="B167" t="s">
        <v>39</v>
      </c>
      <c r="C167">
        <v>19</v>
      </c>
      <c r="D167" t="str">
        <f t="shared" si="2"/>
        <v>12/01/2025A&amp;E (Emergency)</v>
      </c>
    </row>
    <row r="168" spans="1:4">
      <c r="A168" s="1">
        <v>45669</v>
      </c>
      <c r="B168" t="s">
        <v>40</v>
      </c>
      <c r="C168">
        <v>11</v>
      </c>
      <c r="D168" t="str">
        <f t="shared" si="2"/>
        <v>12/01/2025Cardiology</v>
      </c>
    </row>
    <row r="169" spans="1:4">
      <c r="A169" s="1">
        <v>45669</v>
      </c>
      <c r="B169" t="s">
        <v>51</v>
      </c>
      <c r="C169">
        <v>9</v>
      </c>
      <c r="D169" t="str">
        <f t="shared" si="2"/>
        <v>12/01/2025Respiratory</v>
      </c>
    </row>
    <row r="170" spans="1:4">
      <c r="A170" s="1">
        <v>45669</v>
      </c>
      <c r="B170" t="s">
        <v>43</v>
      </c>
      <c r="C170">
        <v>14</v>
      </c>
      <c r="D170" t="str">
        <f t="shared" si="2"/>
        <v>12/01/2025General Surgery</v>
      </c>
    </row>
    <row r="171" spans="1:4">
      <c r="A171" s="1">
        <v>45669</v>
      </c>
      <c r="B171" t="s">
        <v>48</v>
      </c>
      <c r="C171">
        <v>10</v>
      </c>
      <c r="D171" t="str">
        <f t="shared" si="2"/>
        <v>12/01/2025Orthopaedics</v>
      </c>
    </row>
    <row r="172" spans="1:4">
      <c r="A172" s="1">
        <v>45669</v>
      </c>
      <c r="B172" t="s">
        <v>46</v>
      </c>
      <c r="C172">
        <v>9</v>
      </c>
      <c r="D172" t="str">
        <f t="shared" si="2"/>
        <v>12/01/2025Neurology</v>
      </c>
    </row>
    <row r="173" spans="1:4">
      <c r="A173" s="1">
        <v>45669</v>
      </c>
      <c r="B173" t="s">
        <v>47</v>
      </c>
      <c r="C173">
        <v>12</v>
      </c>
      <c r="D173" t="str">
        <f t="shared" si="2"/>
        <v>12/01/2025Oncology</v>
      </c>
    </row>
    <row r="174" spans="1:4">
      <c r="A174" s="1">
        <v>45669</v>
      </c>
      <c r="B174" t="s">
        <v>49</v>
      </c>
      <c r="C174">
        <v>8</v>
      </c>
      <c r="D174" t="str">
        <f t="shared" si="2"/>
        <v>12/01/2025Paediatrics</v>
      </c>
    </row>
    <row r="175" spans="1:4">
      <c r="A175" s="1">
        <v>45669</v>
      </c>
      <c r="B175" t="s">
        <v>45</v>
      </c>
      <c r="C175">
        <v>9</v>
      </c>
      <c r="D175" t="str">
        <f t="shared" si="2"/>
        <v>12/01/2025Maternity</v>
      </c>
    </row>
    <row r="176" spans="1:4">
      <c r="A176" s="1">
        <v>45669</v>
      </c>
      <c r="B176" t="s">
        <v>50</v>
      </c>
      <c r="C176">
        <v>17</v>
      </c>
      <c r="D176" t="str">
        <f t="shared" si="2"/>
        <v>12/01/2025Renal Medicine</v>
      </c>
    </row>
    <row r="177" spans="1:4">
      <c r="A177" s="1">
        <v>45669</v>
      </c>
      <c r="B177" t="s">
        <v>42</v>
      </c>
      <c r="C177">
        <v>7</v>
      </c>
      <c r="D177" t="str">
        <f t="shared" si="2"/>
        <v>12/01/2025Gastroenterology</v>
      </c>
    </row>
    <row r="178" spans="1:4">
      <c r="A178" s="1">
        <v>45669</v>
      </c>
      <c r="B178" t="s">
        <v>98</v>
      </c>
      <c r="C178">
        <v>6</v>
      </c>
      <c r="D178" t="str">
        <f t="shared" si="2"/>
        <v>12/01/2025Endocrinology</v>
      </c>
    </row>
    <row r="179" spans="1:4">
      <c r="A179" s="1">
        <v>45669</v>
      </c>
      <c r="B179" t="s">
        <v>100</v>
      </c>
      <c r="C179">
        <v>8</v>
      </c>
      <c r="D179" t="str">
        <f t="shared" si="2"/>
        <v>12/01/2025Urology</v>
      </c>
    </row>
    <row r="180" spans="1:4">
      <c r="A180" s="1">
        <v>45669</v>
      </c>
      <c r="B180" t="s">
        <v>41</v>
      </c>
      <c r="C180">
        <v>10</v>
      </c>
      <c r="D180" t="str">
        <f t="shared" si="2"/>
        <v>12/01/2025ENT</v>
      </c>
    </row>
    <row r="181" spans="1:4">
      <c r="A181" s="1">
        <v>45669</v>
      </c>
      <c r="B181" t="s">
        <v>44</v>
      </c>
      <c r="C181">
        <v>12</v>
      </c>
      <c r="D181" t="str">
        <f t="shared" si="2"/>
        <v>12/01/2025Geriatrics</v>
      </c>
    </row>
    <row r="182" spans="1:4">
      <c r="A182" s="1">
        <v>45670</v>
      </c>
      <c r="B182" t="s">
        <v>39</v>
      </c>
      <c r="C182">
        <v>27</v>
      </c>
      <c r="D182" t="str">
        <f t="shared" si="2"/>
        <v>13/01/2025A&amp;E (Emergency)</v>
      </c>
    </row>
    <row r="183" spans="1:4">
      <c r="A183" s="1">
        <v>45670</v>
      </c>
      <c r="B183" t="s">
        <v>40</v>
      </c>
      <c r="C183">
        <v>18</v>
      </c>
      <c r="D183" t="str">
        <f t="shared" si="2"/>
        <v>13/01/2025Cardiology</v>
      </c>
    </row>
    <row r="184" spans="1:4">
      <c r="A184" s="1">
        <v>45670</v>
      </c>
      <c r="B184" t="s">
        <v>51</v>
      </c>
      <c r="C184">
        <v>15</v>
      </c>
      <c r="D184" t="str">
        <f t="shared" si="2"/>
        <v>13/01/2025Respiratory</v>
      </c>
    </row>
    <row r="185" spans="1:4">
      <c r="A185" s="1">
        <v>45670</v>
      </c>
      <c r="B185" t="s">
        <v>43</v>
      </c>
      <c r="C185">
        <v>21</v>
      </c>
      <c r="D185" t="str">
        <f t="shared" si="2"/>
        <v>13/01/2025General Surgery</v>
      </c>
    </row>
    <row r="186" spans="1:4">
      <c r="A186" s="1">
        <v>45670</v>
      </c>
      <c r="B186" t="s">
        <v>48</v>
      </c>
      <c r="C186">
        <v>16</v>
      </c>
      <c r="D186" t="str">
        <f t="shared" si="2"/>
        <v>13/01/2025Orthopaedics</v>
      </c>
    </row>
    <row r="187" spans="1:4">
      <c r="A187" s="1">
        <v>45670</v>
      </c>
      <c r="B187" t="s">
        <v>46</v>
      </c>
      <c r="C187">
        <v>14</v>
      </c>
      <c r="D187" t="str">
        <f t="shared" si="2"/>
        <v>13/01/2025Neurology</v>
      </c>
    </row>
    <row r="188" spans="1:4">
      <c r="A188" s="1">
        <v>45670</v>
      </c>
      <c r="B188" t="s">
        <v>47</v>
      </c>
      <c r="C188">
        <v>18</v>
      </c>
      <c r="D188" t="str">
        <f t="shared" si="2"/>
        <v>13/01/2025Oncology</v>
      </c>
    </row>
    <row r="189" spans="1:4">
      <c r="A189" s="1">
        <v>45670</v>
      </c>
      <c r="B189" t="s">
        <v>49</v>
      </c>
      <c r="C189">
        <v>13</v>
      </c>
      <c r="D189" t="str">
        <f t="shared" si="2"/>
        <v>13/01/2025Paediatrics</v>
      </c>
    </row>
    <row r="190" spans="1:4">
      <c r="A190" s="1">
        <v>45670</v>
      </c>
      <c r="B190" t="s">
        <v>45</v>
      </c>
      <c r="C190">
        <v>13</v>
      </c>
      <c r="D190" t="str">
        <f t="shared" si="2"/>
        <v>13/01/2025Maternity</v>
      </c>
    </row>
    <row r="191" spans="1:4">
      <c r="A191" s="1">
        <v>45670</v>
      </c>
      <c r="B191" t="s">
        <v>50</v>
      </c>
      <c r="C191">
        <v>21</v>
      </c>
      <c r="D191" t="str">
        <f t="shared" si="2"/>
        <v>13/01/2025Renal Medicine</v>
      </c>
    </row>
    <row r="192" spans="1:4">
      <c r="A192" s="1">
        <v>45670</v>
      </c>
      <c r="B192" t="s">
        <v>42</v>
      </c>
      <c r="C192">
        <v>12</v>
      </c>
      <c r="D192" t="str">
        <f t="shared" si="2"/>
        <v>13/01/2025Gastroenterology</v>
      </c>
    </row>
    <row r="193" spans="1:4">
      <c r="A193" s="1">
        <v>45670</v>
      </c>
      <c r="B193" t="s">
        <v>98</v>
      </c>
      <c r="C193">
        <v>10</v>
      </c>
      <c r="D193" t="str">
        <f t="shared" si="2"/>
        <v>13/01/2025Endocrinology</v>
      </c>
    </row>
    <row r="194" spans="1:4">
      <c r="A194" s="1">
        <v>45670</v>
      </c>
      <c r="B194" t="s">
        <v>100</v>
      </c>
      <c r="C194">
        <v>11</v>
      </c>
      <c r="D194" t="str">
        <f t="shared" si="2"/>
        <v>13/01/2025Urology</v>
      </c>
    </row>
    <row r="195" spans="1:4">
      <c r="A195" s="1">
        <v>45670</v>
      </c>
      <c r="B195" t="s">
        <v>41</v>
      </c>
      <c r="C195">
        <v>13</v>
      </c>
      <c r="D195" t="str">
        <f t="shared" ref="D195:D258" si="3">TEXT(A195, "dd/mm/yyyy")&amp;B195</f>
        <v>13/01/2025ENT</v>
      </c>
    </row>
    <row r="196" spans="1:4">
      <c r="A196" s="1">
        <v>45670</v>
      </c>
      <c r="B196" t="s">
        <v>44</v>
      </c>
      <c r="C196">
        <v>16</v>
      </c>
      <c r="D196" t="str">
        <f t="shared" si="3"/>
        <v>13/01/2025Geriatrics</v>
      </c>
    </row>
    <row r="197" spans="1:4">
      <c r="A197" s="1">
        <v>45671</v>
      </c>
      <c r="B197" t="s">
        <v>39</v>
      </c>
      <c r="C197">
        <v>25</v>
      </c>
      <c r="D197" t="str">
        <f t="shared" si="3"/>
        <v>14/01/2025A&amp;E (Emergency)</v>
      </c>
    </row>
    <row r="198" spans="1:4">
      <c r="A198" s="1">
        <v>45671</v>
      </c>
      <c r="B198" t="s">
        <v>40</v>
      </c>
      <c r="C198">
        <v>17</v>
      </c>
      <c r="D198" t="str">
        <f t="shared" si="3"/>
        <v>14/01/2025Cardiology</v>
      </c>
    </row>
    <row r="199" spans="1:4">
      <c r="A199" s="1">
        <v>45671</v>
      </c>
      <c r="B199" t="s">
        <v>51</v>
      </c>
      <c r="C199">
        <v>14</v>
      </c>
      <c r="D199" t="str">
        <f t="shared" si="3"/>
        <v>14/01/2025Respiratory</v>
      </c>
    </row>
    <row r="200" spans="1:4">
      <c r="A200" s="1">
        <v>45671</v>
      </c>
      <c r="B200" t="s">
        <v>43</v>
      </c>
      <c r="C200">
        <v>20</v>
      </c>
      <c r="D200" t="str">
        <f t="shared" si="3"/>
        <v>14/01/2025General Surgery</v>
      </c>
    </row>
    <row r="201" spans="1:4">
      <c r="A201" s="1">
        <v>45671</v>
      </c>
      <c r="B201" t="s">
        <v>48</v>
      </c>
      <c r="C201">
        <v>15</v>
      </c>
      <c r="D201" t="str">
        <f t="shared" si="3"/>
        <v>14/01/2025Orthopaedics</v>
      </c>
    </row>
    <row r="202" spans="1:4">
      <c r="A202" s="1">
        <v>45671</v>
      </c>
      <c r="B202" t="s">
        <v>46</v>
      </c>
      <c r="C202">
        <v>13</v>
      </c>
      <c r="D202" t="str">
        <f t="shared" si="3"/>
        <v>14/01/2025Neurology</v>
      </c>
    </row>
    <row r="203" spans="1:4">
      <c r="A203" s="1">
        <v>45671</v>
      </c>
      <c r="B203" t="s">
        <v>47</v>
      </c>
      <c r="C203">
        <v>17</v>
      </c>
      <c r="D203" t="str">
        <f t="shared" si="3"/>
        <v>14/01/2025Oncology</v>
      </c>
    </row>
    <row r="204" spans="1:4">
      <c r="A204" s="1">
        <v>45671</v>
      </c>
      <c r="B204" t="s">
        <v>49</v>
      </c>
      <c r="C204">
        <v>12</v>
      </c>
      <c r="D204" t="str">
        <f t="shared" si="3"/>
        <v>14/01/2025Paediatrics</v>
      </c>
    </row>
    <row r="205" spans="1:4">
      <c r="A205" s="1">
        <v>45671</v>
      </c>
      <c r="B205" t="s">
        <v>45</v>
      </c>
      <c r="C205">
        <v>12</v>
      </c>
      <c r="D205" t="str">
        <f t="shared" si="3"/>
        <v>14/01/2025Maternity</v>
      </c>
    </row>
    <row r="206" spans="1:4">
      <c r="A206" s="1">
        <v>45671</v>
      </c>
      <c r="B206" t="s">
        <v>50</v>
      </c>
      <c r="C206">
        <v>20</v>
      </c>
      <c r="D206" t="str">
        <f t="shared" si="3"/>
        <v>14/01/2025Renal Medicine</v>
      </c>
    </row>
    <row r="207" spans="1:4">
      <c r="A207" s="1">
        <v>45671</v>
      </c>
      <c r="B207" t="s">
        <v>42</v>
      </c>
      <c r="C207">
        <v>11</v>
      </c>
      <c r="D207" t="str">
        <f t="shared" si="3"/>
        <v>14/01/2025Gastroenterology</v>
      </c>
    </row>
    <row r="208" spans="1:4">
      <c r="A208" s="1">
        <v>45671</v>
      </c>
      <c r="B208" t="s">
        <v>98</v>
      </c>
      <c r="C208">
        <v>9</v>
      </c>
      <c r="D208" t="str">
        <f t="shared" si="3"/>
        <v>14/01/2025Endocrinology</v>
      </c>
    </row>
    <row r="209" spans="1:4">
      <c r="A209" s="1">
        <v>45671</v>
      </c>
      <c r="B209" t="s">
        <v>100</v>
      </c>
      <c r="C209">
        <v>10</v>
      </c>
      <c r="D209" t="str">
        <f t="shared" si="3"/>
        <v>14/01/2025Urology</v>
      </c>
    </row>
    <row r="210" spans="1:4">
      <c r="A210" s="1">
        <v>45671</v>
      </c>
      <c r="B210" t="s">
        <v>41</v>
      </c>
      <c r="C210">
        <v>12</v>
      </c>
      <c r="D210" t="str">
        <f t="shared" si="3"/>
        <v>14/01/2025ENT</v>
      </c>
    </row>
    <row r="211" spans="1:4">
      <c r="A211" s="1">
        <v>45671</v>
      </c>
      <c r="B211" t="s">
        <v>44</v>
      </c>
      <c r="C211">
        <v>15</v>
      </c>
      <c r="D211" t="str">
        <f t="shared" si="3"/>
        <v>14/01/2025Geriatrics</v>
      </c>
    </row>
    <row r="212" spans="1:4">
      <c r="A212" s="1">
        <v>45672</v>
      </c>
      <c r="B212" t="s">
        <v>39</v>
      </c>
      <c r="C212">
        <v>24</v>
      </c>
      <c r="D212" t="str">
        <f t="shared" si="3"/>
        <v>15/01/2025A&amp;E (Emergency)</v>
      </c>
    </row>
    <row r="213" spans="1:4">
      <c r="A213" s="1">
        <v>45672</v>
      </c>
      <c r="B213" t="s">
        <v>40</v>
      </c>
      <c r="C213">
        <v>16</v>
      </c>
      <c r="D213" t="str">
        <f t="shared" si="3"/>
        <v>15/01/2025Cardiology</v>
      </c>
    </row>
    <row r="214" spans="1:4">
      <c r="A214" s="1">
        <v>45672</v>
      </c>
      <c r="B214" t="s">
        <v>51</v>
      </c>
      <c r="C214">
        <v>13</v>
      </c>
      <c r="D214" t="str">
        <f t="shared" si="3"/>
        <v>15/01/2025Respiratory</v>
      </c>
    </row>
    <row r="215" spans="1:4">
      <c r="A215" s="1">
        <v>45672</v>
      </c>
      <c r="B215" t="s">
        <v>43</v>
      </c>
      <c r="C215">
        <v>19</v>
      </c>
      <c r="D215" t="str">
        <f t="shared" si="3"/>
        <v>15/01/2025General Surgery</v>
      </c>
    </row>
    <row r="216" spans="1:4">
      <c r="A216" s="1">
        <v>45672</v>
      </c>
      <c r="B216" t="s">
        <v>48</v>
      </c>
      <c r="C216">
        <v>14</v>
      </c>
      <c r="D216" t="str">
        <f t="shared" si="3"/>
        <v>15/01/2025Orthopaedics</v>
      </c>
    </row>
    <row r="217" spans="1:4">
      <c r="A217" s="1">
        <v>45672</v>
      </c>
      <c r="B217" t="s">
        <v>46</v>
      </c>
      <c r="C217">
        <v>12</v>
      </c>
      <c r="D217" t="str">
        <f t="shared" si="3"/>
        <v>15/01/2025Neurology</v>
      </c>
    </row>
    <row r="218" spans="1:4">
      <c r="A218" s="1">
        <v>45672</v>
      </c>
      <c r="B218" t="s">
        <v>47</v>
      </c>
      <c r="C218">
        <v>16</v>
      </c>
      <c r="D218" t="str">
        <f t="shared" si="3"/>
        <v>15/01/2025Oncology</v>
      </c>
    </row>
    <row r="219" spans="1:4">
      <c r="A219" s="1">
        <v>45672</v>
      </c>
      <c r="B219" t="s">
        <v>49</v>
      </c>
      <c r="C219">
        <v>11</v>
      </c>
      <c r="D219" t="str">
        <f t="shared" si="3"/>
        <v>15/01/2025Paediatrics</v>
      </c>
    </row>
    <row r="220" spans="1:4">
      <c r="A220" s="1">
        <v>45672</v>
      </c>
      <c r="B220" t="s">
        <v>45</v>
      </c>
      <c r="C220">
        <v>12</v>
      </c>
      <c r="D220" t="str">
        <f t="shared" si="3"/>
        <v>15/01/2025Maternity</v>
      </c>
    </row>
    <row r="221" spans="1:4">
      <c r="A221" s="1">
        <v>45672</v>
      </c>
      <c r="B221" t="s">
        <v>50</v>
      </c>
      <c r="C221">
        <v>19</v>
      </c>
      <c r="D221" t="str">
        <f t="shared" si="3"/>
        <v>15/01/2025Renal Medicine</v>
      </c>
    </row>
    <row r="222" spans="1:4">
      <c r="A222" s="1">
        <v>45672</v>
      </c>
      <c r="B222" t="s">
        <v>42</v>
      </c>
      <c r="C222">
        <v>10</v>
      </c>
      <c r="D222" t="str">
        <f t="shared" si="3"/>
        <v>15/01/2025Gastroenterology</v>
      </c>
    </row>
    <row r="223" spans="1:4">
      <c r="A223" s="1">
        <v>45672</v>
      </c>
      <c r="B223" t="s">
        <v>98</v>
      </c>
      <c r="C223">
        <v>8</v>
      </c>
      <c r="D223" t="str">
        <f t="shared" si="3"/>
        <v>15/01/2025Endocrinology</v>
      </c>
    </row>
    <row r="224" spans="1:4">
      <c r="A224" s="1">
        <v>45672</v>
      </c>
      <c r="B224" t="s">
        <v>100</v>
      </c>
      <c r="C224">
        <v>10</v>
      </c>
      <c r="D224" t="str">
        <f t="shared" si="3"/>
        <v>15/01/2025Urology</v>
      </c>
    </row>
    <row r="225" spans="1:4">
      <c r="A225" s="1">
        <v>45672</v>
      </c>
      <c r="B225" t="s">
        <v>41</v>
      </c>
      <c r="C225">
        <v>12</v>
      </c>
      <c r="D225" t="str">
        <f t="shared" si="3"/>
        <v>15/01/2025ENT</v>
      </c>
    </row>
    <row r="226" spans="1:4">
      <c r="A226" s="1">
        <v>45672</v>
      </c>
      <c r="B226" t="s">
        <v>44</v>
      </c>
      <c r="C226">
        <v>14</v>
      </c>
      <c r="D226" t="str">
        <f t="shared" si="3"/>
        <v>15/01/2025Geriatrics</v>
      </c>
    </row>
    <row r="227" spans="1:4">
      <c r="A227" s="1">
        <v>45673</v>
      </c>
      <c r="B227" t="s">
        <v>39</v>
      </c>
      <c r="C227">
        <v>23</v>
      </c>
      <c r="D227" t="str">
        <f t="shared" si="3"/>
        <v>16/01/2025A&amp;E (Emergency)</v>
      </c>
    </row>
    <row r="228" spans="1:4">
      <c r="A228" s="1">
        <v>45673</v>
      </c>
      <c r="B228" t="s">
        <v>40</v>
      </c>
      <c r="C228">
        <v>16</v>
      </c>
      <c r="D228" t="str">
        <f t="shared" si="3"/>
        <v>16/01/2025Cardiology</v>
      </c>
    </row>
    <row r="229" spans="1:4">
      <c r="A229" s="1">
        <v>45673</v>
      </c>
      <c r="B229" t="s">
        <v>51</v>
      </c>
      <c r="C229">
        <v>13</v>
      </c>
      <c r="D229" t="str">
        <f t="shared" si="3"/>
        <v>16/01/2025Respiratory</v>
      </c>
    </row>
    <row r="230" spans="1:4">
      <c r="A230" s="1">
        <v>45673</v>
      </c>
      <c r="B230" t="s">
        <v>43</v>
      </c>
      <c r="C230">
        <v>19</v>
      </c>
      <c r="D230" t="str">
        <f t="shared" si="3"/>
        <v>16/01/2025General Surgery</v>
      </c>
    </row>
    <row r="231" spans="1:4">
      <c r="A231" s="1">
        <v>45673</v>
      </c>
      <c r="B231" t="s">
        <v>48</v>
      </c>
      <c r="C231">
        <v>14</v>
      </c>
      <c r="D231" t="str">
        <f t="shared" si="3"/>
        <v>16/01/2025Orthopaedics</v>
      </c>
    </row>
    <row r="232" spans="1:4">
      <c r="A232" s="1">
        <v>45673</v>
      </c>
      <c r="B232" t="s">
        <v>46</v>
      </c>
      <c r="C232">
        <v>12</v>
      </c>
      <c r="D232" t="str">
        <f t="shared" si="3"/>
        <v>16/01/2025Neurology</v>
      </c>
    </row>
    <row r="233" spans="1:4">
      <c r="A233" s="1">
        <v>45673</v>
      </c>
      <c r="B233" t="s">
        <v>47</v>
      </c>
      <c r="C233">
        <v>16</v>
      </c>
      <c r="D233" t="str">
        <f t="shared" si="3"/>
        <v>16/01/2025Oncology</v>
      </c>
    </row>
    <row r="234" spans="1:4">
      <c r="A234" s="1">
        <v>45673</v>
      </c>
      <c r="B234" t="s">
        <v>49</v>
      </c>
      <c r="C234">
        <v>11</v>
      </c>
      <c r="D234" t="str">
        <f t="shared" si="3"/>
        <v>16/01/2025Paediatrics</v>
      </c>
    </row>
    <row r="235" spans="1:4">
      <c r="A235" s="1">
        <v>45673</v>
      </c>
      <c r="B235" t="s">
        <v>45</v>
      </c>
      <c r="C235">
        <v>12</v>
      </c>
      <c r="D235" t="str">
        <f t="shared" si="3"/>
        <v>16/01/2025Maternity</v>
      </c>
    </row>
    <row r="236" spans="1:4">
      <c r="A236" s="1">
        <v>45673</v>
      </c>
      <c r="B236" t="s">
        <v>50</v>
      </c>
      <c r="C236">
        <v>19</v>
      </c>
      <c r="D236" t="str">
        <f t="shared" si="3"/>
        <v>16/01/2025Renal Medicine</v>
      </c>
    </row>
    <row r="237" spans="1:4">
      <c r="A237" s="1">
        <v>45673</v>
      </c>
      <c r="B237" t="s">
        <v>42</v>
      </c>
      <c r="C237">
        <v>10</v>
      </c>
      <c r="D237" t="str">
        <f t="shared" si="3"/>
        <v>16/01/2025Gastroenterology</v>
      </c>
    </row>
    <row r="238" spans="1:4">
      <c r="A238" s="1">
        <v>45673</v>
      </c>
      <c r="B238" t="s">
        <v>98</v>
      </c>
      <c r="C238">
        <v>8</v>
      </c>
      <c r="D238" t="str">
        <f t="shared" si="3"/>
        <v>16/01/2025Endocrinology</v>
      </c>
    </row>
    <row r="239" spans="1:4">
      <c r="A239" s="1">
        <v>45673</v>
      </c>
      <c r="B239" t="s">
        <v>100</v>
      </c>
      <c r="C239">
        <v>10</v>
      </c>
      <c r="D239" t="str">
        <f t="shared" si="3"/>
        <v>16/01/2025Urology</v>
      </c>
    </row>
    <row r="240" spans="1:4">
      <c r="A240" s="1">
        <v>45673</v>
      </c>
      <c r="B240" t="s">
        <v>41</v>
      </c>
      <c r="C240">
        <v>12</v>
      </c>
      <c r="D240" t="str">
        <f t="shared" si="3"/>
        <v>16/01/2025ENT</v>
      </c>
    </row>
    <row r="241" spans="1:4">
      <c r="A241" s="1">
        <v>45673</v>
      </c>
      <c r="B241" t="s">
        <v>44</v>
      </c>
      <c r="C241">
        <v>14</v>
      </c>
      <c r="D241" t="str">
        <f t="shared" si="3"/>
        <v>16/01/2025Geriatrics</v>
      </c>
    </row>
    <row r="242" spans="1:4">
      <c r="A242" s="1">
        <v>45674</v>
      </c>
      <c r="B242" t="s">
        <v>39</v>
      </c>
      <c r="C242">
        <v>22</v>
      </c>
      <c r="D242" t="str">
        <f t="shared" si="3"/>
        <v>17/01/2025A&amp;E (Emergency)</v>
      </c>
    </row>
    <row r="243" spans="1:4">
      <c r="A243" s="1">
        <v>45674</v>
      </c>
      <c r="B243" t="s">
        <v>40</v>
      </c>
      <c r="C243">
        <v>15</v>
      </c>
      <c r="D243" t="str">
        <f t="shared" si="3"/>
        <v>17/01/2025Cardiology</v>
      </c>
    </row>
    <row r="244" spans="1:4">
      <c r="A244" s="1">
        <v>45674</v>
      </c>
      <c r="B244" t="s">
        <v>51</v>
      </c>
      <c r="C244">
        <v>12</v>
      </c>
      <c r="D244" t="str">
        <f t="shared" si="3"/>
        <v>17/01/2025Respiratory</v>
      </c>
    </row>
    <row r="245" spans="1:4">
      <c r="A245" s="1">
        <v>45674</v>
      </c>
      <c r="B245" t="s">
        <v>43</v>
      </c>
      <c r="C245">
        <v>18</v>
      </c>
      <c r="D245" t="str">
        <f t="shared" si="3"/>
        <v>17/01/2025General Surgery</v>
      </c>
    </row>
    <row r="246" spans="1:4">
      <c r="A246" s="1">
        <v>45674</v>
      </c>
      <c r="B246" t="s">
        <v>48</v>
      </c>
      <c r="C246">
        <v>13</v>
      </c>
      <c r="D246" t="str">
        <f t="shared" si="3"/>
        <v>17/01/2025Orthopaedics</v>
      </c>
    </row>
    <row r="247" spans="1:4">
      <c r="A247" s="1">
        <v>45674</v>
      </c>
      <c r="B247" t="s">
        <v>46</v>
      </c>
      <c r="C247">
        <v>11</v>
      </c>
      <c r="D247" t="str">
        <f t="shared" si="3"/>
        <v>17/01/2025Neurology</v>
      </c>
    </row>
    <row r="248" spans="1:4">
      <c r="A248" s="1">
        <v>45674</v>
      </c>
      <c r="B248" t="s">
        <v>47</v>
      </c>
      <c r="C248">
        <v>15</v>
      </c>
      <c r="D248" t="str">
        <f t="shared" si="3"/>
        <v>17/01/2025Oncology</v>
      </c>
    </row>
    <row r="249" spans="1:4">
      <c r="A249" s="1">
        <v>45674</v>
      </c>
      <c r="B249" t="s">
        <v>49</v>
      </c>
      <c r="C249">
        <v>10</v>
      </c>
      <c r="D249" t="str">
        <f t="shared" si="3"/>
        <v>17/01/2025Paediatrics</v>
      </c>
    </row>
    <row r="250" spans="1:4">
      <c r="A250" s="1">
        <v>45674</v>
      </c>
      <c r="B250" t="s">
        <v>45</v>
      </c>
      <c r="C250">
        <v>11</v>
      </c>
      <c r="D250" t="str">
        <f t="shared" si="3"/>
        <v>17/01/2025Maternity</v>
      </c>
    </row>
    <row r="251" spans="1:4">
      <c r="A251" s="1">
        <v>45674</v>
      </c>
      <c r="B251" t="s">
        <v>50</v>
      </c>
      <c r="C251">
        <v>18</v>
      </c>
      <c r="D251" t="str">
        <f t="shared" si="3"/>
        <v>17/01/2025Renal Medicine</v>
      </c>
    </row>
    <row r="252" spans="1:4">
      <c r="A252" s="1">
        <v>45674</v>
      </c>
      <c r="B252" t="s">
        <v>42</v>
      </c>
      <c r="C252">
        <v>9</v>
      </c>
      <c r="D252" t="str">
        <f t="shared" si="3"/>
        <v>17/01/2025Gastroenterology</v>
      </c>
    </row>
    <row r="253" spans="1:4">
      <c r="A253" s="1">
        <v>45674</v>
      </c>
      <c r="B253" t="s">
        <v>98</v>
      </c>
      <c r="C253">
        <v>7</v>
      </c>
      <c r="D253" t="str">
        <f t="shared" si="3"/>
        <v>17/01/2025Endocrinology</v>
      </c>
    </row>
    <row r="254" spans="1:4">
      <c r="A254" s="1">
        <v>45674</v>
      </c>
      <c r="B254" t="s">
        <v>100</v>
      </c>
      <c r="C254">
        <v>9</v>
      </c>
      <c r="D254" t="str">
        <f t="shared" si="3"/>
        <v>17/01/2025Urology</v>
      </c>
    </row>
    <row r="255" spans="1:4">
      <c r="A255" s="1">
        <v>45674</v>
      </c>
      <c r="B255" t="s">
        <v>41</v>
      </c>
      <c r="C255">
        <v>11</v>
      </c>
      <c r="D255" t="str">
        <f t="shared" si="3"/>
        <v>17/01/2025ENT</v>
      </c>
    </row>
    <row r="256" spans="1:4">
      <c r="A256" s="1">
        <v>45674</v>
      </c>
      <c r="B256" t="s">
        <v>44</v>
      </c>
      <c r="C256">
        <v>13</v>
      </c>
      <c r="D256" t="str">
        <f t="shared" si="3"/>
        <v>17/01/2025Geriatrics</v>
      </c>
    </row>
    <row r="257" spans="1:4">
      <c r="A257" s="1">
        <v>45675</v>
      </c>
      <c r="B257" t="s">
        <v>39</v>
      </c>
      <c r="C257">
        <v>20</v>
      </c>
      <c r="D257" t="str">
        <f t="shared" si="3"/>
        <v>18/01/2025A&amp;E (Emergency)</v>
      </c>
    </row>
    <row r="258" spans="1:4">
      <c r="A258" s="1">
        <v>45675</v>
      </c>
      <c r="B258" t="s">
        <v>40</v>
      </c>
      <c r="C258">
        <v>12</v>
      </c>
      <c r="D258" t="str">
        <f t="shared" si="3"/>
        <v>18/01/2025Cardiology</v>
      </c>
    </row>
    <row r="259" spans="1:4">
      <c r="A259" s="1">
        <v>45675</v>
      </c>
      <c r="B259" t="s">
        <v>51</v>
      </c>
      <c r="C259">
        <v>9</v>
      </c>
      <c r="D259" t="str">
        <f t="shared" ref="D259:D322" si="4">TEXT(A259, "dd/mm/yyyy")&amp;B259</f>
        <v>18/01/2025Respiratory</v>
      </c>
    </row>
    <row r="260" spans="1:4">
      <c r="A260" s="1">
        <v>45675</v>
      </c>
      <c r="B260" t="s">
        <v>43</v>
      </c>
      <c r="C260">
        <v>15</v>
      </c>
      <c r="D260" t="str">
        <f t="shared" si="4"/>
        <v>18/01/2025General Surgery</v>
      </c>
    </row>
    <row r="261" spans="1:4">
      <c r="A261" s="1">
        <v>45675</v>
      </c>
      <c r="B261" t="s">
        <v>48</v>
      </c>
      <c r="C261">
        <v>11</v>
      </c>
      <c r="D261" t="str">
        <f t="shared" si="4"/>
        <v>18/01/2025Orthopaedics</v>
      </c>
    </row>
    <row r="262" spans="1:4">
      <c r="A262" s="1">
        <v>45675</v>
      </c>
      <c r="B262" t="s">
        <v>46</v>
      </c>
      <c r="C262">
        <v>9</v>
      </c>
      <c r="D262" t="str">
        <f t="shared" si="4"/>
        <v>18/01/2025Neurology</v>
      </c>
    </row>
    <row r="263" spans="1:4">
      <c r="A263" s="1">
        <v>45675</v>
      </c>
      <c r="B263" t="s">
        <v>47</v>
      </c>
      <c r="C263">
        <v>13</v>
      </c>
      <c r="D263" t="str">
        <f t="shared" si="4"/>
        <v>18/01/2025Oncology</v>
      </c>
    </row>
    <row r="264" spans="1:4">
      <c r="A264" s="1">
        <v>45675</v>
      </c>
      <c r="B264" t="s">
        <v>49</v>
      </c>
      <c r="C264">
        <v>9</v>
      </c>
      <c r="D264" t="str">
        <f t="shared" si="4"/>
        <v>18/01/2025Paediatrics</v>
      </c>
    </row>
    <row r="265" spans="1:4">
      <c r="A265" s="1">
        <v>45675</v>
      </c>
      <c r="B265" t="s">
        <v>45</v>
      </c>
      <c r="C265">
        <v>10</v>
      </c>
      <c r="D265" t="str">
        <f t="shared" si="4"/>
        <v>18/01/2025Maternity</v>
      </c>
    </row>
    <row r="266" spans="1:4">
      <c r="A266" s="1">
        <v>45675</v>
      </c>
      <c r="B266" t="s">
        <v>50</v>
      </c>
      <c r="C266">
        <v>17</v>
      </c>
      <c r="D266" t="str">
        <f t="shared" si="4"/>
        <v>18/01/2025Renal Medicine</v>
      </c>
    </row>
    <row r="267" spans="1:4">
      <c r="A267" s="1">
        <v>45675</v>
      </c>
      <c r="B267" t="s">
        <v>42</v>
      </c>
      <c r="C267">
        <v>7</v>
      </c>
      <c r="D267" t="str">
        <f t="shared" si="4"/>
        <v>18/01/2025Gastroenterology</v>
      </c>
    </row>
    <row r="268" spans="1:4">
      <c r="A268" s="1">
        <v>45675</v>
      </c>
      <c r="B268" t="s">
        <v>98</v>
      </c>
      <c r="C268">
        <v>6</v>
      </c>
      <c r="D268" t="str">
        <f t="shared" si="4"/>
        <v>18/01/2025Endocrinology</v>
      </c>
    </row>
    <row r="269" spans="1:4">
      <c r="A269" s="1">
        <v>45675</v>
      </c>
      <c r="B269" t="s">
        <v>100</v>
      </c>
      <c r="C269">
        <v>8</v>
      </c>
      <c r="D269" t="str">
        <f t="shared" si="4"/>
        <v>18/01/2025Urology</v>
      </c>
    </row>
    <row r="270" spans="1:4">
      <c r="A270" s="1">
        <v>45675</v>
      </c>
      <c r="B270" t="s">
        <v>41</v>
      </c>
      <c r="C270">
        <v>10</v>
      </c>
      <c r="D270" t="str">
        <f t="shared" si="4"/>
        <v>18/01/2025ENT</v>
      </c>
    </row>
    <row r="271" spans="1:4">
      <c r="A271" s="1">
        <v>45675</v>
      </c>
      <c r="B271" t="s">
        <v>44</v>
      </c>
      <c r="C271">
        <v>12</v>
      </c>
      <c r="D271" t="str">
        <f t="shared" si="4"/>
        <v>18/01/2025Geriatrics</v>
      </c>
    </row>
    <row r="272" spans="1:4">
      <c r="A272" s="1">
        <v>45676</v>
      </c>
      <c r="B272" t="s">
        <v>39</v>
      </c>
      <c r="C272">
        <v>19</v>
      </c>
      <c r="D272" t="str">
        <f t="shared" si="4"/>
        <v>19/01/2025A&amp;E (Emergency)</v>
      </c>
    </row>
    <row r="273" spans="1:4">
      <c r="A273" s="1">
        <v>45676</v>
      </c>
      <c r="B273" t="s">
        <v>40</v>
      </c>
      <c r="C273">
        <v>11</v>
      </c>
      <c r="D273" t="str">
        <f t="shared" si="4"/>
        <v>19/01/2025Cardiology</v>
      </c>
    </row>
    <row r="274" spans="1:4">
      <c r="A274" s="1">
        <v>45676</v>
      </c>
      <c r="B274" t="s">
        <v>51</v>
      </c>
      <c r="C274">
        <v>9</v>
      </c>
      <c r="D274" t="str">
        <f t="shared" si="4"/>
        <v>19/01/2025Respiratory</v>
      </c>
    </row>
    <row r="275" spans="1:4">
      <c r="A275" s="1">
        <v>45676</v>
      </c>
      <c r="B275" t="s">
        <v>43</v>
      </c>
      <c r="C275">
        <v>14</v>
      </c>
      <c r="D275" t="str">
        <f t="shared" si="4"/>
        <v>19/01/2025General Surgery</v>
      </c>
    </row>
    <row r="276" spans="1:4">
      <c r="A276" s="1">
        <v>45676</v>
      </c>
      <c r="B276" t="s">
        <v>48</v>
      </c>
      <c r="C276">
        <v>10</v>
      </c>
      <c r="D276" t="str">
        <f t="shared" si="4"/>
        <v>19/01/2025Orthopaedics</v>
      </c>
    </row>
    <row r="277" spans="1:4">
      <c r="A277" s="1">
        <v>45676</v>
      </c>
      <c r="B277" t="s">
        <v>46</v>
      </c>
      <c r="C277">
        <v>9</v>
      </c>
      <c r="D277" t="str">
        <f t="shared" si="4"/>
        <v>19/01/2025Neurology</v>
      </c>
    </row>
    <row r="278" spans="1:4">
      <c r="A278" s="1">
        <v>45676</v>
      </c>
      <c r="B278" t="s">
        <v>47</v>
      </c>
      <c r="C278">
        <v>12</v>
      </c>
      <c r="D278" t="str">
        <f t="shared" si="4"/>
        <v>19/01/2025Oncology</v>
      </c>
    </row>
    <row r="279" spans="1:4">
      <c r="A279" s="1">
        <v>45676</v>
      </c>
      <c r="B279" t="s">
        <v>49</v>
      </c>
      <c r="C279">
        <v>8</v>
      </c>
      <c r="D279" t="str">
        <f t="shared" si="4"/>
        <v>19/01/2025Paediatrics</v>
      </c>
    </row>
    <row r="280" spans="1:4">
      <c r="A280" s="1">
        <v>45676</v>
      </c>
      <c r="B280" t="s">
        <v>45</v>
      </c>
      <c r="C280">
        <v>9</v>
      </c>
      <c r="D280" t="str">
        <f t="shared" si="4"/>
        <v>19/01/2025Maternity</v>
      </c>
    </row>
    <row r="281" spans="1:4">
      <c r="A281" s="1">
        <v>45676</v>
      </c>
      <c r="B281" t="s">
        <v>50</v>
      </c>
      <c r="C281">
        <v>17</v>
      </c>
      <c r="D281" t="str">
        <f t="shared" si="4"/>
        <v>19/01/2025Renal Medicine</v>
      </c>
    </row>
    <row r="282" spans="1:4">
      <c r="A282" s="1">
        <v>45676</v>
      </c>
      <c r="B282" t="s">
        <v>42</v>
      </c>
      <c r="C282">
        <v>7</v>
      </c>
      <c r="D282" t="str">
        <f t="shared" si="4"/>
        <v>19/01/2025Gastroenterology</v>
      </c>
    </row>
    <row r="283" spans="1:4">
      <c r="A283" s="1">
        <v>45676</v>
      </c>
      <c r="B283" t="s">
        <v>98</v>
      </c>
      <c r="C283">
        <v>6</v>
      </c>
      <c r="D283" t="str">
        <f t="shared" si="4"/>
        <v>19/01/2025Endocrinology</v>
      </c>
    </row>
    <row r="284" spans="1:4">
      <c r="A284" s="1">
        <v>45676</v>
      </c>
      <c r="B284" t="s">
        <v>100</v>
      </c>
      <c r="C284">
        <v>8</v>
      </c>
      <c r="D284" t="str">
        <f t="shared" si="4"/>
        <v>19/01/2025Urology</v>
      </c>
    </row>
    <row r="285" spans="1:4">
      <c r="A285" s="1">
        <v>45676</v>
      </c>
      <c r="B285" t="s">
        <v>41</v>
      </c>
      <c r="C285">
        <v>10</v>
      </c>
      <c r="D285" t="str">
        <f t="shared" si="4"/>
        <v>19/01/2025ENT</v>
      </c>
    </row>
    <row r="286" spans="1:4">
      <c r="A286" s="1">
        <v>45676</v>
      </c>
      <c r="B286" t="s">
        <v>44</v>
      </c>
      <c r="C286">
        <v>12</v>
      </c>
      <c r="D286" t="str">
        <f t="shared" si="4"/>
        <v>19/01/2025Geriatrics</v>
      </c>
    </row>
    <row r="287" spans="1:4">
      <c r="A287" s="1">
        <v>45677</v>
      </c>
      <c r="B287" t="s">
        <v>39</v>
      </c>
      <c r="C287">
        <v>28</v>
      </c>
      <c r="D287" t="str">
        <f t="shared" si="4"/>
        <v>20/01/2025A&amp;E (Emergency)</v>
      </c>
    </row>
    <row r="288" spans="1:4">
      <c r="A288" s="1">
        <v>45677</v>
      </c>
      <c r="B288" t="s">
        <v>40</v>
      </c>
      <c r="C288">
        <v>18</v>
      </c>
      <c r="D288" t="str">
        <f t="shared" si="4"/>
        <v>20/01/2025Cardiology</v>
      </c>
    </row>
    <row r="289" spans="1:4">
      <c r="A289" s="1">
        <v>45677</v>
      </c>
      <c r="B289" t="s">
        <v>51</v>
      </c>
      <c r="C289">
        <v>15</v>
      </c>
      <c r="D289" t="str">
        <f t="shared" si="4"/>
        <v>20/01/2025Respiratory</v>
      </c>
    </row>
    <row r="290" spans="1:4">
      <c r="A290" s="1">
        <v>45677</v>
      </c>
      <c r="B290" t="s">
        <v>43</v>
      </c>
      <c r="C290">
        <v>22</v>
      </c>
      <c r="D290" t="str">
        <f t="shared" si="4"/>
        <v>20/01/2025General Surgery</v>
      </c>
    </row>
    <row r="291" spans="1:4">
      <c r="A291" s="1">
        <v>45677</v>
      </c>
      <c r="B291" t="s">
        <v>48</v>
      </c>
      <c r="C291">
        <v>16</v>
      </c>
      <c r="D291" t="str">
        <f t="shared" si="4"/>
        <v>20/01/2025Orthopaedics</v>
      </c>
    </row>
    <row r="292" spans="1:4">
      <c r="A292" s="1">
        <v>45677</v>
      </c>
      <c r="B292" t="s">
        <v>46</v>
      </c>
      <c r="C292">
        <v>14</v>
      </c>
      <c r="D292" t="str">
        <f t="shared" si="4"/>
        <v>20/01/2025Neurology</v>
      </c>
    </row>
    <row r="293" spans="1:4">
      <c r="A293" s="1">
        <v>45677</v>
      </c>
      <c r="B293" t="s">
        <v>47</v>
      </c>
      <c r="C293">
        <v>18</v>
      </c>
      <c r="D293" t="str">
        <f t="shared" si="4"/>
        <v>20/01/2025Oncology</v>
      </c>
    </row>
    <row r="294" spans="1:4">
      <c r="A294" s="1">
        <v>45677</v>
      </c>
      <c r="B294" t="s">
        <v>49</v>
      </c>
      <c r="C294">
        <v>13</v>
      </c>
      <c r="D294" t="str">
        <f t="shared" si="4"/>
        <v>20/01/2025Paediatrics</v>
      </c>
    </row>
    <row r="295" spans="1:4">
      <c r="A295" s="1">
        <v>45677</v>
      </c>
      <c r="B295" t="s">
        <v>45</v>
      </c>
      <c r="C295">
        <v>13</v>
      </c>
      <c r="D295" t="str">
        <f t="shared" si="4"/>
        <v>20/01/2025Maternity</v>
      </c>
    </row>
    <row r="296" spans="1:4">
      <c r="A296" s="1">
        <v>45677</v>
      </c>
      <c r="B296" t="s">
        <v>50</v>
      </c>
      <c r="C296">
        <v>21</v>
      </c>
      <c r="D296" t="str">
        <f t="shared" si="4"/>
        <v>20/01/2025Renal Medicine</v>
      </c>
    </row>
    <row r="297" spans="1:4">
      <c r="A297" s="1">
        <v>45677</v>
      </c>
      <c r="B297" t="s">
        <v>42</v>
      </c>
      <c r="C297">
        <v>12</v>
      </c>
      <c r="D297" t="str">
        <f t="shared" si="4"/>
        <v>20/01/2025Gastroenterology</v>
      </c>
    </row>
    <row r="298" spans="1:4">
      <c r="A298" s="1">
        <v>45677</v>
      </c>
      <c r="B298" t="s">
        <v>98</v>
      </c>
      <c r="C298">
        <v>10</v>
      </c>
      <c r="D298" t="str">
        <f t="shared" si="4"/>
        <v>20/01/2025Endocrinology</v>
      </c>
    </row>
    <row r="299" spans="1:4">
      <c r="A299" s="1">
        <v>45677</v>
      </c>
      <c r="B299" t="s">
        <v>100</v>
      </c>
      <c r="C299">
        <v>11</v>
      </c>
      <c r="D299" t="str">
        <f t="shared" si="4"/>
        <v>20/01/2025Urology</v>
      </c>
    </row>
    <row r="300" spans="1:4">
      <c r="A300" s="1">
        <v>45677</v>
      </c>
      <c r="B300" t="s">
        <v>41</v>
      </c>
      <c r="C300">
        <v>13</v>
      </c>
      <c r="D300" t="str">
        <f t="shared" si="4"/>
        <v>20/01/2025ENT</v>
      </c>
    </row>
    <row r="301" spans="1:4">
      <c r="A301" s="1">
        <v>45677</v>
      </c>
      <c r="B301" t="s">
        <v>44</v>
      </c>
      <c r="C301">
        <v>16</v>
      </c>
      <c r="D301" t="str">
        <f t="shared" si="4"/>
        <v>20/01/2025Geriatrics</v>
      </c>
    </row>
    <row r="302" spans="1:4">
      <c r="A302" s="1">
        <v>45678</v>
      </c>
      <c r="B302" t="s">
        <v>39</v>
      </c>
      <c r="C302">
        <v>25</v>
      </c>
      <c r="D302" t="str">
        <f t="shared" si="4"/>
        <v>21/01/2025A&amp;E (Emergency)</v>
      </c>
    </row>
    <row r="303" spans="1:4">
      <c r="A303" s="1">
        <v>45678</v>
      </c>
      <c r="B303" t="s">
        <v>40</v>
      </c>
      <c r="C303">
        <v>17</v>
      </c>
      <c r="D303" t="str">
        <f t="shared" si="4"/>
        <v>21/01/2025Cardiology</v>
      </c>
    </row>
    <row r="304" spans="1:4">
      <c r="A304" s="1">
        <v>45678</v>
      </c>
      <c r="B304" t="s">
        <v>51</v>
      </c>
      <c r="C304">
        <v>14</v>
      </c>
      <c r="D304" t="str">
        <f t="shared" si="4"/>
        <v>21/01/2025Respiratory</v>
      </c>
    </row>
    <row r="305" spans="1:4">
      <c r="A305" s="1">
        <v>45678</v>
      </c>
      <c r="B305" t="s">
        <v>43</v>
      </c>
      <c r="C305">
        <v>20</v>
      </c>
      <c r="D305" t="str">
        <f t="shared" si="4"/>
        <v>21/01/2025General Surgery</v>
      </c>
    </row>
    <row r="306" spans="1:4">
      <c r="A306" s="1">
        <v>45678</v>
      </c>
      <c r="B306" t="s">
        <v>48</v>
      </c>
      <c r="C306">
        <v>15</v>
      </c>
      <c r="D306" t="str">
        <f t="shared" si="4"/>
        <v>21/01/2025Orthopaedics</v>
      </c>
    </row>
    <row r="307" spans="1:4">
      <c r="A307" s="1">
        <v>45678</v>
      </c>
      <c r="B307" t="s">
        <v>46</v>
      </c>
      <c r="C307">
        <v>13</v>
      </c>
      <c r="D307" t="str">
        <f t="shared" si="4"/>
        <v>21/01/2025Neurology</v>
      </c>
    </row>
    <row r="308" spans="1:4">
      <c r="A308" s="1">
        <v>45678</v>
      </c>
      <c r="B308" t="s">
        <v>47</v>
      </c>
      <c r="C308">
        <v>17</v>
      </c>
      <c r="D308" t="str">
        <f t="shared" si="4"/>
        <v>21/01/2025Oncology</v>
      </c>
    </row>
    <row r="309" spans="1:4">
      <c r="A309" s="1">
        <v>45678</v>
      </c>
      <c r="B309" t="s">
        <v>49</v>
      </c>
      <c r="C309">
        <v>12</v>
      </c>
      <c r="D309" t="str">
        <f t="shared" si="4"/>
        <v>21/01/2025Paediatrics</v>
      </c>
    </row>
    <row r="310" spans="1:4">
      <c r="A310" s="1">
        <v>45678</v>
      </c>
      <c r="B310" t="s">
        <v>45</v>
      </c>
      <c r="C310">
        <v>12</v>
      </c>
      <c r="D310" t="str">
        <f t="shared" si="4"/>
        <v>21/01/2025Maternity</v>
      </c>
    </row>
    <row r="311" spans="1:4">
      <c r="A311" s="1">
        <v>45678</v>
      </c>
      <c r="B311" t="s">
        <v>50</v>
      </c>
      <c r="C311">
        <v>20</v>
      </c>
      <c r="D311" t="str">
        <f t="shared" si="4"/>
        <v>21/01/2025Renal Medicine</v>
      </c>
    </row>
    <row r="312" spans="1:4">
      <c r="A312" s="1">
        <v>45678</v>
      </c>
      <c r="B312" t="s">
        <v>42</v>
      </c>
      <c r="C312">
        <v>11</v>
      </c>
      <c r="D312" t="str">
        <f t="shared" si="4"/>
        <v>21/01/2025Gastroenterology</v>
      </c>
    </row>
    <row r="313" spans="1:4">
      <c r="A313" s="1">
        <v>45678</v>
      </c>
      <c r="B313" t="s">
        <v>98</v>
      </c>
      <c r="C313">
        <v>9</v>
      </c>
      <c r="D313" t="str">
        <f t="shared" si="4"/>
        <v>21/01/2025Endocrinology</v>
      </c>
    </row>
    <row r="314" spans="1:4">
      <c r="A314" s="1">
        <v>45678</v>
      </c>
      <c r="B314" t="s">
        <v>100</v>
      </c>
      <c r="C314">
        <v>10</v>
      </c>
      <c r="D314" t="str">
        <f t="shared" si="4"/>
        <v>21/01/2025Urology</v>
      </c>
    </row>
    <row r="315" spans="1:4">
      <c r="A315" s="1">
        <v>45678</v>
      </c>
      <c r="B315" t="s">
        <v>41</v>
      </c>
      <c r="C315">
        <v>12</v>
      </c>
      <c r="D315" t="str">
        <f t="shared" si="4"/>
        <v>21/01/2025ENT</v>
      </c>
    </row>
    <row r="316" spans="1:4">
      <c r="A316" s="1">
        <v>45678</v>
      </c>
      <c r="B316" t="s">
        <v>44</v>
      </c>
      <c r="C316">
        <v>15</v>
      </c>
      <c r="D316" t="str">
        <f t="shared" si="4"/>
        <v>21/01/2025Geriatrics</v>
      </c>
    </row>
    <row r="317" spans="1:4">
      <c r="A317" s="1">
        <v>45679</v>
      </c>
      <c r="B317" t="s">
        <v>39</v>
      </c>
      <c r="C317">
        <v>24</v>
      </c>
      <c r="D317" t="str">
        <f t="shared" si="4"/>
        <v>22/01/2025A&amp;E (Emergency)</v>
      </c>
    </row>
    <row r="318" spans="1:4">
      <c r="A318" s="1">
        <v>45679</v>
      </c>
      <c r="B318" t="s">
        <v>40</v>
      </c>
      <c r="C318">
        <v>16</v>
      </c>
      <c r="D318" t="str">
        <f t="shared" si="4"/>
        <v>22/01/2025Cardiology</v>
      </c>
    </row>
    <row r="319" spans="1:4">
      <c r="A319" s="1">
        <v>45679</v>
      </c>
      <c r="B319" t="s">
        <v>51</v>
      </c>
      <c r="C319">
        <v>13</v>
      </c>
      <c r="D319" t="str">
        <f t="shared" si="4"/>
        <v>22/01/2025Respiratory</v>
      </c>
    </row>
    <row r="320" spans="1:4">
      <c r="A320" s="1">
        <v>45679</v>
      </c>
      <c r="B320" t="s">
        <v>43</v>
      </c>
      <c r="C320">
        <v>19</v>
      </c>
      <c r="D320" t="str">
        <f t="shared" si="4"/>
        <v>22/01/2025General Surgery</v>
      </c>
    </row>
    <row r="321" spans="1:4">
      <c r="A321" s="1">
        <v>45679</v>
      </c>
      <c r="B321" t="s">
        <v>48</v>
      </c>
      <c r="C321">
        <v>14</v>
      </c>
      <c r="D321" t="str">
        <f t="shared" si="4"/>
        <v>22/01/2025Orthopaedics</v>
      </c>
    </row>
    <row r="322" spans="1:4">
      <c r="A322" s="1">
        <v>45679</v>
      </c>
      <c r="B322" t="s">
        <v>46</v>
      </c>
      <c r="C322">
        <v>12</v>
      </c>
      <c r="D322" t="str">
        <f t="shared" si="4"/>
        <v>22/01/2025Neurology</v>
      </c>
    </row>
    <row r="323" spans="1:4">
      <c r="A323" s="1">
        <v>45679</v>
      </c>
      <c r="B323" t="s">
        <v>47</v>
      </c>
      <c r="C323">
        <v>16</v>
      </c>
      <c r="D323" t="str">
        <f t="shared" ref="D323:D386" si="5">TEXT(A323, "dd/mm/yyyy")&amp;B323</f>
        <v>22/01/2025Oncology</v>
      </c>
    </row>
    <row r="324" spans="1:4">
      <c r="A324" s="1">
        <v>45679</v>
      </c>
      <c r="B324" t="s">
        <v>49</v>
      </c>
      <c r="C324">
        <v>11</v>
      </c>
      <c r="D324" t="str">
        <f t="shared" si="5"/>
        <v>22/01/2025Paediatrics</v>
      </c>
    </row>
    <row r="325" spans="1:4">
      <c r="A325" s="1">
        <v>45679</v>
      </c>
      <c r="B325" t="s">
        <v>45</v>
      </c>
      <c r="C325">
        <v>12</v>
      </c>
      <c r="D325" t="str">
        <f t="shared" si="5"/>
        <v>22/01/2025Maternity</v>
      </c>
    </row>
    <row r="326" spans="1:4">
      <c r="A326" s="1">
        <v>45679</v>
      </c>
      <c r="B326" t="s">
        <v>50</v>
      </c>
      <c r="C326">
        <v>19</v>
      </c>
      <c r="D326" t="str">
        <f t="shared" si="5"/>
        <v>22/01/2025Renal Medicine</v>
      </c>
    </row>
    <row r="327" spans="1:4">
      <c r="A327" s="1">
        <v>45679</v>
      </c>
      <c r="B327" t="s">
        <v>42</v>
      </c>
      <c r="C327">
        <v>10</v>
      </c>
      <c r="D327" t="str">
        <f t="shared" si="5"/>
        <v>22/01/2025Gastroenterology</v>
      </c>
    </row>
    <row r="328" spans="1:4">
      <c r="A328" s="1">
        <v>45679</v>
      </c>
      <c r="B328" t="s">
        <v>98</v>
      </c>
      <c r="C328">
        <v>8</v>
      </c>
      <c r="D328" t="str">
        <f t="shared" si="5"/>
        <v>22/01/2025Endocrinology</v>
      </c>
    </row>
    <row r="329" spans="1:4">
      <c r="A329" s="1">
        <v>45679</v>
      </c>
      <c r="B329" t="s">
        <v>100</v>
      </c>
      <c r="C329">
        <v>10</v>
      </c>
      <c r="D329" t="str">
        <f t="shared" si="5"/>
        <v>22/01/2025Urology</v>
      </c>
    </row>
    <row r="330" spans="1:4">
      <c r="A330" s="1">
        <v>45679</v>
      </c>
      <c r="B330" t="s">
        <v>41</v>
      </c>
      <c r="C330">
        <v>12</v>
      </c>
      <c r="D330" t="str">
        <f t="shared" si="5"/>
        <v>22/01/2025ENT</v>
      </c>
    </row>
    <row r="331" spans="1:4">
      <c r="A331" s="1">
        <v>45679</v>
      </c>
      <c r="B331" t="s">
        <v>44</v>
      </c>
      <c r="C331">
        <v>14</v>
      </c>
      <c r="D331" t="str">
        <f t="shared" si="5"/>
        <v>22/01/2025Geriatrics</v>
      </c>
    </row>
    <row r="332" spans="1:4">
      <c r="A332" s="1">
        <v>45680</v>
      </c>
      <c r="B332" t="s">
        <v>39</v>
      </c>
      <c r="C332">
        <v>23</v>
      </c>
      <c r="D332" t="str">
        <f t="shared" si="5"/>
        <v>23/01/2025A&amp;E (Emergency)</v>
      </c>
    </row>
    <row r="333" spans="1:4">
      <c r="A333" s="1">
        <v>45680</v>
      </c>
      <c r="B333" t="s">
        <v>40</v>
      </c>
      <c r="C333">
        <v>16</v>
      </c>
      <c r="D333" t="str">
        <f t="shared" si="5"/>
        <v>23/01/2025Cardiology</v>
      </c>
    </row>
    <row r="334" spans="1:4">
      <c r="A334" s="1">
        <v>45680</v>
      </c>
      <c r="B334" t="s">
        <v>51</v>
      </c>
      <c r="C334">
        <v>13</v>
      </c>
      <c r="D334" t="str">
        <f t="shared" si="5"/>
        <v>23/01/2025Respiratory</v>
      </c>
    </row>
    <row r="335" spans="1:4">
      <c r="A335" s="1">
        <v>45680</v>
      </c>
      <c r="B335" t="s">
        <v>43</v>
      </c>
      <c r="C335">
        <v>19</v>
      </c>
      <c r="D335" t="str">
        <f t="shared" si="5"/>
        <v>23/01/2025General Surgery</v>
      </c>
    </row>
    <row r="336" spans="1:4">
      <c r="A336" s="1">
        <v>45680</v>
      </c>
      <c r="B336" t="s">
        <v>48</v>
      </c>
      <c r="C336">
        <v>14</v>
      </c>
      <c r="D336" t="str">
        <f t="shared" si="5"/>
        <v>23/01/2025Orthopaedics</v>
      </c>
    </row>
    <row r="337" spans="1:4">
      <c r="A337" s="1">
        <v>45680</v>
      </c>
      <c r="B337" t="s">
        <v>46</v>
      </c>
      <c r="C337">
        <v>12</v>
      </c>
      <c r="D337" t="str">
        <f t="shared" si="5"/>
        <v>23/01/2025Neurology</v>
      </c>
    </row>
    <row r="338" spans="1:4">
      <c r="A338" s="1">
        <v>45680</v>
      </c>
      <c r="B338" t="s">
        <v>47</v>
      </c>
      <c r="C338">
        <v>16</v>
      </c>
      <c r="D338" t="str">
        <f t="shared" si="5"/>
        <v>23/01/2025Oncology</v>
      </c>
    </row>
    <row r="339" spans="1:4">
      <c r="A339" s="1">
        <v>45680</v>
      </c>
      <c r="B339" t="s">
        <v>49</v>
      </c>
      <c r="C339">
        <v>11</v>
      </c>
      <c r="D339" t="str">
        <f t="shared" si="5"/>
        <v>23/01/2025Paediatrics</v>
      </c>
    </row>
    <row r="340" spans="1:4">
      <c r="A340" s="1">
        <v>45680</v>
      </c>
      <c r="B340" t="s">
        <v>45</v>
      </c>
      <c r="C340">
        <v>12</v>
      </c>
      <c r="D340" t="str">
        <f t="shared" si="5"/>
        <v>23/01/2025Maternity</v>
      </c>
    </row>
    <row r="341" spans="1:4">
      <c r="A341" s="1">
        <v>45680</v>
      </c>
      <c r="B341" t="s">
        <v>50</v>
      </c>
      <c r="C341">
        <v>19</v>
      </c>
      <c r="D341" t="str">
        <f t="shared" si="5"/>
        <v>23/01/2025Renal Medicine</v>
      </c>
    </row>
    <row r="342" spans="1:4">
      <c r="A342" s="1">
        <v>45680</v>
      </c>
      <c r="B342" t="s">
        <v>42</v>
      </c>
      <c r="C342">
        <v>10</v>
      </c>
      <c r="D342" t="str">
        <f t="shared" si="5"/>
        <v>23/01/2025Gastroenterology</v>
      </c>
    </row>
    <row r="343" spans="1:4">
      <c r="A343" s="1">
        <v>45680</v>
      </c>
      <c r="B343" t="s">
        <v>98</v>
      </c>
      <c r="C343">
        <v>8</v>
      </c>
      <c r="D343" t="str">
        <f t="shared" si="5"/>
        <v>23/01/2025Endocrinology</v>
      </c>
    </row>
    <row r="344" spans="1:4">
      <c r="A344" s="1">
        <v>45680</v>
      </c>
      <c r="B344" t="s">
        <v>100</v>
      </c>
      <c r="C344">
        <v>10</v>
      </c>
      <c r="D344" t="str">
        <f t="shared" si="5"/>
        <v>23/01/2025Urology</v>
      </c>
    </row>
    <row r="345" spans="1:4">
      <c r="A345" s="1">
        <v>45680</v>
      </c>
      <c r="B345" t="s">
        <v>41</v>
      </c>
      <c r="C345">
        <v>12</v>
      </c>
      <c r="D345" t="str">
        <f t="shared" si="5"/>
        <v>23/01/2025ENT</v>
      </c>
    </row>
    <row r="346" spans="1:4">
      <c r="A346" s="1">
        <v>45680</v>
      </c>
      <c r="B346" t="s">
        <v>44</v>
      </c>
      <c r="C346">
        <v>14</v>
      </c>
      <c r="D346" t="str">
        <f t="shared" si="5"/>
        <v>23/01/2025Geriatrics</v>
      </c>
    </row>
    <row r="347" spans="1:4">
      <c r="A347" s="1">
        <v>45681</v>
      </c>
      <c r="B347" t="s">
        <v>39</v>
      </c>
      <c r="C347">
        <v>22</v>
      </c>
      <c r="D347" t="str">
        <f t="shared" si="5"/>
        <v>24/01/2025A&amp;E (Emergency)</v>
      </c>
    </row>
    <row r="348" spans="1:4">
      <c r="A348" s="1">
        <v>45681</v>
      </c>
      <c r="B348" t="s">
        <v>40</v>
      </c>
      <c r="C348">
        <v>15</v>
      </c>
      <c r="D348" t="str">
        <f t="shared" si="5"/>
        <v>24/01/2025Cardiology</v>
      </c>
    </row>
    <row r="349" spans="1:4">
      <c r="A349" s="1">
        <v>45681</v>
      </c>
      <c r="B349" t="s">
        <v>51</v>
      </c>
      <c r="C349">
        <v>12</v>
      </c>
      <c r="D349" t="str">
        <f t="shared" si="5"/>
        <v>24/01/2025Respiratory</v>
      </c>
    </row>
    <row r="350" spans="1:4">
      <c r="A350" s="1">
        <v>45681</v>
      </c>
      <c r="B350" t="s">
        <v>43</v>
      </c>
      <c r="C350">
        <v>18</v>
      </c>
      <c r="D350" t="str">
        <f t="shared" si="5"/>
        <v>24/01/2025General Surgery</v>
      </c>
    </row>
    <row r="351" spans="1:4">
      <c r="A351" s="1">
        <v>45681</v>
      </c>
      <c r="B351" t="s">
        <v>48</v>
      </c>
      <c r="C351">
        <v>13</v>
      </c>
      <c r="D351" t="str">
        <f t="shared" si="5"/>
        <v>24/01/2025Orthopaedics</v>
      </c>
    </row>
    <row r="352" spans="1:4">
      <c r="A352" s="1">
        <v>45681</v>
      </c>
      <c r="B352" t="s">
        <v>46</v>
      </c>
      <c r="C352">
        <v>11</v>
      </c>
      <c r="D352" t="str">
        <f t="shared" si="5"/>
        <v>24/01/2025Neurology</v>
      </c>
    </row>
    <row r="353" spans="1:4">
      <c r="A353" s="1">
        <v>45681</v>
      </c>
      <c r="B353" t="s">
        <v>47</v>
      </c>
      <c r="C353">
        <v>15</v>
      </c>
      <c r="D353" t="str">
        <f t="shared" si="5"/>
        <v>24/01/2025Oncology</v>
      </c>
    </row>
    <row r="354" spans="1:4">
      <c r="A354" s="1">
        <v>45681</v>
      </c>
      <c r="B354" t="s">
        <v>49</v>
      </c>
      <c r="C354">
        <v>10</v>
      </c>
      <c r="D354" t="str">
        <f t="shared" si="5"/>
        <v>24/01/2025Paediatrics</v>
      </c>
    </row>
    <row r="355" spans="1:4">
      <c r="A355" s="1">
        <v>45681</v>
      </c>
      <c r="B355" t="s">
        <v>45</v>
      </c>
      <c r="C355">
        <v>11</v>
      </c>
      <c r="D355" t="str">
        <f t="shared" si="5"/>
        <v>24/01/2025Maternity</v>
      </c>
    </row>
    <row r="356" spans="1:4">
      <c r="A356" s="1">
        <v>45681</v>
      </c>
      <c r="B356" t="s">
        <v>50</v>
      </c>
      <c r="C356">
        <v>18</v>
      </c>
      <c r="D356" t="str">
        <f t="shared" si="5"/>
        <v>24/01/2025Renal Medicine</v>
      </c>
    </row>
    <row r="357" spans="1:4">
      <c r="A357" s="1">
        <v>45681</v>
      </c>
      <c r="B357" t="s">
        <v>42</v>
      </c>
      <c r="C357">
        <v>9</v>
      </c>
      <c r="D357" t="str">
        <f t="shared" si="5"/>
        <v>24/01/2025Gastroenterology</v>
      </c>
    </row>
    <row r="358" spans="1:4">
      <c r="A358" s="1">
        <v>45681</v>
      </c>
      <c r="B358" t="s">
        <v>98</v>
      </c>
      <c r="C358">
        <v>7</v>
      </c>
      <c r="D358" t="str">
        <f t="shared" si="5"/>
        <v>24/01/2025Endocrinology</v>
      </c>
    </row>
    <row r="359" spans="1:4">
      <c r="A359" s="1">
        <v>45681</v>
      </c>
      <c r="B359" t="s">
        <v>100</v>
      </c>
      <c r="C359">
        <v>9</v>
      </c>
      <c r="D359" t="str">
        <f t="shared" si="5"/>
        <v>24/01/2025Urology</v>
      </c>
    </row>
    <row r="360" spans="1:4">
      <c r="A360" s="1">
        <v>45681</v>
      </c>
      <c r="B360" t="s">
        <v>41</v>
      </c>
      <c r="C360">
        <v>11</v>
      </c>
      <c r="D360" t="str">
        <f t="shared" si="5"/>
        <v>24/01/2025ENT</v>
      </c>
    </row>
    <row r="361" spans="1:4">
      <c r="A361" s="1">
        <v>45681</v>
      </c>
      <c r="B361" t="s">
        <v>44</v>
      </c>
      <c r="C361">
        <v>13</v>
      </c>
      <c r="D361" t="str">
        <f t="shared" si="5"/>
        <v>24/01/2025Geriatrics</v>
      </c>
    </row>
    <row r="362" spans="1:4">
      <c r="A362" s="1">
        <v>45682</v>
      </c>
      <c r="B362" t="s">
        <v>39</v>
      </c>
      <c r="C362">
        <v>20</v>
      </c>
      <c r="D362" t="str">
        <f t="shared" si="5"/>
        <v>25/01/2025A&amp;E (Emergency)</v>
      </c>
    </row>
    <row r="363" spans="1:4">
      <c r="A363" s="1">
        <v>45682</v>
      </c>
      <c r="B363" t="s">
        <v>40</v>
      </c>
      <c r="C363">
        <v>12</v>
      </c>
      <c r="D363" t="str">
        <f t="shared" si="5"/>
        <v>25/01/2025Cardiology</v>
      </c>
    </row>
    <row r="364" spans="1:4">
      <c r="A364" s="1">
        <v>45682</v>
      </c>
      <c r="B364" t="s">
        <v>51</v>
      </c>
      <c r="C364">
        <v>9</v>
      </c>
      <c r="D364" t="str">
        <f t="shared" si="5"/>
        <v>25/01/2025Respiratory</v>
      </c>
    </row>
    <row r="365" spans="1:4">
      <c r="A365" s="1">
        <v>45682</v>
      </c>
      <c r="B365" t="s">
        <v>43</v>
      </c>
      <c r="C365">
        <v>15</v>
      </c>
      <c r="D365" t="str">
        <f t="shared" si="5"/>
        <v>25/01/2025General Surgery</v>
      </c>
    </row>
    <row r="366" spans="1:4">
      <c r="A366" s="1">
        <v>45682</v>
      </c>
      <c r="B366" t="s">
        <v>48</v>
      </c>
      <c r="C366">
        <v>11</v>
      </c>
      <c r="D366" t="str">
        <f t="shared" si="5"/>
        <v>25/01/2025Orthopaedics</v>
      </c>
    </row>
    <row r="367" spans="1:4">
      <c r="A367" s="1">
        <v>45682</v>
      </c>
      <c r="B367" t="s">
        <v>46</v>
      </c>
      <c r="C367">
        <v>9</v>
      </c>
      <c r="D367" t="str">
        <f t="shared" si="5"/>
        <v>25/01/2025Neurology</v>
      </c>
    </row>
    <row r="368" spans="1:4">
      <c r="A368" s="1">
        <v>45682</v>
      </c>
      <c r="B368" t="s">
        <v>47</v>
      </c>
      <c r="C368">
        <v>13</v>
      </c>
      <c r="D368" t="str">
        <f t="shared" si="5"/>
        <v>25/01/2025Oncology</v>
      </c>
    </row>
    <row r="369" spans="1:4">
      <c r="A369" s="1">
        <v>45682</v>
      </c>
      <c r="B369" t="s">
        <v>49</v>
      </c>
      <c r="C369">
        <v>9</v>
      </c>
      <c r="D369" t="str">
        <f t="shared" si="5"/>
        <v>25/01/2025Paediatrics</v>
      </c>
    </row>
    <row r="370" spans="1:4">
      <c r="A370" s="1">
        <v>45682</v>
      </c>
      <c r="B370" t="s">
        <v>45</v>
      </c>
      <c r="C370">
        <v>10</v>
      </c>
      <c r="D370" t="str">
        <f t="shared" si="5"/>
        <v>25/01/2025Maternity</v>
      </c>
    </row>
    <row r="371" spans="1:4">
      <c r="A371" s="1">
        <v>45682</v>
      </c>
      <c r="B371" t="s">
        <v>50</v>
      </c>
      <c r="C371">
        <v>17</v>
      </c>
      <c r="D371" t="str">
        <f t="shared" si="5"/>
        <v>25/01/2025Renal Medicine</v>
      </c>
    </row>
    <row r="372" spans="1:4">
      <c r="A372" s="1">
        <v>45682</v>
      </c>
      <c r="B372" t="s">
        <v>42</v>
      </c>
      <c r="C372">
        <v>7</v>
      </c>
      <c r="D372" t="str">
        <f t="shared" si="5"/>
        <v>25/01/2025Gastroenterology</v>
      </c>
    </row>
    <row r="373" spans="1:4">
      <c r="A373" s="1">
        <v>45682</v>
      </c>
      <c r="B373" t="s">
        <v>98</v>
      </c>
      <c r="C373">
        <v>6</v>
      </c>
      <c r="D373" t="str">
        <f t="shared" si="5"/>
        <v>25/01/2025Endocrinology</v>
      </c>
    </row>
    <row r="374" spans="1:4">
      <c r="A374" s="1">
        <v>45682</v>
      </c>
      <c r="B374" t="s">
        <v>100</v>
      </c>
      <c r="C374">
        <v>8</v>
      </c>
      <c r="D374" t="str">
        <f t="shared" si="5"/>
        <v>25/01/2025Urology</v>
      </c>
    </row>
    <row r="375" spans="1:4">
      <c r="A375" s="1">
        <v>45682</v>
      </c>
      <c r="B375" t="s">
        <v>41</v>
      </c>
      <c r="C375">
        <v>10</v>
      </c>
      <c r="D375" t="str">
        <f t="shared" si="5"/>
        <v>25/01/2025ENT</v>
      </c>
    </row>
    <row r="376" spans="1:4">
      <c r="A376" s="1">
        <v>45682</v>
      </c>
      <c r="B376" t="s">
        <v>44</v>
      </c>
      <c r="C376">
        <v>12</v>
      </c>
      <c r="D376" t="str">
        <f t="shared" si="5"/>
        <v>25/01/2025Geriatrics</v>
      </c>
    </row>
    <row r="377" spans="1:4">
      <c r="A377" s="1">
        <v>45683</v>
      </c>
      <c r="B377" t="s">
        <v>39</v>
      </c>
      <c r="C377">
        <v>19</v>
      </c>
      <c r="D377" t="str">
        <f t="shared" si="5"/>
        <v>26/01/2025A&amp;E (Emergency)</v>
      </c>
    </row>
    <row r="378" spans="1:4">
      <c r="A378" s="1">
        <v>45683</v>
      </c>
      <c r="B378" t="s">
        <v>40</v>
      </c>
      <c r="C378">
        <v>11</v>
      </c>
      <c r="D378" t="str">
        <f t="shared" si="5"/>
        <v>26/01/2025Cardiology</v>
      </c>
    </row>
    <row r="379" spans="1:4">
      <c r="A379" s="1">
        <v>45683</v>
      </c>
      <c r="B379" t="s">
        <v>51</v>
      </c>
      <c r="C379">
        <v>9</v>
      </c>
      <c r="D379" t="str">
        <f t="shared" si="5"/>
        <v>26/01/2025Respiratory</v>
      </c>
    </row>
    <row r="380" spans="1:4">
      <c r="A380" s="1">
        <v>45683</v>
      </c>
      <c r="B380" t="s">
        <v>43</v>
      </c>
      <c r="C380">
        <v>14</v>
      </c>
      <c r="D380" t="str">
        <f t="shared" si="5"/>
        <v>26/01/2025General Surgery</v>
      </c>
    </row>
    <row r="381" spans="1:4">
      <c r="A381" s="1">
        <v>45683</v>
      </c>
      <c r="B381" t="s">
        <v>48</v>
      </c>
      <c r="C381">
        <v>10</v>
      </c>
      <c r="D381" t="str">
        <f t="shared" si="5"/>
        <v>26/01/2025Orthopaedics</v>
      </c>
    </row>
    <row r="382" spans="1:4">
      <c r="A382" s="1">
        <v>45683</v>
      </c>
      <c r="B382" t="s">
        <v>46</v>
      </c>
      <c r="C382">
        <v>9</v>
      </c>
      <c r="D382" t="str">
        <f t="shared" si="5"/>
        <v>26/01/2025Neurology</v>
      </c>
    </row>
    <row r="383" spans="1:4">
      <c r="A383" s="1">
        <v>45683</v>
      </c>
      <c r="B383" t="s">
        <v>47</v>
      </c>
      <c r="C383">
        <v>12</v>
      </c>
      <c r="D383" t="str">
        <f t="shared" si="5"/>
        <v>26/01/2025Oncology</v>
      </c>
    </row>
    <row r="384" spans="1:4">
      <c r="A384" s="1">
        <v>45683</v>
      </c>
      <c r="B384" t="s">
        <v>49</v>
      </c>
      <c r="C384">
        <v>8</v>
      </c>
      <c r="D384" t="str">
        <f t="shared" si="5"/>
        <v>26/01/2025Paediatrics</v>
      </c>
    </row>
    <row r="385" spans="1:4">
      <c r="A385" s="1">
        <v>45683</v>
      </c>
      <c r="B385" t="s">
        <v>45</v>
      </c>
      <c r="C385">
        <v>9</v>
      </c>
      <c r="D385" t="str">
        <f t="shared" si="5"/>
        <v>26/01/2025Maternity</v>
      </c>
    </row>
    <row r="386" spans="1:4">
      <c r="A386" s="1">
        <v>45683</v>
      </c>
      <c r="B386" t="s">
        <v>50</v>
      </c>
      <c r="C386">
        <v>17</v>
      </c>
      <c r="D386" t="str">
        <f t="shared" si="5"/>
        <v>26/01/2025Renal Medicine</v>
      </c>
    </row>
    <row r="387" spans="1:4">
      <c r="A387" s="1">
        <v>45683</v>
      </c>
      <c r="B387" t="s">
        <v>42</v>
      </c>
      <c r="C387">
        <v>7</v>
      </c>
      <c r="D387" t="str">
        <f t="shared" ref="D387:D450" si="6">TEXT(A387, "dd/mm/yyyy")&amp;B387</f>
        <v>26/01/2025Gastroenterology</v>
      </c>
    </row>
    <row r="388" spans="1:4">
      <c r="A388" s="1">
        <v>45683</v>
      </c>
      <c r="B388" t="s">
        <v>98</v>
      </c>
      <c r="C388">
        <v>6</v>
      </c>
      <c r="D388" t="str">
        <f t="shared" si="6"/>
        <v>26/01/2025Endocrinology</v>
      </c>
    </row>
    <row r="389" spans="1:4">
      <c r="A389" s="1">
        <v>45683</v>
      </c>
      <c r="B389" t="s">
        <v>100</v>
      </c>
      <c r="C389">
        <v>8</v>
      </c>
      <c r="D389" t="str">
        <f t="shared" si="6"/>
        <v>26/01/2025Urology</v>
      </c>
    </row>
    <row r="390" spans="1:4">
      <c r="A390" s="1">
        <v>45683</v>
      </c>
      <c r="B390" t="s">
        <v>41</v>
      </c>
      <c r="C390">
        <v>10</v>
      </c>
      <c r="D390" t="str">
        <f t="shared" si="6"/>
        <v>26/01/2025ENT</v>
      </c>
    </row>
    <row r="391" spans="1:4">
      <c r="A391" s="1">
        <v>45683</v>
      </c>
      <c r="B391" t="s">
        <v>44</v>
      </c>
      <c r="C391">
        <v>12</v>
      </c>
      <c r="D391" t="str">
        <f t="shared" si="6"/>
        <v>26/01/2025Geriatrics</v>
      </c>
    </row>
    <row r="392" spans="1:4">
      <c r="A392" s="1">
        <v>45684</v>
      </c>
      <c r="B392" t="s">
        <v>39</v>
      </c>
      <c r="C392">
        <v>27</v>
      </c>
      <c r="D392" t="str">
        <f t="shared" si="6"/>
        <v>27/01/2025A&amp;E (Emergency)</v>
      </c>
    </row>
    <row r="393" spans="1:4">
      <c r="A393" s="1">
        <v>45684</v>
      </c>
      <c r="B393" t="s">
        <v>40</v>
      </c>
      <c r="C393">
        <v>18</v>
      </c>
      <c r="D393" t="str">
        <f t="shared" si="6"/>
        <v>27/01/2025Cardiology</v>
      </c>
    </row>
    <row r="394" spans="1:4">
      <c r="A394" s="1">
        <v>45684</v>
      </c>
      <c r="B394" t="s">
        <v>51</v>
      </c>
      <c r="C394">
        <v>15</v>
      </c>
      <c r="D394" t="str">
        <f t="shared" si="6"/>
        <v>27/01/2025Respiratory</v>
      </c>
    </row>
    <row r="395" spans="1:4">
      <c r="A395" s="1">
        <v>45684</v>
      </c>
      <c r="B395" t="s">
        <v>43</v>
      </c>
      <c r="C395">
        <v>21</v>
      </c>
      <c r="D395" t="str">
        <f t="shared" si="6"/>
        <v>27/01/2025General Surgery</v>
      </c>
    </row>
    <row r="396" spans="1:4">
      <c r="A396" s="1">
        <v>45684</v>
      </c>
      <c r="B396" t="s">
        <v>48</v>
      </c>
      <c r="C396">
        <v>16</v>
      </c>
      <c r="D396" t="str">
        <f t="shared" si="6"/>
        <v>27/01/2025Orthopaedics</v>
      </c>
    </row>
    <row r="397" spans="1:4">
      <c r="A397" s="1">
        <v>45684</v>
      </c>
      <c r="B397" t="s">
        <v>46</v>
      </c>
      <c r="C397">
        <v>14</v>
      </c>
      <c r="D397" t="str">
        <f t="shared" si="6"/>
        <v>27/01/2025Neurology</v>
      </c>
    </row>
    <row r="398" spans="1:4">
      <c r="A398" s="1">
        <v>45684</v>
      </c>
      <c r="B398" t="s">
        <v>47</v>
      </c>
      <c r="C398">
        <v>18</v>
      </c>
      <c r="D398" t="str">
        <f t="shared" si="6"/>
        <v>27/01/2025Oncology</v>
      </c>
    </row>
    <row r="399" spans="1:4">
      <c r="A399" s="1">
        <v>45684</v>
      </c>
      <c r="B399" t="s">
        <v>49</v>
      </c>
      <c r="C399">
        <v>13</v>
      </c>
      <c r="D399" t="str">
        <f t="shared" si="6"/>
        <v>27/01/2025Paediatrics</v>
      </c>
    </row>
    <row r="400" spans="1:4">
      <c r="A400" s="1">
        <v>45684</v>
      </c>
      <c r="B400" t="s">
        <v>45</v>
      </c>
      <c r="C400">
        <v>13</v>
      </c>
      <c r="D400" t="str">
        <f t="shared" si="6"/>
        <v>27/01/2025Maternity</v>
      </c>
    </row>
    <row r="401" spans="1:4">
      <c r="A401" s="1">
        <v>45684</v>
      </c>
      <c r="B401" t="s">
        <v>50</v>
      </c>
      <c r="C401">
        <v>21</v>
      </c>
      <c r="D401" t="str">
        <f t="shared" si="6"/>
        <v>27/01/2025Renal Medicine</v>
      </c>
    </row>
    <row r="402" spans="1:4">
      <c r="A402" s="1">
        <v>45684</v>
      </c>
      <c r="B402" t="s">
        <v>42</v>
      </c>
      <c r="C402">
        <v>12</v>
      </c>
      <c r="D402" t="str">
        <f t="shared" si="6"/>
        <v>27/01/2025Gastroenterology</v>
      </c>
    </row>
    <row r="403" spans="1:4">
      <c r="A403" s="1">
        <v>45684</v>
      </c>
      <c r="B403" t="s">
        <v>98</v>
      </c>
      <c r="C403">
        <v>10</v>
      </c>
      <c r="D403" t="str">
        <f t="shared" si="6"/>
        <v>27/01/2025Endocrinology</v>
      </c>
    </row>
    <row r="404" spans="1:4">
      <c r="A404" s="1">
        <v>45684</v>
      </c>
      <c r="B404" t="s">
        <v>100</v>
      </c>
      <c r="C404">
        <v>11</v>
      </c>
      <c r="D404" t="str">
        <f t="shared" si="6"/>
        <v>27/01/2025Urology</v>
      </c>
    </row>
    <row r="405" spans="1:4">
      <c r="A405" s="1">
        <v>45684</v>
      </c>
      <c r="B405" t="s">
        <v>41</v>
      </c>
      <c r="C405">
        <v>13</v>
      </c>
      <c r="D405" t="str">
        <f t="shared" si="6"/>
        <v>27/01/2025ENT</v>
      </c>
    </row>
    <row r="406" spans="1:4">
      <c r="A406" s="1">
        <v>45684</v>
      </c>
      <c r="B406" t="s">
        <v>44</v>
      </c>
      <c r="C406">
        <v>16</v>
      </c>
      <c r="D406" t="str">
        <f t="shared" si="6"/>
        <v>27/01/2025Geriatrics</v>
      </c>
    </row>
    <row r="407" spans="1:4">
      <c r="A407" s="1">
        <v>45685</v>
      </c>
      <c r="B407" t="s">
        <v>39</v>
      </c>
      <c r="C407">
        <v>25</v>
      </c>
      <c r="D407" t="str">
        <f t="shared" si="6"/>
        <v>28/01/2025A&amp;E (Emergency)</v>
      </c>
    </row>
    <row r="408" spans="1:4">
      <c r="A408" s="1">
        <v>45685</v>
      </c>
      <c r="B408" t="s">
        <v>40</v>
      </c>
      <c r="C408">
        <v>17</v>
      </c>
      <c r="D408" t="str">
        <f t="shared" si="6"/>
        <v>28/01/2025Cardiology</v>
      </c>
    </row>
    <row r="409" spans="1:4">
      <c r="A409" s="1">
        <v>45685</v>
      </c>
      <c r="B409" t="s">
        <v>51</v>
      </c>
      <c r="C409">
        <v>14</v>
      </c>
      <c r="D409" t="str">
        <f t="shared" si="6"/>
        <v>28/01/2025Respiratory</v>
      </c>
    </row>
    <row r="410" spans="1:4">
      <c r="A410" s="1">
        <v>45685</v>
      </c>
      <c r="B410" t="s">
        <v>43</v>
      </c>
      <c r="C410">
        <v>20</v>
      </c>
      <c r="D410" t="str">
        <f t="shared" si="6"/>
        <v>28/01/2025General Surgery</v>
      </c>
    </row>
    <row r="411" spans="1:4">
      <c r="A411" s="1">
        <v>45685</v>
      </c>
      <c r="B411" t="s">
        <v>48</v>
      </c>
      <c r="C411">
        <v>15</v>
      </c>
      <c r="D411" t="str">
        <f t="shared" si="6"/>
        <v>28/01/2025Orthopaedics</v>
      </c>
    </row>
    <row r="412" spans="1:4">
      <c r="A412" s="1">
        <v>45685</v>
      </c>
      <c r="B412" t="s">
        <v>46</v>
      </c>
      <c r="C412">
        <v>13</v>
      </c>
      <c r="D412" t="str">
        <f t="shared" si="6"/>
        <v>28/01/2025Neurology</v>
      </c>
    </row>
    <row r="413" spans="1:4">
      <c r="A413" s="1">
        <v>45685</v>
      </c>
      <c r="B413" t="s">
        <v>47</v>
      </c>
      <c r="C413">
        <v>17</v>
      </c>
      <c r="D413" t="str">
        <f t="shared" si="6"/>
        <v>28/01/2025Oncology</v>
      </c>
    </row>
    <row r="414" spans="1:4">
      <c r="A414" s="1">
        <v>45685</v>
      </c>
      <c r="B414" t="s">
        <v>49</v>
      </c>
      <c r="C414">
        <v>12</v>
      </c>
      <c r="D414" t="str">
        <f t="shared" si="6"/>
        <v>28/01/2025Paediatrics</v>
      </c>
    </row>
    <row r="415" spans="1:4">
      <c r="A415" s="1">
        <v>45685</v>
      </c>
      <c r="B415" t="s">
        <v>45</v>
      </c>
      <c r="C415">
        <v>12</v>
      </c>
      <c r="D415" t="str">
        <f t="shared" si="6"/>
        <v>28/01/2025Maternity</v>
      </c>
    </row>
    <row r="416" spans="1:4">
      <c r="A416" s="1">
        <v>45685</v>
      </c>
      <c r="B416" t="s">
        <v>50</v>
      </c>
      <c r="C416">
        <v>20</v>
      </c>
      <c r="D416" t="str">
        <f t="shared" si="6"/>
        <v>28/01/2025Renal Medicine</v>
      </c>
    </row>
    <row r="417" spans="1:4">
      <c r="A417" s="1">
        <v>45685</v>
      </c>
      <c r="B417" t="s">
        <v>42</v>
      </c>
      <c r="C417">
        <v>11</v>
      </c>
      <c r="D417" t="str">
        <f t="shared" si="6"/>
        <v>28/01/2025Gastroenterology</v>
      </c>
    </row>
    <row r="418" spans="1:4">
      <c r="A418" s="1">
        <v>45685</v>
      </c>
      <c r="B418" t="s">
        <v>98</v>
      </c>
      <c r="C418">
        <v>9</v>
      </c>
      <c r="D418" t="str">
        <f t="shared" si="6"/>
        <v>28/01/2025Endocrinology</v>
      </c>
    </row>
    <row r="419" spans="1:4">
      <c r="A419" s="1">
        <v>45685</v>
      </c>
      <c r="B419" t="s">
        <v>100</v>
      </c>
      <c r="C419">
        <v>10</v>
      </c>
      <c r="D419" t="str">
        <f t="shared" si="6"/>
        <v>28/01/2025Urology</v>
      </c>
    </row>
    <row r="420" spans="1:4">
      <c r="A420" s="1">
        <v>45685</v>
      </c>
      <c r="B420" t="s">
        <v>41</v>
      </c>
      <c r="C420">
        <v>12</v>
      </c>
      <c r="D420" t="str">
        <f t="shared" si="6"/>
        <v>28/01/2025ENT</v>
      </c>
    </row>
    <row r="421" spans="1:4">
      <c r="A421" s="1">
        <v>45685</v>
      </c>
      <c r="B421" t="s">
        <v>44</v>
      </c>
      <c r="C421">
        <v>15</v>
      </c>
      <c r="D421" t="str">
        <f t="shared" si="6"/>
        <v>28/01/2025Geriatrics</v>
      </c>
    </row>
    <row r="422" spans="1:4">
      <c r="A422" s="1">
        <v>45686</v>
      </c>
      <c r="B422" t="s">
        <v>39</v>
      </c>
      <c r="C422">
        <v>24</v>
      </c>
      <c r="D422" t="str">
        <f t="shared" si="6"/>
        <v>29/01/2025A&amp;E (Emergency)</v>
      </c>
    </row>
    <row r="423" spans="1:4">
      <c r="A423" s="1">
        <v>45686</v>
      </c>
      <c r="B423" t="s">
        <v>40</v>
      </c>
      <c r="C423">
        <v>16</v>
      </c>
      <c r="D423" t="str">
        <f t="shared" si="6"/>
        <v>29/01/2025Cardiology</v>
      </c>
    </row>
    <row r="424" spans="1:4">
      <c r="A424" s="1">
        <v>45686</v>
      </c>
      <c r="B424" t="s">
        <v>51</v>
      </c>
      <c r="C424">
        <v>13</v>
      </c>
      <c r="D424" t="str">
        <f t="shared" si="6"/>
        <v>29/01/2025Respiratory</v>
      </c>
    </row>
    <row r="425" spans="1:4">
      <c r="A425" s="1">
        <v>45686</v>
      </c>
      <c r="B425" t="s">
        <v>43</v>
      </c>
      <c r="C425">
        <v>19</v>
      </c>
      <c r="D425" t="str">
        <f t="shared" si="6"/>
        <v>29/01/2025General Surgery</v>
      </c>
    </row>
    <row r="426" spans="1:4">
      <c r="A426" s="1">
        <v>45686</v>
      </c>
      <c r="B426" t="s">
        <v>48</v>
      </c>
      <c r="C426">
        <v>14</v>
      </c>
      <c r="D426" t="str">
        <f t="shared" si="6"/>
        <v>29/01/2025Orthopaedics</v>
      </c>
    </row>
    <row r="427" spans="1:4">
      <c r="A427" s="1">
        <v>45686</v>
      </c>
      <c r="B427" t="s">
        <v>46</v>
      </c>
      <c r="C427">
        <v>12</v>
      </c>
      <c r="D427" t="str">
        <f t="shared" si="6"/>
        <v>29/01/2025Neurology</v>
      </c>
    </row>
    <row r="428" spans="1:4">
      <c r="A428" s="1">
        <v>45686</v>
      </c>
      <c r="B428" t="s">
        <v>47</v>
      </c>
      <c r="C428">
        <v>16</v>
      </c>
      <c r="D428" t="str">
        <f t="shared" si="6"/>
        <v>29/01/2025Oncology</v>
      </c>
    </row>
    <row r="429" spans="1:4">
      <c r="A429" s="1">
        <v>45686</v>
      </c>
      <c r="B429" t="s">
        <v>49</v>
      </c>
      <c r="C429">
        <v>11</v>
      </c>
      <c r="D429" t="str">
        <f t="shared" si="6"/>
        <v>29/01/2025Paediatrics</v>
      </c>
    </row>
    <row r="430" spans="1:4">
      <c r="A430" s="1">
        <v>45686</v>
      </c>
      <c r="B430" t="s">
        <v>45</v>
      </c>
      <c r="C430">
        <v>12</v>
      </c>
      <c r="D430" t="str">
        <f t="shared" si="6"/>
        <v>29/01/2025Maternity</v>
      </c>
    </row>
    <row r="431" spans="1:4">
      <c r="A431" s="1">
        <v>45686</v>
      </c>
      <c r="B431" t="s">
        <v>50</v>
      </c>
      <c r="C431">
        <v>19</v>
      </c>
      <c r="D431" t="str">
        <f t="shared" si="6"/>
        <v>29/01/2025Renal Medicine</v>
      </c>
    </row>
    <row r="432" spans="1:4">
      <c r="A432" s="1">
        <v>45686</v>
      </c>
      <c r="B432" t="s">
        <v>42</v>
      </c>
      <c r="C432">
        <v>10</v>
      </c>
      <c r="D432" t="str">
        <f t="shared" si="6"/>
        <v>29/01/2025Gastroenterology</v>
      </c>
    </row>
    <row r="433" spans="1:4">
      <c r="A433" s="1">
        <v>45686</v>
      </c>
      <c r="B433" t="s">
        <v>98</v>
      </c>
      <c r="C433">
        <v>8</v>
      </c>
      <c r="D433" t="str">
        <f t="shared" si="6"/>
        <v>29/01/2025Endocrinology</v>
      </c>
    </row>
    <row r="434" spans="1:4">
      <c r="A434" s="1">
        <v>45686</v>
      </c>
      <c r="B434" t="s">
        <v>100</v>
      </c>
      <c r="C434">
        <v>10</v>
      </c>
      <c r="D434" t="str">
        <f t="shared" si="6"/>
        <v>29/01/2025Urology</v>
      </c>
    </row>
    <row r="435" spans="1:4">
      <c r="A435" s="1">
        <v>45686</v>
      </c>
      <c r="B435" t="s">
        <v>41</v>
      </c>
      <c r="C435">
        <v>12</v>
      </c>
      <c r="D435" t="str">
        <f t="shared" si="6"/>
        <v>29/01/2025ENT</v>
      </c>
    </row>
    <row r="436" spans="1:4">
      <c r="A436" s="1">
        <v>45686</v>
      </c>
      <c r="B436" t="s">
        <v>44</v>
      </c>
      <c r="C436">
        <v>14</v>
      </c>
      <c r="D436" t="str">
        <f t="shared" si="6"/>
        <v>29/01/2025Geriatrics</v>
      </c>
    </row>
    <row r="437" spans="1:4">
      <c r="A437" s="1">
        <v>45687</v>
      </c>
      <c r="B437" t="s">
        <v>39</v>
      </c>
      <c r="C437">
        <v>23</v>
      </c>
      <c r="D437" t="str">
        <f t="shared" si="6"/>
        <v>30/01/2025A&amp;E (Emergency)</v>
      </c>
    </row>
    <row r="438" spans="1:4">
      <c r="A438" s="1">
        <v>45687</v>
      </c>
      <c r="B438" t="s">
        <v>40</v>
      </c>
      <c r="C438">
        <v>16</v>
      </c>
      <c r="D438" t="str">
        <f t="shared" si="6"/>
        <v>30/01/2025Cardiology</v>
      </c>
    </row>
    <row r="439" spans="1:4">
      <c r="A439" s="1">
        <v>45687</v>
      </c>
      <c r="B439" t="s">
        <v>51</v>
      </c>
      <c r="C439">
        <v>13</v>
      </c>
      <c r="D439" t="str">
        <f t="shared" si="6"/>
        <v>30/01/2025Respiratory</v>
      </c>
    </row>
    <row r="440" spans="1:4">
      <c r="A440" s="1">
        <v>45687</v>
      </c>
      <c r="B440" t="s">
        <v>43</v>
      </c>
      <c r="C440">
        <v>19</v>
      </c>
      <c r="D440" t="str">
        <f t="shared" si="6"/>
        <v>30/01/2025General Surgery</v>
      </c>
    </row>
    <row r="441" spans="1:4">
      <c r="A441" s="1">
        <v>45687</v>
      </c>
      <c r="B441" t="s">
        <v>48</v>
      </c>
      <c r="C441">
        <v>14</v>
      </c>
      <c r="D441" t="str">
        <f t="shared" si="6"/>
        <v>30/01/2025Orthopaedics</v>
      </c>
    </row>
    <row r="442" spans="1:4">
      <c r="A442" s="1">
        <v>45687</v>
      </c>
      <c r="B442" t="s">
        <v>46</v>
      </c>
      <c r="C442">
        <v>12</v>
      </c>
      <c r="D442" t="str">
        <f t="shared" si="6"/>
        <v>30/01/2025Neurology</v>
      </c>
    </row>
    <row r="443" spans="1:4">
      <c r="A443" s="1">
        <v>45687</v>
      </c>
      <c r="B443" t="s">
        <v>47</v>
      </c>
      <c r="C443">
        <v>16</v>
      </c>
      <c r="D443" t="str">
        <f t="shared" si="6"/>
        <v>30/01/2025Oncology</v>
      </c>
    </row>
    <row r="444" spans="1:4">
      <c r="A444" s="1">
        <v>45687</v>
      </c>
      <c r="B444" t="s">
        <v>49</v>
      </c>
      <c r="C444">
        <v>11</v>
      </c>
      <c r="D444" t="str">
        <f t="shared" si="6"/>
        <v>30/01/2025Paediatrics</v>
      </c>
    </row>
    <row r="445" spans="1:4">
      <c r="A445" s="1">
        <v>45687</v>
      </c>
      <c r="B445" t="s">
        <v>45</v>
      </c>
      <c r="C445">
        <v>12</v>
      </c>
      <c r="D445" t="str">
        <f t="shared" si="6"/>
        <v>30/01/2025Maternity</v>
      </c>
    </row>
    <row r="446" spans="1:4">
      <c r="A446" s="1">
        <v>45687</v>
      </c>
      <c r="B446" t="s">
        <v>50</v>
      </c>
      <c r="C446">
        <v>19</v>
      </c>
      <c r="D446" t="str">
        <f t="shared" si="6"/>
        <v>30/01/2025Renal Medicine</v>
      </c>
    </row>
    <row r="447" spans="1:4">
      <c r="A447" s="1">
        <v>45687</v>
      </c>
      <c r="B447" t="s">
        <v>42</v>
      </c>
      <c r="C447">
        <v>10</v>
      </c>
      <c r="D447" t="str">
        <f t="shared" si="6"/>
        <v>30/01/2025Gastroenterology</v>
      </c>
    </row>
    <row r="448" spans="1:4">
      <c r="A448" s="1">
        <v>45687</v>
      </c>
      <c r="B448" t="s">
        <v>98</v>
      </c>
      <c r="C448">
        <v>8</v>
      </c>
      <c r="D448" t="str">
        <f t="shared" si="6"/>
        <v>30/01/2025Endocrinology</v>
      </c>
    </row>
    <row r="449" spans="1:4">
      <c r="A449" s="1">
        <v>45687</v>
      </c>
      <c r="B449" t="s">
        <v>100</v>
      </c>
      <c r="C449">
        <v>10</v>
      </c>
      <c r="D449" t="str">
        <f t="shared" si="6"/>
        <v>30/01/2025Urology</v>
      </c>
    </row>
    <row r="450" spans="1:4">
      <c r="A450" s="1">
        <v>45687</v>
      </c>
      <c r="B450" t="s">
        <v>41</v>
      </c>
      <c r="C450">
        <v>12</v>
      </c>
      <c r="D450" t="str">
        <f t="shared" si="6"/>
        <v>30/01/2025ENT</v>
      </c>
    </row>
    <row r="451" spans="1:4">
      <c r="A451" s="1">
        <v>45687</v>
      </c>
      <c r="B451" t="s">
        <v>44</v>
      </c>
      <c r="C451">
        <v>14</v>
      </c>
      <c r="D451" t="str">
        <f t="shared" ref="D451:D514" si="7">TEXT(A451, "dd/mm/yyyy")&amp;B451</f>
        <v>30/01/2025Geriatrics</v>
      </c>
    </row>
    <row r="452" spans="1:4">
      <c r="A452" s="1">
        <v>45688</v>
      </c>
      <c r="B452" t="s">
        <v>39</v>
      </c>
      <c r="C452">
        <v>22</v>
      </c>
      <c r="D452" t="str">
        <f t="shared" si="7"/>
        <v>31/01/2025A&amp;E (Emergency)</v>
      </c>
    </row>
    <row r="453" spans="1:4">
      <c r="A453" s="1">
        <v>45688</v>
      </c>
      <c r="B453" t="s">
        <v>40</v>
      </c>
      <c r="C453">
        <v>15</v>
      </c>
      <c r="D453" t="str">
        <f t="shared" si="7"/>
        <v>31/01/2025Cardiology</v>
      </c>
    </row>
    <row r="454" spans="1:4">
      <c r="A454" s="1">
        <v>45688</v>
      </c>
      <c r="B454" t="s">
        <v>51</v>
      </c>
      <c r="C454">
        <v>12</v>
      </c>
      <c r="D454" t="str">
        <f t="shared" si="7"/>
        <v>31/01/2025Respiratory</v>
      </c>
    </row>
    <row r="455" spans="1:4">
      <c r="A455" s="1">
        <v>45688</v>
      </c>
      <c r="B455" t="s">
        <v>43</v>
      </c>
      <c r="C455">
        <v>18</v>
      </c>
      <c r="D455" t="str">
        <f t="shared" si="7"/>
        <v>31/01/2025General Surgery</v>
      </c>
    </row>
    <row r="456" spans="1:4">
      <c r="A456" s="1">
        <v>45688</v>
      </c>
      <c r="B456" t="s">
        <v>48</v>
      </c>
      <c r="C456">
        <v>13</v>
      </c>
      <c r="D456" t="str">
        <f t="shared" si="7"/>
        <v>31/01/2025Orthopaedics</v>
      </c>
    </row>
    <row r="457" spans="1:4">
      <c r="A457" s="1">
        <v>45688</v>
      </c>
      <c r="B457" t="s">
        <v>46</v>
      </c>
      <c r="C457">
        <v>11</v>
      </c>
      <c r="D457" t="str">
        <f t="shared" si="7"/>
        <v>31/01/2025Neurology</v>
      </c>
    </row>
    <row r="458" spans="1:4">
      <c r="A458" s="1">
        <v>45688</v>
      </c>
      <c r="B458" t="s">
        <v>47</v>
      </c>
      <c r="C458">
        <v>15</v>
      </c>
      <c r="D458" t="str">
        <f t="shared" si="7"/>
        <v>31/01/2025Oncology</v>
      </c>
    </row>
    <row r="459" spans="1:4">
      <c r="A459" s="1">
        <v>45688</v>
      </c>
      <c r="B459" t="s">
        <v>49</v>
      </c>
      <c r="C459">
        <v>10</v>
      </c>
      <c r="D459" t="str">
        <f t="shared" si="7"/>
        <v>31/01/2025Paediatrics</v>
      </c>
    </row>
    <row r="460" spans="1:4">
      <c r="A460" s="1">
        <v>45688</v>
      </c>
      <c r="B460" t="s">
        <v>45</v>
      </c>
      <c r="C460">
        <v>11</v>
      </c>
      <c r="D460" t="str">
        <f t="shared" si="7"/>
        <v>31/01/2025Maternity</v>
      </c>
    </row>
    <row r="461" spans="1:4">
      <c r="A461" s="1">
        <v>45688</v>
      </c>
      <c r="B461" t="s">
        <v>50</v>
      </c>
      <c r="C461">
        <v>18</v>
      </c>
      <c r="D461" t="str">
        <f t="shared" si="7"/>
        <v>31/01/2025Renal Medicine</v>
      </c>
    </row>
    <row r="462" spans="1:4">
      <c r="A462" s="1">
        <v>45688</v>
      </c>
      <c r="B462" t="s">
        <v>42</v>
      </c>
      <c r="C462">
        <v>9</v>
      </c>
      <c r="D462" t="str">
        <f t="shared" si="7"/>
        <v>31/01/2025Gastroenterology</v>
      </c>
    </row>
    <row r="463" spans="1:4">
      <c r="A463" s="1">
        <v>45688</v>
      </c>
      <c r="B463" t="s">
        <v>98</v>
      </c>
      <c r="C463">
        <v>7</v>
      </c>
      <c r="D463" t="str">
        <f t="shared" si="7"/>
        <v>31/01/2025Endocrinology</v>
      </c>
    </row>
    <row r="464" spans="1:4">
      <c r="A464" s="1">
        <v>45688</v>
      </c>
      <c r="B464" t="s">
        <v>100</v>
      </c>
      <c r="C464">
        <v>9</v>
      </c>
      <c r="D464" t="str">
        <f t="shared" si="7"/>
        <v>31/01/2025Urology</v>
      </c>
    </row>
    <row r="465" spans="1:4">
      <c r="A465" s="1">
        <v>45688</v>
      </c>
      <c r="B465" t="s">
        <v>41</v>
      </c>
      <c r="C465">
        <v>11</v>
      </c>
      <c r="D465" t="str">
        <f t="shared" si="7"/>
        <v>31/01/2025ENT</v>
      </c>
    </row>
    <row r="466" spans="1:4">
      <c r="A466" s="1">
        <v>45688</v>
      </c>
      <c r="B466" t="s">
        <v>44</v>
      </c>
      <c r="C466">
        <v>13</v>
      </c>
      <c r="D466" t="str">
        <f t="shared" si="7"/>
        <v>31/01/2025Geriatrics</v>
      </c>
    </row>
    <row r="467" spans="1:4">
      <c r="A467" s="1">
        <v>45689</v>
      </c>
      <c r="B467" t="s">
        <v>39</v>
      </c>
      <c r="C467">
        <v>20</v>
      </c>
      <c r="D467" t="str">
        <f t="shared" si="7"/>
        <v>01/02/2025A&amp;E (Emergency)</v>
      </c>
    </row>
    <row r="468" spans="1:4">
      <c r="A468" s="1">
        <v>45689</v>
      </c>
      <c r="B468" t="s">
        <v>40</v>
      </c>
      <c r="C468">
        <v>12</v>
      </c>
      <c r="D468" t="str">
        <f t="shared" si="7"/>
        <v>01/02/2025Cardiology</v>
      </c>
    </row>
    <row r="469" spans="1:4">
      <c r="A469" s="1">
        <v>45689</v>
      </c>
      <c r="B469" t="s">
        <v>51</v>
      </c>
      <c r="C469">
        <v>9</v>
      </c>
      <c r="D469" t="str">
        <f t="shared" si="7"/>
        <v>01/02/2025Respiratory</v>
      </c>
    </row>
    <row r="470" spans="1:4">
      <c r="A470" s="1">
        <v>45689</v>
      </c>
      <c r="B470" t="s">
        <v>43</v>
      </c>
      <c r="C470">
        <v>15</v>
      </c>
      <c r="D470" t="str">
        <f t="shared" si="7"/>
        <v>01/02/2025General Surgery</v>
      </c>
    </row>
    <row r="471" spans="1:4">
      <c r="A471" s="1">
        <v>45689</v>
      </c>
      <c r="B471" t="s">
        <v>48</v>
      </c>
      <c r="C471">
        <v>11</v>
      </c>
      <c r="D471" t="str">
        <f t="shared" si="7"/>
        <v>01/02/2025Orthopaedics</v>
      </c>
    </row>
    <row r="472" spans="1:4">
      <c r="A472" s="1">
        <v>45689</v>
      </c>
      <c r="B472" t="s">
        <v>46</v>
      </c>
      <c r="C472">
        <v>9</v>
      </c>
      <c r="D472" t="str">
        <f t="shared" si="7"/>
        <v>01/02/2025Neurology</v>
      </c>
    </row>
    <row r="473" spans="1:4">
      <c r="A473" s="1">
        <v>45689</v>
      </c>
      <c r="B473" t="s">
        <v>47</v>
      </c>
      <c r="C473">
        <v>13</v>
      </c>
      <c r="D473" t="str">
        <f t="shared" si="7"/>
        <v>01/02/2025Oncology</v>
      </c>
    </row>
    <row r="474" spans="1:4">
      <c r="A474" s="1">
        <v>45689</v>
      </c>
      <c r="B474" t="s">
        <v>49</v>
      </c>
      <c r="C474">
        <v>9</v>
      </c>
      <c r="D474" t="str">
        <f t="shared" si="7"/>
        <v>01/02/2025Paediatrics</v>
      </c>
    </row>
    <row r="475" spans="1:4">
      <c r="A475" s="1">
        <v>45689</v>
      </c>
      <c r="B475" t="s">
        <v>45</v>
      </c>
      <c r="C475">
        <v>10</v>
      </c>
      <c r="D475" t="str">
        <f t="shared" si="7"/>
        <v>01/02/2025Maternity</v>
      </c>
    </row>
    <row r="476" spans="1:4">
      <c r="A476" s="1">
        <v>45689</v>
      </c>
      <c r="B476" t="s">
        <v>50</v>
      </c>
      <c r="C476">
        <v>17</v>
      </c>
      <c r="D476" t="str">
        <f t="shared" si="7"/>
        <v>01/02/2025Renal Medicine</v>
      </c>
    </row>
    <row r="477" spans="1:4">
      <c r="A477" s="1">
        <v>45689</v>
      </c>
      <c r="B477" t="s">
        <v>42</v>
      </c>
      <c r="C477">
        <v>7</v>
      </c>
      <c r="D477" t="str">
        <f t="shared" si="7"/>
        <v>01/02/2025Gastroenterology</v>
      </c>
    </row>
    <row r="478" spans="1:4">
      <c r="A478" s="1">
        <v>45689</v>
      </c>
      <c r="B478" t="s">
        <v>98</v>
      </c>
      <c r="C478">
        <v>6</v>
      </c>
      <c r="D478" t="str">
        <f t="shared" si="7"/>
        <v>01/02/2025Endocrinology</v>
      </c>
    </row>
    <row r="479" spans="1:4">
      <c r="A479" s="1">
        <v>45689</v>
      </c>
      <c r="B479" t="s">
        <v>100</v>
      </c>
      <c r="C479">
        <v>8</v>
      </c>
      <c r="D479" t="str">
        <f t="shared" si="7"/>
        <v>01/02/2025Urology</v>
      </c>
    </row>
    <row r="480" spans="1:4">
      <c r="A480" s="1">
        <v>45689</v>
      </c>
      <c r="B480" t="s">
        <v>41</v>
      </c>
      <c r="C480">
        <v>10</v>
      </c>
      <c r="D480" t="str">
        <f t="shared" si="7"/>
        <v>01/02/2025ENT</v>
      </c>
    </row>
    <row r="481" spans="1:4">
      <c r="A481" s="1">
        <v>45689</v>
      </c>
      <c r="B481" t="s">
        <v>44</v>
      </c>
      <c r="C481">
        <v>12</v>
      </c>
      <c r="D481" t="str">
        <f t="shared" si="7"/>
        <v>01/02/2025Geriatrics</v>
      </c>
    </row>
    <row r="482" spans="1:4">
      <c r="A482" s="1">
        <v>45690</v>
      </c>
      <c r="B482" t="s">
        <v>39</v>
      </c>
      <c r="C482">
        <v>19</v>
      </c>
      <c r="D482" t="str">
        <f t="shared" si="7"/>
        <v>02/02/2025A&amp;E (Emergency)</v>
      </c>
    </row>
    <row r="483" spans="1:4">
      <c r="A483" s="1">
        <v>45690</v>
      </c>
      <c r="B483" t="s">
        <v>40</v>
      </c>
      <c r="C483">
        <v>11</v>
      </c>
      <c r="D483" t="str">
        <f t="shared" si="7"/>
        <v>02/02/2025Cardiology</v>
      </c>
    </row>
    <row r="484" spans="1:4">
      <c r="A484" s="1">
        <v>45690</v>
      </c>
      <c r="B484" t="s">
        <v>51</v>
      </c>
      <c r="C484">
        <v>9</v>
      </c>
      <c r="D484" t="str">
        <f t="shared" si="7"/>
        <v>02/02/2025Respiratory</v>
      </c>
    </row>
    <row r="485" spans="1:4">
      <c r="A485" s="1">
        <v>45690</v>
      </c>
      <c r="B485" t="s">
        <v>43</v>
      </c>
      <c r="C485">
        <v>14</v>
      </c>
      <c r="D485" t="str">
        <f t="shared" si="7"/>
        <v>02/02/2025General Surgery</v>
      </c>
    </row>
    <row r="486" spans="1:4">
      <c r="A486" s="1">
        <v>45690</v>
      </c>
      <c r="B486" t="s">
        <v>48</v>
      </c>
      <c r="C486">
        <v>10</v>
      </c>
      <c r="D486" t="str">
        <f t="shared" si="7"/>
        <v>02/02/2025Orthopaedics</v>
      </c>
    </row>
    <row r="487" spans="1:4">
      <c r="A487" s="1">
        <v>45690</v>
      </c>
      <c r="B487" t="s">
        <v>46</v>
      </c>
      <c r="C487">
        <v>9</v>
      </c>
      <c r="D487" t="str">
        <f t="shared" si="7"/>
        <v>02/02/2025Neurology</v>
      </c>
    </row>
    <row r="488" spans="1:4">
      <c r="A488" s="1">
        <v>45690</v>
      </c>
      <c r="B488" t="s">
        <v>47</v>
      </c>
      <c r="C488">
        <v>12</v>
      </c>
      <c r="D488" t="str">
        <f t="shared" si="7"/>
        <v>02/02/2025Oncology</v>
      </c>
    </row>
    <row r="489" spans="1:4">
      <c r="A489" s="1">
        <v>45690</v>
      </c>
      <c r="B489" t="s">
        <v>49</v>
      </c>
      <c r="C489">
        <v>8</v>
      </c>
      <c r="D489" t="str">
        <f t="shared" si="7"/>
        <v>02/02/2025Paediatrics</v>
      </c>
    </row>
    <row r="490" spans="1:4">
      <c r="A490" s="1">
        <v>45690</v>
      </c>
      <c r="B490" t="s">
        <v>45</v>
      </c>
      <c r="C490">
        <v>9</v>
      </c>
      <c r="D490" t="str">
        <f t="shared" si="7"/>
        <v>02/02/2025Maternity</v>
      </c>
    </row>
    <row r="491" spans="1:4">
      <c r="A491" s="1">
        <v>45690</v>
      </c>
      <c r="B491" t="s">
        <v>50</v>
      </c>
      <c r="C491">
        <v>17</v>
      </c>
      <c r="D491" t="str">
        <f t="shared" si="7"/>
        <v>02/02/2025Renal Medicine</v>
      </c>
    </row>
    <row r="492" spans="1:4">
      <c r="A492" s="1">
        <v>45690</v>
      </c>
      <c r="B492" t="s">
        <v>42</v>
      </c>
      <c r="C492">
        <v>7</v>
      </c>
      <c r="D492" t="str">
        <f t="shared" si="7"/>
        <v>02/02/2025Gastroenterology</v>
      </c>
    </row>
    <row r="493" spans="1:4">
      <c r="A493" s="1">
        <v>45690</v>
      </c>
      <c r="B493" t="s">
        <v>98</v>
      </c>
      <c r="C493">
        <v>6</v>
      </c>
      <c r="D493" t="str">
        <f t="shared" si="7"/>
        <v>02/02/2025Endocrinology</v>
      </c>
    </row>
    <row r="494" spans="1:4">
      <c r="A494" s="1">
        <v>45690</v>
      </c>
      <c r="B494" t="s">
        <v>100</v>
      </c>
      <c r="C494">
        <v>8</v>
      </c>
      <c r="D494" t="str">
        <f t="shared" si="7"/>
        <v>02/02/2025Urology</v>
      </c>
    </row>
    <row r="495" spans="1:4">
      <c r="A495" s="1">
        <v>45690</v>
      </c>
      <c r="B495" t="s">
        <v>41</v>
      </c>
      <c r="C495">
        <v>10</v>
      </c>
      <c r="D495" t="str">
        <f t="shared" si="7"/>
        <v>02/02/2025ENT</v>
      </c>
    </row>
    <row r="496" spans="1:4">
      <c r="A496" s="1">
        <v>45690</v>
      </c>
      <c r="B496" t="s">
        <v>44</v>
      </c>
      <c r="C496">
        <v>12</v>
      </c>
      <c r="D496" t="str">
        <f t="shared" si="7"/>
        <v>02/02/2025Geriatrics</v>
      </c>
    </row>
    <row r="497" spans="1:4">
      <c r="A497" s="1">
        <v>45691</v>
      </c>
      <c r="B497" t="s">
        <v>39</v>
      </c>
      <c r="C497">
        <v>28</v>
      </c>
      <c r="D497" t="str">
        <f t="shared" si="7"/>
        <v>03/02/2025A&amp;E (Emergency)</v>
      </c>
    </row>
    <row r="498" spans="1:4">
      <c r="A498" s="1">
        <v>45691</v>
      </c>
      <c r="B498" t="s">
        <v>40</v>
      </c>
      <c r="C498">
        <v>18</v>
      </c>
      <c r="D498" t="str">
        <f t="shared" si="7"/>
        <v>03/02/2025Cardiology</v>
      </c>
    </row>
    <row r="499" spans="1:4">
      <c r="A499" s="1">
        <v>45691</v>
      </c>
      <c r="B499" t="s">
        <v>51</v>
      </c>
      <c r="C499">
        <v>15</v>
      </c>
      <c r="D499" t="str">
        <f t="shared" si="7"/>
        <v>03/02/2025Respiratory</v>
      </c>
    </row>
    <row r="500" spans="1:4">
      <c r="A500" s="1">
        <v>45691</v>
      </c>
      <c r="B500" t="s">
        <v>43</v>
      </c>
      <c r="C500">
        <v>22</v>
      </c>
      <c r="D500" t="str">
        <f t="shared" si="7"/>
        <v>03/02/2025General Surgery</v>
      </c>
    </row>
    <row r="501" spans="1:4">
      <c r="A501" s="1">
        <v>45691</v>
      </c>
      <c r="B501" t="s">
        <v>48</v>
      </c>
      <c r="C501">
        <v>16</v>
      </c>
      <c r="D501" t="str">
        <f t="shared" si="7"/>
        <v>03/02/2025Orthopaedics</v>
      </c>
    </row>
    <row r="502" spans="1:4">
      <c r="A502" s="1">
        <v>45691</v>
      </c>
      <c r="B502" t="s">
        <v>46</v>
      </c>
      <c r="C502">
        <v>14</v>
      </c>
      <c r="D502" t="str">
        <f t="shared" si="7"/>
        <v>03/02/2025Neurology</v>
      </c>
    </row>
    <row r="503" spans="1:4">
      <c r="A503" s="1">
        <v>45691</v>
      </c>
      <c r="B503" t="s">
        <v>47</v>
      </c>
      <c r="C503">
        <v>18</v>
      </c>
      <c r="D503" t="str">
        <f t="shared" si="7"/>
        <v>03/02/2025Oncology</v>
      </c>
    </row>
    <row r="504" spans="1:4">
      <c r="A504" s="1">
        <v>45691</v>
      </c>
      <c r="B504" t="s">
        <v>49</v>
      </c>
      <c r="C504">
        <v>13</v>
      </c>
      <c r="D504" t="str">
        <f t="shared" si="7"/>
        <v>03/02/2025Paediatrics</v>
      </c>
    </row>
    <row r="505" spans="1:4">
      <c r="A505" s="1">
        <v>45691</v>
      </c>
      <c r="B505" t="s">
        <v>45</v>
      </c>
      <c r="C505">
        <v>13</v>
      </c>
      <c r="D505" t="str">
        <f t="shared" si="7"/>
        <v>03/02/2025Maternity</v>
      </c>
    </row>
    <row r="506" spans="1:4">
      <c r="A506" s="1">
        <v>45691</v>
      </c>
      <c r="B506" t="s">
        <v>50</v>
      </c>
      <c r="C506">
        <v>21</v>
      </c>
      <c r="D506" t="str">
        <f t="shared" si="7"/>
        <v>03/02/2025Renal Medicine</v>
      </c>
    </row>
    <row r="507" spans="1:4">
      <c r="A507" s="1">
        <v>45691</v>
      </c>
      <c r="B507" t="s">
        <v>42</v>
      </c>
      <c r="C507">
        <v>12</v>
      </c>
      <c r="D507" t="str">
        <f t="shared" si="7"/>
        <v>03/02/2025Gastroenterology</v>
      </c>
    </row>
    <row r="508" spans="1:4">
      <c r="A508" s="1">
        <v>45691</v>
      </c>
      <c r="B508" t="s">
        <v>98</v>
      </c>
      <c r="C508">
        <v>10</v>
      </c>
      <c r="D508" t="str">
        <f t="shared" si="7"/>
        <v>03/02/2025Endocrinology</v>
      </c>
    </row>
    <row r="509" spans="1:4">
      <c r="A509" s="1">
        <v>45691</v>
      </c>
      <c r="B509" t="s">
        <v>100</v>
      </c>
      <c r="C509">
        <v>11</v>
      </c>
      <c r="D509" t="str">
        <f t="shared" si="7"/>
        <v>03/02/2025Urology</v>
      </c>
    </row>
    <row r="510" spans="1:4">
      <c r="A510" s="1">
        <v>45691</v>
      </c>
      <c r="B510" t="s">
        <v>41</v>
      </c>
      <c r="C510">
        <v>13</v>
      </c>
      <c r="D510" t="str">
        <f t="shared" si="7"/>
        <v>03/02/2025ENT</v>
      </c>
    </row>
    <row r="511" spans="1:4">
      <c r="A511" s="1">
        <v>45691</v>
      </c>
      <c r="B511" t="s">
        <v>44</v>
      </c>
      <c r="C511">
        <v>16</v>
      </c>
      <c r="D511" t="str">
        <f t="shared" si="7"/>
        <v>03/02/2025Geriatrics</v>
      </c>
    </row>
    <row r="512" spans="1:4">
      <c r="A512" s="1">
        <v>45692</v>
      </c>
      <c r="B512" t="s">
        <v>39</v>
      </c>
      <c r="C512">
        <v>25</v>
      </c>
      <c r="D512" t="str">
        <f t="shared" si="7"/>
        <v>04/02/2025A&amp;E (Emergency)</v>
      </c>
    </row>
    <row r="513" spans="1:4">
      <c r="A513" s="1">
        <v>45692</v>
      </c>
      <c r="B513" t="s">
        <v>40</v>
      </c>
      <c r="C513">
        <v>17</v>
      </c>
      <c r="D513" t="str">
        <f t="shared" si="7"/>
        <v>04/02/2025Cardiology</v>
      </c>
    </row>
    <row r="514" spans="1:4">
      <c r="A514" s="1">
        <v>45692</v>
      </c>
      <c r="B514" t="s">
        <v>51</v>
      </c>
      <c r="C514">
        <v>14</v>
      </c>
      <c r="D514" t="str">
        <f t="shared" si="7"/>
        <v>04/02/2025Respiratory</v>
      </c>
    </row>
    <row r="515" spans="1:4">
      <c r="A515" s="1">
        <v>45692</v>
      </c>
      <c r="B515" t="s">
        <v>43</v>
      </c>
      <c r="C515">
        <v>20</v>
      </c>
      <c r="D515" t="str">
        <f t="shared" ref="D515:D578" si="8">TEXT(A515, "dd/mm/yyyy")&amp;B515</f>
        <v>04/02/2025General Surgery</v>
      </c>
    </row>
    <row r="516" spans="1:4">
      <c r="A516" s="1">
        <v>45692</v>
      </c>
      <c r="B516" t="s">
        <v>48</v>
      </c>
      <c r="C516">
        <v>15</v>
      </c>
      <c r="D516" t="str">
        <f t="shared" si="8"/>
        <v>04/02/2025Orthopaedics</v>
      </c>
    </row>
    <row r="517" spans="1:4">
      <c r="A517" s="1">
        <v>45692</v>
      </c>
      <c r="B517" t="s">
        <v>46</v>
      </c>
      <c r="C517">
        <v>13</v>
      </c>
      <c r="D517" t="str">
        <f t="shared" si="8"/>
        <v>04/02/2025Neurology</v>
      </c>
    </row>
    <row r="518" spans="1:4">
      <c r="A518" s="1">
        <v>45692</v>
      </c>
      <c r="B518" t="s">
        <v>47</v>
      </c>
      <c r="C518">
        <v>17</v>
      </c>
      <c r="D518" t="str">
        <f t="shared" si="8"/>
        <v>04/02/2025Oncology</v>
      </c>
    </row>
    <row r="519" spans="1:4">
      <c r="A519" s="1">
        <v>45692</v>
      </c>
      <c r="B519" t="s">
        <v>49</v>
      </c>
      <c r="C519">
        <v>12</v>
      </c>
      <c r="D519" t="str">
        <f t="shared" si="8"/>
        <v>04/02/2025Paediatrics</v>
      </c>
    </row>
    <row r="520" spans="1:4">
      <c r="A520" s="1">
        <v>45692</v>
      </c>
      <c r="B520" t="s">
        <v>45</v>
      </c>
      <c r="C520">
        <v>12</v>
      </c>
      <c r="D520" t="str">
        <f t="shared" si="8"/>
        <v>04/02/2025Maternity</v>
      </c>
    </row>
    <row r="521" spans="1:4">
      <c r="A521" s="1">
        <v>45692</v>
      </c>
      <c r="B521" t="s">
        <v>50</v>
      </c>
      <c r="C521">
        <v>20</v>
      </c>
      <c r="D521" t="str">
        <f t="shared" si="8"/>
        <v>04/02/2025Renal Medicine</v>
      </c>
    </row>
    <row r="522" spans="1:4">
      <c r="A522" s="1">
        <v>45692</v>
      </c>
      <c r="B522" t="s">
        <v>42</v>
      </c>
      <c r="C522">
        <v>11</v>
      </c>
      <c r="D522" t="str">
        <f t="shared" si="8"/>
        <v>04/02/2025Gastroenterology</v>
      </c>
    </row>
    <row r="523" spans="1:4">
      <c r="A523" s="1">
        <v>45692</v>
      </c>
      <c r="B523" t="s">
        <v>98</v>
      </c>
      <c r="C523">
        <v>9</v>
      </c>
      <c r="D523" t="str">
        <f t="shared" si="8"/>
        <v>04/02/2025Endocrinology</v>
      </c>
    </row>
    <row r="524" spans="1:4">
      <c r="A524" s="1">
        <v>45692</v>
      </c>
      <c r="B524" t="s">
        <v>100</v>
      </c>
      <c r="C524">
        <v>10</v>
      </c>
      <c r="D524" t="str">
        <f t="shared" si="8"/>
        <v>04/02/2025Urology</v>
      </c>
    </row>
    <row r="525" spans="1:4">
      <c r="A525" s="1">
        <v>45692</v>
      </c>
      <c r="B525" t="s">
        <v>41</v>
      </c>
      <c r="C525">
        <v>12</v>
      </c>
      <c r="D525" t="str">
        <f t="shared" si="8"/>
        <v>04/02/2025ENT</v>
      </c>
    </row>
    <row r="526" spans="1:4">
      <c r="A526" s="1">
        <v>45692</v>
      </c>
      <c r="B526" t="s">
        <v>44</v>
      </c>
      <c r="C526">
        <v>15</v>
      </c>
      <c r="D526" t="str">
        <f t="shared" si="8"/>
        <v>04/02/2025Geriatrics</v>
      </c>
    </row>
    <row r="527" spans="1:4">
      <c r="A527" s="1">
        <v>45693</v>
      </c>
      <c r="B527" t="s">
        <v>39</v>
      </c>
      <c r="C527">
        <v>24</v>
      </c>
      <c r="D527" t="str">
        <f t="shared" si="8"/>
        <v>05/02/2025A&amp;E (Emergency)</v>
      </c>
    </row>
    <row r="528" spans="1:4">
      <c r="A528" s="1">
        <v>45693</v>
      </c>
      <c r="B528" t="s">
        <v>40</v>
      </c>
      <c r="C528">
        <v>16</v>
      </c>
      <c r="D528" t="str">
        <f t="shared" si="8"/>
        <v>05/02/2025Cardiology</v>
      </c>
    </row>
    <row r="529" spans="1:4">
      <c r="A529" s="1">
        <v>45693</v>
      </c>
      <c r="B529" t="s">
        <v>51</v>
      </c>
      <c r="C529">
        <v>13</v>
      </c>
      <c r="D529" t="str">
        <f t="shared" si="8"/>
        <v>05/02/2025Respiratory</v>
      </c>
    </row>
    <row r="530" spans="1:4">
      <c r="A530" s="1">
        <v>45693</v>
      </c>
      <c r="B530" t="s">
        <v>43</v>
      </c>
      <c r="C530">
        <v>19</v>
      </c>
      <c r="D530" t="str">
        <f t="shared" si="8"/>
        <v>05/02/2025General Surgery</v>
      </c>
    </row>
    <row r="531" spans="1:4">
      <c r="A531" s="1">
        <v>45693</v>
      </c>
      <c r="B531" t="s">
        <v>48</v>
      </c>
      <c r="C531">
        <v>14</v>
      </c>
      <c r="D531" t="str">
        <f t="shared" si="8"/>
        <v>05/02/2025Orthopaedics</v>
      </c>
    </row>
    <row r="532" spans="1:4">
      <c r="A532" s="1">
        <v>45693</v>
      </c>
      <c r="B532" t="s">
        <v>46</v>
      </c>
      <c r="C532">
        <v>12</v>
      </c>
      <c r="D532" t="str">
        <f t="shared" si="8"/>
        <v>05/02/2025Neurology</v>
      </c>
    </row>
    <row r="533" spans="1:4">
      <c r="A533" s="1">
        <v>45693</v>
      </c>
      <c r="B533" t="s">
        <v>47</v>
      </c>
      <c r="C533">
        <v>16</v>
      </c>
      <c r="D533" t="str">
        <f t="shared" si="8"/>
        <v>05/02/2025Oncology</v>
      </c>
    </row>
    <row r="534" spans="1:4">
      <c r="A534" s="1">
        <v>45693</v>
      </c>
      <c r="B534" t="s">
        <v>49</v>
      </c>
      <c r="C534">
        <v>11</v>
      </c>
      <c r="D534" t="str">
        <f t="shared" si="8"/>
        <v>05/02/2025Paediatrics</v>
      </c>
    </row>
    <row r="535" spans="1:4">
      <c r="A535" s="1">
        <v>45693</v>
      </c>
      <c r="B535" t="s">
        <v>45</v>
      </c>
      <c r="C535">
        <v>12</v>
      </c>
      <c r="D535" t="str">
        <f t="shared" si="8"/>
        <v>05/02/2025Maternity</v>
      </c>
    </row>
    <row r="536" spans="1:4">
      <c r="A536" s="1">
        <v>45693</v>
      </c>
      <c r="B536" t="s">
        <v>50</v>
      </c>
      <c r="C536">
        <v>19</v>
      </c>
      <c r="D536" t="str">
        <f t="shared" si="8"/>
        <v>05/02/2025Renal Medicine</v>
      </c>
    </row>
    <row r="537" spans="1:4">
      <c r="A537" s="1">
        <v>45693</v>
      </c>
      <c r="B537" t="s">
        <v>42</v>
      </c>
      <c r="C537">
        <v>10</v>
      </c>
      <c r="D537" t="str">
        <f t="shared" si="8"/>
        <v>05/02/2025Gastroenterology</v>
      </c>
    </row>
    <row r="538" spans="1:4">
      <c r="A538" s="1">
        <v>45693</v>
      </c>
      <c r="B538" t="s">
        <v>98</v>
      </c>
      <c r="C538">
        <v>8</v>
      </c>
      <c r="D538" t="str">
        <f t="shared" si="8"/>
        <v>05/02/2025Endocrinology</v>
      </c>
    </row>
    <row r="539" spans="1:4">
      <c r="A539" s="1">
        <v>45693</v>
      </c>
      <c r="B539" t="s">
        <v>100</v>
      </c>
      <c r="C539">
        <v>10</v>
      </c>
      <c r="D539" t="str">
        <f t="shared" si="8"/>
        <v>05/02/2025Urology</v>
      </c>
    </row>
    <row r="540" spans="1:4">
      <c r="A540" s="1">
        <v>45693</v>
      </c>
      <c r="B540" t="s">
        <v>41</v>
      </c>
      <c r="C540">
        <v>12</v>
      </c>
      <c r="D540" t="str">
        <f t="shared" si="8"/>
        <v>05/02/2025ENT</v>
      </c>
    </row>
    <row r="541" spans="1:4">
      <c r="A541" s="1">
        <v>45693</v>
      </c>
      <c r="B541" t="s">
        <v>44</v>
      </c>
      <c r="C541">
        <v>14</v>
      </c>
      <c r="D541" t="str">
        <f t="shared" si="8"/>
        <v>05/02/2025Geriatrics</v>
      </c>
    </row>
    <row r="542" spans="1:4">
      <c r="A542" s="1">
        <v>45694</v>
      </c>
      <c r="B542" t="s">
        <v>39</v>
      </c>
      <c r="C542">
        <v>23</v>
      </c>
      <c r="D542" t="str">
        <f t="shared" si="8"/>
        <v>06/02/2025A&amp;E (Emergency)</v>
      </c>
    </row>
    <row r="543" spans="1:4">
      <c r="A543" s="1">
        <v>45694</v>
      </c>
      <c r="B543" t="s">
        <v>40</v>
      </c>
      <c r="C543">
        <v>16</v>
      </c>
      <c r="D543" t="str">
        <f t="shared" si="8"/>
        <v>06/02/2025Cardiology</v>
      </c>
    </row>
    <row r="544" spans="1:4">
      <c r="A544" s="1">
        <v>45694</v>
      </c>
      <c r="B544" t="s">
        <v>51</v>
      </c>
      <c r="C544">
        <v>13</v>
      </c>
      <c r="D544" t="str">
        <f t="shared" si="8"/>
        <v>06/02/2025Respiratory</v>
      </c>
    </row>
    <row r="545" spans="1:4">
      <c r="A545" s="1">
        <v>45694</v>
      </c>
      <c r="B545" t="s">
        <v>43</v>
      </c>
      <c r="C545">
        <v>19</v>
      </c>
      <c r="D545" t="str">
        <f t="shared" si="8"/>
        <v>06/02/2025General Surgery</v>
      </c>
    </row>
    <row r="546" spans="1:4">
      <c r="A546" s="1">
        <v>45694</v>
      </c>
      <c r="B546" t="s">
        <v>48</v>
      </c>
      <c r="C546">
        <v>14</v>
      </c>
      <c r="D546" t="str">
        <f t="shared" si="8"/>
        <v>06/02/2025Orthopaedics</v>
      </c>
    </row>
    <row r="547" spans="1:4">
      <c r="A547" s="1">
        <v>45694</v>
      </c>
      <c r="B547" t="s">
        <v>46</v>
      </c>
      <c r="C547">
        <v>12</v>
      </c>
      <c r="D547" t="str">
        <f t="shared" si="8"/>
        <v>06/02/2025Neurology</v>
      </c>
    </row>
    <row r="548" spans="1:4">
      <c r="A548" s="1">
        <v>45694</v>
      </c>
      <c r="B548" t="s">
        <v>47</v>
      </c>
      <c r="C548">
        <v>16</v>
      </c>
      <c r="D548" t="str">
        <f t="shared" si="8"/>
        <v>06/02/2025Oncology</v>
      </c>
    </row>
    <row r="549" spans="1:4">
      <c r="A549" s="1">
        <v>45694</v>
      </c>
      <c r="B549" t="s">
        <v>49</v>
      </c>
      <c r="C549">
        <v>11</v>
      </c>
      <c r="D549" t="str">
        <f t="shared" si="8"/>
        <v>06/02/2025Paediatrics</v>
      </c>
    </row>
    <row r="550" spans="1:4">
      <c r="A550" s="1">
        <v>45694</v>
      </c>
      <c r="B550" t="s">
        <v>45</v>
      </c>
      <c r="C550">
        <v>12</v>
      </c>
      <c r="D550" t="str">
        <f t="shared" si="8"/>
        <v>06/02/2025Maternity</v>
      </c>
    </row>
    <row r="551" spans="1:4">
      <c r="A551" s="1">
        <v>45694</v>
      </c>
      <c r="B551" t="s">
        <v>50</v>
      </c>
      <c r="C551">
        <v>19</v>
      </c>
      <c r="D551" t="str">
        <f t="shared" si="8"/>
        <v>06/02/2025Renal Medicine</v>
      </c>
    </row>
    <row r="552" spans="1:4">
      <c r="A552" s="1">
        <v>45694</v>
      </c>
      <c r="B552" t="s">
        <v>42</v>
      </c>
      <c r="C552">
        <v>10</v>
      </c>
      <c r="D552" t="str">
        <f t="shared" si="8"/>
        <v>06/02/2025Gastroenterology</v>
      </c>
    </row>
    <row r="553" spans="1:4">
      <c r="A553" s="1">
        <v>45694</v>
      </c>
      <c r="B553" t="s">
        <v>98</v>
      </c>
      <c r="C553">
        <v>8</v>
      </c>
      <c r="D553" t="str">
        <f t="shared" si="8"/>
        <v>06/02/2025Endocrinology</v>
      </c>
    </row>
    <row r="554" spans="1:4">
      <c r="A554" s="1">
        <v>45694</v>
      </c>
      <c r="B554" t="s">
        <v>100</v>
      </c>
      <c r="C554">
        <v>10</v>
      </c>
      <c r="D554" t="str">
        <f t="shared" si="8"/>
        <v>06/02/2025Urology</v>
      </c>
    </row>
    <row r="555" spans="1:4">
      <c r="A555" s="1">
        <v>45694</v>
      </c>
      <c r="B555" t="s">
        <v>41</v>
      </c>
      <c r="C555">
        <v>12</v>
      </c>
      <c r="D555" t="str">
        <f t="shared" si="8"/>
        <v>06/02/2025ENT</v>
      </c>
    </row>
    <row r="556" spans="1:4">
      <c r="A556" s="1">
        <v>45694</v>
      </c>
      <c r="B556" t="s">
        <v>44</v>
      </c>
      <c r="C556">
        <v>14</v>
      </c>
      <c r="D556" t="str">
        <f t="shared" si="8"/>
        <v>06/02/2025Geriatrics</v>
      </c>
    </row>
    <row r="557" spans="1:4">
      <c r="A557" s="1">
        <v>45695</v>
      </c>
      <c r="B557" t="s">
        <v>39</v>
      </c>
      <c r="C557">
        <v>22</v>
      </c>
      <c r="D557" t="str">
        <f t="shared" si="8"/>
        <v>07/02/2025A&amp;E (Emergency)</v>
      </c>
    </row>
    <row r="558" spans="1:4">
      <c r="A558" s="1">
        <v>45695</v>
      </c>
      <c r="B558" t="s">
        <v>40</v>
      </c>
      <c r="C558">
        <v>15</v>
      </c>
      <c r="D558" t="str">
        <f t="shared" si="8"/>
        <v>07/02/2025Cardiology</v>
      </c>
    </row>
    <row r="559" spans="1:4">
      <c r="A559" s="1">
        <v>45695</v>
      </c>
      <c r="B559" t="s">
        <v>51</v>
      </c>
      <c r="C559">
        <v>12</v>
      </c>
      <c r="D559" t="str">
        <f t="shared" si="8"/>
        <v>07/02/2025Respiratory</v>
      </c>
    </row>
    <row r="560" spans="1:4">
      <c r="A560" s="1">
        <v>45695</v>
      </c>
      <c r="B560" t="s">
        <v>43</v>
      </c>
      <c r="C560">
        <v>18</v>
      </c>
      <c r="D560" t="str">
        <f t="shared" si="8"/>
        <v>07/02/2025General Surgery</v>
      </c>
    </row>
    <row r="561" spans="1:4">
      <c r="A561" s="1">
        <v>45695</v>
      </c>
      <c r="B561" t="s">
        <v>48</v>
      </c>
      <c r="C561">
        <v>13</v>
      </c>
      <c r="D561" t="str">
        <f t="shared" si="8"/>
        <v>07/02/2025Orthopaedics</v>
      </c>
    </row>
    <row r="562" spans="1:4">
      <c r="A562" s="1">
        <v>45695</v>
      </c>
      <c r="B562" t="s">
        <v>46</v>
      </c>
      <c r="C562">
        <v>11</v>
      </c>
      <c r="D562" t="str">
        <f t="shared" si="8"/>
        <v>07/02/2025Neurology</v>
      </c>
    </row>
    <row r="563" spans="1:4">
      <c r="A563" s="1">
        <v>45695</v>
      </c>
      <c r="B563" t="s">
        <v>47</v>
      </c>
      <c r="C563">
        <v>15</v>
      </c>
      <c r="D563" t="str">
        <f t="shared" si="8"/>
        <v>07/02/2025Oncology</v>
      </c>
    </row>
    <row r="564" spans="1:4">
      <c r="A564" s="1">
        <v>45695</v>
      </c>
      <c r="B564" t="s">
        <v>49</v>
      </c>
      <c r="C564">
        <v>10</v>
      </c>
      <c r="D564" t="str">
        <f t="shared" si="8"/>
        <v>07/02/2025Paediatrics</v>
      </c>
    </row>
    <row r="565" spans="1:4">
      <c r="A565" s="1">
        <v>45695</v>
      </c>
      <c r="B565" t="s">
        <v>45</v>
      </c>
      <c r="C565">
        <v>11</v>
      </c>
      <c r="D565" t="str">
        <f t="shared" si="8"/>
        <v>07/02/2025Maternity</v>
      </c>
    </row>
    <row r="566" spans="1:4">
      <c r="A566" s="1">
        <v>45695</v>
      </c>
      <c r="B566" t="s">
        <v>50</v>
      </c>
      <c r="C566">
        <v>18</v>
      </c>
      <c r="D566" t="str">
        <f t="shared" si="8"/>
        <v>07/02/2025Renal Medicine</v>
      </c>
    </row>
    <row r="567" spans="1:4">
      <c r="A567" s="1">
        <v>45695</v>
      </c>
      <c r="B567" t="s">
        <v>42</v>
      </c>
      <c r="C567">
        <v>9</v>
      </c>
      <c r="D567" t="str">
        <f t="shared" si="8"/>
        <v>07/02/2025Gastroenterology</v>
      </c>
    </row>
    <row r="568" spans="1:4">
      <c r="A568" s="1">
        <v>45695</v>
      </c>
      <c r="B568" t="s">
        <v>98</v>
      </c>
      <c r="C568">
        <v>7</v>
      </c>
      <c r="D568" t="str">
        <f t="shared" si="8"/>
        <v>07/02/2025Endocrinology</v>
      </c>
    </row>
    <row r="569" spans="1:4">
      <c r="A569" s="1">
        <v>45695</v>
      </c>
      <c r="B569" t="s">
        <v>100</v>
      </c>
      <c r="C569">
        <v>9</v>
      </c>
      <c r="D569" t="str">
        <f t="shared" si="8"/>
        <v>07/02/2025Urology</v>
      </c>
    </row>
    <row r="570" spans="1:4">
      <c r="A570" s="1">
        <v>45695</v>
      </c>
      <c r="B570" t="s">
        <v>41</v>
      </c>
      <c r="C570">
        <v>11</v>
      </c>
      <c r="D570" t="str">
        <f t="shared" si="8"/>
        <v>07/02/2025ENT</v>
      </c>
    </row>
    <row r="571" spans="1:4">
      <c r="A571" s="1">
        <v>45695</v>
      </c>
      <c r="B571" t="s">
        <v>44</v>
      </c>
      <c r="C571">
        <v>13</v>
      </c>
      <c r="D571" t="str">
        <f t="shared" si="8"/>
        <v>07/02/2025Geriatrics</v>
      </c>
    </row>
    <row r="572" spans="1:4">
      <c r="A572" s="1">
        <v>45696</v>
      </c>
      <c r="B572" t="s">
        <v>39</v>
      </c>
      <c r="C572">
        <v>20</v>
      </c>
      <c r="D572" t="str">
        <f t="shared" si="8"/>
        <v>08/02/2025A&amp;E (Emergency)</v>
      </c>
    </row>
    <row r="573" spans="1:4">
      <c r="A573" s="1">
        <v>45696</v>
      </c>
      <c r="B573" t="s">
        <v>40</v>
      </c>
      <c r="C573">
        <v>12</v>
      </c>
      <c r="D573" t="str">
        <f t="shared" si="8"/>
        <v>08/02/2025Cardiology</v>
      </c>
    </row>
    <row r="574" spans="1:4">
      <c r="A574" s="1">
        <v>45696</v>
      </c>
      <c r="B574" t="s">
        <v>51</v>
      </c>
      <c r="C574">
        <v>9</v>
      </c>
      <c r="D574" t="str">
        <f t="shared" si="8"/>
        <v>08/02/2025Respiratory</v>
      </c>
    </row>
    <row r="575" spans="1:4">
      <c r="A575" s="1">
        <v>45696</v>
      </c>
      <c r="B575" t="s">
        <v>43</v>
      </c>
      <c r="C575">
        <v>15</v>
      </c>
      <c r="D575" t="str">
        <f t="shared" si="8"/>
        <v>08/02/2025General Surgery</v>
      </c>
    </row>
    <row r="576" spans="1:4">
      <c r="A576" s="1">
        <v>45696</v>
      </c>
      <c r="B576" t="s">
        <v>48</v>
      </c>
      <c r="C576">
        <v>11</v>
      </c>
      <c r="D576" t="str">
        <f t="shared" si="8"/>
        <v>08/02/2025Orthopaedics</v>
      </c>
    </row>
    <row r="577" spans="1:4">
      <c r="A577" s="1">
        <v>45696</v>
      </c>
      <c r="B577" t="s">
        <v>46</v>
      </c>
      <c r="C577">
        <v>9</v>
      </c>
      <c r="D577" t="str">
        <f t="shared" si="8"/>
        <v>08/02/2025Neurology</v>
      </c>
    </row>
    <row r="578" spans="1:4">
      <c r="A578" s="1">
        <v>45696</v>
      </c>
      <c r="B578" t="s">
        <v>47</v>
      </c>
      <c r="C578">
        <v>13</v>
      </c>
      <c r="D578" t="str">
        <f t="shared" si="8"/>
        <v>08/02/2025Oncology</v>
      </c>
    </row>
    <row r="579" spans="1:4">
      <c r="A579" s="1">
        <v>45696</v>
      </c>
      <c r="B579" t="s">
        <v>49</v>
      </c>
      <c r="C579">
        <v>9</v>
      </c>
      <c r="D579" t="str">
        <f t="shared" ref="D579:D642" si="9">TEXT(A579, "dd/mm/yyyy")&amp;B579</f>
        <v>08/02/2025Paediatrics</v>
      </c>
    </row>
    <row r="580" spans="1:4">
      <c r="A580" s="1">
        <v>45696</v>
      </c>
      <c r="B580" t="s">
        <v>45</v>
      </c>
      <c r="C580">
        <v>10</v>
      </c>
      <c r="D580" t="str">
        <f t="shared" si="9"/>
        <v>08/02/2025Maternity</v>
      </c>
    </row>
    <row r="581" spans="1:4">
      <c r="A581" s="1">
        <v>45696</v>
      </c>
      <c r="B581" t="s">
        <v>50</v>
      </c>
      <c r="C581">
        <v>17</v>
      </c>
      <c r="D581" t="str">
        <f t="shared" si="9"/>
        <v>08/02/2025Renal Medicine</v>
      </c>
    </row>
    <row r="582" spans="1:4">
      <c r="A582" s="1">
        <v>45696</v>
      </c>
      <c r="B582" t="s">
        <v>42</v>
      </c>
      <c r="C582">
        <v>7</v>
      </c>
      <c r="D582" t="str">
        <f t="shared" si="9"/>
        <v>08/02/2025Gastroenterology</v>
      </c>
    </row>
    <row r="583" spans="1:4">
      <c r="A583" s="1">
        <v>45696</v>
      </c>
      <c r="B583" t="s">
        <v>98</v>
      </c>
      <c r="C583">
        <v>6</v>
      </c>
      <c r="D583" t="str">
        <f t="shared" si="9"/>
        <v>08/02/2025Endocrinology</v>
      </c>
    </row>
    <row r="584" spans="1:4">
      <c r="A584" s="1">
        <v>45696</v>
      </c>
      <c r="B584" t="s">
        <v>100</v>
      </c>
      <c r="C584">
        <v>8</v>
      </c>
      <c r="D584" t="str">
        <f t="shared" si="9"/>
        <v>08/02/2025Urology</v>
      </c>
    </row>
    <row r="585" spans="1:4">
      <c r="A585" s="1">
        <v>45696</v>
      </c>
      <c r="B585" t="s">
        <v>41</v>
      </c>
      <c r="C585">
        <v>10</v>
      </c>
      <c r="D585" t="str">
        <f t="shared" si="9"/>
        <v>08/02/2025ENT</v>
      </c>
    </row>
    <row r="586" spans="1:4">
      <c r="A586" s="1">
        <v>45696</v>
      </c>
      <c r="B586" t="s">
        <v>44</v>
      </c>
      <c r="C586">
        <v>12</v>
      </c>
      <c r="D586" t="str">
        <f t="shared" si="9"/>
        <v>08/02/2025Geriatrics</v>
      </c>
    </row>
    <row r="587" spans="1:4">
      <c r="A587" s="1">
        <v>45697</v>
      </c>
      <c r="B587" t="s">
        <v>39</v>
      </c>
      <c r="C587">
        <v>19</v>
      </c>
      <c r="D587" t="str">
        <f t="shared" si="9"/>
        <v>09/02/2025A&amp;E (Emergency)</v>
      </c>
    </row>
    <row r="588" spans="1:4">
      <c r="A588" s="1">
        <v>45697</v>
      </c>
      <c r="B588" t="s">
        <v>40</v>
      </c>
      <c r="C588">
        <v>11</v>
      </c>
      <c r="D588" t="str">
        <f t="shared" si="9"/>
        <v>09/02/2025Cardiology</v>
      </c>
    </row>
    <row r="589" spans="1:4">
      <c r="A589" s="1">
        <v>45697</v>
      </c>
      <c r="B589" t="s">
        <v>51</v>
      </c>
      <c r="C589">
        <v>9</v>
      </c>
      <c r="D589" t="str">
        <f t="shared" si="9"/>
        <v>09/02/2025Respiratory</v>
      </c>
    </row>
    <row r="590" spans="1:4">
      <c r="A590" s="1">
        <v>45697</v>
      </c>
      <c r="B590" t="s">
        <v>43</v>
      </c>
      <c r="C590">
        <v>14</v>
      </c>
      <c r="D590" t="str">
        <f t="shared" si="9"/>
        <v>09/02/2025General Surgery</v>
      </c>
    </row>
    <row r="591" spans="1:4">
      <c r="A591" s="1">
        <v>45697</v>
      </c>
      <c r="B591" t="s">
        <v>48</v>
      </c>
      <c r="C591">
        <v>10</v>
      </c>
      <c r="D591" t="str">
        <f t="shared" si="9"/>
        <v>09/02/2025Orthopaedics</v>
      </c>
    </row>
    <row r="592" spans="1:4">
      <c r="A592" s="1">
        <v>45697</v>
      </c>
      <c r="B592" t="s">
        <v>46</v>
      </c>
      <c r="C592">
        <v>9</v>
      </c>
      <c r="D592" t="str">
        <f t="shared" si="9"/>
        <v>09/02/2025Neurology</v>
      </c>
    </row>
    <row r="593" spans="1:4">
      <c r="A593" s="1">
        <v>45697</v>
      </c>
      <c r="B593" t="s">
        <v>47</v>
      </c>
      <c r="C593">
        <v>12</v>
      </c>
      <c r="D593" t="str">
        <f t="shared" si="9"/>
        <v>09/02/2025Oncology</v>
      </c>
    </row>
    <row r="594" spans="1:4">
      <c r="A594" s="1">
        <v>45697</v>
      </c>
      <c r="B594" t="s">
        <v>49</v>
      </c>
      <c r="C594">
        <v>8</v>
      </c>
      <c r="D594" t="str">
        <f t="shared" si="9"/>
        <v>09/02/2025Paediatrics</v>
      </c>
    </row>
    <row r="595" spans="1:4">
      <c r="A595" s="1">
        <v>45697</v>
      </c>
      <c r="B595" t="s">
        <v>45</v>
      </c>
      <c r="C595">
        <v>9</v>
      </c>
      <c r="D595" t="str">
        <f t="shared" si="9"/>
        <v>09/02/2025Maternity</v>
      </c>
    </row>
    <row r="596" spans="1:4">
      <c r="A596" s="1">
        <v>45697</v>
      </c>
      <c r="B596" t="s">
        <v>50</v>
      </c>
      <c r="C596">
        <v>17</v>
      </c>
      <c r="D596" t="str">
        <f t="shared" si="9"/>
        <v>09/02/2025Renal Medicine</v>
      </c>
    </row>
    <row r="597" spans="1:4">
      <c r="A597" s="1">
        <v>45697</v>
      </c>
      <c r="B597" t="s">
        <v>42</v>
      </c>
      <c r="C597">
        <v>7</v>
      </c>
      <c r="D597" t="str">
        <f t="shared" si="9"/>
        <v>09/02/2025Gastroenterology</v>
      </c>
    </row>
    <row r="598" spans="1:4">
      <c r="A598" s="1">
        <v>45697</v>
      </c>
      <c r="B598" t="s">
        <v>98</v>
      </c>
      <c r="C598">
        <v>6</v>
      </c>
      <c r="D598" t="str">
        <f t="shared" si="9"/>
        <v>09/02/2025Endocrinology</v>
      </c>
    </row>
    <row r="599" spans="1:4">
      <c r="A599" s="1">
        <v>45697</v>
      </c>
      <c r="B599" t="s">
        <v>100</v>
      </c>
      <c r="C599">
        <v>8</v>
      </c>
      <c r="D599" t="str">
        <f t="shared" si="9"/>
        <v>09/02/2025Urology</v>
      </c>
    </row>
    <row r="600" spans="1:4">
      <c r="A600" s="1">
        <v>45697</v>
      </c>
      <c r="B600" t="s">
        <v>41</v>
      </c>
      <c r="C600">
        <v>10</v>
      </c>
      <c r="D600" t="str">
        <f t="shared" si="9"/>
        <v>09/02/2025ENT</v>
      </c>
    </row>
    <row r="601" spans="1:4">
      <c r="A601" s="1">
        <v>45697</v>
      </c>
      <c r="B601" t="s">
        <v>44</v>
      </c>
      <c r="C601">
        <v>12</v>
      </c>
      <c r="D601" t="str">
        <f t="shared" si="9"/>
        <v>09/02/2025Geriatrics</v>
      </c>
    </row>
    <row r="602" spans="1:4">
      <c r="A602" s="1">
        <v>45698</v>
      </c>
      <c r="B602" t="s">
        <v>39</v>
      </c>
      <c r="C602">
        <v>27</v>
      </c>
      <c r="D602" t="str">
        <f t="shared" si="9"/>
        <v>10/02/2025A&amp;E (Emergency)</v>
      </c>
    </row>
    <row r="603" spans="1:4">
      <c r="A603" s="1">
        <v>45698</v>
      </c>
      <c r="B603" t="s">
        <v>40</v>
      </c>
      <c r="C603">
        <v>18</v>
      </c>
      <c r="D603" t="str">
        <f t="shared" si="9"/>
        <v>10/02/2025Cardiology</v>
      </c>
    </row>
    <row r="604" spans="1:4">
      <c r="A604" s="1">
        <v>45698</v>
      </c>
      <c r="B604" t="s">
        <v>51</v>
      </c>
      <c r="C604">
        <v>15</v>
      </c>
      <c r="D604" t="str">
        <f t="shared" si="9"/>
        <v>10/02/2025Respiratory</v>
      </c>
    </row>
    <row r="605" spans="1:4">
      <c r="A605" s="1">
        <v>45698</v>
      </c>
      <c r="B605" t="s">
        <v>43</v>
      </c>
      <c r="C605">
        <v>21</v>
      </c>
      <c r="D605" t="str">
        <f t="shared" si="9"/>
        <v>10/02/2025General Surgery</v>
      </c>
    </row>
    <row r="606" spans="1:4">
      <c r="A606" s="1">
        <v>45698</v>
      </c>
      <c r="B606" t="s">
        <v>48</v>
      </c>
      <c r="C606">
        <v>16</v>
      </c>
      <c r="D606" t="str">
        <f t="shared" si="9"/>
        <v>10/02/2025Orthopaedics</v>
      </c>
    </row>
    <row r="607" spans="1:4">
      <c r="A607" s="1">
        <v>45698</v>
      </c>
      <c r="B607" t="s">
        <v>46</v>
      </c>
      <c r="C607">
        <v>14</v>
      </c>
      <c r="D607" t="str">
        <f t="shared" si="9"/>
        <v>10/02/2025Neurology</v>
      </c>
    </row>
    <row r="608" spans="1:4">
      <c r="A608" s="1">
        <v>45698</v>
      </c>
      <c r="B608" t="s">
        <v>47</v>
      </c>
      <c r="C608">
        <v>18</v>
      </c>
      <c r="D608" t="str">
        <f t="shared" si="9"/>
        <v>10/02/2025Oncology</v>
      </c>
    </row>
    <row r="609" spans="1:4">
      <c r="A609" s="1">
        <v>45698</v>
      </c>
      <c r="B609" t="s">
        <v>49</v>
      </c>
      <c r="C609">
        <v>13</v>
      </c>
      <c r="D609" t="str">
        <f t="shared" si="9"/>
        <v>10/02/2025Paediatrics</v>
      </c>
    </row>
    <row r="610" spans="1:4">
      <c r="A610" s="1">
        <v>45698</v>
      </c>
      <c r="B610" t="s">
        <v>45</v>
      </c>
      <c r="C610">
        <v>13</v>
      </c>
      <c r="D610" t="str">
        <f t="shared" si="9"/>
        <v>10/02/2025Maternity</v>
      </c>
    </row>
    <row r="611" spans="1:4">
      <c r="A611" s="1">
        <v>45698</v>
      </c>
      <c r="B611" t="s">
        <v>50</v>
      </c>
      <c r="C611">
        <v>21</v>
      </c>
      <c r="D611" t="str">
        <f t="shared" si="9"/>
        <v>10/02/2025Renal Medicine</v>
      </c>
    </row>
    <row r="612" spans="1:4">
      <c r="A612" s="1">
        <v>45698</v>
      </c>
      <c r="B612" t="s">
        <v>42</v>
      </c>
      <c r="C612">
        <v>12</v>
      </c>
      <c r="D612" t="str">
        <f t="shared" si="9"/>
        <v>10/02/2025Gastroenterology</v>
      </c>
    </row>
    <row r="613" spans="1:4">
      <c r="A613" s="1">
        <v>45698</v>
      </c>
      <c r="B613" t="s">
        <v>98</v>
      </c>
      <c r="C613">
        <v>10</v>
      </c>
      <c r="D613" t="str">
        <f t="shared" si="9"/>
        <v>10/02/2025Endocrinology</v>
      </c>
    </row>
    <row r="614" spans="1:4">
      <c r="A614" s="1">
        <v>45698</v>
      </c>
      <c r="B614" t="s">
        <v>100</v>
      </c>
      <c r="C614">
        <v>11</v>
      </c>
      <c r="D614" t="str">
        <f t="shared" si="9"/>
        <v>10/02/2025Urology</v>
      </c>
    </row>
    <row r="615" spans="1:4">
      <c r="A615" s="1">
        <v>45698</v>
      </c>
      <c r="B615" t="s">
        <v>41</v>
      </c>
      <c r="C615">
        <v>13</v>
      </c>
      <c r="D615" t="str">
        <f t="shared" si="9"/>
        <v>10/02/2025ENT</v>
      </c>
    </row>
    <row r="616" spans="1:4">
      <c r="A616" s="1">
        <v>45698</v>
      </c>
      <c r="B616" t="s">
        <v>44</v>
      </c>
      <c r="C616">
        <v>16</v>
      </c>
      <c r="D616" t="str">
        <f t="shared" si="9"/>
        <v>10/02/2025Geriatrics</v>
      </c>
    </row>
    <row r="617" spans="1:4">
      <c r="A617" s="1">
        <v>45699</v>
      </c>
      <c r="B617" t="s">
        <v>39</v>
      </c>
      <c r="C617">
        <v>25</v>
      </c>
      <c r="D617" t="str">
        <f t="shared" si="9"/>
        <v>11/02/2025A&amp;E (Emergency)</v>
      </c>
    </row>
    <row r="618" spans="1:4">
      <c r="A618" s="1">
        <v>45699</v>
      </c>
      <c r="B618" t="s">
        <v>40</v>
      </c>
      <c r="C618">
        <v>17</v>
      </c>
      <c r="D618" t="str">
        <f t="shared" si="9"/>
        <v>11/02/2025Cardiology</v>
      </c>
    </row>
    <row r="619" spans="1:4">
      <c r="A619" s="1">
        <v>45699</v>
      </c>
      <c r="B619" t="s">
        <v>51</v>
      </c>
      <c r="C619">
        <v>14</v>
      </c>
      <c r="D619" t="str">
        <f t="shared" si="9"/>
        <v>11/02/2025Respiratory</v>
      </c>
    </row>
    <row r="620" spans="1:4">
      <c r="A620" s="1">
        <v>45699</v>
      </c>
      <c r="B620" t="s">
        <v>43</v>
      </c>
      <c r="C620">
        <v>20</v>
      </c>
      <c r="D620" t="str">
        <f t="shared" si="9"/>
        <v>11/02/2025General Surgery</v>
      </c>
    </row>
    <row r="621" spans="1:4">
      <c r="A621" s="1">
        <v>45699</v>
      </c>
      <c r="B621" t="s">
        <v>48</v>
      </c>
      <c r="C621">
        <v>15</v>
      </c>
      <c r="D621" t="str">
        <f t="shared" si="9"/>
        <v>11/02/2025Orthopaedics</v>
      </c>
    </row>
    <row r="622" spans="1:4">
      <c r="A622" s="1">
        <v>45699</v>
      </c>
      <c r="B622" t="s">
        <v>46</v>
      </c>
      <c r="C622">
        <v>13</v>
      </c>
      <c r="D622" t="str">
        <f t="shared" si="9"/>
        <v>11/02/2025Neurology</v>
      </c>
    </row>
    <row r="623" spans="1:4">
      <c r="A623" s="1">
        <v>45699</v>
      </c>
      <c r="B623" t="s">
        <v>47</v>
      </c>
      <c r="C623">
        <v>17</v>
      </c>
      <c r="D623" t="str">
        <f t="shared" si="9"/>
        <v>11/02/2025Oncology</v>
      </c>
    </row>
    <row r="624" spans="1:4">
      <c r="A624" s="1">
        <v>45699</v>
      </c>
      <c r="B624" t="s">
        <v>49</v>
      </c>
      <c r="C624">
        <v>12</v>
      </c>
      <c r="D624" t="str">
        <f t="shared" si="9"/>
        <v>11/02/2025Paediatrics</v>
      </c>
    </row>
    <row r="625" spans="1:4">
      <c r="A625" s="1">
        <v>45699</v>
      </c>
      <c r="B625" t="s">
        <v>45</v>
      </c>
      <c r="C625">
        <v>12</v>
      </c>
      <c r="D625" t="str">
        <f t="shared" si="9"/>
        <v>11/02/2025Maternity</v>
      </c>
    </row>
    <row r="626" spans="1:4">
      <c r="A626" s="1">
        <v>45699</v>
      </c>
      <c r="B626" t="s">
        <v>50</v>
      </c>
      <c r="C626">
        <v>20</v>
      </c>
      <c r="D626" t="str">
        <f t="shared" si="9"/>
        <v>11/02/2025Renal Medicine</v>
      </c>
    </row>
    <row r="627" spans="1:4">
      <c r="A627" s="1">
        <v>45699</v>
      </c>
      <c r="B627" t="s">
        <v>42</v>
      </c>
      <c r="C627">
        <v>11</v>
      </c>
      <c r="D627" t="str">
        <f t="shared" si="9"/>
        <v>11/02/2025Gastroenterology</v>
      </c>
    </row>
    <row r="628" spans="1:4">
      <c r="A628" s="1">
        <v>45699</v>
      </c>
      <c r="B628" t="s">
        <v>98</v>
      </c>
      <c r="C628">
        <v>9</v>
      </c>
      <c r="D628" t="str">
        <f t="shared" si="9"/>
        <v>11/02/2025Endocrinology</v>
      </c>
    </row>
    <row r="629" spans="1:4">
      <c r="A629" s="1">
        <v>45699</v>
      </c>
      <c r="B629" t="s">
        <v>100</v>
      </c>
      <c r="C629">
        <v>10</v>
      </c>
      <c r="D629" t="str">
        <f t="shared" si="9"/>
        <v>11/02/2025Urology</v>
      </c>
    </row>
    <row r="630" spans="1:4">
      <c r="A630" s="1">
        <v>45699</v>
      </c>
      <c r="B630" t="s">
        <v>41</v>
      </c>
      <c r="C630">
        <v>12</v>
      </c>
      <c r="D630" t="str">
        <f t="shared" si="9"/>
        <v>11/02/2025ENT</v>
      </c>
    </row>
    <row r="631" spans="1:4">
      <c r="A631" s="1">
        <v>45699</v>
      </c>
      <c r="B631" t="s">
        <v>44</v>
      </c>
      <c r="C631">
        <v>15</v>
      </c>
      <c r="D631" t="str">
        <f t="shared" si="9"/>
        <v>11/02/2025Geriatrics</v>
      </c>
    </row>
    <row r="632" spans="1:4">
      <c r="A632" s="1">
        <v>45700</v>
      </c>
      <c r="B632" t="s">
        <v>39</v>
      </c>
      <c r="C632">
        <v>24</v>
      </c>
      <c r="D632" t="str">
        <f t="shared" si="9"/>
        <v>12/02/2025A&amp;E (Emergency)</v>
      </c>
    </row>
    <row r="633" spans="1:4">
      <c r="A633" s="1">
        <v>45700</v>
      </c>
      <c r="B633" t="s">
        <v>40</v>
      </c>
      <c r="C633">
        <v>16</v>
      </c>
      <c r="D633" t="str">
        <f t="shared" si="9"/>
        <v>12/02/2025Cardiology</v>
      </c>
    </row>
    <row r="634" spans="1:4">
      <c r="A634" s="1">
        <v>45700</v>
      </c>
      <c r="B634" t="s">
        <v>51</v>
      </c>
      <c r="C634">
        <v>13</v>
      </c>
      <c r="D634" t="str">
        <f t="shared" si="9"/>
        <v>12/02/2025Respiratory</v>
      </c>
    </row>
    <row r="635" spans="1:4">
      <c r="A635" s="1">
        <v>45700</v>
      </c>
      <c r="B635" t="s">
        <v>43</v>
      </c>
      <c r="C635">
        <v>19</v>
      </c>
      <c r="D635" t="str">
        <f t="shared" si="9"/>
        <v>12/02/2025General Surgery</v>
      </c>
    </row>
    <row r="636" spans="1:4">
      <c r="A636" s="1">
        <v>45700</v>
      </c>
      <c r="B636" t="s">
        <v>48</v>
      </c>
      <c r="C636">
        <v>14</v>
      </c>
      <c r="D636" t="str">
        <f t="shared" si="9"/>
        <v>12/02/2025Orthopaedics</v>
      </c>
    </row>
    <row r="637" spans="1:4">
      <c r="A637" s="1">
        <v>45700</v>
      </c>
      <c r="B637" t="s">
        <v>46</v>
      </c>
      <c r="C637">
        <v>12</v>
      </c>
      <c r="D637" t="str">
        <f t="shared" si="9"/>
        <v>12/02/2025Neurology</v>
      </c>
    </row>
    <row r="638" spans="1:4">
      <c r="A638" s="1">
        <v>45700</v>
      </c>
      <c r="B638" t="s">
        <v>47</v>
      </c>
      <c r="C638">
        <v>16</v>
      </c>
      <c r="D638" t="str">
        <f t="shared" si="9"/>
        <v>12/02/2025Oncology</v>
      </c>
    </row>
    <row r="639" spans="1:4">
      <c r="A639" s="1">
        <v>45700</v>
      </c>
      <c r="B639" t="s">
        <v>49</v>
      </c>
      <c r="C639">
        <v>11</v>
      </c>
      <c r="D639" t="str">
        <f t="shared" si="9"/>
        <v>12/02/2025Paediatrics</v>
      </c>
    </row>
    <row r="640" spans="1:4">
      <c r="A640" s="1">
        <v>45700</v>
      </c>
      <c r="B640" t="s">
        <v>45</v>
      </c>
      <c r="C640">
        <v>12</v>
      </c>
      <c r="D640" t="str">
        <f t="shared" si="9"/>
        <v>12/02/2025Maternity</v>
      </c>
    </row>
    <row r="641" spans="1:4">
      <c r="A641" s="1">
        <v>45700</v>
      </c>
      <c r="B641" t="s">
        <v>50</v>
      </c>
      <c r="C641">
        <v>19</v>
      </c>
      <c r="D641" t="str">
        <f t="shared" si="9"/>
        <v>12/02/2025Renal Medicine</v>
      </c>
    </row>
    <row r="642" spans="1:4">
      <c r="A642" s="1">
        <v>45700</v>
      </c>
      <c r="B642" t="s">
        <v>42</v>
      </c>
      <c r="C642">
        <v>10</v>
      </c>
      <c r="D642" t="str">
        <f t="shared" si="9"/>
        <v>12/02/2025Gastroenterology</v>
      </c>
    </row>
    <row r="643" spans="1:4">
      <c r="A643" s="1">
        <v>45700</v>
      </c>
      <c r="B643" t="s">
        <v>98</v>
      </c>
      <c r="C643">
        <v>8</v>
      </c>
      <c r="D643" t="str">
        <f t="shared" ref="D643:D706" si="10">TEXT(A643, "dd/mm/yyyy")&amp;B643</f>
        <v>12/02/2025Endocrinology</v>
      </c>
    </row>
    <row r="644" spans="1:4">
      <c r="A644" s="1">
        <v>45700</v>
      </c>
      <c r="B644" t="s">
        <v>100</v>
      </c>
      <c r="C644">
        <v>10</v>
      </c>
      <c r="D644" t="str">
        <f t="shared" si="10"/>
        <v>12/02/2025Urology</v>
      </c>
    </row>
    <row r="645" spans="1:4">
      <c r="A645" s="1">
        <v>45700</v>
      </c>
      <c r="B645" t="s">
        <v>41</v>
      </c>
      <c r="C645">
        <v>12</v>
      </c>
      <c r="D645" t="str">
        <f t="shared" si="10"/>
        <v>12/02/2025ENT</v>
      </c>
    </row>
    <row r="646" spans="1:4">
      <c r="A646" s="1">
        <v>45700</v>
      </c>
      <c r="B646" t="s">
        <v>44</v>
      </c>
      <c r="C646">
        <v>14</v>
      </c>
      <c r="D646" t="str">
        <f t="shared" si="10"/>
        <v>12/02/2025Geriatrics</v>
      </c>
    </row>
    <row r="647" spans="1:4">
      <c r="A647" s="1">
        <v>45701</v>
      </c>
      <c r="B647" t="s">
        <v>39</v>
      </c>
      <c r="C647">
        <v>23</v>
      </c>
      <c r="D647" t="str">
        <f t="shared" si="10"/>
        <v>13/02/2025A&amp;E (Emergency)</v>
      </c>
    </row>
    <row r="648" spans="1:4">
      <c r="A648" s="1">
        <v>45701</v>
      </c>
      <c r="B648" t="s">
        <v>40</v>
      </c>
      <c r="C648">
        <v>16</v>
      </c>
      <c r="D648" t="str">
        <f t="shared" si="10"/>
        <v>13/02/2025Cardiology</v>
      </c>
    </row>
    <row r="649" spans="1:4">
      <c r="A649" s="1">
        <v>45701</v>
      </c>
      <c r="B649" t="s">
        <v>51</v>
      </c>
      <c r="C649">
        <v>13</v>
      </c>
      <c r="D649" t="str">
        <f t="shared" si="10"/>
        <v>13/02/2025Respiratory</v>
      </c>
    </row>
    <row r="650" spans="1:4">
      <c r="A650" s="1">
        <v>45701</v>
      </c>
      <c r="B650" t="s">
        <v>43</v>
      </c>
      <c r="C650">
        <v>19</v>
      </c>
      <c r="D650" t="str">
        <f t="shared" si="10"/>
        <v>13/02/2025General Surgery</v>
      </c>
    </row>
    <row r="651" spans="1:4">
      <c r="A651" s="1">
        <v>45701</v>
      </c>
      <c r="B651" t="s">
        <v>48</v>
      </c>
      <c r="C651">
        <v>14</v>
      </c>
      <c r="D651" t="str">
        <f t="shared" si="10"/>
        <v>13/02/2025Orthopaedics</v>
      </c>
    </row>
    <row r="652" spans="1:4">
      <c r="A652" s="1">
        <v>45701</v>
      </c>
      <c r="B652" t="s">
        <v>46</v>
      </c>
      <c r="C652">
        <v>12</v>
      </c>
      <c r="D652" t="str">
        <f t="shared" si="10"/>
        <v>13/02/2025Neurology</v>
      </c>
    </row>
    <row r="653" spans="1:4">
      <c r="A653" s="1">
        <v>45701</v>
      </c>
      <c r="B653" t="s">
        <v>47</v>
      </c>
      <c r="C653">
        <v>16</v>
      </c>
      <c r="D653" t="str">
        <f t="shared" si="10"/>
        <v>13/02/2025Oncology</v>
      </c>
    </row>
    <row r="654" spans="1:4">
      <c r="A654" s="1">
        <v>45701</v>
      </c>
      <c r="B654" t="s">
        <v>49</v>
      </c>
      <c r="C654">
        <v>11</v>
      </c>
      <c r="D654" t="str">
        <f t="shared" si="10"/>
        <v>13/02/2025Paediatrics</v>
      </c>
    </row>
    <row r="655" spans="1:4">
      <c r="A655" s="1">
        <v>45701</v>
      </c>
      <c r="B655" t="s">
        <v>45</v>
      </c>
      <c r="C655">
        <v>12</v>
      </c>
      <c r="D655" t="str">
        <f t="shared" si="10"/>
        <v>13/02/2025Maternity</v>
      </c>
    </row>
    <row r="656" spans="1:4">
      <c r="A656" s="1">
        <v>45701</v>
      </c>
      <c r="B656" t="s">
        <v>50</v>
      </c>
      <c r="C656">
        <v>19</v>
      </c>
      <c r="D656" t="str">
        <f t="shared" si="10"/>
        <v>13/02/2025Renal Medicine</v>
      </c>
    </row>
    <row r="657" spans="1:4">
      <c r="A657" s="1">
        <v>45701</v>
      </c>
      <c r="B657" t="s">
        <v>42</v>
      </c>
      <c r="C657">
        <v>10</v>
      </c>
      <c r="D657" t="str">
        <f t="shared" si="10"/>
        <v>13/02/2025Gastroenterology</v>
      </c>
    </row>
    <row r="658" spans="1:4">
      <c r="A658" s="1">
        <v>45701</v>
      </c>
      <c r="B658" t="s">
        <v>98</v>
      </c>
      <c r="C658">
        <v>8</v>
      </c>
      <c r="D658" t="str">
        <f t="shared" si="10"/>
        <v>13/02/2025Endocrinology</v>
      </c>
    </row>
    <row r="659" spans="1:4">
      <c r="A659" s="1">
        <v>45701</v>
      </c>
      <c r="B659" t="s">
        <v>100</v>
      </c>
      <c r="C659">
        <v>10</v>
      </c>
      <c r="D659" t="str">
        <f t="shared" si="10"/>
        <v>13/02/2025Urology</v>
      </c>
    </row>
    <row r="660" spans="1:4">
      <c r="A660" s="1">
        <v>45701</v>
      </c>
      <c r="B660" t="s">
        <v>41</v>
      </c>
      <c r="C660">
        <v>12</v>
      </c>
      <c r="D660" t="str">
        <f t="shared" si="10"/>
        <v>13/02/2025ENT</v>
      </c>
    </row>
    <row r="661" spans="1:4">
      <c r="A661" s="1">
        <v>45701</v>
      </c>
      <c r="B661" t="s">
        <v>44</v>
      </c>
      <c r="C661">
        <v>14</v>
      </c>
      <c r="D661" t="str">
        <f t="shared" si="10"/>
        <v>13/02/2025Geriatrics</v>
      </c>
    </row>
    <row r="662" spans="1:4">
      <c r="A662" s="1">
        <v>45702</v>
      </c>
      <c r="B662" t="s">
        <v>39</v>
      </c>
      <c r="C662">
        <v>22</v>
      </c>
      <c r="D662" t="str">
        <f t="shared" si="10"/>
        <v>14/02/2025A&amp;E (Emergency)</v>
      </c>
    </row>
    <row r="663" spans="1:4">
      <c r="A663" s="1">
        <v>45702</v>
      </c>
      <c r="B663" t="s">
        <v>40</v>
      </c>
      <c r="C663">
        <v>15</v>
      </c>
      <c r="D663" t="str">
        <f t="shared" si="10"/>
        <v>14/02/2025Cardiology</v>
      </c>
    </row>
    <row r="664" spans="1:4">
      <c r="A664" s="1">
        <v>45702</v>
      </c>
      <c r="B664" t="s">
        <v>51</v>
      </c>
      <c r="C664">
        <v>12</v>
      </c>
      <c r="D664" t="str">
        <f t="shared" si="10"/>
        <v>14/02/2025Respiratory</v>
      </c>
    </row>
    <row r="665" spans="1:4">
      <c r="A665" s="1">
        <v>45702</v>
      </c>
      <c r="B665" t="s">
        <v>43</v>
      </c>
      <c r="C665">
        <v>18</v>
      </c>
      <c r="D665" t="str">
        <f t="shared" si="10"/>
        <v>14/02/2025General Surgery</v>
      </c>
    </row>
    <row r="666" spans="1:4">
      <c r="A666" s="1">
        <v>45702</v>
      </c>
      <c r="B666" t="s">
        <v>48</v>
      </c>
      <c r="C666">
        <v>13</v>
      </c>
      <c r="D666" t="str">
        <f t="shared" si="10"/>
        <v>14/02/2025Orthopaedics</v>
      </c>
    </row>
    <row r="667" spans="1:4">
      <c r="A667" s="1">
        <v>45702</v>
      </c>
      <c r="B667" t="s">
        <v>46</v>
      </c>
      <c r="C667">
        <v>11</v>
      </c>
      <c r="D667" t="str">
        <f t="shared" si="10"/>
        <v>14/02/2025Neurology</v>
      </c>
    </row>
    <row r="668" spans="1:4">
      <c r="A668" s="1">
        <v>45702</v>
      </c>
      <c r="B668" t="s">
        <v>47</v>
      </c>
      <c r="C668">
        <v>15</v>
      </c>
      <c r="D668" t="str">
        <f t="shared" si="10"/>
        <v>14/02/2025Oncology</v>
      </c>
    </row>
    <row r="669" spans="1:4">
      <c r="A669" s="1">
        <v>45702</v>
      </c>
      <c r="B669" t="s">
        <v>49</v>
      </c>
      <c r="C669">
        <v>10</v>
      </c>
      <c r="D669" t="str">
        <f t="shared" si="10"/>
        <v>14/02/2025Paediatrics</v>
      </c>
    </row>
    <row r="670" spans="1:4">
      <c r="A670" s="1">
        <v>45702</v>
      </c>
      <c r="B670" t="s">
        <v>45</v>
      </c>
      <c r="C670">
        <v>11</v>
      </c>
      <c r="D670" t="str">
        <f t="shared" si="10"/>
        <v>14/02/2025Maternity</v>
      </c>
    </row>
    <row r="671" spans="1:4">
      <c r="A671" s="1">
        <v>45702</v>
      </c>
      <c r="B671" t="s">
        <v>50</v>
      </c>
      <c r="C671">
        <v>18</v>
      </c>
      <c r="D671" t="str">
        <f t="shared" si="10"/>
        <v>14/02/2025Renal Medicine</v>
      </c>
    </row>
    <row r="672" spans="1:4">
      <c r="A672" s="1">
        <v>45702</v>
      </c>
      <c r="B672" t="s">
        <v>42</v>
      </c>
      <c r="C672">
        <v>9</v>
      </c>
      <c r="D672" t="str">
        <f t="shared" si="10"/>
        <v>14/02/2025Gastroenterology</v>
      </c>
    </row>
    <row r="673" spans="1:4">
      <c r="A673" s="1">
        <v>45702</v>
      </c>
      <c r="B673" t="s">
        <v>98</v>
      </c>
      <c r="C673">
        <v>7</v>
      </c>
      <c r="D673" t="str">
        <f t="shared" si="10"/>
        <v>14/02/2025Endocrinology</v>
      </c>
    </row>
    <row r="674" spans="1:4">
      <c r="A674" s="1">
        <v>45702</v>
      </c>
      <c r="B674" t="s">
        <v>100</v>
      </c>
      <c r="C674">
        <v>9</v>
      </c>
      <c r="D674" t="str">
        <f t="shared" si="10"/>
        <v>14/02/2025Urology</v>
      </c>
    </row>
    <row r="675" spans="1:4">
      <c r="A675" s="1">
        <v>45702</v>
      </c>
      <c r="B675" t="s">
        <v>41</v>
      </c>
      <c r="C675">
        <v>11</v>
      </c>
      <c r="D675" t="str">
        <f t="shared" si="10"/>
        <v>14/02/2025ENT</v>
      </c>
    </row>
    <row r="676" spans="1:4">
      <c r="A676" s="1">
        <v>45702</v>
      </c>
      <c r="B676" t="s">
        <v>44</v>
      </c>
      <c r="C676">
        <v>13</v>
      </c>
      <c r="D676" t="str">
        <f t="shared" si="10"/>
        <v>14/02/2025Geriatrics</v>
      </c>
    </row>
    <row r="677" spans="1:4">
      <c r="A677" s="1">
        <v>45703</v>
      </c>
      <c r="B677" t="s">
        <v>39</v>
      </c>
      <c r="C677">
        <v>20</v>
      </c>
      <c r="D677" t="str">
        <f t="shared" si="10"/>
        <v>15/02/2025A&amp;E (Emergency)</v>
      </c>
    </row>
    <row r="678" spans="1:4">
      <c r="A678" s="1">
        <v>45703</v>
      </c>
      <c r="B678" t="s">
        <v>40</v>
      </c>
      <c r="C678">
        <v>12</v>
      </c>
      <c r="D678" t="str">
        <f t="shared" si="10"/>
        <v>15/02/2025Cardiology</v>
      </c>
    </row>
    <row r="679" spans="1:4">
      <c r="A679" s="1">
        <v>45703</v>
      </c>
      <c r="B679" t="s">
        <v>51</v>
      </c>
      <c r="C679">
        <v>9</v>
      </c>
      <c r="D679" t="str">
        <f t="shared" si="10"/>
        <v>15/02/2025Respiratory</v>
      </c>
    </row>
    <row r="680" spans="1:4">
      <c r="A680" s="1">
        <v>45703</v>
      </c>
      <c r="B680" t="s">
        <v>43</v>
      </c>
      <c r="C680">
        <v>15</v>
      </c>
      <c r="D680" t="str">
        <f t="shared" si="10"/>
        <v>15/02/2025General Surgery</v>
      </c>
    </row>
    <row r="681" spans="1:4">
      <c r="A681" s="1">
        <v>45703</v>
      </c>
      <c r="B681" t="s">
        <v>48</v>
      </c>
      <c r="C681">
        <v>11</v>
      </c>
      <c r="D681" t="str">
        <f t="shared" si="10"/>
        <v>15/02/2025Orthopaedics</v>
      </c>
    </row>
    <row r="682" spans="1:4">
      <c r="A682" s="1">
        <v>45703</v>
      </c>
      <c r="B682" t="s">
        <v>46</v>
      </c>
      <c r="C682">
        <v>9</v>
      </c>
      <c r="D682" t="str">
        <f t="shared" si="10"/>
        <v>15/02/2025Neurology</v>
      </c>
    </row>
    <row r="683" spans="1:4">
      <c r="A683" s="1">
        <v>45703</v>
      </c>
      <c r="B683" t="s">
        <v>47</v>
      </c>
      <c r="C683">
        <v>13</v>
      </c>
      <c r="D683" t="str">
        <f t="shared" si="10"/>
        <v>15/02/2025Oncology</v>
      </c>
    </row>
    <row r="684" spans="1:4">
      <c r="A684" s="1">
        <v>45703</v>
      </c>
      <c r="B684" t="s">
        <v>49</v>
      </c>
      <c r="C684">
        <v>9</v>
      </c>
      <c r="D684" t="str">
        <f t="shared" si="10"/>
        <v>15/02/2025Paediatrics</v>
      </c>
    </row>
    <row r="685" spans="1:4">
      <c r="A685" s="1">
        <v>45703</v>
      </c>
      <c r="B685" t="s">
        <v>45</v>
      </c>
      <c r="C685">
        <v>10</v>
      </c>
      <c r="D685" t="str">
        <f t="shared" si="10"/>
        <v>15/02/2025Maternity</v>
      </c>
    </row>
    <row r="686" spans="1:4">
      <c r="A686" s="1">
        <v>45703</v>
      </c>
      <c r="B686" t="s">
        <v>50</v>
      </c>
      <c r="C686">
        <v>17</v>
      </c>
      <c r="D686" t="str">
        <f t="shared" si="10"/>
        <v>15/02/2025Renal Medicine</v>
      </c>
    </row>
    <row r="687" spans="1:4">
      <c r="A687" s="1">
        <v>45703</v>
      </c>
      <c r="B687" t="s">
        <v>42</v>
      </c>
      <c r="C687">
        <v>7</v>
      </c>
      <c r="D687" t="str">
        <f t="shared" si="10"/>
        <v>15/02/2025Gastroenterology</v>
      </c>
    </row>
    <row r="688" spans="1:4">
      <c r="A688" s="1">
        <v>45703</v>
      </c>
      <c r="B688" t="s">
        <v>98</v>
      </c>
      <c r="C688">
        <v>6</v>
      </c>
      <c r="D688" t="str">
        <f t="shared" si="10"/>
        <v>15/02/2025Endocrinology</v>
      </c>
    </row>
    <row r="689" spans="1:4">
      <c r="A689" s="1">
        <v>45703</v>
      </c>
      <c r="B689" t="s">
        <v>100</v>
      </c>
      <c r="C689">
        <v>8</v>
      </c>
      <c r="D689" t="str">
        <f t="shared" si="10"/>
        <v>15/02/2025Urology</v>
      </c>
    </row>
    <row r="690" spans="1:4">
      <c r="A690" s="1">
        <v>45703</v>
      </c>
      <c r="B690" t="s">
        <v>41</v>
      </c>
      <c r="C690">
        <v>10</v>
      </c>
      <c r="D690" t="str">
        <f t="shared" si="10"/>
        <v>15/02/2025ENT</v>
      </c>
    </row>
    <row r="691" spans="1:4">
      <c r="A691" s="1">
        <v>45703</v>
      </c>
      <c r="B691" t="s">
        <v>44</v>
      </c>
      <c r="C691">
        <v>12</v>
      </c>
      <c r="D691" t="str">
        <f t="shared" si="10"/>
        <v>15/02/2025Geriatrics</v>
      </c>
    </row>
    <row r="692" spans="1:4">
      <c r="A692" s="1">
        <v>45704</v>
      </c>
      <c r="B692" t="s">
        <v>39</v>
      </c>
      <c r="C692">
        <v>19</v>
      </c>
      <c r="D692" t="str">
        <f t="shared" si="10"/>
        <v>16/02/2025A&amp;E (Emergency)</v>
      </c>
    </row>
    <row r="693" spans="1:4">
      <c r="A693" s="1">
        <v>45704</v>
      </c>
      <c r="B693" t="s">
        <v>40</v>
      </c>
      <c r="C693">
        <v>11</v>
      </c>
      <c r="D693" t="str">
        <f t="shared" si="10"/>
        <v>16/02/2025Cardiology</v>
      </c>
    </row>
    <row r="694" spans="1:4">
      <c r="A694" s="1">
        <v>45704</v>
      </c>
      <c r="B694" t="s">
        <v>51</v>
      </c>
      <c r="C694">
        <v>9</v>
      </c>
      <c r="D694" t="str">
        <f t="shared" si="10"/>
        <v>16/02/2025Respiratory</v>
      </c>
    </row>
    <row r="695" spans="1:4">
      <c r="A695" s="1">
        <v>45704</v>
      </c>
      <c r="B695" t="s">
        <v>43</v>
      </c>
      <c r="C695">
        <v>14</v>
      </c>
      <c r="D695" t="str">
        <f t="shared" si="10"/>
        <v>16/02/2025General Surgery</v>
      </c>
    </row>
    <row r="696" spans="1:4">
      <c r="A696" s="1">
        <v>45704</v>
      </c>
      <c r="B696" t="s">
        <v>48</v>
      </c>
      <c r="C696">
        <v>10</v>
      </c>
      <c r="D696" t="str">
        <f t="shared" si="10"/>
        <v>16/02/2025Orthopaedics</v>
      </c>
    </row>
    <row r="697" spans="1:4">
      <c r="A697" s="1">
        <v>45704</v>
      </c>
      <c r="B697" t="s">
        <v>46</v>
      </c>
      <c r="C697">
        <v>9</v>
      </c>
      <c r="D697" t="str">
        <f t="shared" si="10"/>
        <v>16/02/2025Neurology</v>
      </c>
    </row>
    <row r="698" spans="1:4">
      <c r="A698" s="1">
        <v>45704</v>
      </c>
      <c r="B698" t="s">
        <v>47</v>
      </c>
      <c r="C698">
        <v>12</v>
      </c>
      <c r="D698" t="str">
        <f t="shared" si="10"/>
        <v>16/02/2025Oncology</v>
      </c>
    </row>
    <row r="699" spans="1:4">
      <c r="A699" s="1">
        <v>45704</v>
      </c>
      <c r="B699" t="s">
        <v>49</v>
      </c>
      <c r="C699">
        <v>8</v>
      </c>
      <c r="D699" t="str">
        <f t="shared" si="10"/>
        <v>16/02/2025Paediatrics</v>
      </c>
    </row>
    <row r="700" spans="1:4">
      <c r="A700" s="1">
        <v>45704</v>
      </c>
      <c r="B700" t="s">
        <v>45</v>
      </c>
      <c r="C700">
        <v>9</v>
      </c>
      <c r="D700" t="str">
        <f t="shared" si="10"/>
        <v>16/02/2025Maternity</v>
      </c>
    </row>
    <row r="701" spans="1:4">
      <c r="A701" s="1">
        <v>45704</v>
      </c>
      <c r="B701" t="s">
        <v>50</v>
      </c>
      <c r="C701">
        <v>17</v>
      </c>
      <c r="D701" t="str">
        <f t="shared" si="10"/>
        <v>16/02/2025Renal Medicine</v>
      </c>
    </row>
    <row r="702" spans="1:4">
      <c r="A702" s="1">
        <v>45704</v>
      </c>
      <c r="B702" t="s">
        <v>42</v>
      </c>
      <c r="C702">
        <v>7</v>
      </c>
      <c r="D702" t="str">
        <f t="shared" si="10"/>
        <v>16/02/2025Gastroenterology</v>
      </c>
    </row>
    <row r="703" spans="1:4">
      <c r="A703" s="1">
        <v>45704</v>
      </c>
      <c r="B703" t="s">
        <v>98</v>
      </c>
      <c r="C703">
        <v>6</v>
      </c>
      <c r="D703" t="str">
        <f t="shared" si="10"/>
        <v>16/02/2025Endocrinology</v>
      </c>
    </row>
    <row r="704" spans="1:4">
      <c r="A704" s="1">
        <v>45704</v>
      </c>
      <c r="B704" t="s">
        <v>100</v>
      </c>
      <c r="C704">
        <v>8</v>
      </c>
      <c r="D704" t="str">
        <f t="shared" si="10"/>
        <v>16/02/2025Urology</v>
      </c>
    </row>
    <row r="705" spans="1:4">
      <c r="A705" s="1">
        <v>45704</v>
      </c>
      <c r="B705" t="s">
        <v>41</v>
      </c>
      <c r="C705">
        <v>10</v>
      </c>
      <c r="D705" t="str">
        <f t="shared" si="10"/>
        <v>16/02/2025ENT</v>
      </c>
    </row>
    <row r="706" spans="1:4">
      <c r="A706" s="1">
        <v>45704</v>
      </c>
      <c r="B706" t="s">
        <v>44</v>
      </c>
      <c r="C706">
        <v>12</v>
      </c>
      <c r="D706" t="str">
        <f t="shared" si="10"/>
        <v>16/02/2025Geriatrics</v>
      </c>
    </row>
    <row r="707" spans="1:4">
      <c r="A707" s="1">
        <v>45705</v>
      </c>
      <c r="B707" t="s">
        <v>39</v>
      </c>
      <c r="C707">
        <v>27</v>
      </c>
      <c r="D707" t="str">
        <f t="shared" ref="D707:D770" si="11">TEXT(A707, "dd/mm/yyyy")&amp;B707</f>
        <v>17/02/2025A&amp;E (Emergency)</v>
      </c>
    </row>
    <row r="708" spans="1:4">
      <c r="A708" s="1">
        <v>45705</v>
      </c>
      <c r="B708" t="s">
        <v>40</v>
      </c>
      <c r="C708">
        <v>18</v>
      </c>
      <c r="D708" t="str">
        <f t="shared" si="11"/>
        <v>17/02/2025Cardiology</v>
      </c>
    </row>
    <row r="709" spans="1:4">
      <c r="A709" s="1">
        <v>45705</v>
      </c>
      <c r="B709" t="s">
        <v>51</v>
      </c>
      <c r="C709">
        <v>15</v>
      </c>
      <c r="D709" t="str">
        <f t="shared" si="11"/>
        <v>17/02/2025Respiratory</v>
      </c>
    </row>
    <row r="710" spans="1:4">
      <c r="A710" s="1">
        <v>45705</v>
      </c>
      <c r="B710" t="s">
        <v>43</v>
      </c>
      <c r="C710">
        <v>21</v>
      </c>
      <c r="D710" t="str">
        <f t="shared" si="11"/>
        <v>17/02/2025General Surgery</v>
      </c>
    </row>
    <row r="711" spans="1:4">
      <c r="A711" s="1">
        <v>45705</v>
      </c>
      <c r="B711" t="s">
        <v>48</v>
      </c>
      <c r="C711">
        <v>16</v>
      </c>
      <c r="D711" t="str">
        <f t="shared" si="11"/>
        <v>17/02/2025Orthopaedics</v>
      </c>
    </row>
    <row r="712" spans="1:4">
      <c r="A712" s="1">
        <v>45705</v>
      </c>
      <c r="B712" t="s">
        <v>46</v>
      </c>
      <c r="C712">
        <v>14</v>
      </c>
      <c r="D712" t="str">
        <f t="shared" si="11"/>
        <v>17/02/2025Neurology</v>
      </c>
    </row>
    <row r="713" spans="1:4">
      <c r="A713" s="1">
        <v>45705</v>
      </c>
      <c r="B713" t="s">
        <v>47</v>
      </c>
      <c r="C713">
        <v>18</v>
      </c>
      <c r="D713" t="str">
        <f t="shared" si="11"/>
        <v>17/02/2025Oncology</v>
      </c>
    </row>
    <row r="714" spans="1:4">
      <c r="A714" s="1">
        <v>45705</v>
      </c>
      <c r="B714" t="s">
        <v>49</v>
      </c>
      <c r="C714">
        <v>13</v>
      </c>
      <c r="D714" t="str">
        <f t="shared" si="11"/>
        <v>17/02/2025Paediatrics</v>
      </c>
    </row>
    <row r="715" spans="1:4">
      <c r="A715" s="1">
        <v>45705</v>
      </c>
      <c r="B715" t="s">
        <v>45</v>
      </c>
      <c r="C715">
        <v>13</v>
      </c>
      <c r="D715" t="str">
        <f t="shared" si="11"/>
        <v>17/02/2025Maternity</v>
      </c>
    </row>
    <row r="716" spans="1:4">
      <c r="A716" s="1">
        <v>45705</v>
      </c>
      <c r="B716" t="s">
        <v>50</v>
      </c>
      <c r="C716">
        <v>21</v>
      </c>
      <c r="D716" t="str">
        <f t="shared" si="11"/>
        <v>17/02/2025Renal Medicine</v>
      </c>
    </row>
    <row r="717" spans="1:4">
      <c r="A717" s="1">
        <v>45705</v>
      </c>
      <c r="B717" t="s">
        <v>42</v>
      </c>
      <c r="C717">
        <v>12</v>
      </c>
      <c r="D717" t="str">
        <f t="shared" si="11"/>
        <v>17/02/2025Gastroenterology</v>
      </c>
    </row>
    <row r="718" spans="1:4">
      <c r="A718" s="1">
        <v>45705</v>
      </c>
      <c r="B718" t="s">
        <v>98</v>
      </c>
      <c r="C718">
        <v>10</v>
      </c>
      <c r="D718" t="str">
        <f t="shared" si="11"/>
        <v>17/02/2025Endocrinology</v>
      </c>
    </row>
    <row r="719" spans="1:4">
      <c r="A719" s="1">
        <v>45705</v>
      </c>
      <c r="B719" t="s">
        <v>100</v>
      </c>
      <c r="C719">
        <v>11</v>
      </c>
      <c r="D719" t="str">
        <f t="shared" si="11"/>
        <v>17/02/2025Urology</v>
      </c>
    </row>
    <row r="720" spans="1:4">
      <c r="A720" s="1">
        <v>45705</v>
      </c>
      <c r="B720" t="s">
        <v>41</v>
      </c>
      <c r="C720">
        <v>13</v>
      </c>
      <c r="D720" t="str">
        <f t="shared" si="11"/>
        <v>17/02/2025ENT</v>
      </c>
    </row>
    <row r="721" spans="1:4">
      <c r="A721" s="1">
        <v>45705</v>
      </c>
      <c r="B721" t="s">
        <v>44</v>
      </c>
      <c r="C721">
        <v>16</v>
      </c>
      <c r="D721" t="str">
        <f t="shared" si="11"/>
        <v>17/02/2025Geriatrics</v>
      </c>
    </row>
    <row r="722" spans="1:4">
      <c r="A722" s="1">
        <v>45706</v>
      </c>
      <c r="B722" t="s">
        <v>39</v>
      </c>
      <c r="C722">
        <v>25</v>
      </c>
      <c r="D722" t="str">
        <f t="shared" si="11"/>
        <v>18/02/2025A&amp;E (Emergency)</v>
      </c>
    </row>
    <row r="723" spans="1:4">
      <c r="A723" s="1">
        <v>45706</v>
      </c>
      <c r="B723" t="s">
        <v>40</v>
      </c>
      <c r="C723">
        <v>17</v>
      </c>
      <c r="D723" t="str">
        <f t="shared" si="11"/>
        <v>18/02/2025Cardiology</v>
      </c>
    </row>
    <row r="724" spans="1:4">
      <c r="A724" s="1">
        <v>45706</v>
      </c>
      <c r="B724" t="s">
        <v>51</v>
      </c>
      <c r="C724">
        <v>14</v>
      </c>
      <c r="D724" t="str">
        <f t="shared" si="11"/>
        <v>18/02/2025Respiratory</v>
      </c>
    </row>
    <row r="725" spans="1:4">
      <c r="A725" s="1">
        <v>45706</v>
      </c>
      <c r="B725" t="s">
        <v>43</v>
      </c>
      <c r="C725">
        <v>20</v>
      </c>
      <c r="D725" t="str">
        <f t="shared" si="11"/>
        <v>18/02/2025General Surgery</v>
      </c>
    </row>
    <row r="726" spans="1:4">
      <c r="A726" s="1">
        <v>45706</v>
      </c>
      <c r="B726" t="s">
        <v>48</v>
      </c>
      <c r="C726">
        <v>15</v>
      </c>
      <c r="D726" t="str">
        <f t="shared" si="11"/>
        <v>18/02/2025Orthopaedics</v>
      </c>
    </row>
    <row r="727" spans="1:4">
      <c r="A727" s="1">
        <v>45706</v>
      </c>
      <c r="B727" t="s">
        <v>46</v>
      </c>
      <c r="C727">
        <v>13</v>
      </c>
      <c r="D727" t="str">
        <f t="shared" si="11"/>
        <v>18/02/2025Neurology</v>
      </c>
    </row>
    <row r="728" spans="1:4">
      <c r="A728" s="1">
        <v>45706</v>
      </c>
      <c r="B728" t="s">
        <v>47</v>
      </c>
      <c r="C728">
        <v>17</v>
      </c>
      <c r="D728" t="str">
        <f t="shared" si="11"/>
        <v>18/02/2025Oncology</v>
      </c>
    </row>
    <row r="729" spans="1:4">
      <c r="A729" s="1">
        <v>45706</v>
      </c>
      <c r="B729" t="s">
        <v>49</v>
      </c>
      <c r="C729">
        <v>12</v>
      </c>
      <c r="D729" t="str">
        <f t="shared" si="11"/>
        <v>18/02/2025Paediatrics</v>
      </c>
    </row>
    <row r="730" spans="1:4">
      <c r="A730" s="1">
        <v>45706</v>
      </c>
      <c r="B730" t="s">
        <v>45</v>
      </c>
      <c r="C730">
        <v>12</v>
      </c>
      <c r="D730" t="str">
        <f t="shared" si="11"/>
        <v>18/02/2025Maternity</v>
      </c>
    </row>
    <row r="731" spans="1:4">
      <c r="A731" s="1">
        <v>45706</v>
      </c>
      <c r="B731" t="s">
        <v>50</v>
      </c>
      <c r="C731">
        <v>20</v>
      </c>
      <c r="D731" t="str">
        <f t="shared" si="11"/>
        <v>18/02/2025Renal Medicine</v>
      </c>
    </row>
    <row r="732" spans="1:4">
      <c r="A732" s="1">
        <v>45706</v>
      </c>
      <c r="B732" t="s">
        <v>42</v>
      </c>
      <c r="C732">
        <v>11</v>
      </c>
      <c r="D732" t="str">
        <f t="shared" si="11"/>
        <v>18/02/2025Gastroenterology</v>
      </c>
    </row>
    <row r="733" spans="1:4">
      <c r="A733" s="1">
        <v>45706</v>
      </c>
      <c r="B733" t="s">
        <v>98</v>
      </c>
      <c r="C733">
        <v>9</v>
      </c>
      <c r="D733" t="str">
        <f t="shared" si="11"/>
        <v>18/02/2025Endocrinology</v>
      </c>
    </row>
    <row r="734" spans="1:4">
      <c r="A734" s="1">
        <v>45706</v>
      </c>
      <c r="B734" t="s">
        <v>100</v>
      </c>
      <c r="C734">
        <v>10</v>
      </c>
      <c r="D734" t="str">
        <f t="shared" si="11"/>
        <v>18/02/2025Urology</v>
      </c>
    </row>
    <row r="735" spans="1:4">
      <c r="A735" s="1">
        <v>45706</v>
      </c>
      <c r="B735" t="s">
        <v>41</v>
      </c>
      <c r="C735">
        <v>12</v>
      </c>
      <c r="D735" t="str">
        <f t="shared" si="11"/>
        <v>18/02/2025ENT</v>
      </c>
    </row>
    <row r="736" spans="1:4">
      <c r="A736" s="1">
        <v>45706</v>
      </c>
      <c r="B736" t="s">
        <v>44</v>
      </c>
      <c r="C736">
        <v>15</v>
      </c>
      <c r="D736" t="str">
        <f t="shared" si="11"/>
        <v>18/02/2025Geriatrics</v>
      </c>
    </row>
    <row r="737" spans="1:4">
      <c r="A737" s="1">
        <v>45707</v>
      </c>
      <c r="B737" t="s">
        <v>39</v>
      </c>
      <c r="C737">
        <v>24</v>
      </c>
      <c r="D737" t="str">
        <f t="shared" si="11"/>
        <v>19/02/2025A&amp;E (Emergency)</v>
      </c>
    </row>
    <row r="738" spans="1:4">
      <c r="A738" s="1">
        <v>45707</v>
      </c>
      <c r="B738" t="s">
        <v>40</v>
      </c>
      <c r="C738">
        <v>16</v>
      </c>
      <c r="D738" t="str">
        <f t="shared" si="11"/>
        <v>19/02/2025Cardiology</v>
      </c>
    </row>
    <row r="739" spans="1:4">
      <c r="A739" s="1">
        <v>45707</v>
      </c>
      <c r="B739" t="s">
        <v>51</v>
      </c>
      <c r="C739">
        <v>13</v>
      </c>
      <c r="D739" t="str">
        <f t="shared" si="11"/>
        <v>19/02/2025Respiratory</v>
      </c>
    </row>
    <row r="740" spans="1:4">
      <c r="A740" s="1">
        <v>45707</v>
      </c>
      <c r="B740" t="s">
        <v>43</v>
      </c>
      <c r="C740">
        <v>19</v>
      </c>
      <c r="D740" t="str">
        <f t="shared" si="11"/>
        <v>19/02/2025General Surgery</v>
      </c>
    </row>
    <row r="741" spans="1:4">
      <c r="A741" s="1">
        <v>45707</v>
      </c>
      <c r="B741" t="s">
        <v>48</v>
      </c>
      <c r="C741">
        <v>14</v>
      </c>
      <c r="D741" t="str">
        <f t="shared" si="11"/>
        <v>19/02/2025Orthopaedics</v>
      </c>
    </row>
    <row r="742" spans="1:4">
      <c r="A742" s="1">
        <v>45707</v>
      </c>
      <c r="B742" t="s">
        <v>46</v>
      </c>
      <c r="C742">
        <v>12</v>
      </c>
      <c r="D742" t="str">
        <f t="shared" si="11"/>
        <v>19/02/2025Neurology</v>
      </c>
    </row>
    <row r="743" spans="1:4">
      <c r="A743" s="1">
        <v>45707</v>
      </c>
      <c r="B743" t="s">
        <v>47</v>
      </c>
      <c r="C743">
        <v>16</v>
      </c>
      <c r="D743" t="str">
        <f t="shared" si="11"/>
        <v>19/02/2025Oncology</v>
      </c>
    </row>
    <row r="744" spans="1:4">
      <c r="A744" s="1">
        <v>45707</v>
      </c>
      <c r="B744" t="s">
        <v>49</v>
      </c>
      <c r="C744">
        <v>11</v>
      </c>
      <c r="D744" t="str">
        <f t="shared" si="11"/>
        <v>19/02/2025Paediatrics</v>
      </c>
    </row>
    <row r="745" spans="1:4">
      <c r="A745" s="1">
        <v>45707</v>
      </c>
      <c r="B745" t="s">
        <v>45</v>
      </c>
      <c r="C745">
        <v>12</v>
      </c>
      <c r="D745" t="str">
        <f t="shared" si="11"/>
        <v>19/02/2025Maternity</v>
      </c>
    </row>
    <row r="746" spans="1:4">
      <c r="A746" s="1">
        <v>45707</v>
      </c>
      <c r="B746" t="s">
        <v>50</v>
      </c>
      <c r="C746">
        <v>19</v>
      </c>
      <c r="D746" t="str">
        <f t="shared" si="11"/>
        <v>19/02/2025Renal Medicine</v>
      </c>
    </row>
    <row r="747" spans="1:4">
      <c r="A747" s="1">
        <v>45707</v>
      </c>
      <c r="B747" t="s">
        <v>42</v>
      </c>
      <c r="C747">
        <v>10</v>
      </c>
      <c r="D747" t="str">
        <f t="shared" si="11"/>
        <v>19/02/2025Gastroenterology</v>
      </c>
    </row>
    <row r="748" spans="1:4">
      <c r="A748" s="1">
        <v>45707</v>
      </c>
      <c r="B748" t="s">
        <v>98</v>
      </c>
      <c r="C748">
        <v>8</v>
      </c>
      <c r="D748" t="str">
        <f t="shared" si="11"/>
        <v>19/02/2025Endocrinology</v>
      </c>
    </row>
    <row r="749" spans="1:4">
      <c r="A749" s="1">
        <v>45707</v>
      </c>
      <c r="B749" t="s">
        <v>100</v>
      </c>
      <c r="C749">
        <v>10</v>
      </c>
      <c r="D749" t="str">
        <f t="shared" si="11"/>
        <v>19/02/2025Urology</v>
      </c>
    </row>
    <row r="750" spans="1:4">
      <c r="A750" s="1">
        <v>45707</v>
      </c>
      <c r="B750" t="s">
        <v>41</v>
      </c>
      <c r="C750">
        <v>12</v>
      </c>
      <c r="D750" t="str">
        <f t="shared" si="11"/>
        <v>19/02/2025ENT</v>
      </c>
    </row>
    <row r="751" spans="1:4">
      <c r="A751" s="1">
        <v>45707</v>
      </c>
      <c r="B751" t="s">
        <v>44</v>
      </c>
      <c r="C751">
        <v>14</v>
      </c>
      <c r="D751" t="str">
        <f t="shared" si="11"/>
        <v>19/02/2025Geriatrics</v>
      </c>
    </row>
    <row r="752" spans="1:4">
      <c r="A752" s="1">
        <v>45708</v>
      </c>
      <c r="B752" t="s">
        <v>39</v>
      </c>
      <c r="C752">
        <v>23</v>
      </c>
      <c r="D752" t="str">
        <f t="shared" si="11"/>
        <v>20/02/2025A&amp;E (Emergency)</v>
      </c>
    </row>
    <row r="753" spans="1:4">
      <c r="A753" s="1">
        <v>45708</v>
      </c>
      <c r="B753" t="s">
        <v>40</v>
      </c>
      <c r="C753">
        <v>16</v>
      </c>
      <c r="D753" t="str">
        <f t="shared" si="11"/>
        <v>20/02/2025Cardiology</v>
      </c>
    </row>
    <row r="754" spans="1:4">
      <c r="A754" s="1">
        <v>45708</v>
      </c>
      <c r="B754" t="s">
        <v>51</v>
      </c>
      <c r="C754">
        <v>13</v>
      </c>
      <c r="D754" t="str">
        <f t="shared" si="11"/>
        <v>20/02/2025Respiratory</v>
      </c>
    </row>
    <row r="755" spans="1:4">
      <c r="A755" s="1">
        <v>45708</v>
      </c>
      <c r="B755" t="s">
        <v>43</v>
      </c>
      <c r="C755">
        <v>19</v>
      </c>
      <c r="D755" t="str">
        <f t="shared" si="11"/>
        <v>20/02/2025General Surgery</v>
      </c>
    </row>
    <row r="756" spans="1:4">
      <c r="A756" s="1">
        <v>45708</v>
      </c>
      <c r="B756" t="s">
        <v>48</v>
      </c>
      <c r="C756">
        <v>14</v>
      </c>
      <c r="D756" t="str">
        <f t="shared" si="11"/>
        <v>20/02/2025Orthopaedics</v>
      </c>
    </row>
    <row r="757" spans="1:4">
      <c r="A757" s="1">
        <v>45708</v>
      </c>
      <c r="B757" t="s">
        <v>46</v>
      </c>
      <c r="C757">
        <v>12</v>
      </c>
      <c r="D757" t="str">
        <f t="shared" si="11"/>
        <v>20/02/2025Neurology</v>
      </c>
    </row>
    <row r="758" spans="1:4">
      <c r="A758" s="1">
        <v>45708</v>
      </c>
      <c r="B758" t="s">
        <v>47</v>
      </c>
      <c r="C758">
        <v>16</v>
      </c>
      <c r="D758" t="str">
        <f t="shared" si="11"/>
        <v>20/02/2025Oncology</v>
      </c>
    </row>
    <row r="759" spans="1:4">
      <c r="A759" s="1">
        <v>45708</v>
      </c>
      <c r="B759" t="s">
        <v>49</v>
      </c>
      <c r="C759">
        <v>11</v>
      </c>
      <c r="D759" t="str">
        <f t="shared" si="11"/>
        <v>20/02/2025Paediatrics</v>
      </c>
    </row>
    <row r="760" spans="1:4">
      <c r="A760" s="1">
        <v>45708</v>
      </c>
      <c r="B760" t="s">
        <v>45</v>
      </c>
      <c r="C760">
        <v>12</v>
      </c>
      <c r="D760" t="str">
        <f t="shared" si="11"/>
        <v>20/02/2025Maternity</v>
      </c>
    </row>
    <row r="761" spans="1:4">
      <c r="A761" s="1">
        <v>45708</v>
      </c>
      <c r="B761" t="s">
        <v>50</v>
      </c>
      <c r="C761">
        <v>19</v>
      </c>
      <c r="D761" t="str">
        <f t="shared" si="11"/>
        <v>20/02/2025Renal Medicine</v>
      </c>
    </row>
    <row r="762" spans="1:4">
      <c r="A762" s="1">
        <v>45708</v>
      </c>
      <c r="B762" t="s">
        <v>42</v>
      </c>
      <c r="C762">
        <v>10</v>
      </c>
      <c r="D762" t="str">
        <f t="shared" si="11"/>
        <v>20/02/2025Gastroenterology</v>
      </c>
    </row>
    <row r="763" spans="1:4">
      <c r="A763" s="1">
        <v>45708</v>
      </c>
      <c r="B763" t="s">
        <v>98</v>
      </c>
      <c r="C763">
        <v>8</v>
      </c>
      <c r="D763" t="str">
        <f t="shared" si="11"/>
        <v>20/02/2025Endocrinology</v>
      </c>
    </row>
    <row r="764" spans="1:4">
      <c r="A764" s="1">
        <v>45708</v>
      </c>
      <c r="B764" t="s">
        <v>100</v>
      </c>
      <c r="C764">
        <v>10</v>
      </c>
      <c r="D764" t="str">
        <f t="shared" si="11"/>
        <v>20/02/2025Urology</v>
      </c>
    </row>
    <row r="765" spans="1:4">
      <c r="A765" s="1">
        <v>45708</v>
      </c>
      <c r="B765" t="s">
        <v>41</v>
      </c>
      <c r="C765">
        <v>12</v>
      </c>
      <c r="D765" t="str">
        <f t="shared" si="11"/>
        <v>20/02/2025ENT</v>
      </c>
    </row>
    <row r="766" spans="1:4">
      <c r="A766" s="1">
        <v>45708</v>
      </c>
      <c r="B766" t="s">
        <v>44</v>
      </c>
      <c r="C766">
        <v>14</v>
      </c>
      <c r="D766" t="str">
        <f t="shared" si="11"/>
        <v>20/02/2025Geriatrics</v>
      </c>
    </row>
    <row r="767" spans="1:4">
      <c r="A767" s="1">
        <v>45709</v>
      </c>
      <c r="B767" t="s">
        <v>39</v>
      </c>
      <c r="C767">
        <v>22</v>
      </c>
      <c r="D767" t="str">
        <f t="shared" si="11"/>
        <v>21/02/2025A&amp;E (Emergency)</v>
      </c>
    </row>
    <row r="768" spans="1:4">
      <c r="A768" s="1">
        <v>45709</v>
      </c>
      <c r="B768" t="s">
        <v>40</v>
      </c>
      <c r="C768">
        <v>15</v>
      </c>
      <c r="D768" t="str">
        <f t="shared" si="11"/>
        <v>21/02/2025Cardiology</v>
      </c>
    </row>
    <row r="769" spans="1:4">
      <c r="A769" s="1">
        <v>45709</v>
      </c>
      <c r="B769" t="s">
        <v>51</v>
      </c>
      <c r="C769">
        <v>12</v>
      </c>
      <c r="D769" t="str">
        <f t="shared" si="11"/>
        <v>21/02/2025Respiratory</v>
      </c>
    </row>
    <row r="770" spans="1:4">
      <c r="A770" s="1">
        <v>45709</v>
      </c>
      <c r="B770" t="s">
        <v>43</v>
      </c>
      <c r="C770">
        <v>18</v>
      </c>
      <c r="D770" t="str">
        <f t="shared" si="11"/>
        <v>21/02/2025General Surgery</v>
      </c>
    </row>
    <row r="771" spans="1:4">
      <c r="A771" s="1">
        <v>45709</v>
      </c>
      <c r="B771" t="s">
        <v>48</v>
      </c>
      <c r="C771">
        <v>13</v>
      </c>
      <c r="D771" t="str">
        <f t="shared" ref="D771:D834" si="12">TEXT(A771, "dd/mm/yyyy")&amp;B771</f>
        <v>21/02/2025Orthopaedics</v>
      </c>
    </row>
    <row r="772" spans="1:4">
      <c r="A772" s="1">
        <v>45709</v>
      </c>
      <c r="B772" t="s">
        <v>46</v>
      </c>
      <c r="C772">
        <v>11</v>
      </c>
      <c r="D772" t="str">
        <f t="shared" si="12"/>
        <v>21/02/2025Neurology</v>
      </c>
    </row>
    <row r="773" spans="1:4">
      <c r="A773" s="1">
        <v>45709</v>
      </c>
      <c r="B773" t="s">
        <v>47</v>
      </c>
      <c r="C773">
        <v>15</v>
      </c>
      <c r="D773" t="str">
        <f t="shared" si="12"/>
        <v>21/02/2025Oncology</v>
      </c>
    </row>
    <row r="774" spans="1:4">
      <c r="A774" s="1">
        <v>45709</v>
      </c>
      <c r="B774" t="s">
        <v>49</v>
      </c>
      <c r="C774">
        <v>10</v>
      </c>
      <c r="D774" t="str">
        <f t="shared" si="12"/>
        <v>21/02/2025Paediatrics</v>
      </c>
    </row>
    <row r="775" spans="1:4">
      <c r="A775" s="1">
        <v>45709</v>
      </c>
      <c r="B775" t="s">
        <v>45</v>
      </c>
      <c r="C775">
        <v>11</v>
      </c>
      <c r="D775" t="str">
        <f t="shared" si="12"/>
        <v>21/02/2025Maternity</v>
      </c>
    </row>
    <row r="776" spans="1:4">
      <c r="A776" s="1">
        <v>45709</v>
      </c>
      <c r="B776" t="s">
        <v>50</v>
      </c>
      <c r="C776">
        <v>18</v>
      </c>
      <c r="D776" t="str">
        <f t="shared" si="12"/>
        <v>21/02/2025Renal Medicine</v>
      </c>
    </row>
    <row r="777" spans="1:4">
      <c r="A777" s="1">
        <v>45709</v>
      </c>
      <c r="B777" t="s">
        <v>42</v>
      </c>
      <c r="C777">
        <v>9</v>
      </c>
      <c r="D777" t="str">
        <f t="shared" si="12"/>
        <v>21/02/2025Gastroenterology</v>
      </c>
    </row>
    <row r="778" spans="1:4">
      <c r="A778" s="1">
        <v>45709</v>
      </c>
      <c r="B778" t="s">
        <v>98</v>
      </c>
      <c r="C778">
        <v>7</v>
      </c>
      <c r="D778" t="str">
        <f t="shared" si="12"/>
        <v>21/02/2025Endocrinology</v>
      </c>
    </row>
    <row r="779" spans="1:4">
      <c r="A779" s="1">
        <v>45709</v>
      </c>
      <c r="B779" t="s">
        <v>100</v>
      </c>
      <c r="C779">
        <v>9</v>
      </c>
      <c r="D779" t="str">
        <f t="shared" si="12"/>
        <v>21/02/2025Urology</v>
      </c>
    </row>
    <row r="780" spans="1:4">
      <c r="A780" s="1">
        <v>45709</v>
      </c>
      <c r="B780" t="s">
        <v>41</v>
      </c>
      <c r="C780">
        <v>11</v>
      </c>
      <c r="D780" t="str">
        <f t="shared" si="12"/>
        <v>21/02/2025ENT</v>
      </c>
    </row>
    <row r="781" spans="1:4">
      <c r="A781" s="1">
        <v>45709</v>
      </c>
      <c r="B781" t="s">
        <v>44</v>
      </c>
      <c r="C781">
        <v>13</v>
      </c>
      <c r="D781" t="str">
        <f t="shared" si="12"/>
        <v>21/02/2025Geriatrics</v>
      </c>
    </row>
    <row r="782" spans="1:4">
      <c r="A782" s="1">
        <v>45710</v>
      </c>
      <c r="B782" t="s">
        <v>39</v>
      </c>
      <c r="C782">
        <v>20</v>
      </c>
      <c r="D782" t="str">
        <f t="shared" si="12"/>
        <v>22/02/2025A&amp;E (Emergency)</v>
      </c>
    </row>
    <row r="783" spans="1:4">
      <c r="A783" s="1">
        <v>45710</v>
      </c>
      <c r="B783" t="s">
        <v>40</v>
      </c>
      <c r="C783">
        <v>12</v>
      </c>
      <c r="D783" t="str">
        <f t="shared" si="12"/>
        <v>22/02/2025Cardiology</v>
      </c>
    </row>
    <row r="784" spans="1:4">
      <c r="A784" s="1">
        <v>45710</v>
      </c>
      <c r="B784" t="s">
        <v>51</v>
      </c>
      <c r="C784">
        <v>9</v>
      </c>
      <c r="D784" t="str">
        <f t="shared" si="12"/>
        <v>22/02/2025Respiratory</v>
      </c>
    </row>
    <row r="785" spans="1:4">
      <c r="A785" s="1">
        <v>45710</v>
      </c>
      <c r="B785" t="s">
        <v>43</v>
      </c>
      <c r="C785">
        <v>15</v>
      </c>
      <c r="D785" t="str">
        <f t="shared" si="12"/>
        <v>22/02/2025General Surgery</v>
      </c>
    </row>
    <row r="786" spans="1:4">
      <c r="A786" s="1">
        <v>45710</v>
      </c>
      <c r="B786" t="s">
        <v>48</v>
      </c>
      <c r="C786">
        <v>11</v>
      </c>
      <c r="D786" t="str">
        <f t="shared" si="12"/>
        <v>22/02/2025Orthopaedics</v>
      </c>
    </row>
    <row r="787" spans="1:4">
      <c r="A787" s="1">
        <v>45710</v>
      </c>
      <c r="B787" t="s">
        <v>46</v>
      </c>
      <c r="C787">
        <v>9</v>
      </c>
      <c r="D787" t="str">
        <f t="shared" si="12"/>
        <v>22/02/2025Neurology</v>
      </c>
    </row>
    <row r="788" spans="1:4">
      <c r="A788" s="1">
        <v>45710</v>
      </c>
      <c r="B788" t="s">
        <v>47</v>
      </c>
      <c r="C788">
        <v>13</v>
      </c>
      <c r="D788" t="str">
        <f t="shared" si="12"/>
        <v>22/02/2025Oncology</v>
      </c>
    </row>
    <row r="789" spans="1:4">
      <c r="A789" s="1">
        <v>45710</v>
      </c>
      <c r="B789" t="s">
        <v>49</v>
      </c>
      <c r="C789">
        <v>9</v>
      </c>
      <c r="D789" t="str">
        <f t="shared" si="12"/>
        <v>22/02/2025Paediatrics</v>
      </c>
    </row>
    <row r="790" spans="1:4">
      <c r="A790" s="1">
        <v>45710</v>
      </c>
      <c r="B790" t="s">
        <v>45</v>
      </c>
      <c r="C790">
        <v>10</v>
      </c>
      <c r="D790" t="str">
        <f t="shared" si="12"/>
        <v>22/02/2025Maternity</v>
      </c>
    </row>
    <row r="791" spans="1:4">
      <c r="A791" s="1">
        <v>45710</v>
      </c>
      <c r="B791" t="s">
        <v>50</v>
      </c>
      <c r="C791">
        <v>17</v>
      </c>
      <c r="D791" t="str">
        <f t="shared" si="12"/>
        <v>22/02/2025Renal Medicine</v>
      </c>
    </row>
    <row r="792" spans="1:4">
      <c r="A792" s="1">
        <v>45710</v>
      </c>
      <c r="B792" t="s">
        <v>42</v>
      </c>
      <c r="C792">
        <v>7</v>
      </c>
      <c r="D792" t="str">
        <f t="shared" si="12"/>
        <v>22/02/2025Gastroenterology</v>
      </c>
    </row>
    <row r="793" spans="1:4">
      <c r="A793" s="1">
        <v>45710</v>
      </c>
      <c r="B793" t="s">
        <v>98</v>
      </c>
      <c r="C793">
        <v>6</v>
      </c>
      <c r="D793" t="str">
        <f t="shared" si="12"/>
        <v>22/02/2025Endocrinology</v>
      </c>
    </row>
    <row r="794" spans="1:4">
      <c r="A794" s="1">
        <v>45710</v>
      </c>
      <c r="B794" t="s">
        <v>100</v>
      </c>
      <c r="C794">
        <v>8</v>
      </c>
      <c r="D794" t="str">
        <f t="shared" si="12"/>
        <v>22/02/2025Urology</v>
      </c>
    </row>
    <row r="795" spans="1:4">
      <c r="A795" s="1">
        <v>45710</v>
      </c>
      <c r="B795" t="s">
        <v>41</v>
      </c>
      <c r="C795">
        <v>10</v>
      </c>
      <c r="D795" t="str">
        <f t="shared" si="12"/>
        <v>22/02/2025ENT</v>
      </c>
    </row>
    <row r="796" spans="1:4">
      <c r="A796" s="1">
        <v>45710</v>
      </c>
      <c r="B796" t="s">
        <v>44</v>
      </c>
      <c r="C796">
        <v>12</v>
      </c>
      <c r="D796" t="str">
        <f t="shared" si="12"/>
        <v>22/02/2025Geriatrics</v>
      </c>
    </row>
    <row r="797" spans="1:4">
      <c r="A797" s="1">
        <v>45711</v>
      </c>
      <c r="B797" t="s">
        <v>39</v>
      </c>
      <c r="C797">
        <v>19</v>
      </c>
      <c r="D797" t="str">
        <f t="shared" si="12"/>
        <v>23/02/2025A&amp;E (Emergency)</v>
      </c>
    </row>
    <row r="798" spans="1:4">
      <c r="A798" s="1">
        <v>45711</v>
      </c>
      <c r="B798" t="s">
        <v>40</v>
      </c>
      <c r="C798">
        <v>11</v>
      </c>
      <c r="D798" t="str">
        <f t="shared" si="12"/>
        <v>23/02/2025Cardiology</v>
      </c>
    </row>
    <row r="799" spans="1:4">
      <c r="A799" s="1">
        <v>45711</v>
      </c>
      <c r="B799" t="s">
        <v>51</v>
      </c>
      <c r="C799">
        <v>9</v>
      </c>
      <c r="D799" t="str">
        <f t="shared" si="12"/>
        <v>23/02/2025Respiratory</v>
      </c>
    </row>
    <row r="800" spans="1:4">
      <c r="A800" s="1">
        <v>45711</v>
      </c>
      <c r="B800" t="s">
        <v>43</v>
      </c>
      <c r="C800">
        <v>14</v>
      </c>
      <c r="D800" t="str">
        <f t="shared" si="12"/>
        <v>23/02/2025General Surgery</v>
      </c>
    </row>
    <row r="801" spans="1:4">
      <c r="A801" s="1">
        <v>45711</v>
      </c>
      <c r="B801" t="s">
        <v>48</v>
      </c>
      <c r="C801">
        <v>10</v>
      </c>
      <c r="D801" t="str">
        <f t="shared" si="12"/>
        <v>23/02/2025Orthopaedics</v>
      </c>
    </row>
    <row r="802" spans="1:4">
      <c r="A802" s="1">
        <v>45711</v>
      </c>
      <c r="B802" t="s">
        <v>46</v>
      </c>
      <c r="C802">
        <v>9</v>
      </c>
      <c r="D802" t="str">
        <f t="shared" si="12"/>
        <v>23/02/2025Neurology</v>
      </c>
    </row>
    <row r="803" spans="1:4">
      <c r="A803" s="1">
        <v>45711</v>
      </c>
      <c r="B803" t="s">
        <v>47</v>
      </c>
      <c r="C803">
        <v>12</v>
      </c>
      <c r="D803" t="str">
        <f t="shared" si="12"/>
        <v>23/02/2025Oncology</v>
      </c>
    </row>
    <row r="804" spans="1:4">
      <c r="A804" s="1">
        <v>45711</v>
      </c>
      <c r="B804" t="s">
        <v>49</v>
      </c>
      <c r="C804">
        <v>8</v>
      </c>
      <c r="D804" t="str">
        <f t="shared" si="12"/>
        <v>23/02/2025Paediatrics</v>
      </c>
    </row>
    <row r="805" spans="1:4">
      <c r="A805" s="1">
        <v>45711</v>
      </c>
      <c r="B805" t="s">
        <v>45</v>
      </c>
      <c r="C805">
        <v>9</v>
      </c>
      <c r="D805" t="str">
        <f t="shared" si="12"/>
        <v>23/02/2025Maternity</v>
      </c>
    </row>
    <row r="806" spans="1:4">
      <c r="A806" s="1">
        <v>45711</v>
      </c>
      <c r="B806" t="s">
        <v>50</v>
      </c>
      <c r="C806">
        <v>17</v>
      </c>
      <c r="D806" t="str">
        <f t="shared" si="12"/>
        <v>23/02/2025Renal Medicine</v>
      </c>
    </row>
    <row r="807" spans="1:4">
      <c r="A807" s="1">
        <v>45711</v>
      </c>
      <c r="B807" t="s">
        <v>42</v>
      </c>
      <c r="C807">
        <v>7</v>
      </c>
      <c r="D807" t="str">
        <f t="shared" si="12"/>
        <v>23/02/2025Gastroenterology</v>
      </c>
    </row>
    <row r="808" spans="1:4">
      <c r="A808" s="1">
        <v>45711</v>
      </c>
      <c r="B808" t="s">
        <v>98</v>
      </c>
      <c r="C808">
        <v>6</v>
      </c>
      <c r="D808" t="str">
        <f t="shared" si="12"/>
        <v>23/02/2025Endocrinology</v>
      </c>
    </row>
    <row r="809" spans="1:4">
      <c r="A809" s="1">
        <v>45711</v>
      </c>
      <c r="B809" t="s">
        <v>100</v>
      </c>
      <c r="C809">
        <v>8</v>
      </c>
      <c r="D809" t="str">
        <f t="shared" si="12"/>
        <v>23/02/2025Urology</v>
      </c>
    </row>
    <row r="810" spans="1:4">
      <c r="A810" s="1">
        <v>45711</v>
      </c>
      <c r="B810" t="s">
        <v>41</v>
      </c>
      <c r="C810">
        <v>10</v>
      </c>
      <c r="D810" t="str">
        <f t="shared" si="12"/>
        <v>23/02/2025ENT</v>
      </c>
    </row>
    <row r="811" spans="1:4">
      <c r="A811" s="1">
        <v>45711</v>
      </c>
      <c r="B811" t="s">
        <v>44</v>
      </c>
      <c r="C811">
        <v>12</v>
      </c>
      <c r="D811" t="str">
        <f t="shared" si="12"/>
        <v>23/02/2025Geriatrics</v>
      </c>
    </row>
    <row r="812" spans="1:4">
      <c r="A812" s="1">
        <v>45712</v>
      </c>
      <c r="B812" t="s">
        <v>39</v>
      </c>
      <c r="C812">
        <v>27</v>
      </c>
      <c r="D812" t="str">
        <f t="shared" si="12"/>
        <v>24/02/2025A&amp;E (Emergency)</v>
      </c>
    </row>
    <row r="813" spans="1:4">
      <c r="A813" s="1">
        <v>45712</v>
      </c>
      <c r="B813" t="s">
        <v>40</v>
      </c>
      <c r="C813">
        <v>18</v>
      </c>
      <c r="D813" t="str">
        <f t="shared" si="12"/>
        <v>24/02/2025Cardiology</v>
      </c>
    </row>
    <row r="814" spans="1:4">
      <c r="A814" s="1">
        <v>45712</v>
      </c>
      <c r="B814" t="s">
        <v>51</v>
      </c>
      <c r="C814">
        <v>15</v>
      </c>
      <c r="D814" t="str">
        <f t="shared" si="12"/>
        <v>24/02/2025Respiratory</v>
      </c>
    </row>
    <row r="815" spans="1:4">
      <c r="A815" s="1">
        <v>45712</v>
      </c>
      <c r="B815" t="s">
        <v>43</v>
      </c>
      <c r="C815">
        <v>21</v>
      </c>
      <c r="D815" t="str">
        <f t="shared" si="12"/>
        <v>24/02/2025General Surgery</v>
      </c>
    </row>
    <row r="816" spans="1:4">
      <c r="A816" s="1">
        <v>45712</v>
      </c>
      <c r="B816" t="s">
        <v>48</v>
      </c>
      <c r="C816">
        <v>16</v>
      </c>
      <c r="D816" t="str">
        <f t="shared" si="12"/>
        <v>24/02/2025Orthopaedics</v>
      </c>
    </row>
    <row r="817" spans="1:4">
      <c r="A817" s="1">
        <v>45712</v>
      </c>
      <c r="B817" t="s">
        <v>46</v>
      </c>
      <c r="C817">
        <v>14</v>
      </c>
      <c r="D817" t="str">
        <f t="shared" si="12"/>
        <v>24/02/2025Neurology</v>
      </c>
    </row>
    <row r="818" spans="1:4">
      <c r="A818" s="1">
        <v>45712</v>
      </c>
      <c r="B818" t="s">
        <v>47</v>
      </c>
      <c r="C818">
        <v>18</v>
      </c>
      <c r="D818" t="str">
        <f t="shared" si="12"/>
        <v>24/02/2025Oncology</v>
      </c>
    </row>
    <row r="819" spans="1:4">
      <c r="A819" s="1">
        <v>45712</v>
      </c>
      <c r="B819" t="s">
        <v>49</v>
      </c>
      <c r="C819">
        <v>13</v>
      </c>
      <c r="D819" t="str">
        <f t="shared" si="12"/>
        <v>24/02/2025Paediatrics</v>
      </c>
    </row>
    <row r="820" spans="1:4">
      <c r="A820" s="1">
        <v>45712</v>
      </c>
      <c r="B820" t="s">
        <v>45</v>
      </c>
      <c r="C820">
        <v>13</v>
      </c>
      <c r="D820" t="str">
        <f t="shared" si="12"/>
        <v>24/02/2025Maternity</v>
      </c>
    </row>
    <row r="821" spans="1:4">
      <c r="A821" s="1">
        <v>45712</v>
      </c>
      <c r="B821" t="s">
        <v>50</v>
      </c>
      <c r="C821">
        <v>21</v>
      </c>
      <c r="D821" t="str">
        <f t="shared" si="12"/>
        <v>24/02/2025Renal Medicine</v>
      </c>
    </row>
    <row r="822" spans="1:4">
      <c r="A822" s="1">
        <v>45712</v>
      </c>
      <c r="B822" t="s">
        <v>42</v>
      </c>
      <c r="C822">
        <v>12</v>
      </c>
      <c r="D822" t="str">
        <f t="shared" si="12"/>
        <v>24/02/2025Gastroenterology</v>
      </c>
    </row>
    <row r="823" spans="1:4">
      <c r="A823" s="1">
        <v>45712</v>
      </c>
      <c r="B823" t="s">
        <v>98</v>
      </c>
      <c r="C823">
        <v>10</v>
      </c>
      <c r="D823" t="str">
        <f t="shared" si="12"/>
        <v>24/02/2025Endocrinology</v>
      </c>
    </row>
    <row r="824" spans="1:4">
      <c r="A824" s="1">
        <v>45712</v>
      </c>
      <c r="B824" t="s">
        <v>100</v>
      </c>
      <c r="C824">
        <v>11</v>
      </c>
      <c r="D824" t="str">
        <f t="shared" si="12"/>
        <v>24/02/2025Urology</v>
      </c>
    </row>
    <row r="825" spans="1:4">
      <c r="A825" s="1">
        <v>45712</v>
      </c>
      <c r="B825" t="s">
        <v>41</v>
      </c>
      <c r="C825">
        <v>13</v>
      </c>
      <c r="D825" t="str">
        <f t="shared" si="12"/>
        <v>24/02/2025ENT</v>
      </c>
    </row>
    <row r="826" spans="1:4">
      <c r="A826" s="1">
        <v>45712</v>
      </c>
      <c r="B826" t="s">
        <v>44</v>
      </c>
      <c r="C826">
        <v>16</v>
      </c>
      <c r="D826" t="str">
        <f t="shared" si="12"/>
        <v>24/02/2025Geriatrics</v>
      </c>
    </row>
    <row r="827" spans="1:4">
      <c r="A827" s="1">
        <v>45713</v>
      </c>
      <c r="B827" t="s">
        <v>39</v>
      </c>
      <c r="C827">
        <v>25</v>
      </c>
      <c r="D827" t="str">
        <f t="shared" si="12"/>
        <v>25/02/2025A&amp;E (Emergency)</v>
      </c>
    </row>
    <row r="828" spans="1:4">
      <c r="A828" s="1">
        <v>45713</v>
      </c>
      <c r="B828" t="s">
        <v>40</v>
      </c>
      <c r="C828">
        <v>17</v>
      </c>
      <c r="D828" t="str">
        <f t="shared" si="12"/>
        <v>25/02/2025Cardiology</v>
      </c>
    </row>
    <row r="829" spans="1:4">
      <c r="A829" s="1">
        <v>45713</v>
      </c>
      <c r="B829" t="s">
        <v>51</v>
      </c>
      <c r="C829">
        <v>14</v>
      </c>
      <c r="D829" t="str">
        <f t="shared" si="12"/>
        <v>25/02/2025Respiratory</v>
      </c>
    </row>
    <row r="830" spans="1:4">
      <c r="A830" s="1">
        <v>45713</v>
      </c>
      <c r="B830" t="s">
        <v>43</v>
      </c>
      <c r="C830">
        <v>20</v>
      </c>
      <c r="D830" t="str">
        <f t="shared" si="12"/>
        <v>25/02/2025General Surgery</v>
      </c>
    </row>
    <row r="831" spans="1:4">
      <c r="A831" s="1">
        <v>45713</v>
      </c>
      <c r="B831" t="s">
        <v>48</v>
      </c>
      <c r="C831">
        <v>15</v>
      </c>
      <c r="D831" t="str">
        <f t="shared" si="12"/>
        <v>25/02/2025Orthopaedics</v>
      </c>
    </row>
    <row r="832" spans="1:4">
      <c r="A832" s="1">
        <v>45713</v>
      </c>
      <c r="B832" t="s">
        <v>46</v>
      </c>
      <c r="C832">
        <v>13</v>
      </c>
      <c r="D832" t="str">
        <f t="shared" si="12"/>
        <v>25/02/2025Neurology</v>
      </c>
    </row>
    <row r="833" spans="1:4">
      <c r="A833" s="1">
        <v>45713</v>
      </c>
      <c r="B833" t="s">
        <v>47</v>
      </c>
      <c r="C833">
        <v>17</v>
      </c>
      <c r="D833" t="str">
        <f t="shared" si="12"/>
        <v>25/02/2025Oncology</v>
      </c>
    </row>
    <row r="834" spans="1:4">
      <c r="A834" s="1">
        <v>45713</v>
      </c>
      <c r="B834" t="s">
        <v>49</v>
      </c>
      <c r="C834">
        <v>12</v>
      </c>
      <c r="D834" t="str">
        <f t="shared" si="12"/>
        <v>25/02/2025Paediatrics</v>
      </c>
    </row>
    <row r="835" spans="1:4">
      <c r="A835" s="1">
        <v>45713</v>
      </c>
      <c r="B835" t="s">
        <v>45</v>
      </c>
      <c r="C835">
        <v>12</v>
      </c>
      <c r="D835" t="str">
        <f t="shared" ref="D835:D898" si="13">TEXT(A835, "dd/mm/yyyy")&amp;B835</f>
        <v>25/02/2025Maternity</v>
      </c>
    </row>
    <row r="836" spans="1:4">
      <c r="A836" s="1">
        <v>45713</v>
      </c>
      <c r="B836" t="s">
        <v>50</v>
      </c>
      <c r="C836">
        <v>20</v>
      </c>
      <c r="D836" t="str">
        <f t="shared" si="13"/>
        <v>25/02/2025Renal Medicine</v>
      </c>
    </row>
    <row r="837" spans="1:4">
      <c r="A837" s="1">
        <v>45713</v>
      </c>
      <c r="B837" t="s">
        <v>42</v>
      </c>
      <c r="C837">
        <v>11</v>
      </c>
      <c r="D837" t="str">
        <f t="shared" si="13"/>
        <v>25/02/2025Gastroenterology</v>
      </c>
    </row>
    <row r="838" spans="1:4">
      <c r="A838" s="1">
        <v>45713</v>
      </c>
      <c r="B838" t="s">
        <v>98</v>
      </c>
      <c r="C838">
        <v>9</v>
      </c>
      <c r="D838" t="str">
        <f t="shared" si="13"/>
        <v>25/02/2025Endocrinology</v>
      </c>
    </row>
    <row r="839" spans="1:4">
      <c r="A839" s="1">
        <v>45713</v>
      </c>
      <c r="B839" t="s">
        <v>100</v>
      </c>
      <c r="C839">
        <v>10</v>
      </c>
      <c r="D839" t="str">
        <f t="shared" si="13"/>
        <v>25/02/2025Urology</v>
      </c>
    </row>
    <row r="840" spans="1:4">
      <c r="A840" s="1">
        <v>45713</v>
      </c>
      <c r="B840" t="s">
        <v>41</v>
      </c>
      <c r="C840">
        <v>12</v>
      </c>
      <c r="D840" t="str">
        <f t="shared" si="13"/>
        <v>25/02/2025ENT</v>
      </c>
    </row>
    <row r="841" spans="1:4">
      <c r="A841" s="1">
        <v>45713</v>
      </c>
      <c r="B841" t="s">
        <v>44</v>
      </c>
      <c r="C841">
        <v>15</v>
      </c>
      <c r="D841" t="str">
        <f t="shared" si="13"/>
        <v>25/02/2025Geriatrics</v>
      </c>
    </row>
    <row r="842" spans="1:4">
      <c r="A842" s="1">
        <v>45714</v>
      </c>
      <c r="B842" t="s">
        <v>39</v>
      </c>
      <c r="C842">
        <v>24</v>
      </c>
      <c r="D842" t="str">
        <f t="shared" si="13"/>
        <v>26/02/2025A&amp;E (Emergency)</v>
      </c>
    </row>
    <row r="843" spans="1:4">
      <c r="A843" s="1">
        <v>45714</v>
      </c>
      <c r="B843" t="s">
        <v>40</v>
      </c>
      <c r="C843">
        <v>16</v>
      </c>
      <c r="D843" t="str">
        <f t="shared" si="13"/>
        <v>26/02/2025Cardiology</v>
      </c>
    </row>
    <row r="844" spans="1:4">
      <c r="A844" s="1">
        <v>45714</v>
      </c>
      <c r="B844" t="s">
        <v>51</v>
      </c>
      <c r="C844">
        <v>13</v>
      </c>
      <c r="D844" t="str">
        <f t="shared" si="13"/>
        <v>26/02/2025Respiratory</v>
      </c>
    </row>
    <row r="845" spans="1:4">
      <c r="A845" s="1">
        <v>45714</v>
      </c>
      <c r="B845" t="s">
        <v>43</v>
      </c>
      <c r="C845">
        <v>19</v>
      </c>
      <c r="D845" t="str">
        <f t="shared" si="13"/>
        <v>26/02/2025General Surgery</v>
      </c>
    </row>
    <row r="846" spans="1:4">
      <c r="A846" s="1">
        <v>45714</v>
      </c>
      <c r="B846" t="s">
        <v>48</v>
      </c>
      <c r="C846">
        <v>14</v>
      </c>
      <c r="D846" t="str">
        <f t="shared" si="13"/>
        <v>26/02/2025Orthopaedics</v>
      </c>
    </row>
    <row r="847" spans="1:4">
      <c r="A847" s="1">
        <v>45714</v>
      </c>
      <c r="B847" t="s">
        <v>46</v>
      </c>
      <c r="C847">
        <v>12</v>
      </c>
      <c r="D847" t="str">
        <f t="shared" si="13"/>
        <v>26/02/2025Neurology</v>
      </c>
    </row>
    <row r="848" spans="1:4">
      <c r="A848" s="1">
        <v>45714</v>
      </c>
      <c r="B848" t="s">
        <v>47</v>
      </c>
      <c r="C848">
        <v>16</v>
      </c>
      <c r="D848" t="str">
        <f t="shared" si="13"/>
        <v>26/02/2025Oncology</v>
      </c>
    </row>
    <row r="849" spans="1:4">
      <c r="A849" s="1">
        <v>45714</v>
      </c>
      <c r="B849" t="s">
        <v>49</v>
      </c>
      <c r="C849">
        <v>11</v>
      </c>
      <c r="D849" t="str">
        <f t="shared" si="13"/>
        <v>26/02/2025Paediatrics</v>
      </c>
    </row>
    <row r="850" spans="1:4">
      <c r="A850" s="1">
        <v>45714</v>
      </c>
      <c r="B850" t="s">
        <v>45</v>
      </c>
      <c r="C850">
        <v>12</v>
      </c>
      <c r="D850" t="str">
        <f t="shared" si="13"/>
        <v>26/02/2025Maternity</v>
      </c>
    </row>
    <row r="851" spans="1:4">
      <c r="A851" s="1">
        <v>45714</v>
      </c>
      <c r="B851" t="s">
        <v>50</v>
      </c>
      <c r="C851">
        <v>19</v>
      </c>
      <c r="D851" t="str">
        <f t="shared" si="13"/>
        <v>26/02/2025Renal Medicine</v>
      </c>
    </row>
    <row r="852" spans="1:4">
      <c r="A852" s="1">
        <v>45714</v>
      </c>
      <c r="B852" t="s">
        <v>42</v>
      </c>
      <c r="C852">
        <v>10</v>
      </c>
      <c r="D852" t="str">
        <f t="shared" si="13"/>
        <v>26/02/2025Gastroenterology</v>
      </c>
    </row>
    <row r="853" spans="1:4">
      <c r="A853" s="1">
        <v>45714</v>
      </c>
      <c r="B853" t="s">
        <v>98</v>
      </c>
      <c r="C853">
        <v>8</v>
      </c>
      <c r="D853" t="str">
        <f t="shared" si="13"/>
        <v>26/02/2025Endocrinology</v>
      </c>
    </row>
    <row r="854" spans="1:4">
      <c r="A854" s="1">
        <v>45714</v>
      </c>
      <c r="B854" t="s">
        <v>100</v>
      </c>
      <c r="C854">
        <v>10</v>
      </c>
      <c r="D854" t="str">
        <f t="shared" si="13"/>
        <v>26/02/2025Urology</v>
      </c>
    </row>
    <row r="855" spans="1:4">
      <c r="A855" s="1">
        <v>45714</v>
      </c>
      <c r="B855" t="s">
        <v>41</v>
      </c>
      <c r="C855">
        <v>12</v>
      </c>
      <c r="D855" t="str">
        <f t="shared" si="13"/>
        <v>26/02/2025ENT</v>
      </c>
    </row>
    <row r="856" spans="1:4">
      <c r="A856" s="1">
        <v>45714</v>
      </c>
      <c r="B856" t="s">
        <v>44</v>
      </c>
      <c r="C856">
        <v>14</v>
      </c>
      <c r="D856" t="str">
        <f t="shared" si="13"/>
        <v>26/02/2025Geriatrics</v>
      </c>
    </row>
    <row r="857" spans="1:4">
      <c r="A857" s="1">
        <v>45715</v>
      </c>
      <c r="B857" t="s">
        <v>39</v>
      </c>
      <c r="C857">
        <v>23</v>
      </c>
      <c r="D857" t="str">
        <f t="shared" si="13"/>
        <v>27/02/2025A&amp;E (Emergency)</v>
      </c>
    </row>
    <row r="858" spans="1:4">
      <c r="A858" s="1">
        <v>45715</v>
      </c>
      <c r="B858" t="s">
        <v>40</v>
      </c>
      <c r="C858">
        <v>16</v>
      </c>
      <c r="D858" t="str">
        <f t="shared" si="13"/>
        <v>27/02/2025Cardiology</v>
      </c>
    </row>
    <row r="859" spans="1:4">
      <c r="A859" s="1">
        <v>45715</v>
      </c>
      <c r="B859" t="s">
        <v>51</v>
      </c>
      <c r="C859">
        <v>13</v>
      </c>
      <c r="D859" t="str">
        <f t="shared" si="13"/>
        <v>27/02/2025Respiratory</v>
      </c>
    </row>
    <row r="860" spans="1:4">
      <c r="A860" s="1">
        <v>45715</v>
      </c>
      <c r="B860" t="s">
        <v>43</v>
      </c>
      <c r="C860">
        <v>19</v>
      </c>
      <c r="D860" t="str">
        <f t="shared" si="13"/>
        <v>27/02/2025General Surgery</v>
      </c>
    </row>
    <row r="861" spans="1:4">
      <c r="A861" s="1">
        <v>45715</v>
      </c>
      <c r="B861" t="s">
        <v>48</v>
      </c>
      <c r="C861">
        <v>14</v>
      </c>
      <c r="D861" t="str">
        <f t="shared" si="13"/>
        <v>27/02/2025Orthopaedics</v>
      </c>
    </row>
    <row r="862" spans="1:4">
      <c r="A862" s="1">
        <v>45715</v>
      </c>
      <c r="B862" t="s">
        <v>46</v>
      </c>
      <c r="C862">
        <v>12</v>
      </c>
      <c r="D862" t="str">
        <f t="shared" si="13"/>
        <v>27/02/2025Neurology</v>
      </c>
    </row>
    <row r="863" spans="1:4">
      <c r="A863" s="1">
        <v>45715</v>
      </c>
      <c r="B863" t="s">
        <v>47</v>
      </c>
      <c r="C863">
        <v>16</v>
      </c>
      <c r="D863" t="str">
        <f t="shared" si="13"/>
        <v>27/02/2025Oncology</v>
      </c>
    </row>
    <row r="864" spans="1:4">
      <c r="A864" s="1">
        <v>45715</v>
      </c>
      <c r="B864" t="s">
        <v>49</v>
      </c>
      <c r="C864">
        <v>11</v>
      </c>
      <c r="D864" t="str">
        <f t="shared" si="13"/>
        <v>27/02/2025Paediatrics</v>
      </c>
    </row>
    <row r="865" spans="1:4">
      <c r="A865" s="1">
        <v>45715</v>
      </c>
      <c r="B865" t="s">
        <v>45</v>
      </c>
      <c r="C865">
        <v>12</v>
      </c>
      <c r="D865" t="str">
        <f t="shared" si="13"/>
        <v>27/02/2025Maternity</v>
      </c>
    </row>
    <row r="866" spans="1:4">
      <c r="A866" s="1">
        <v>45715</v>
      </c>
      <c r="B866" t="s">
        <v>50</v>
      </c>
      <c r="C866">
        <v>19</v>
      </c>
      <c r="D866" t="str">
        <f t="shared" si="13"/>
        <v>27/02/2025Renal Medicine</v>
      </c>
    </row>
    <row r="867" spans="1:4">
      <c r="A867" s="1">
        <v>45715</v>
      </c>
      <c r="B867" t="s">
        <v>42</v>
      </c>
      <c r="C867">
        <v>10</v>
      </c>
      <c r="D867" t="str">
        <f t="shared" si="13"/>
        <v>27/02/2025Gastroenterology</v>
      </c>
    </row>
    <row r="868" spans="1:4">
      <c r="A868" s="1">
        <v>45715</v>
      </c>
      <c r="B868" t="s">
        <v>98</v>
      </c>
      <c r="C868">
        <v>8</v>
      </c>
      <c r="D868" t="str">
        <f t="shared" si="13"/>
        <v>27/02/2025Endocrinology</v>
      </c>
    </row>
    <row r="869" spans="1:4">
      <c r="A869" s="1">
        <v>45715</v>
      </c>
      <c r="B869" t="s">
        <v>100</v>
      </c>
      <c r="C869">
        <v>10</v>
      </c>
      <c r="D869" t="str">
        <f t="shared" si="13"/>
        <v>27/02/2025Urology</v>
      </c>
    </row>
    <row r="870" spans="1:4">
      <c r="A870" s="1">
        <v>45715</v>
      </c>
      <c r="B870" t="s">
        <v>41</v>
      </c>
      <c r="C870">
        <v>12</v>
      </c>
      <c r="D870" t="str">
        <f t="shared" si="13"/>
        <v>27/02/2025ENT</v>
      </c>
    </row>
    <row r="871" spans="1:4">
      <c r="A871" s="1">
        <v>45715</v>
      </c>
      <c r="B871" t="s">
        <v>44</v>
      </c>
      <c r="C871">
        <v>14</v>
      </c>
      <c r="D871" t="str">
        <f t="shared" si="13"/>
        <v>27/02/2025Geriatrics</v>
      </c>
    </row>
    <row r="872" spans="1:4">
      <c r="A872" s="1">
        <v>45716</v>
      </c>
      <c r="B872" t="s">
        <v>39</v>
      </c>
      <c r="C872">
        <v>22</v>
      </c>
      <c r="D872" t="str">
        <f t="shared" si="13"/>
        <v>28/02/2025A&amp;E (Emergency)</v>
      </c>
    </row>
    <row r="873" spans="1:4">
      <c r="A873" s="1">
        <v>45716</v>
      </c>
      <c r="B873" t="s">
        <v>40</v>
      </c>
      <c r="C873">
        <v>15</v>
      </c>
      <c r="D873" t="str">
        <f t="shared" si="13"/>
        <v>28/02/2025Cardiology</v>
      </c>
    </row>
    <row r="874" spans="1:4">
      <c r="A874" s="1">
        <v>45716</v>
      </c>
      <c r="B874" t="s">
        <v>51</v>
      </c>
      <c r="C874">
        <v>12</v>
      </c>
      <c r="D874" t="str">
        <f t="shared" si="13"/>
        <v>28/02/2025Respiratory</v>
      </c>
    </row>
    <row r="875" spans="1:4">
      <c r="A875" s="1">
        <v>45716</v>
      </c>
      <c r="B875" t="s">
        <v>43</v>
      </c>
      <c r="C875">
        <v>18</v>
      </c>
      <c r="D875" t="str">
        <f t="shared" si="13"/>
        <v>28/02/2025General Surgery</v>
      </c>
    </row>
    <row r="876" spans="1:4">
      <c r="A876" s="1">
        <v>45716</v>
      </c>
      <c r="B876" t="s">
        <v>48</v>
      </c>
      <c r="C876">
        <v>13</v>
      </c>
      <c r="D876" t="str">
        <f t="shared" si="13"/>
        <v>28/02/2025Orthopaedics</v>
      </c>
    </row>
    <row r="877" spans="1:4">
      <c r="A877" s="1">
        <v>45716</v>
      </c>
      <c r="B877" t="s">
        <v>46</v>
      </c>
      <c r="C877">
        <v>11</v>
      </c>
      <c r="D877" t="str">
        <f t="shared" si="13"/>
        <v>28/02/2025Neurology</v>
      </c>
    </row>
    <row r="878" spans="1:4">
      <c r="A878" s="1">
        <v>45716</v>
      </c>
      <c r="B878" t="s">
        <v>47</v>
      </c>
      <c r="C878">
        <v>15</v>
      </c>
      <c r="D878" t="str">
        <f t="shared" si="13"/>
        <v>28/02/2025Oncology</v>
      </c>
    </row>
    <row r="879" spans="1:4">
      <c r="A879" s="1">
        <v>45716</v>
      </c>
      <c r="B879" t="s">
        <v>49</v>
      </c>
      <c r="C879">
        <v>10</v>
      </c>
      <c r="D879" t="str">
        <f t="shared" si="13"/>
        <v>28/02/2025Paediatrics</v>
      </c>
    </row>
    <row r="880" spans="1:4">
      <c r="A880" s="1">
        <v>45716</v>
      </c>
      <c r="B880" t="s">
        <v>45</v>
      </c>
      <c r="C880">
        <v>11</v>
      </c>
      <c r="D880" t="str">
        <f t="shared" si="13"/>
        <v>28/02/2025Maternity</v>
      </c>
    </row>
    <row r="881" spans="1:4">
      <c r="A881" s="1">
        <v>45716</v>
      </c>
      <c r="B881" t="s">
        <v>50</v>
      </c>
      <c r="C881">
        <v>18</v>
      </c>
      <c r="D881" t="str">
        <f t="shared" si="13"/>
        <v>28/02/2025Renal Medicine</v>
      </c>
    </row>
    <row r="882" spans="1:4">
      <c r="A882" s="1">
        <v>45716</v>
      </c>
      <c r="B882" t="s">
        <v>42</v>
      </c>
      <c r="C882">
        <v>9</v>
      </c>
      <c r="D882" t="str">
        <f t="shared" si="13"/>
        <v>28/02/2025Gastroenterology</v>
      </c>
    </row>
    <row r="883" spans="1:4">
      <c r="A883" s="1">
        <v>45716</v>
      </c>
      <c r="B883" t="s">
        <v>98</v>
      </c>
      <c r="C883">
        <v>7</v>
      </c>
      <c r="D883" t="str">
        <f t="shared" si="13"/>
        <v>28/02/2025Endocrinology</v>
      </c>
    </row>
    <row r="884" spans="1:4">
      <c r="A884" s="1">
        <v>45716</v>
      </c>
      <c r="B884" t="s">
        <v>100</v>
      </c>
      <c r="C884">
        <v>9</v>
      </c>
      <c r="D884" t="str">
        <f t="shared" si="13"/>
        <v>28/02/2025Urology</v>
      </c>
    </row>
    <row r="885" spans="1:4">
      <c r="A885" s="1">
        <v>45716</v>
      </c>
      <c r="B885" t="s">
        <v>41</v>
      </c>
      <c r="C885">
        <v>11</v>
      </c>
      <c r="D885" t="str">
        <f t="shared" si="13"/>
        <v>28/02/2025ENT</v>
      </c>
    </row>
    <row r="886" spans="1:4">
      <c r="A886" s="1">
        <v>45716</v>
      </c>
      <c r="B886" t="s">
        <v>44</v>
      </c>
      <c r="C886">
        <v>13</v>
      </c>
      <c r="D886" t="str">
        <f t="shared" si="13"/>
        <v>28/02/2025Geriatrics</v>
      </c>
    </row>
    <row r="887" spans="1:4">
      <c r="A887" s="1">
        <v>45717</v>
      </c>
      <c r="B887" t="s">
        <v>39</v>
      </c>
      <c r="C887">
        <v>20</v>
      </c>
      <c r="D887" t="str">
        <f t="shared" si="13"/>
        <v>01/03/2025A&amp;E (Emergency)</v>
      </c>
    </row>
    <row r="888" spans="1:4">
      <c r="A888" s="1">
        <v>45717</v>
      </c>
      <c r="B888" t="s">
        <v>40</v>
      </c>
      <c r="C888">
        <v>12</v>
      </c>
      <c r="D888" t="str">
        <f t="shared" si="13"/>
        <v>01/03/2025Cardiology</v>
      </c>
    </row>
    <row r="889" spans="1:4">
      <c r="A889" s="1">
        <v>45717</v>
      </c>
      <c r="B889" t="s">
        <v>51</v>
      </c>
      <c r="C889">
        <v>9</v>
      </c>
      <c r="D889" t="str">
        <f t="shared" si="13"/>
        <v>01/03/2025Respiratory</v>
      </c>
    </row>
    <row r="890" spans="1:4">
      <c r="A890" s="1">
        <v>45717</v>
      </c>
      <c r="B890" t="s">
        <v>43</v>
      </c>
      <c r="C890">
        <v>15</v>
      </c>
      <c r="D890" t="str">
        <f t="shared" si="13"/>
        <v>01/03/2025General Surgery</v>
      </c>
    </row>
    <row r="891" spans="1:4">
      <c r="A891" s="1">
        <v>45717</v>
      </c>
      <c r="B891" t="s">
        <v>48</v>
      </c>
      <c r="C891">
        <v>11</v>
      </c>
      <c r="D891" t="str">
        <f t="shared" si="13"/>
        <v>01/03/2025Orthopaedics</v>
      </c>
    </row>
    <row r="892" spans="1:4">
      <c r="A892" s="1">
        <v>45717</v>
      </c>
      <c r="B892" t="s">
        <v>46</v>
      </c>
      <c r="C892">
        <v>9</v>
      </c>
      <c r="D892" t="str">
        <f t="shared" si="13"/>
        <v>01/03/2025Neurology</v>
      </c>
    </row>
    <row r="893" spans="1:4">
      <c r="A893" s="1">
        <v>45717</v>
      </c>
      <c r="B893" t="s">
        <v>47</v>
      </c>
      <c r="C893">
        <v>13</v>
      </c>
      <c r="D893" t="str">
        <f t="shared" si="13"/>
        <v>01/03/2025Oncology</v>
      </c>
    </row>
    <row r="894" spans="1:4">
      <c r="A894" s="1">
        <v>45717</v>
      </c>
      <c r="B894" t="s">
        <v>49</v>
      </c>
      <c r="C894">
        <v>9</v>
      </c>
      <c r="D894" t="str">
        <f t="shared" si="13"/>
        <v>01/03/2025Paediatrics</v>
      </c>
    </row>
    <row r="895" spans="1:4">
      <c r="A895" s="1">
        <v>45717</v>
      </c>
      <c r="B895" t="s">
        <v>45</v>
      </c>
      <c r="C895">
        <v>10</v>
      </c>
      <c r="D895" t="str">
        <f t="shared" si="13"/>
        <v>01/03/2025Maternity</v>
      </c>
    </row>
    <row r="896" spans="1:4">
      <c r="A896" s="1">
        <v>45717</v>
      </c>
      <c r="B896" t="s">
        <v>50</v>
      </c>
      <c r="C896">
        <v>17</v>
      </c>
      <c r="D896" t="str">
        <f t="shared" si="13"/>
        <v>01/03/2025Renal Medicine</v>
      </c>
    </row>
    <row r="897" spans="1:4">
      <c r="A897" s="1">
        <v>45717</v>
      </c>
      <c r="B897" t="s">
        <v>42</v>
      </c>
      <c r="C897">
        <v>7</v>
      </c>
      <c r="D897" t="str">
        <f t="shared" si="13"/>
        <v>01/03/2025Gastroenterology</v>
      </c>
    </row>
    <row r="898" spans="1:4">
      <c r="A898" s="1">
        <v>45717</v>
      </c>
      <c r="B898" t="s">
        <v>98</v>
      </c>
      <c r="C898">
        <v>6</v>
      </c>
      <c r="D898" t="str">
        <f t="shared" si="13"/>
        <v>01/03/2025Endocrinology</v>
      </c>
    </row>
    <row r="899" spans="1:4">
      <c r="A899" s="1">
        <v>45717</v>
      </c>
      <c r="B899" t="s">
        <v>100</v>
      </c>
      <c r="C899">
        <v>8</v>
      </c>
      <c r="D899" t="str">
        <f t="shared" ref="D899:D962" si="14">TEXT(A899, "dd/mm/yyyy")&amp;B899</f>
        <v>01/03/2025Urology</v>
      </c>
    </row>
    <row r="900" spans="1:4">
      <c r="A900" s="1">
        <v>45717</v>
      </c>
      <c r="B900" t="s">
        <v>41</v>
      </c>
      <c r="C900">
        <v>10</v>
      </c>
      <c r="D900" t="str">
        <f t="shared" si="14"/>
        <v>01/03/2025ENT</v>
      </c>
    </row>
    <row r="901" spans="1:4">
      <c r="A901" s="1">
        <v>45717</v>
      </c>
      <c r="B901" t="s">
        <v>44</v>
      </c>
      <c r="C901">
        <v>12</v>
      </c>
      <c r="D901" t="str">
        <f t="shared" si="14"/>
        <v>01/03/2025Geriatrics</v>
      </c>
    </row>
    <row r="902" spans="1:4">
      <c r="A902" s="1">
        <v>45718</v>
      </c>
      <c r="B902" t="s">
        <v>39</v>
      </c>
      <c r="C902">
        <v>19</v>
      </c>
      <c r="D902" t="str">
        <f t="shared" si="14"/>
        <v>02/03/2025A&amp;E (Emergency)</v>
      </c>
    </row>
    <row r="903" spans="1:4">
      <c r="A903" s="1">
        <v>45718</v>
      </c>
      <c r="B903" t="s">
        <v>40</v>
      </c>
      <c r="C903">
        <v>11</v>
      </c>
      <c r="D903" t="str">
        <f t="shared" si="14"/>
        <v>02/03/2025Cardiology</v>
      </c>
    </row>
    <row r="904" spans="1:4">
      <c r="A904" s="1">
        <v>45718</v>
      </c>
      <c r="B904" t="s">
        <v>51</v>
      </c>
      <c r="C904">
        <v>9</v>
      </c>
      <c r="D904" t="str">
        <f t="shared" si="14"/>
        <v>02/03/2025Respiratory</v>
      </c>
    </row>
    <row r="905" spans="1:4">
      <c r="A905" s="1">
        <v>45718</v>
      </c>
      <c r="B905" t="s">
        <v>43</v>
      </c>
      <c r="C905">
        <v>14</v>
      </c>
      <c r="D905" t="str">
        <f t="shared" si="14"/>
        <v>02/03/2025General Surgery</v>
      </c>
    </row>
    <row r="906" spans="1:4">
      <c r="A906" s="1">
        <v>45718</v>
      </c>
      <c r="B906" t="s">
        <v>48</v>
      </c>
      <c r="C906">
        <v>10</v>
      </c>
      <c r="D906" t="str">
        <f t="shared" si="14"/>
        <v>02/03/2025Orthopaedics</v>
      </c>
    </row>
    <row r="907" spans="1:4">
      <c r="A907" s="1">
        <v>45718</v>
      </c>
      <c r="B907" t="s">
        <v>46</v>
      </c>
      <c r="C907">
        <v>9</v>
      </c>
      <c r="D907" t="str">
        <f t="shared" si="14"/>
        <v>02/03/2025Neurology</v>
      </c>
    </row>
    <row r="908" spans="1:4">
      <c r="A908" s="1">
        <v>45718</v>
      </c>
      <c r="B908" t="s">
        <v>47</v>
      </c>
      <c r="C908">
        <v>12</v>
      </c>
      <c r="D908" t="str">
        <f t="shared" si="14"/>
        <v>02/03/2025Oncology</v>
      </c>
    </row>
    <row r="909" spans="1:4">
      <c r="A909" s="1">
        <v>45718</v>
      </c>
      <c r="B909" t="s">
        <v>49</v>
      </c>
      <c r="C909">
        <v>8</v>
      </c>
      <c r="D909" t="str">
        <f t="shared" si="14"/>
        <v>02/03/2025Paediatrics</v>
      </c>
    </row>
    <row r="910" spans="1:4">
      <c r="A910" s="1">
        <v>45718</v>
      </c>
      <c r="B910" t="s">
        <v>45</v>
      </c>
      <c r="C910">
        <v>9</v>
      </c>
      <c r="D910" t="str">
        <f t="shared" si="14"/>
        <v>02/03/2025Maternity</v>
      </c>
    </row>
    <row r="911" spans="1:4">
      <c r="A911" s="1">
        <v>45718</v>
      </c>
      <c r="B911" t="s">
        <v>50</v>
      </c>
      <c r="C911">
        <v>17</v>
      </c>
      <c r="D911" t="str">
        <f t="shared" si="14"/>
        <v>02/03/2025Renal Medicine</v>
      </c>
    </row>
    <row r="912" spans="1:4">
      <c r="A912" s="1">
        <v>45718</v>
      </c>
      <c r="B912" t="s">
        <v>42</v>
      </c>
      <c r="C912">
        <v>7</v>
      </c>
      <c r="D912" t="str">
        <f t="shared" si="14"/>
        <v>02/03/2025Gastroenterology</v>
      </c>
    </row>
    <row r="913" spans="1:4">
      <c r="A913" s="1">
        <v>45718</v>
      </c>
      <c r="B913" t="s">
        <v>98</v>
      </c>
      <c r="C913">
        <v>6</v>
      </c>
      <c r="D913" t="str">
        <f t="shared" si="14"/>
        <v>02/03/2025Endocrinology</v>
      </c>
    </row>
    <row r="914" spans="1:4">
      <c r="A914" s="1">
        <v>45718</v>
      </c>
      <c r="B914" t="s">
        <v>100</v>
      </c>
      <c r="C914">
        <v>8</v>
      </c>
      <c r="D914" t="str">
        <f t="shared" si="14"/>
        <v>02/03/2025Urology</v>
      </c>
    </row>
    <row r="915" spans="1:4">
      <c r="A915" s="1">
        <v>45718</v>
      </c>
      <c r="B915" t="s">
        <v>41</v>
      </c>
      <c r="C915">
        <v>10</v>
      </c>
      <c r="D915" t="str">
        <f t="shared" si="14"/>
        <v>02/03/2025ENT</v>
      </c>
    </row>
    <row r="916" spans="1:4">
      <c r="A916" s="1">
        <v>45718</v>
      </c>
      <c r="B916" t="s">
        <v>44</v>
      </c>
      <c r="C916">
        <v>12</v>
      </c>
      <c r="D916" t="str">
        <f t="shared" si="14"/>
        <v>02/03/2025Geriatrics</v>
      </c>
    </row>
    <row r="917" spans="1:4">
      <c r="A917" s="1">
        <v>45719</v>
      </c>
      <c r="B917" t="s">
        <v>39</v>
      </c>
      <c r="C917">
        <v>28</v>
      </c>
      <c r="D917" t="str">
        <f t="shared" si="14"/>
        <v>03/03/2025A&amp;E (Emergency)</v>
      </c>
    </row>
    <row r="918" spans="1:4">
      <c r="A918" s="1">
        <v>45719</v>
      </c>
      <c r="B918" t="s">
        <v>40</v>
      </c>
      <c r="C918">
        <v>18</v>
      </c>
      <c r="D918" t="str">
        <f t="shared" si="14"/>
        <v>03/03/2025Cardiology</v>
      </c>
    </row>
    <row r="919" spans="1:4">
      <c r="A919" s="1">
        <v>45719</v>
      </c>
      <c r="B919" t="s">
        <v>51</v>
      </c>
      <c r="C919">
        <v>15</v>
      </c>
      <c r="D919" t="str">
        <f t="shared" si="14"/>
        <v>03/03/2025Respiratory</v>
      </c>
    </row>
    <row r="920" spans="1:4">
      <c r="A920" s="1">
        <v>45719</v>
      </c>
      <c r="B920" t="s">
        <v>43</v>
      </c>
      <c r="C920">
        <v>22</v>
      </c>
      <c r="D920" t="str">
        <f t="shared" si="14"/>
        <v>03/03/2025General Surgery</v>
      </c>
    </row>
    <row r="921" spans="1:4">
      <c r="A921" s="1">
        <v>45719</v>
      </c>
      <c r="B921" t="s">
        <v>48</v>
      </c>
      <c r="C921">
        <v>16</v>
      </c>
      <c r="D921" t="str">
        <f t="shared" si="14"/>
        <v>03/03/2025Orthopaedics</v>
      </c>
    </row>
    <row r="922" spans="1:4">
      <c r="A922" s="1">
        <v>45719</v>
      </c>
      <c r="B922" t="s">
        <v>46</v>
      </c>
      <c r="C922">
        <v>14</v>
      </c>
      <c r="D922" t="str">
        <f t="shared" si="14"/>
        <v>03/03/2025Neurology</v>
      </c>
    </row>
    <row r="923" spans="1:4">
      <c r="A923" s="1">
        <v>45719</v>
      </c>
      <c r="B923" t="s">
        <v>47</v>
      </c>
      <c r="C923">
        <v>18</v>
      </c>
      <c r="D923" t="str">
        <f t="shared" si="14"/>
        <v>03/03/2025Oncology</v>
      </c>
    </row>
    <row r="924" spans="1:4">
      <c r="A924" s="1">
        <v>45719</v>
      </c>
      <c r="B924" t="s">
        <v>49</v>
      </c>
      <c r="C924">
        <v>13</v>
      </c>
      <c r="D924" t="str">
        <f t="shared" si="14"/>
        <v>03/03/2025Paediatrics</v>
      </c>
    </row>
    <row r="925" spans="1:4">
      <c r="A925" s="1">
        <v>45719</v>
      </c>
      <c r="B925" t="s">
        <v>45</v>
      </c>
      <c r="C925">
        <v>13</v>
      </c>
      <c r="D925" t="str">
        <f t="shared" si="14"/>
        <v>03/03/2025Maternity</v>
      </c>
    </row>
    <row r="926" spans="1:4">
      <c r="A926" s="1">
        <v>45719</v>
      </c>
      <c r="B926" t="s">
        <v>50</v>
      </c>
      <c r="C926">
        <v>21</v>
      </c>
      <c r="D926" t="str">
        <f t="shared" si="14"/>
        <v>03/03/2025Renal Medicine</v>
      </c>
    </row>
    <row r="927" spans="1:4">
      <c r="A927" s="1">
        <v>45719</v>
      </c>
      <c r="B927" t="s">
        <v>42</v>
      </c>
      <c r="C927">
        <v>12</v>
      </c>
      <c r="D927" t="str">
        <f t="shared" si="14"/>
        <v>03/03/2025Gastroenterology</v>
      </c>
    </row>
    <row r="928" spans="1:4">
      <c r="A928" s="1">
        <v>45719</v>
      </c>
      <c r="B928" t="s">
        <v>98</v>
      </c>
      <c r="C928">
        <v>10</v>
      </c>
      <c r="D928" t="str">
        <f t="shared" si="14"/>
        <v>03/03/2025Endocrinology</v>
      </c>
    </row>
    <row r="929" spans="1:4">
      <c r="A929" s="1">
        <v>45719</v>
      </c>
      <c r="B929" t="s">
        <v>100</v>
      </c>
      <c r="C929">
        <v>11</v>
      </c>
      <c r="D929" t="str">
        <f t="shared" si="14"/>
        <v>03/03/2025Urology</v>
      </c>
    </row>
    <row r="930" spans="1:4">
      <c r="A930" s="1">
        <v>45719</v>
      </c>
      <c r="B930" t="s">
        <v>41</v>
      </c>
      <c r="C930">
        <v>13</v>
      </c>
      <c r="D930" t="str">
        <f t="shared" si="14"/>
        <v>03/03/2025ENT</v>
      </c>
    </row>
    <row r="931" spans="1:4">
      <c r="A931" s="1">
        <v>45719</v>
      </c>
      <c r="B931" t="s">
        <v>44</v>
      </c>
      <c r="C931">
        <v>16</v>
      </c>
      <c r="D931" t="str">
        <f t="shared" si="14"/>
        <v>03/03/2025Geriatrics</v>
      </c>
    </row>
    <row r="932" spans="1:4">
      <c r="A932" s="1">
        <v>45720</v>
      </c>
      <c r="B932" t="s">
        <v>39</v>
      </c>
      <c r="C932">
        <v>25</v>
      </c>
      <c r="D932" t="str">
        <f t="shared" si="14"/>
        <v>04/03/2025A&amp;E (Emergency)</v>
      </c>
    </row>
    <row r="933" spans="1:4">
      <c r="A933" s="1">
        <v>45720</v>
      </c>
      <c r="B933" t="s">
        <v>40</v>
      </c>
      <c r="C933">
        <v>17</v>
      </c>
      <c r="D933" t="str">
        <f t="shared" si="14"/>
        <v>04/03/2025Cardiology</v>
      </c>
    </row>
    <row r="934" spans="1:4">
      <c r="A934" s="1">
        <v>45720</v>
      </c>
      <c r="B934" t="s">
        <v>51</v>
      </c>
      <c r="C934">
        <v>14</v>
      </c>
      <c r="D934" t="str">
        <f t="shared" si="14"/>
        <v>04/03/2025Respiratory</v>
      </c>
    </row>
    <row r="935" spans="1:4">
      <c r="A935" s="1">
        <v>45720</v>
      </c>
      <c r="B935" t="s">
        <v>43</v>
      </c>
      <c r="C935">
        <v>20</v>
      </c>
      <c r="D935" t="str">
        <f t="shared" si="14"/>
        <v>04/03/2025General Surgery</v>
      </c>
    </row>
    <row r="936" spans="1:4">
      <c r="A936" s="1">
        <v>45720</v>
      </c>
      <c r="B936" t="s">
        <v>48</v>
      </c>
      <c r="C936">
        <v>15</v>
      </c>
      <c r="D936" t="str">
        <f t="shared" si="14"/>
        <v>04/03/2025Orthopaedics</v>
      </c>
    </row>
    <row r="937" spans="1:4">
      <c r="A937" s="1">
        <v>45720</v>
      </c>
      <c r="B937" t="s">
        <v>46</v>
      </c>
      <c r="C937">
        <v>13</v>
      </c>
      <c r="D937" t="str">
        <f t="shared" si="14"/>
        <v>04/03/2025Neurology</v>
      </c>
    </row>
    <row r="938" spans="1:4">
      <c r="A938" s="1">
        <v>45720</v>
      </c>
      <c r="B938" t="s">
        <v>47</v>
      </c>
      <c r="C938">
        <v>17</v>
      </c>
      <c r="D938" t="str">
        <f t="shared" si="14"/>
        <v>04/03/2025Oncology</v>
      </c>
    </row>
    <row r="939" spans="1:4">
      <c r="A939" s="1">
        <v>45720</v>
      </c>
      <c r="B939" t="s">
        <v>49</v>
      </c>
      <c r="C939">
        <v>12</v>
      </c>
      <c r="D939" t="str">
        <f t="shared" si="14"/>
        <v>04/03/2025Paediatrics</v>
      </c>
    </row>
    <row r="940" spans="1:4">
      <c r="A940" s="1">
        <v>45720</v>
      </c>
      <c r="B940" t="s">
        <v>45</v>
      </c>
      <c r="C940">
        <v>12</v>
      </c>
      <c r="D940" t="str">
        <f t="shared" si="14"/>
        <v>04/03/2025Maternity</v>
      </c>
    </row>
    <row r="941" spans="1:4">
      <c r="A941" s="1">
        <v>45720</v>
      </c>
      <c r="B941" t="s">
        <v>50</v>
      </c>
      <c r="C941">
        <v>20</v>
      </c>
      <c r="D941" t="str">
        <f t="shared" si="14"/>
        <v>04/03/2025Renal Medicine</v>
      </c>
    </row>
    <row r="942" spans="1:4">
      <c r="A942" s="1">
        <v>45720</v>
      </c>
      <c r="B942" t="s">
        <v>42</v>
      </c>
      <c r="C942">
        <v>11</v>
      </c>
      <c r="D942" t="str">
        <f t="shared" si="14"/>
        <v>04/03/2025Gastroenterology</v>
      </c>
    </row>
    <row r="943" spans="1:4">
      <c r="A943" s="1">
        <v>45720</v>
      </c>
      <c r="B943" t="s">
        <v>98</v>
      </c>
      <c r="C943">
        <v>9</v>
      </c>
      <c r="D943" t="str">
        <f t="shared" si="14"/>
        <v>04/03/2025Endocrinology</v>
      </c>
    </row>
    <row r="944" spans="1:4">
      <c r="A944" s="1">
        <v>45720</v>
      </c>
      <c r="B944" t="s">
        <v>100</v>
      </c>
      <c r="C944">
        <v>10</v>
      </c>
      <c r="D944" t="str">
        <f t="shared" si="14"/>
        <v>04/03/2025Urology</v>
      </c>
    </row>
    <row r="945" spans="1:4">
      <c r="A945" s="1">
        <v>45720</v>
      </c>
      <c r="B945" t="s">
        <v>41</v>
      </c>
      <c r="C945">
        <v>12</v>
      </c>
      <c r="D945" t="str">
        <f t="shared" si="14"/>
        <v>04/03/2025ENT</v>
      </c>
    </row>
    <row r="946" spans="1:4">
      <c r="A946" s="1">
        <v>45720</v>
      </c>
      <c r="B946" t="s">
        <v>44</v>
      </c>
      <c r="C946">
        <v>15</v>
      </c>
      <c r="D946" t="str">
        <f t="shared" si="14"/>
        <v>04/03/2025Geriatrics</v>
      </c>
    </row>
    <row r="947" spans="1:4">
      <c r="A947" s="1">
        <v>45721</v>
      </c>
      <c r="B947" t="s">
        <v>39</v>
      </c>
      <c r="C947">
        <v>24</v>
      </c>
      <c r="D947" t="str">
        <f t="shared" si="14"/>
        <v>05/03/2025A&amp;E (Emergency)</v>
      </c>
    </row>
    <row r="948" spans="1:4">
      <c r="A948" s="1">
        <v>45721</v>
      </c>
      <c r="B948" t="s">
        <v>40</v>
      </c>
      <c r="C948">
        <v>16</v>
      </c>
      <c r="D948" t="str">
        <f t="shared" si="14"/>
        <v>05/03/2025Cardiology</v>
      </c>
    </row>
    <row r="949" spans="1:4">
      <c r="A949" s="1">
        <v>45721</v>
      </c>
      <c r="B949" t="s">
        <v>51</v>
      </c>
      <c r="C949">
        <v>13</v>
      </c>
      <c r="D949" t="str">
        <f t="shared" si="14"/>
        <v>05/03/2025Respiratory</v>
      </c>
    </row>
    <row r="950" spans="1:4">
      <c r="A950" s="1">
        <v>45721</v>
      </c>
      <c r="B950" t="s">
        <v>43</v>
      </c>
      <c r="C950">
        <v>19</v>
      </c>
      <c r="D950" t="str">
        <f t="shared" si="14"/>
        <v>05/03/2025General Surgery</v>
      </c>
    </row>
    <row r="951" spans="1:4">
      <c r="A951" s="1">
        <v>45721</v>
      </c>
      <c r="B951" t="s">
        <v>48</v>
      </c>
      <c r="C951">
        <v>14</v>
      </c>
      <c r="D951" t="str">
        <f t="shared" si="14"/>
        <v>05/03/2025Orthopaedics</v>
      </c>
    </row>
    <row r="952" spans="1:4">
      <c r="A952" s="1">
        <v>45721</v>
      </c>
      <c r="B952" t="s">
        <v>46</v>
      </c>
      <c r="C952">
        <v>12</v>
      </c>
      <c r="D952" t="str">
        <f t="shared" si="14"/>
        <v>05/03/2025Neurology</v>
      </c>
    </row>
    <row r="953" spans="1:4">
      <c r="A953" s="1">
        <v>45721</v>
      </c>
      <c r="B953" t="s">
        <v>47</v>
      </c>
      <c r="C953">
        <v>16</v>
      </c>
      <c r="D953" t="str">
        <f t="shared" si="14"/>
        <v>05/03/2025Oncology</v>
      </c>
    </row>
    <row r="954" spans="1:4">
      <c r="A954" s="1">
        <v>45721</v>
      </c>
      <c r="B954" t="s">
        <v>49</v>
      </c>
      <c r="C954">
        <v>11</v>
      </c>
      <c r="D954" t="str">
        <f t="shared" si="14"/>
        <v>05/03/2025Paediatrics</v>
      </c>
    </row>
    <row r="955" spans="1:4">
      <c r="A955" s="1">
        <v>45721</v>
      </c>
      <c r="B955" t="s">
        <v>45</v>
      </c>
      <c r="C955">
        <v>12</v>
      </c>
      <c r="D955" t="str">
        <f t="shared" si="14"/>
        <v>05/03/2025Maternity</v>
      </c>
    </row>
    <row r="956" spans="1:4">
      <c r="A956" s="1">
        <v>45721</v>
      </c>
      <c r="B956" t="s">
        <v>50</v>
      </c>
      <c r="C956">
        <v>19</v>
      </c>
      <c r="D956" t="str">
        <f t="shared" si="14"/>
        <v>05/03/2025Renal Medicine</v>
      </c>
    </row>
    <row r="957" spans="1:4">
      <c r="A957" s="1">
        <v>45721</v>
      </c>
      <c r="B957" t="s">
        <v>42</v>
      </c>
      <c r="C957">
        <v>10</v>
      </c>
      <c r="D957" t="str">
        <f t="shared" si="14"/>
        <v>05/03/2025Gastroenterology</v>
      </c>
    </row>
    <row r="958" spans="1:4">
      <c r="A958" s="1">
        <v>45721</v>
      </c>
      <c r="B958" t="s">
        <v>98</v>
      </c>
      <c r="C958">
        <v>8</v>
      </c>
      <c r="D958" t="str">
        <f t="shared" si="14"/>
        <v>05/03/2025Endocrinology</v>
      </c>
    </row>
    <row r="959" spans="1:4">
      <c r="A959" s="1">
        <v>45721</v>
      </c>
      <c r="B959" t="s">
        <v>100</v>
      </c>
      <c r="C959">
        <v>10</v>
      </c>
      <c r="D959" t="str">
        <f t="shared" si="14"/>
        <v>05/03/2025Urology</v>
      </c>
    </row>
    <row r="960" spans="1:4">
      <c r="A960" s="1">
        <v>45721</v>
      </c>
      <c r="B960" t="s">
        <v>41</v>
      </c>
      <c r="C960">
        <v>12</v>
      </c>
      <c r="D960" t="str">
        <f t="shared" si="14"/>
        <v>05/03/2025ENT</v>
      </c>
    </row>
    <row r="961" spans="1:4">
      <c r="A961" s="1">
        <v>45721</v>
      </c>
      <c r="B961" t="s">
        <v>44</v>
      </c>
      <c r="C961">
        <v>14</v>
      </c>
      <c r="D961" t="str">
        <f t="shared" si="14"/>
        <v>05/03/2025Geriatrics</v>
      </c>
    </row>
    <row r="962" spans="1:4">
      <c r="A962" s="1">
        <v>45722</v>
      </c>
      <c r="B962" t="s">
        <v>39</v>
      </c>
      <c r="C962">
        <v>23</v>
      </c>
      <c r="D962" t="str">
        <f t="shared" si="14"/>
        <v>06/03/2025A&amp;E (Emergency)</v>
      </c>
    </row>
    <row r="963" spans="1:4">
      <c r="A963" s="1">
        <v>45722</v>
      </c>
      <c r="B963" t="s">
        <v>40</v>
      </c>
      <c r="C963">
        <v>16</v>
      </c>
      <c r="D963" t="str">
        <f t="shared" ref="D963:D1026" si="15">TEXT(A963, "dd/mm/yyyy")&amp;B963</f>
        <v>06/03/2025Cardiology</v>
      </c>
    </row>
    <row r="964" spans="1:4">
      <c r="A964" s="1">
        <v>45722</v>
      </c>
      <c r="B964" t="s">
        <v>51</v>
      </c>
      <c r="C964">
        <v>13</v>
      </c>
      <c r="D964" t="str">
        <f t="shared" si="15"/>
        <v>06/03/2025Respiratory</v>
      </c>
    </row>
    <row r="965" spans="1:4">
      <c r="A965" s="1">
        <v>45722</v>
      </c>
      <c r="B965" t="s">
        <v>43</v>
      </c>
      <c r="C965">
        <v>19</v>
      </c>
      <c r="D965" t="str">
        <f t="shared" si="15"/>
        <v>06/03/2025General Surgery</v>
      </c>
    </row>
    <row r="966" spans="1:4">
      <c r="A966" s="1">
        <v>45722</v>
      </c>
      <c r="B966" t="s">
        <v>48</v>
      </c>
      <c r="C966">
        <v>14</v>
      </c>
      <c r="D966" t="str">
        <f t="shared" si="15"/>
        <v>06/03/2025Orthopaedics</v>
      </c>
    </row>
    <row r="967" spans="1:4">
      <c r="A967" s="1">
        <v>45722</v>
      </c>
      <c r="B967" t="s">
        <v>46</v>
      </c>
      <c r="C967">
        <v>12</v>
      </c>
      <c r="D967" t="str">
        <f t="shared" si="15"/>
        <v>06/03/2025Neurology</v>
      </c>
    </row>
    <row r="968" spans="1:4">
      <c r="A968" s="1">
        <v>45722</v>
      </c>
      <c r="B968" t="s">
        <v>47</v>
      </c>
      <c r="C968">
        <v>16</v>
      </c>
      <c r="D968" t="str">
        <f t="shared" si="15"/>
        <v>06/03/2025Oncology</v>
      </c>
    </row>
    <row r="969" spans="1:4">
      <c r="A969" s="1">
        <v>45722</v>
      </c>
      <c r="B969" t="s">
        <v>49</v>
      </c>
      <c r="C969">
        <v>11</v>
      </c>
      <c r="D969" t="str">
        <f t="shared" si="15"/>
        <v>06/03/2025Paediatrics</v>
      </c>
    </row>
    <row r="970" spans="1:4">
      <c r="A970" s="1">
        <v>45722</v>
      </c>
      <c r="B970" t="s">
        <v>45</v>
      </c>
      <c r="C970">
        <v>12</v>
      </c>
      <c r="D970" t="str">
        <f t="shared" si="15"/>
        <v>06/03/2025Maternity</v>
      </c>
    </row>
    <row r="971" spans="1:4">
      <c r="A971" s="1">
        <v>45722</v>
      </c>
      <c r="B971" t="s">
        <v>50</v>
      </c>
      <c r="C971">
        <v>19</v>
      </c>
      <c r="D971" t="str">
        <f t="shared" si="15"/>
        <v>06/03/2025Renal Medicine</v>
      </c>
    </row>
    <row r="972" spans="1:4">
      <c r="A972" s="1">
        <v>45722</v>
      </c>
      <c r="B972" t="s">
        <v>42</v>
      </c>
      <c r="C972">
        <v>10</v>
      </c>
      <c r="D972" t="str">
        <f t="shared" si="15"/>
        <v>06/03/2025Gastroenterology</v>
      </c>
    </row>
    <row r="973" spans="1:4">
      <c r="A973" s="1">
        <v>45722</v>
      </c>
      <c r="B973" t="s">
        <v>98</v>
      </c>
      <c r="C973">
        <v>8</v>
      </c>
      <c r="D973" t="str">
        <f t="shared" si="15"/>
        <v>06/03/2025Endocrinology</v>
      </c>
    </row>
    <row r="974" spans="1:4">
      <c r="A974" s="1">
        <v>45722</v>
      </c>
      <c r="B974" t="s">
        <v>100</v>
      </c>
      <c r="C974">
        <v>10</v>
      </c>
      <c r="D974" t="str">
        <f t="shared" si="15"/>
        <v>06/03/2025Urology</v>
      </c>
    </row>
    <row r="975" spans="1:4">
      <c r="A975" s="1">
        <v>45722</v>
      </c>
      <c r="B975" t="s">
        <v>41</v>
      </c>
      <c r="C975">
        <v>12</v>
      </c>
      <c r="D975" t="str">
        <f t="shared" si="15"/>
        <v>06/03/2025ENT</v>
      </c>
    </row>
    <row r="976" spans="1:4">
      <c r="A976" s="1">
        <v>45722</v>
      </c>
      <c r="B976" t="s">
        <v>44</v>
      </c>
      <c r="C976">
        <v>14</v>
      </c>
      <c r="D976" t="str">
        <f t="shared" si="15"/>
        <v>06/03/2025Geriatrics</v>
      </c>
    </row>
    <row r="977" spans="1:4">
      <c r="A977" s="1">
        <v>45723</v>
      </c>
      <c r="B977" t="s">
        <v>39</v>
      </c>
      <c r="C977">
        <v>22</v>
      </c>
      <c r="D977" t="str">
        <f t="shared" si="15"/>
        <v>07/03/2025A&amp;E (Emergency)</v>
      </c>
    </row>
    <row r="978" spans="1:4">
      <c r="A978" s="1">
        <v>45723</v>
      </c>
      <c r="B978" t="s">
        <v>40</v>
      </c>
      <c r="C978">
        <v>15</v>
      </c>
      <c r="D978" t="str">
        <f t="shared" si="15"/>
        <v>07/03/2025Cardiology</v>
      </c>
    </row>
    <row r="979" spans="1:4">
      <c r="A979" s="1">
        <v>45723</v>
      </c>
      <c r="B979" t="s">
        <v>51</v>
      </c>
      <c r="C979">
        <v>12</v>
      </c>
      <c r="D979" t="str">
        <f t="shared" si="15"/>
        <v>07/03/2025Respiratory</v>
      </c>
    </row>
    <row r="980" spans="1:4">
      <c r="A980" s="1">
        <v>45723</v>
      </c>
      <c r="B980" t="s">
        <v>43</v>
      </c>
      <c r="C980">
        <v>18</v>
      </c>
      <c r="D980" t="str">
        <f t="shared" si="15"/>
        <v>07/03/2025General Surgery</v>
      </c>
    </row>
    <row r="981" spans="1:4">
      <c r="A981" s="1">
        <v>45723</v>
      </c>
      <c r="B981" t="s">
        <v>48</v>
      </c>
      <c r="C981">
        <v>13</v>
      </c>
      <c r="D981" t="str">
        <f t="shared" si="15"/>
        <v>07/03/2025Orthopaedics</v>
      </c>
    </row>
    <row r="982" spans="1:4">
      <c r="A982" s="1">
        <v>45723</v>
      </c>
      <c r="B982" t="s">
        <v>46</v>
      </c>
      <c r="C982">
        <v>11</v>
      </c>
      <c r="D982" t="str">
        <f t="shared" si="15"/>
        <v>07/03/2025Neurology</v>
      </c>
    </row>
    <row r="983" spans="1:4">
      <c r="A983" s="1">
        <v>45723</v>
      </c>
      <c r="B983" t="s">
        <v>47</v>
      </c>
      <c r="C983">
        <v>15</v>
      </c>
      <c r="D983" t="str">
        <f t="shared" si="15"/>
        <v>07/03/2025Oncology</v>
      </c>
    </row>
    <row r="984" spans="1:4">
      <c r="A984" s="1">
        <v>45723</v>
      </c>
      <c r="B984" t="s">
        <v>49</v>
      </c>
      <c r="C984">
        <v>10</v>
      </c>
      <c r="D984" t="str">
        <f t="shared" si="15"/>
        <v>07/03/2025Paediatrics</v>
      </c>
    </row>
    <row r="985" spans="1:4">
      <c r="A985" s="1">
        <v>45723</v>
      </c>
      <c r="B985" t="s">
        <v>45</v>
      </c>
      <c r="C985">
        <v>11</v>
      </c>
      <c r="D985" t="str">
        <f t="shared" si="15"/>
        <v>07/03/2025Maternity</v>
      </c>
    </row>
    <row r="986" spans="1:4">
      <c r="A986" s="1">
        <v>45723</v>
      </c>
      <c r="B986" t="s">
        <v>50</v>
      </c>
      <c r="C986">
        <v>18</v>
      </c>
      <c r="D986" t="str">
        <f t="shared" si="15"/>
        <v>07/03/2025Renal Medicine</v>
      </c>
    </row>
    <row r="987" spans="1:4">
      <c r="A987" s="1">
        <v>45723</v>
      </c>
      <c r="B987" t="s">
        <v>42</v>
      </c>
      <c r="C987">
        <v>9</v>
      </c>
      <c r="D987" t="str">
        <f t="shared" si="15"/>
        <v>07/03/2025Gastroenterology</v>
      </c>
    </row>
    <row r="988" spans="1:4">
      <c r="A988" s="1">
        <v>45723</v>
      </c>
      <c r="B988" t="s">
        <v>98</v>
      </c>
      <c r="C988">
        <v>7</v>
      </c>
      <c r="D988" t="str">
        <f t="shared" si="15"/>
        <v>07/03/2025Endocrinology</v>
      </c>
    </row>
    <row r="989" spans="1:4">
      <c r="A989" s="1">
        <v>45723</v>
      </c>
      <c r="B989" t="s">
        <v>100</v>
      </c>
      <c r="C989">
        <v>9</v>
      </c>
      <c r="D989" t="str">
        <f t="shared" si="15"/>
        <v>07/03/2025Urology</v>
      </c>
    </row>
    <row r="990" spans="1:4">
      <c r="A990" s="1">
        <v>45723</v>
      </c>
      <c r="B990" t="s">
        <v>41</v>
      </c>
      <c r="C990">
        <v>11</v>
      </c>
      <c r="D990" t="str">
        <f t="shared" si="15"/>
        <v>07/03/2025ENT</v>
      </c>
    </row>
    <row r="991" spans="1:4">
      <c r="A991" s="1">
        <v>45723</v>
      </c>
      <c r="B991" t="s">
        <v>44</v>
      </c>
      <c r="C991">
        <v>13</v>
      </c>
      <c r="D991" t="str">
        <f t="shared" si="15"/>
        <v>07/03/2025Geriatrics</v>
      </c>
    </row>
    <row r="992" spans="1:4">
      <c r="A992" s="1">
        <v>45724</v>
      </c>
      <c r="B992" t="s">
        <v>39</v>
      </c>
      <c r="C992">
        <v>20</v>
      </c>
      <c r="D992" t="str">
        <f t="shared" si="15"/>
        <v>08/03/2025A&amp;E (Emergency)</v>
      </c>
    </row>
    <row r="993" spans="1:4">
      <c r="A993" s="1">
        <v>45724</v>
      </c>
      <c r="B993" t="s">
        <v>40</v>
      </c>
      <c r="C993">
        <v>12</v>
      </c>
      <c r="D993" t="str">
        <f t="shared" si="15"/>
        <v>08/03/2025Cardiology</v>
      </c>
    </row>
    <row r="994" spans="1:4">
      <c r="A994" s="1">
        <v>45724</v>
      </c>
      <c r="B994" t="s">
        <v>51</v>
      </c>
      <c r="C994">
        <v>9</v>
      </c>
      <c r="D994" t="str">
        <f t="shared" si="15"/>
        <v>08/03/2025Respiratory</v>
      </c>
    </row>
    <row r="995" spans="1:4">
      <c r="A995" s="1">
        <v>45724</v>
      </c>
      <c r="B995" t="s">
        <v>43</v>
      </c>
      <c r="C995">
        <v>15</v>
      </c>
      <c r="D995" t="str">
        <f t="shared" si="15"/>
        <v>08/03/2025General Surgery</v>
      </c>
    </row>
    <row r="996" spans="1:4">
      <c r="A996" s="1">
        <v>45724</v>
      </c>
      <c r="B996" t="s">
        <v>48</v>
      </c>
      <c r="C996">
        <v>11</v>
      </c>
      <c r="D996" t="str">
        <f t="shared" si="15"/>
        <v>08/03/2025Orthopaedics</v>
      </c>
    </row>
    <row r="997" spans="1:4">
      <c r="A997" s="1">
        <v>45724</v>
      </c>
      <c r="B997" t="s">
        <v>46</v>
      </c>
      <c r="C997">
        <v>9</v>
      </c>
      <c r="D997" t="str">
        <f t="shared" si="15"/>
        <v>08/03/2025Neurology</v>
      </c>
    </row>
    <row r="998" spans="1:4">
      <c r="A998" s="1">
        <v>45724</v>
      </c>
      <c r="B998" t="s">
        <v>47</v>
      </c>
      <c r="C998">
        <v>13</v>
      </c>
      <c r="D998" t="str">
        <f t="shared" si="15"/>
        <v>08/03/2025Oncology</v>
      </c>
    </row>
    <row r="999" spans="1:4">
      <c r="A999" s="1">
        <v>45724</v>
      </c>
      <c r="B999" t="s">
        <v>49</v>
      </c>
      <c r="C999">
        <v>9</v>
      </c>
      <c r="D999" t="str">
        <f t="shared" si="15"/>
        <v>08/03/2025Paediatrics</v>
      </c>
    </row>
    <row r="1000" spans="1:4">
      <c r="A1000" s="1">
        <v>45724</v>
      </c>
      <c r="B1000" t="s">
        <v>45</v>
      </c>
      <c r="C1000">
        <v>10</v>
      </c>
      <c r="D1000" t="str">
        <f t="shared" si="15"/>
        <v>08/03/2025Maternity</v>
      </c>
    </row>
    <row r="1001" spans="1:4">
      <c r="A1001" s="1">
        <v>45724</v>
      </c>
      <c r="B1001" t="s">
        <v>50</v>
      </c>
      <c r="C1001">
        <v>17</v>
      </c>
      <c r="D1001" t="str">
        <f t="shared" si="15"/>
        <v>08/03/2025Renal Medicine</v>
      </c>
    </row>
    <row r="1002" spans="1:4">
      <c r="A1002" s="1">
        <v>45724</v>
      </c>
      <c r="B1002" t="s">
        <v>42</v>
      </c>
      <c r="C1002">
        <v>7</v>
      </c>
      <c r="D1002" t="str">
        <f t="shared" si="15"/>
        <v>08/03/2025Gastroenterology</v>
      </c>
    </row>
    <row r="1003" spans="1:4">
      <c r="A1003" s="1">
        <v>45724</v>
      </c>
      <c r="B1003" t="s">
        <v>98</v>
      </c>
      <c r="C1003">
        <v>6</v>
      </c>
      <c r="D1003" t="str">
        <f t="shared" si="15"/>
        <v>08/03/2025Endocrinology</v>
      </c>
    </row>
    <row r="1004" spans="1:4">
      <c r="A1004" s="1">
        <v>45724</v>
      </c>
      <c r="B1004" t="s">
        <v>100</v>
      </c>
      <c r="C1004">
        <v>8</v>
      </c>
      <c r="D1004" t="str">
        <f t="shared" si="15"/>
        <v>08/03/2025Urology</v>
      </c>
    </row>
    <row r="1005" spans="1:4">
      <c r="A1005" s="1">
        <v>45724</v>
      </c>
      <c r="B1005" t="s">
        <v>41</v>
      </c>
      <c r="C1005">
        <v>10</v>
      </c>
      <c r="D1005" t="str">
        <f t="shared" si="15"/>
        <v>08/03/2025ENT</v>
      </c>
    </row>
    <row r="1006" spans="1:4">
      <c r="A1006" s="1">
        <v>45724</v>
      </c>
      <c r="B1006" t="s">
        <v>44</v>
      </c>
      <c r="C1006">
        <v>12</v>
      </c>
      <c r="D1006" t="str">
        <f t="shared" si="15"/>
        <v>08/03/2025Geriatrics</v>
      </c>
    </row>
    <row r="1007" spans="1:4">
      <c r="A1007" s="1">
        <v>45725</v>
      </c>
      <c r="B1007" t="s">
        <v>39</v>
      </c>
      <c r="C1007">
        <v>19</v>
      </c>
      <c r="D1007" t="str">
        <f t="shared" si="15"/>
        <v>09/03/2025A&amp;E (Emergency)</v>
      </c>
    </row>
    <row r="1008" spans="1:4">
      <c r="A1008" s="1">
        <v>45725</v>
      </c>
      <c r="B1008" t="s">
        <v>40</v>
      </c>
      <c r="C1008">
        <v>11</v>
      </c>
      <c r="D1008" t="str">
        <f t="shared" si="15"/>
        <v>09/03/2025Cardiology</v>
      </c>
    </row>
    <row r="1009" spans="1:4">
      <c r="A1009" s="1">
        <v>45725</v>
      </c>
      <c r="B1009" t="s">
        <v>51</v>
      </c>
      <c r="C1009">
        <v>9</v>
      </c>
      <c r="D1009" t="str">
        <f t="shared" si="15"/>
        <v>09/03/2025Respiratory</v>
      </c>
    </row>
    <row r="1010" spans="1:4">
      <c r="A1010" s="1">
        <v>45725</v>
      </c>
      <c r="B1010" t="s">
        <v>43</v>
      </c>
      <c r="C1010">
        <v>14</v>
      </c>
      <c r="D1010" t="str">
        <f t="shared" si="15"/>
        <v>09/03/2025General Surgery</v>
      </c>
    </row>
    <row r="1011" spans="1:4">
      <c r="A1011" s="1">
        <v>45725</v>
      </c>
      <c r="B1011" t="s">
        <v>48</v>
      </c>
      <c r="C1011">
        <v>10</v>
      </c>
      <c r="D1011" t="str">
        <f t="shared" si="15"/>
        <v>09/03/2025Orthopaedics</v>
      </c>
    </row>
    <row r="1012" spans="1:4">
      <c r="A1012" s="1">
        <v>45725</v>
      </c>
      <c r="B1012" t="s">
        <v>46</v>
      </c>
      <c r="C1012">
        <v>9</v>
      </c>
      <c r="D1012" t="str">
        <f t="shared" si="15"/>
        <v>09/03/2025Neurology</v>
      </c>
    </row>
    <row r="1013" spans="1:4">
      <c r="A1013" s="1">
        <v>45725</v>
      </c>
      <c r="B1013" t="s">
        <v>47</v>
      </c>
      <c r="C1013">
        <v>12</v>
      </c>
      <c r="D1013" t="str">
        <f t="shared" si="15"/>
        <v>09/03/2025Oncology</v>
      </c>
    </row>
    <row r="1014" spans="1:4">
      <c r="A1014" s="1">
        <v>45725</v>
      </c>
      <c r="B1014" t="s">
        <v>49</v>
      </c>
      <c r="C1014">
        <v>8</v>
      </c>
      <c r="D1014" t="str">
        <f t="shared" si="15"/>
        <v>09/03/2025Paediatrics</v>
      </c>
    </row>
    <row r="1015" spans="1:4">
      <c r="A1015" s="1">
        <v>45725</v>
      </c>
      <c r="B1015" t="s">
        <v>45</v>
      </c>
      <c r="C1015">
        <v>9</v>
      </c>
      <c r="D1015" t="str">
        <f t="shared" si="15"/>
        <v>09/03/2025Maternity</v>
      </c>
    </row>
    <row r="1016" spans="1:4">
      <c r="A1016" s="1">
        <v>45725</v>
      </c>
      <c r="B1016" t="s">
        <v>50</v>
      </c>
      <c r="C1016">
        <v>17</v>
      </c>
      <c r="D1016" t="str">
        <f t="shared" si="15"/>
        <v>09/03/2025Renal Medicine</v>
      </c>
    </row>
    <row r="1017" spans="1:4">
      <c r="A1017" s="1">
        <v>45725</v>
      </c>
      <c r="B1017" t="s">
        <v>42</v>
      </c>
      <c r="C1017">
        <v>7</v>
      </c>
      <c r="D1017" t="str">
        <f t="shared" si="15"/>
        <v>09/03/2025Gastroenterology</v>
      </c>
    </row>
    <row r="1018" spans="1:4">
      <c r="A1018" s="1">
        <v>45725</v>
      </c>
      <c r="B1018" t="s">
        <v>98</v>
      </c>
      <c r="C1018">
        <v>6</v>
      </c>
      <c r="D1018" t="str">
        <f t="shared" si="15"/>
        <v>09/03/2025Endocrinology</v>
      </c>
    </row>
    <row r="1019" spans="1:4">
      <c r="A1019" s="1">
        <v>45725</v>
      </c>
      <c r="B1019" t="s">
        <v>100</v>
      </c>
      <c r="C1019">
        <v>8</v>
      </c>
      <c r="D1019" t="str">
        <f t="shared" si="15"/>
        <v>09/03/2025Urology</v>
      </c>
    </row>
    <row r="1020" spans="1:4">
      <c r="A1020" s="1">
        <v>45725</v>
      </c>
      <c r="B1020" t="s">
        <v>41</v>
      </c>
      <c r="C1020">
        <v>10</v>
      </c>
      <c r="D1020" t="str">
        <f t="shared" si="15"/>
        <v>09/03/2025ENT</v>
      </c>
    </row>
    <row r="1021" spans="1:4">
      <c r="A1021" s="1">
        <v>45725</v>
      </c>
      <c r="B1021" t="s">
        <v>44</v>
      </c>
      <c r="C1021">
        <v>12</v>
      </c>
      <c r="D1021" t="str">
        <f t="shared" si="15"/>
        <v>09/03/2025Geriatrics</v>
      </c>
    </row>
    <row r="1022" spans="1:4">
      <c r="A1022" s="1">
        <v>45726</v>
      </c>
      <c r="B1022" t="s">
        <v>39</v>
      </c>
      <c r="C1022">
        <v>27</v>
      </c>
      <c r="D1022" t="str">
        <f t="shared" si="15"/>
        <v>10/03/2025A&amp;E (Emergency)</v>
      </c>
    </row>
    <row r="1023" spans="1:4">
      <c r="A1023" s="1">
        <v>45726</v>
      </c>
      <c r="B1023" t="s">
        <v>40</v>
      </c>
      <c r="C1023">
        <v>18</v>
      </c>
      <c r="D1023" t="str">
        <f t="shared" si="15"/>
        <v>10/03/2025Cardiology</v>
      </c>
    </row>
    <row r="1024" spans="1:4">
      <c r="A1024" s="1">
        <v>45726</v>
      </c>
      <c r="B1024" t="s">
        <v>51</v>
      </c>
      <c r="C1024">
        <v>15</v>
      </c>
      <c r="D1024" t="str">
        <f t="shared" si="15"/>
        <v>10/03/2025Respiratory</v>
      </c>
    </row>
    <row r="1025" spans="1:4">
      <c r="A1025" s="1">
        <v>45726</v>
      </c>
      <c r="B1025" t="s">
        <v>43</v>
      </c>
      <c r="C1025">
        <v>21</v>
      </c>
      <c r="D1025" t="str">
        <f t="shared" si="15"/>
        <v>10/03/2025General Surgery</v>
      </c>
    </row>
    <row r="1026" spans="1:4">
      <c r="A1026" s="1">
        <v>45726</v>
      </c>
      <c r="B1026" t="s">
        <v>48</v>
      </c>
      <c r="C1026">
        <v>16</v>
      </c>
      <c r="D1026" t="str">
        <f t="shared" si="15"/>
        <v>10/03/2025Orthopaedics</v>
      </c>
    </row>
    <row r="1027" spans="1:4">
      <c r="A1027" s="1">
        <v>45726</v>
      </c>
      <c r="B1027" t="s">
        <v>46</v>
      </c>
      <c r="C1027">
        <v>14</v>
      </c>
      <c r="D1027" t="str">
        <f t="shared" ref="D1027:D1090" si="16">TEXT(A1027, "dd/mm/yyyy")&amp;B1027</f>
        <v>10/03/2025Neurology</v>
      </c>
    </row>
    <row r="1028" spans="1:4">
      <c r="A1028" s="1">
        <v>45726</v>
      </c>
      <c r="B1028" t="s">
        <v>47</v>
      </c>
      <c r="C1028">
        <v>18</v>
      </c>
      <c r="D1028" t="str">
        <f t="shared" si="16"/>
        <v>10/03/2025Oncology</v>
      </c>
    </row>
    <row r="1029" spans="1:4">
      <c r="A1029" s="1">
        <v>45726</v>
      </c>
      <c r="B1029" t="s">
        <v>49</v>
      </c>
      <c r="C1029">
        <v>13</v>
      </c>
      <c r="D1029" t="str">
        <f t="shared" si="16"/>
        <v>10/03/2025Paediatrics</v>
      </c>
    </row>
    <row r="1030" spans="1:4">
      <c r="A1030" s="1">
        <v>45726</v>
      </c>
      <c r="B1030" t="s">
        <v>45</v>
      </c>
      <c r="C1030">
        <v>13</v>
      </c>
      <c r="D1030" t="str">
        <f t="shared" si="16"/>
        <v>10/03/2025Maternity</v>
      </c>
    </row>
    <row r="1031" spans="1:4">
      <c r="A1031" s="1">
        <v>45726</v>
      </c>
      <c r="B1031" t="s">
        <v>50</v>
      </c>
      <c r="C1031">
        <v>21</v>
      </c>
      <c r="D1031" t="str">
        <f t="shared" si="16"/>
        <v>10/03/2025Renal Medicine</v>
      </c>
    </row>
    <row r="1032" spans="1:4">
      <c r="A1032" s="1">
        <v>45726</v>
      </c>
      <c r="B1032" t="s">
        <v>42</v>
      </c>
      <c r="C1032">
        <v>12</v>
      </c>
      <c r="D1032" t="str">
        <f t="shared" si="16"/>
        <v>10/03/2025Gastroenterology</v>
      </c>
    </row>
    <row r="1033" spans="1:4">
      <c r="A1033" s="1">
        <v>45726</v>
      </c>
      <c r="B1033" t="s">
        <v>98</v>
      </c>
      <c r="C1033">
        <v>10</v>
      </c>
      <c r="D1033" t="str">
        <f t="shared" si="16"/>
        <v>10/03/2025Endocrinology</v>
      </c>
    </row>
    <row r="1034" spans="1:4">
      <c r="A1034" s="1">
        <v>45726</v>
      </c>
      <c r="B1034" t="s">
        <v>100</v>
      </c>
      <c r="C1034">
        <v>11</v>
      </c>
      <c r="D1034" t="str">
        <f t="shared" si="16"/>
        <v>10/03/2025Urology</v>
      </c>
    </row>
    <row r="1035" spans="1:4">
      <c r="A1035" s="1">
        <v>45726</v>
      </c>
      <c r="B1035" t="s">
        <v>41</v>
      </c>
      <c r="C1035">
        <v>13</v>
      </c>
      <c r="D1035" t="str">
        <f t="shared" si="16"/>
        <v>10/03/2025ENT</v>
      </c>
    </row>
    <row r="1036" spans="1:4">
      <c r="A1036" s="1">
        <v>45726</v>
      </c>
      <c r="B1036" t="s">
        <v>44</v>
      </c>
      <c r="C1036">
        <v>16</v>
      </c>
      <c r="D1036" t="str">
        <f t="shared" si="16"/>
        <v>10/03/2025Geriatrics</v>
      </c>
    </row>
    <row r="1037" spans="1:4">
      <c r="A1037" s="1">
        <v>45727</v>
      </c>
      <c r="B1037" t="s">
        <v>39</v>
      </c>
      <c r="C1037">
        <v>25</v>
      </c>
      <c r="D1037" t="str">
        <f t="shared" si="16"/>
        <v>11/03/2025A&amp;E (Emergency)</v>
      </c>
    </row>
    <row r="1038" spans="1:4">
      <c r="A1038" s="1">
        <v>45727</v>
      </c>
      <c r="B1038" t="s">
        <v>40</v>
      </c>
      <c r="C1038">
        <v>17</v>
      </c>
      <c r="D1038" t="str">
        <f t="shared" si="16"/>
        <v>11/03/2025Cardiology</v>
      </c>
    </row>
    <row r="1039" spans="1:4">
      <c r="A1039" s="1">
        <v>45727</v>
      </c>
      <c r="B1039" t="s">
        <v>51</v>
      </c>
      <c r="C1039">
        <v>14</v>
      </c>
      <c r="D1039" t="str">
        <f t="shared" si="16"/>
        <v>11/03/2025Respiratory</v>
      </c>
    </row>
    <row r="1040" spans="1:4">
      <c r="A1040" s="1">
        <v>45727</v>
      </c>
      <c r="B1040" t="s">
        <v>43</v>
      </c>
      <c r="C1040">
        <v>20</v>
      </c>
      <c r="D1040" t="str">
        <f t="shared" si="16"/>
        <v>11/03/2025General Surgery</v>
      </c>
    </row>
    <row r="1041" spans="1:4">
      <c r="A1041" s="1">
        <v>45727</v>
      </c>
      <c r="B1041" t="s">
        <v>48</v>
      </c>
      <c r="C1041">
        <v>15</v>
      </c>
      <c r="D1041" t="str">
        <f t="shared" si="16"/>
        <v>11/03/2025Orthopaedics</v>
      </c>
    </row>
    <row r="1042" spans="1:4">
      <c r="A1042" s="1">
        <v>45727</v>
      </c>
      <c r="B1042" t="s">
        <v>46</v>
      </c>
      <c r="C1042">
        <v>13</v>
      </c>
      <c r="D1042" t="str">
        <f t="shared" si="16"/>
        <v>11/03/2025Neurology</v>
      </c>
    </row>
    <row r="1043" spans="1:4">
      <c r="A1043" s="1">
        <v>45727</v>
      </c>
      <c r="B1043" t="s">
        <v>47</v>
      </c>
      <c r="C1043">
        <v>17</v>
      </c>
      <c r="D1043" t="str">
        <f t="shared" si="16"/>
        <v>11/03/2025Oncology</v>
      </c>
    </row>
    <row r="1044" spans="1:4">
      <c r="A1044" s="1">
        <v>45727</v>
      </c>
      <c r="B1044" t="s">
        <v>49</v>
      </c>
      <c r="C1044">
        <v>12</v>
      </c>
      <c r="D1044" t="str">
        <f t="shared" si="16"/>
        <v>11/03/2025Paediatrics</v>
      </c>
    </row>
    <row r="1045" spans="1:4">
      <c r="A1045" s="1">
        <v>45727</v>
      </c>
      <c r="B1045" t="s">
        <v>45</v>
      </c>
      <c r="C1045">
        <v>12</v>
      </c>
      <c r="D1045" t="str">
        <f t="shared" si="16"/>
        <v>11/03/2025Maternity</v>
      </c>
    </row>
    <row r="1046" spans="1:4">
      <c r="A1046" s="1">
        <v>45727</v>
      </c>
      <c r="B1046" t="s">
        <v>50</v>
      </c>
      <c r="C1046">
        <v>20</v>
      </c>
      <c r="D1046" t="str">
        <f t="shared" si="16"/>
        <v>11/03/2025Renal Medicine</v>
      </c>
    </row>
    <row r="1047" spans="1:4">
      <c r="A1047" s="1">
        <v>45727</v>
      </c>
      <c r="B1047" t="s">
        <v>42</v>
      </c>
      <c r="C1047">
        <v>11</v>
      </c>
      <c r="D1047" t="str">
        <f t="shared" si="16"/>
        <v>11/03/2025Gastroenterology</v>
      </c>
    </row>
    <row r="1048" spans="1:4">
      <c r="A1048" s="1">
        <v>45727</v>
      </c>
      <c r="B1048" t="s">
        <v>98</v>
      </c>
      <c r="C1048">
        <v>9</v>
      </c>
      <c r="D1048" t="str">
        <f t="shared" si="16"/>
        <v>11/03/2025Endocrinology</v>
      </c>
    </row>
    <row r="1049" spans="1:4">
      <c r="A1049" s="1">
        <v>45727</v>
      </c>
      <c r="B1049" t="s">
        <v>100</v>
      </c>
      <c r="C1049">
        <v>10</v>
      </c>
      <c r="D1049" t="str">
        <f t="shared" si="16"/>
        <v>11/03/2025Urology</v>
      </c>
    </row>
    <row r="1050" spans="1:4">
      <c r="A1050" s="1">
        <v>45727</v>
      </c>
      <c r="B1050" t="s">
        <v>41</v>
      </c>
      <c r="C1050">
        <v>12</v>
      </c>
      <c r="D1050" t="str">
        <f t="shared" si="16"/>
        <v>11/03/2025ENT</v>
      </c>
    </row>
    <row r="1051" spans="1:4">
      <c r="A1051" s="1">
        <v>45727</v>
      </c>
      <c r="B1051" t="s">
        <v>44</v>
      </c>
      <c r="C1051">
        <v>15</v>
      </c>
      <c r="D1051" t="str">
        <f t="shared" si="16"/>
        <v>11/03/2025Geriatrics</v>
      </c>
    </row>
    <row r="1052" spans="1:4">
      <c r="A1052" s="1">
        <v>45728</v>
      </c>
      <c r="B1052" t="s">
        <v>39</v>
      </c>
      <c r="C1052">
        <v>24</v>
      </c>
      <c r="D1052" t="str">
        <f t="shared" si="16"/>
        <v>12/03/2025A&amp;E (Emergency)</v>
      </c>
    </row>
    <row r="1053" spans="1:4">
      <c r="A1053" s="1">
        <v>45728</v>
      </c>
      <c r="B1053" t="s">
        <v>40</v>
      </c>
      <c r="C1053">
        <v>16</v>
      </c>
      <c r="D1053" t="str">
        <f t="shared" si="16"/>
        <v>12/03/2025Cardiology</v>
      </c>
    </row>
    <row r="1054" spans="1:4">
      <c r="A1054" s="1">
        <v>45728</v>
      </c>
      <c r="B1054" t="s">
        <v>51</v>
      </c>
      <c r="C1054">
        <v>13</v>
      </c>
      <c r="D1054" t="str">
        <f t="shared" si="16"/>
        <v>12/03/2025Respiratory</v>
      </c>
    </row>
    <row r="1055" spans="1:4">
      <c r="A1055" s="1">
        <v>45728</v>
      </c>
      <c r="B1055" t="s">
        <v>43</v>
      </c>
      <c r="C1055">
        <v>19</v>
      </c>
      <c r="D1055" t="str">
        <f t="shared" si="16"/>
        <v>12/03/2025General Surgery</v>
      </c>
    </row>
    <row r="1056" spans="1:4">
      <c r="A1056" s="1">
        <v>45728</v>
      </c>
      <c r="B1056" t="s">
        <v>48</v>
      </c>
      <c r="C1056">
        <v>14</v>
      </c>
      <c r="D1056" t="str">
        <f t="shared" si="16"/>
        <v>12/03/2025Orthopaedics</v>
      </c>
    </row>
    <row r="1057" spans="1:4">
      <c r="A1057" s="1">
        <v>45728</v>
      </c>
      <c r="B1057" t="s">
        <v>46</v>
      </c>
      <c r="C1057">
        <v>12</v>
      </c>
      <c r="D1057" t="str">
        <f t="shared" si="16"/>
        <v>12/03/2025Neurology</v>
      </c>
    </row>
    <row r="1058" spans="1:4">
      <c r="A1058" s="1">
        <v>45728</v>
      </c>
      <c r="B1058" t="s">
        <v>47</v>
      </c>
      <c r="C1058">
        <v>16</v>
      </c>
      <c r="D1058" t="str">
        <f t="shared" si="16"/>
        <v>12/03/2025Oncology</v>
      </c>
    </row>
    <row r="1059" spans="1:4">
      <c r="A1059" s="1">
        <v>45728</v>
      </c>
      <c r="B1059" t="s">
        <v>49</v>
      </c>
      <c r="C1059">
        <v>11</v>
      </c>
      <c r="D1059" t="str">
        <f t="shared" si="16"/>
        <v>12/03/2025Paediatrics</v>
      </c>
    </row>
    <row r="1060" spans="1:4">
      <c r="A1060" s="1">
        <v>45728</v>
      </c>
      <c r="B1060" t="s">
        <v>45</v>
      </c>
      <c r="C1060">
        <v>12</v>
      </c>
      <c r="D1060" t="str">
        <f t="shared" si="16"/>
        <v>12/03/2025Maternity</v>
      </c>
    </row>
    <row r="1061" spans="1:4">
      <c r="A1061" s="1">
        <v>45728</v>
      </c>
      <c r="B1061" t="s">
        <v>50</v>
      </c>
      <c r="C1061">
        <v>19</v>
      </c>
      <c r="D1061" t="str">
        <f t="shared" si="16"/>
        <v>12/03/2025Renal Medicine</v>
      </c>
    </row>
    <row r="1062" spans="1:4">
      <c r="A1062" s="1">
        <v>45728</v>
      </c>
      <c r="B1062" t="s">
        <v>42</v>
      </c>
      <c r="C1062">
        <v>10</v>
      </c>
      <c r="D1062" t="str">
        <f t="shared" si="16"/>
        <v>12/03/2025Gastroenterology</v>
      </c>
    </row>
    <row r="1063" spans="1:4">
      <c r="A1063" s="1">
        <v>45728</v>
      </c>
      <c r="B1063" t="s">
        <v>98</v>
      </c>
      <c r="C1063">
        <v>8</v>
      </c>
      <c r="D1063" t="str">
        <f t="shared" si="16"/>
        <v>12/03/2025Endocrinology</v>
      </c>
    </row>
    <row r="1064" spans="1:4">
      <c r="A1064" s="1">
        <v>45728</v>
      </c>
      <c r="B1064" t="s">
        <v>100</v>
      </c>
      <c r="C1064">
        <v>10</v>
      </c>
      <c r="D1064" t="str">
        <f t="shared" si="16"/>
        <v>12/03/2025Urology</v>
      </c>
    </row>
    <row r="1065" spans="1:4">
      <c r="A1065" s="1">
        <v>45728</v>
      </c>
      <c r="B1065" t="s">
        <v>41</v>
      </c>
      <c r="C1065">
        <v>12</v>
      </c>
      <c r="D1065" t="str">
        <f t="shared" si="16"/>
        <v>12/03/2025ENT</v>
      </c>
    </row>
    <row r="1066" spans="1:4">
      <c r="A1066" s="1">
        <v>45728</v>
      </c>
      <c r="B1066" t="s">
        <v>44</v>
      </c>
      <c r="C1066">
        <v>14</v>
      </c>
      <c r="D1066" t="str">
        <f t="shared" si="16"/>
        <v>12/03/2025Geriatrics</v>
      </c>
    </row>
    <row r="1067" spans="1:4">
      <c r="A1067" s="1">
        <v>45729</v>
      </c>
      <c r="B1067" t="s">
        <v>39</v>
      </c>
      <c r="C1067">
        <v>23</v>
      </c>
      <c r="D1067" t="str">
        <f t="shared" si="16"/>
        <v>13/03/2025A&amp;E (Emergency)</v>
      </c>
    </row>
    <row r="1068" spans="1:4">
      <c r="A1068" s="1">
        <v>45729</v>
      </c>
      <c r="B1068" t="s">
        <v>40</v>
      </c>
      <c r="C1068">
        <v>16</v>
      </c>
      <c r="D1068" t="str">
        <f t="shared" si="16"/>
        <v>13/03/2025Cardiology</v>
      </c>
    </row>
    <row r="1069" spans="1:4">
      <c r="A1069" s="1">
        <v>45729</v>
      </c>
      <c r="B1069" t="s">
        <v>51</v>
      </c>
      <c r="C1069">
        <v>13</v>
      </c>
      <c r="D1069" t="str">
        <f t="shared" si="16"/>
        <v>13/03/2025Respiratory</v>
      </c>
    </row>
    <row r="1070" spans="1:4">
      <c r="A1070" s="1">
        <v>45729</v>
      </c>
      <c r="B1070" t="s">
        <v>43</v>
      </c>
      <c r="C1070">
        <v>19</v>
      </c>
      <c r="D1070" t="str">
        <f t="shared" si="16"/>
        <v>13/03/2025General Surgery</v>
      </c>
    </row>
    <row r="1071" spans="1:4">
      <c r="A1071" s="1">
        <v>45729</v>
      </c>
      <c r="B1071" t="s">
        <v>48</v>
      </c>
      <c r="C1071">
        <v>14</v>
      </c>
      <c r="D1071" t="str">
        <f t="shared" si="16"/>
        <v>13/03/2025Orthopaedics</v>
      </c>
    </row>
    <row r="1072" spans="1:4">
      <c r="A1072" s="1">
        <v>45729</v>
      </c>
      <c r="B1072" t="s">
        <v>46</v>
      </c>
      <c r="C1072">
        <v>12</v>
      </c>
      <c r="D1072" t="str">
        <f t="shared" si="16"/>
        <v>13/03/2025Neurology</v>
      </c>
    </row>
    <row r="1073" spans="1:4">
      <c r="A1073" s="1">
        <v>45729</v>
      </c>
      <c r="B1073" t="s">
        <v>47</v>
      </c>
      <c r="C1073">
        <v>16</v>
      </c>
      <c r="D1073" t="str">
        <f t="shared" si="16"/>
        <v>13/03/2025Oncology</v>
      </c>
    </row>
    <row r="1074" spans="1:4">
      <c r="A1074" s="1">
        <v>45729</v>
      </c>
      <c r="B1074" t="s">
        <v>49</v>
      </c>
      <c r="C1074">
        <v>11</v>
      </c>
      <c r="D1074" t="str">
        <f t="shared" si="16"/>
        <v>13/03/2025Paediatrics</v>
      </c>
    </row>
    <row r="1075" spans="1:4">
      <c r="A1075" s="1">
        <v>45729</v>
      </c>
      <c r="B1075" t="s">
        <v>45</v>
      </c>
      <c r="C1075">
        <v>12</v>
      </c>
      <c r="D1075" t="str">
        <f t="shared" si="16"/>
        <v>13/03/2025Maternity</v>
      </c>
    </row>
    <row r="1076" spans="1:4">
      <c r="A1076" s="1">
        <v>45729</v>
      </c>
      <c r="B1076" t="s">
        <v>50</v>
      </c>
      <c r="C1076">
        <v>19</v>
      </c>
      <c r="D1076" t="str">
        <f t="shared" si="16"/>
        <v>13/03/2025Renal Medicine</v>
      </c>
    </row>
    <row r="1077" spans="1:4">
      <c r="A1077" s="1">
        <v>45729</v>
      </c>
      <c r="B1077" t="s">
        <v>42</v>
      </c>
      <c r="C1077">
        <v>10</v>
      </c>
      <c r="D1077" t="str">
        <f t="shared" si="16"/>
        <v>13/03/2025Gastroenterology</v>
      </c>
    </row>
    <row r="1078" spans="1:4">
      <c r="A1078" s="1">
        <v>45729</v>
      </c>
      <c r="B1078" t="s">
        <v>98</v>
      </c>
      <c r="C1078">
        <v>8</v>
      </c>
      <c r="D1078" t="str">
        <f t="shared" si="16"/>
        <v>13/03/2025Endocrinology</v>
      </c>
    </row>
    <row r="1079" spans="1:4">
      <c r="A1079" s="1">
        <v>45729</v>
      </c>
      <c r="B1079" t="s">
        <v>100</v>
      </c>
      <c r="C1079">
        <v>10</v>
      </c>
      <c r="D1079" t="str">
        <f t="shared" si="16"/>
        <v>13/03/2025Urology</v>
      </c>
    </row>
    <row r="1080" spans="1:4">
      <c r="A1080" s="1">
        <v>45729</v>
      </c>
      <c r="B1080" t="s">
        <v>41</v>
      </c>
      <c r="C1080">
        <v>12</v>
      </c>
      <c r="D1080" t="str">
        <f t="shared" si="16"/>
        <v>13/03/2025ENT</v>
      </c>
    </row>
    <row r="1081" spans="1:4">
      <c r="A1081" s="1">
        <v>45729</v>
      </c>
      <c r="B1081" t="s">
        <v>44</v>
      </c>
      <c r="C1081">
        <v>14</v>
      </c>
      <c r="D1081" t="str">
        <f t="shared" si="16"/>
        <v>13/03/2025Geriatrics</v>
      </c>
    </row>
    <row r="1082" spans="1:4">
      <c r="A1082" s="1">
        <v>45730</v>
      </c>
      <c r="B1082" t="s">
        <v>39</v>
      </c>
      <c r="C1082">
        <v>22</v>
      </c>
      <c r="D1082" t="str">
        <f t="shared" si="16"/>
        <v>14/03/2025A&amp;E (Emergency)</v>
      </c>
    </row>
    <row r="1083" spans="1:4">
      <c r="A1083" s="1">
        <v>45730</v>
      </c>
      <c r="B1083" t="s">
        <v>40</v>
      </c>
      <c r="C1083">
        <v>15</v>
      </c>
      <c r="D1083" t="str">
        <f t="shared" si="16"/>
        <v>14/03/2025Cardiology</v>
      </c>
    </row>
    <row r="1084" spans="1:4">
      <c r="A1084" s="1">
        <v>45730</v>
      </c>
      <c r="B1084" t="s">
        <v>51</v>
      </c>
      <c r="C1084">
        <v>12</v>
      </c>
      <c r="D1084" t="str">
        <f t="shared" si="16"/>
        <v>14/03/2025Respiratory</v>
      </c>
    </row>
    <row r="1085" spans="1:4">
      <c r="A1085" s="1">
        <v>45730</v>
      </c>
      <c r="B1085" t="s">
        <v>43</v>
      </c>
      <c r="C1085">
        <v>18</v>
      </c>
      <c r="D1085" t="str">
        <f t="shared" si="16"/>
        <v>14/03/2025General Surgery</v>
      </c>
    </row>
    <row r="1086" spans="1:4">
      <c r="A1086" s="1">
        <v>45730</v>
      </c>
      <c r="B1086" t="s">
        <v>48</v>
      </c>
      <c r="C1086">
        <v>13</v>
      </c>
      <c r="D1086" t="str">
        <f t="shared" si="16"/>
        <v>14/03/2025Orthopaedics</v>
      </c>
    </row>
    <row r="1087" spans="1:4">
      <c r="A1087" s="1">
        <v>45730</v>
      </c>
      <c r="B1087" t="s">
        <v>46</v>
      </c>
      <c r="C1087">
        <v>11</v>
      </c>
      <c r="D1087" t="str">
        <f t="shared" si="16"/>
        <v>14/03/2025Neurology</v>
      </c>
    </row>
    <row r="1088" spans="1:4">
      <c r="A1088" s="1">
        <v>45730</v>
      </c>
      <c r="B1088" t="s">
        <v>47</v>
      </c>
      <c r="C1088">
        <v>15</v>
      </c>
      <c r="D1088" t="str">
        <f t="shared" si="16"/>
        <v>14/03/2025Oncology</v>
      </c>
    </row>
    <row r="1089" spans="1:4">
      <c r="A1089" s="1">
        <v>45730</v>
      </c>
      <c r="B1089" t="s">
        <v>49</v>
      </c>
      <c r="C1089">
        <v>10</v>
      </c>
      <c r="D1089" t="str">
        <f t="shared" si="16"/>
        <v>14/03/2025Paediatrics</v>
      </c>
    </row>
    <row r="1090" spans="1:4">
      <c r="A1090" s="1">
        <v>45730</v>
      </c>
      <c r="B1090" t="s">
        <v>45</v>
      </c>
      <c r="C1090">
        <v>11</v>
      </c>
      <c r="D1090" t="str">
        <f t="shared" si="16"/>
        <v>14/03/2025Maternity</v>
      </c>
    </row>
    <row r="1091" spans="1:4">
      <c r="A1091" s="1">
        <v>45730</v>
      </c>
      <c r="B1091" t="s">
        <v>50</v>
      </c>
      <c r="C1091">
        <v>18</v>
      </c>
      <c r="D1091" t="str">
        <f t="shared" ref="D1091:D1154" si="17">TEXT(A1091, "dd/mm/yyyy")&amp;B1091</f>
        <v>14/03/2025Renal Medicine</v>
      </c>
    </row>
    <row r="1092" spans="1:4">
      <c r="A1092" s="1">
        <v>45730</v>
      </c>
      <c r="B1092" t="s">
        <v>42</v>
      </c>
      <c r="C1092">
        <v>9</v>
      </c>
      <c r="D1092" t="str">
        <f t="shared" si="17"/>
        <v>14/03/2025Gastroenterology</v>
      </c>
    </row>
    <row r="1093" spans="1:4">
      <c r="A1093" s="1">
        <v>45730</v>
      </c>
      <c r="B1093" t="s">
        <v>98</v>
      </c>
      <c r="C1093">
        <v>7</v>
      </c>
      <c r="D1093" t="str">
        <f t="shared" si="17"/>
        <v>14/03/2025Endocrinology</v>
      </c>
    </row>
    <row r="1094" spans="1:4">
      <c r="A1094" s="1">
        <v>45730</v>
      </c>
      <c r="B1094" t="s">
        <v>100</v>
      </c>
      <c r="C1094">
        <v>9</v>
      </c>
      <c r="D1094" t="str">
        <f t="shared" si="17"/>
        <v>14/03/2025Urology</v>
      </c>
    </row>
    <row r="1095" spans="1:4">
      <c r="A1095" s="1">
        <v>45730</v>
      </c>
      <c r="B1095" t="s">
        <v>41</v>
      </c>
      <c r="C1095">
        <v>11</v>
      </c>
      <c r="D1095" t="str">
        <f t="shared" si="17"/>
        <v>14/03/2025ENT</v>
      </c>
    </row>
    <row r="1096" spans="1:4">
      <c r="A1096" s="1">
        <v>45730</v>
      </c>
      <c r="B1096" t="s">
        <v>44</v>
      </c>
      <c r="C1096">
        <v>13</v>
      </c>
      <c r="D1096" t="str">
        <f t="shared" si="17"/>
        <v>14/03/2025Geriatrics</v>
      </c>
    </row>
    <row r="1097" spans="1:4">
      <c r="A1097" s="1">
        <v>45731</v>
      </c>
      <c r="B1097" t="s">
        <v>39</v>
      </c>
      <c r="C1097">
        <v>20</v>
      </c>
      <c r="D1097" t="str">
        <f t="shared" si="17"/>
        <v>15/03/2025A&amp;E (Emergency)</v>
      </c>
    </row>
    <row r="1098" spans="1:4">
      <c r="A1098" s="1">
        <v>45731</v>
      </c>
      <c r="B1098" t="s">
        <v>40</v>
      </c>
      <c r="C1098">
        <v>12</v>
      </c>
      <c r="D1098" t="str">
        <f t="shared" si="17"/>
        <v>15/03/2025Cardiology</v>
      </c>
    </row>
    <row r="1099" spans="1:4">
      <c r="A1099" s="1">
        <v>45731</v>
      </c>
      <c r="B1099" t="s">
        <v>51</v>
      </c>
      <c r="C1099">
        <v>9</v>
      </c>
      <c r="D1099" t="str">
        <f t="shared" si="17"/>
        <v>15/03/2025Respiratory</v>
      </c>
    </row>
    <row r="1100" spans="1:4">
      <c r="A1100" s="1">
        <v>45731</v>
      </c>
      <c r="B1100" t="s">
        <v>43</v>
      </c>
      <c r="C1100">
        <v>15</v>
      </c>
      <c r="D1100" t="str">
        <f t="shared" si="17"/>
        <v>15/03/2025General Surgery</v>
      </c>
    </row>
    <row r="1101" spans="1:4">
      <c r="A1101" s="1">
        <v>45731</v>
      </c>
      <c r="B1101" t="s">
        <v>48</v>
      </c>
      <c r="C1101">
        <v>11</v>
      </c>
      <c r="D1101" t="str">
        <f t="shared" si="17"/>
        <v>15/03/2025Orthopaedics</v>
      </c>
    </row>
    <row r="1102" spans="1:4">
      <c r="A1102" s="1">
        <v>45731</v>
      </c>
      <c r="B1102" t="s">
        <v>46</v>
      </c>
      <c r="C1102">
        <v>9</v>
      </c>
      <c r="D1102" t="str">
        <f t="shared" si="17"/>
        <v>15/03/2025Neurology</v>
      </c>
    </row>
    <row r="1103" spans="1:4">
      <c r="A1103" s="1">
        <v>45731</v>
      </c>
      <c r="B1103" t="s">
        <v>47</v>
      </c>
      <c r="C1103">
        <v>13</v>
      </c>
      <c r="D1103" t="str">
        <f t="shared" si="17"/>
        <v>15/03/2025Oncology</v>
      </c>
    </row>
    <row r="1104" spans="1:4">
      <c r="A1104" s="1">
        <v>45731</v>
      </c>
      <c r="B1104" t="s">
        <v>49</v>
      </c>
      <c r="C1104">
        <v>9</v>
      </c>
      <c r="D1104" t="str">
        <f t="shared" si="17"/>
        <v>15/03/2025Paediatrics</v>
      </c>
    </row>
    <row r="1105" spans="1:4">
      <c r="A1105" s="1">
        <v>45731</v>
      </c>
      <c r="B1105" t="s">
        <v>45</v>
      </c>
      <c r="C1105">
        <v>10</v>
      </c>
      <c r="D1105" t="str">
        <f t="shared" si="17"/>
        <v>15/03/2025Maternity</v>
      </c>
    </row>
    <row r="1106" spans="1:4">
      <c r="A1106" s="1">
        <v>45731</v>
      </c>
      <c r="B1106" t="s">
        <v>50</v>
      </c>
      <c r="C1106">
        <v>17</v>
      </c>
      <c r="D1106" t="str">
        <f t="shared" si="17"/>
        <v>15/03/2025Renal Medicine</v>
      </c>
    </row>
    <row r="1107" spans="1:4">
      <c r="A1107" s="1">
        <v>45731</v>
      </c>
      <c r="B1107" t="s">
        <v>42</v>
      </c>
      <c r="C1107">
        <v>7</v>
      </c>
      <c r="D1107" t="str">
        <f t="shared" si="17"/>
        <v>15/03/2025Gastroenterology</v>
      </c>
    </row>
    <row r="1108" spans="1:4">
      <c r="A1108" s="1">
        <v>45731</v>
      </c>
      <c r="B1108" t="s">
        <v>98</v>
      </c>
      <c r="C1108">
        <v>6</v>
      </c>
      <c r="D1108" t="str">
        <f t="shared" si="17"/>
        <v>15/03/2025Endocrinology</v>
      </c>
    </row>
    <row r="1109" spans="1:4">
      <c r="A1109" s="1">
        <v>45731</v>
      </c>
      <c r="B1109" t="s">
        <v>100</v>
      </c>
      <c r="C1109">
        <v>8</v>
      </c>
      <c r="D1109" t="str">
        <f t="shared" si="17"/>
        <v>15/03/2025Urology</v>
      </c>
    </row>
    <row r="1110" spans="1:4">
      <c r="A1110" s="1">
        <v>45731</v>
      </c>
      <c r="B1110" t="s">
        <v>41</v>
      </c>
      <c r="C1110">
        <v>10</v>
      </c>
      <c r="D1110" t="str">
        <f t="shared" si="17"/>
        <v>15/03/2025ENT</v>
      </c>
    </row>
    <row r="1111" spans="1:4">
      <c r="A1111" s="1">
        <v>45731</v>
      </c>
      <c r="B1111" t="s">
        <v>44</v>
      </c>
      <c r="C1111">
        <v>12</v>
      </c>
      <c r="D1111" t="str">
        <f t="shared" si="17"/>
        <v>15/03/2025Geriatrics</v>
      </c>
    </row>
    <row r="1112" spans="1:4">
      <c r="A1112" s="1">
        <v>45732</v>
      </c>
      <c r="B1112" t="s">
        <v>39</v>
      </c>
      <c r="C1112">
        <v>19</v>
      </c>
      <c r="D1112" t="str">
        <f t="shared" si="17"/>
        <v>16/03/2025A&amp;E (Emergency)</v>
      </c>
    </row>
    <row r="1113" spans="1:4">
      <c r="A1113" s="1">
        <v>45732</v>
      </c>
      <c r="B1113" t="s">
        <v>40</v>
      </c>
      <c r="C1113">
        <v>11</v>
      </c>
      <c r="D1113" t="str">
        <f t="shared" si="17"/>
        <v>16/03/2025Cardiology</v>
      </c>
    </row>
    <row r="1114" spans="1:4">
      <c r="A1114" s="1">
        <v>45732</v>
      </c>
      <c r="B1114" t="s">
        <v>51</v>
      </c>
      <c r="C1114">
        <v>9</v>
      </c>
      <c r="D1114" t="str">
        <f t="shared" si="17"/>
        <v>16/03/2025Respiratory</v>
      </c>
    </row>
    <row r="1115" spans="1:4">
      <c r="A1115" s="1">
        <v>45732</v>
      </c>
      <c r="B1115" t="s">
        <v>43</v>
      </c>
      <c r="C1115">
        <v>14</v>
      </c>
      <c r="D1115" t="str">
        <f t="shared" si="17"/>
        <v>16/03/2025General Surgery</v>
      </c>
    </row>
    <row r="1116" spans="1:4">
      <c r="A1116" s="1">
        <v>45732</v>
      </c>
      <c r="B1116" t="s">
        <v>48</v>
      </c>
      <c r="C1116">
        <v>10</v>
      </c>
      <c r="D1116" t="str">
        <f t="shared" si="17"/>
        <v>16/03/2025Orthopaedics</v>
      </c>
    </row>
    <row r="1117" spans="1:4">
      <c r="A1117" s="1">
        <v>45732</v>
      </c>
      <c r="B1117" t="s">
        <v>46</v>
      </c>
      <c r="C1117">
        <v>9</v>
      </c>
      <c r="D1117" t="str">
        <f t="shared" si="17"/>
        <v>16/03/2025Neurology</v>
      </c>
    </row>
    <row r="1118" spans="1:4">
      <c r="A1118" s="1">
        <v>45732</v>
      </c>
      <c r="B1118" t="s">
        <v>47</v>
      </c>
      <c r="C1118">
        <v>12</v>
      </c>
      <c r="D1118" t="str">
        <f t="shared" si="17"/>
        <v>16/03/2025Oncology</v>
      </c>
    </row>
    <row r="1119" spans="1:4">
      <c r="A1119" s="1">
        <v>45732</v>
      </c>
      <c r="B1119" t="s">
        <v>49</v>
      </c>
      <c r="C1119">
        <v>8</v>
      </c>
      <c r="D1119" t="str">
        <f t="shared" si="17"/>
        <v>16/03/2025Paediatrics</v>
      </c>
    </row>
    <row r="1120" spans="1:4">
      <c r="A1120" s="1">
        <v>45732</v>
      </c>
      <c r="B1120" t="s">
        <v>45</v>
      </c>
      <c r="C1120">
        <v>9</v>
      </c>
      <c r="D1120" t="str">
        <f t="shared" si="17"/>
        <v>16/03/2025Maternity</v>
      </c>
    </row>
    <row r="1121" spans="1:4">
      <c r="A1121" s="1">
        <v>45732</v>
      </c>
      <c r="B1121" t="s">
        <v>50</v>
      </c>
      <c r="C1121">
        <v>17</v>
      </c>
      <c r="D1121" t="str">
        <f t="shared" si="17"/>
        <v>16/03/2025Renal Medicine</v>
      </c>
    </row>
    <row r="1122" spans="1:4">
      <c r="A1122" s="1">
        <v>45732</v>
      </c>
      <c r="B1122" t="s">
        <v>42</v>
      </c>
      <c r="C1122">
        <v>7</v>
      </c>
      <c r="D1122" t="str">
        <f t="shared" si="17"/>
        <v>16/03/2025Gastroenterology</v>
      </c>
    </row>
    <row r="1123" spans="1:4">
      <c r="A1123" s="1">
        <v>45732</v>
      </c>
      <c r="B1123" t="s">
        <v>98</v>
      </c>
      <c r="C1123">
        <v>6</v>
      </c>
      <c r="D1123" t="str">
        <f t="shared" si="17"/>
        <v>16/03/2025Endocrinology</v>
      </c>
    </row>
    <row r="1124" spans="1:4">
      <c r="A1124" s="1">
        <v>45732</v>
      </c>
      <c r="B1124" t="s">
        <v>100</v>
      </c>
      <c r="C1124">
        <v>8</v>
      </c>
      <c r="D1124" t="str">
        <f t="shared" si="17"/>
        <v>16/03/2025Urology</v>
      </c>
    </row>
    <row r="1125" spans="1:4">
      <c r="A1125" s="1">
        <v>45732</v>
      </c>
      <c r="B1125" t="s">
        <v>41</v>
      </c>
      <c r="C1125">
        <v>10</v>
      </c>
      <c r="D1125" t="str">
        <f t="shared" si="17"/>
        <v>16/03/2025ENT</v>
      </c>
    </row>
    <row r="1126" spans="1:4">
      <c r="A1126" s="1">
        <v>45732</v>
      </c>
      <c r="B1126" t="s">
        <v>44</v>
      </c>
      <c r="C1126">
        <v>12</v>
      </c>
      <c r="D1126" t="str">
        <f t="shared" si="17"/>
        <v>16/03/2025Geriatrics</v>
      </c>
    </row>
    <row r="1127" spans="1:4">
      <c r="A1127" s="1">
        <v>45733</v>
      </c>
      <c r="B1127" t="s">
        <v>39</v>
      </c>
      <c r="C1127">
        <v>28</v>
      </c>
      <c r="D1127" t="str">
        <f t="shared" si="17"/>
        <v>17/03/2025A&amp;E (Emergency)</v>
      </c>
    </row>
    <row r="1128" spans="1:4">
      <c r="A1128" s="1">
        <v>45733</v>
      </c>
      <c r="B1128" t="s">
        <v>40</v>
      </c>
      <c r="C1128">
        <v>18</v>
      </c>
      <c r="D1128" t="str">
        <f t="shared" si="17"/>
        <v>17/03/2025Cardiology</v>
      </c>
    </row>
    <row r="1129" spans="1:4">
      <c r="A1129" s="1">
        <v>45733</v>
      </c>
      <c r="B1129" t="s">
        <v>51</v>
      </c>
      <c r="C1129">
        <v>15</v>
      </c>
      <c r="D1129" t="str">
        <f t="shared" si="17"/>
        <v>17/03/2025Respiratory</v>
      </c>
    </row>
    <row r="1130" spans="1:4">
      <c r="A1130" s="1">
        <v>45733</v>
      </c>
      <c r="B1130" t="s">
        <v>43</v>
      </c>
      <c r="C1130">
        <v>22</v>
      </c>
      <c r="D1130" t="str">
        <f t="shared" si="17"/>
        <v>17/03/2025General Surgery</v>
      </c>
    </row>
    <row r="1131" spans="1:4">
      <c r="A1131" s="1">
        <v>45733</v>
      </c>
      <c r="B1131" t="s">
        <v>48</v>
      </c>
      <c r="C1131">
        <v>16</v>
      </c>
      <c r="D1131" t="str">
        <f t="shared" si="17"/>
        <v>17/03/2025Orthopaedics</v>
      </c>
    </row>
    <row r="1132" spans="1:4">
      <c r="A1132" s="1">
        <v>45733</v>
      </c>
      <c r="B1132" t="s">
        <v>46</v>
      </c>
      <c r="C1132">
        <v>14</v>
      </c>
      <c r="D1132" t="str">
        <f t="shared" si="17"/>
        <v>17/03/2025Neurology</v>
      </c>
    </row>
    <row r="1133" spans="1:4">
      <c r="A1133" s="1">
        <v>45733</v>
      </c>
      <c r="B1133" t="s">
        <v>47</v>
      </c>
      <c r="C1133">
        <v>18</v>
      </c>
      <c r="D1133" t="str">
        <f t="shared" si="17"/>
        <v>17/03/2025Oncology</v>
      </c>
    </row>
    <row r="1134" spans="1:4">
      <c r="A1134" s="1">
        <v>45733</v>
      </c>
      <c r="B1134" t="s">
        <v>49</v>
      </c>
      <c r="C1134">
        <v>13</v>
      </c>
      <c r="D1134" t="str">
        <f t="shared" si="17"/>
        <v>17/03/2025Paediatrics</v>
      </c>
    </row>
    <row r="1135" spans="1:4">
      <c r="A1135" s="1">
        <v>45733</v>
      </c>
      <c r="B1135" t="s">
        <v>45</v>
      </c>
      <c r="C1135">
        <v>13</v>
      </c>
      <c r="D1135" t="str">
        <f t="shared" si="17"/>
        <v>17/03/2025Maternity</v>
      </c>
    </row>
    <row r="1136" spans="1:4">
      <c r="A1136" s="1">
        <v>45733</v>
      </c>
      <c r="B1136" t="s">
        <v>50</v>
      </c>
      <c r="C1136">
        <v>21</v>
      </c>
      <c r="D1136" t="str">
        <f t="shared" si="17"/>
        <v>17/03/2025Renal Medicine</v>
      </c>
    </row>
    <row r="1137" spans="1:4">
      <c r="A1137" s="1">
        <v>45733</v>
      </c>
      <c r="B1137" t="s">
        <v>42</v>
      </c>
      <c r="C1137">
        <v>12</v>
      </c>
      <c r="D1137" t="str">
        <f t="shared" si="17"/>
        <v>17/03/2025Gastroenterology</v>
      </c>
    </row>
    <row r="1138" spans="1:4">
      <c r="A1138" s="1">
        <v>45733</v>
      </c>
      <c r="B1138" t="s">
        <v>98</v>
      </c>
      <c r="C1138">
        <v>10</v>
      </c>
      <c r="D1138" t="str">
        <f t="shared" si="17"/>
        <v>17/03/2025Endocrinology</v>
      </c>
    </row>
    <row r="1139" spans="1:4">
      <c r="A1139" s="1">
        <v>45733</v>
      </c>
      <c r="B1139" t="s">
        <v>100</v>
      </c>
      <c r="C1139">
        <v>11</v>
      </c>
      <c r="D1139" t="str">
        <f t="shared" si="17"/>
        <v>17/03/2025Urology</v>
      </c>
    </row>
    <row r="1140" spans="1:4">
      <c r="A1140" s="1">
        <v>45733</v>
      </c>
      <c r="B1140" t="s">
        <v>41</v>
      </c>
      <c r="C1140">
        <v>13</v>
      </c>
      <c r="D1140" t="str">
        <f t="shared" si="17"/>
        <v>17/03/2025ENT</v>
      </c>
    </row>
    <row r="1141" spans="1:4">
      <c r="A1141" s="1">
        <v>45733</v>
      </c>
      <c r="B1141" t="s">
        <v>44</v>
      </c>
      <c r="C1141">
        <v>16</v>
      </c>
      <c r="D1141" t="str">
        <f t="shared" si="17"/>
        <v>17/03/2025Geriatrics</v>
      </c>
    </row>
    <row r="1142" spans="1:4">
      <c r="A1142" s="1">
        <v>45734</v>
      </c>
      <c r="B1142" t="s">
        <v>39</v>
      </c>
      <c r="C1142">
        <v>25</v>
      </c>
      <c r="D1142" t="str">
        <f t="shared" si="17"/>
        <v>18/03/2025A&amp;E (Emergency)</v>
      </c>
    </row>
    <row r="1143" spans="1:4">
      <c r="A1143" s="1">
        <v>45734</v>
      </c>
      <c r="B1143" t="s">
        <v>40</v>
      </c>
      <c r="C1143">
        <v>17</v>
      </c>
      <c r="D1143" t="str">
        <f t="shared" si="17"/>
        <v>18/03/2025Cardiology</v>
      </c>
    </row>
    <row r="1144" spans="1:4">
      <c r="A1144" s="1">
        <v>45734</v>
      </c>
      <c r="B1144" t="s">
        <v>51</v>
      </c>
      <c r="C1144">
        <v>14</v>
      </c>
      <c r="D1144" t="str">
        <f t="shared" si="17"/>
        <v>18/03/2025Respiratory</v>
      </c>
    </row>
    <row r="1145" spans="1:4">
      <c r="A1145" s="1">
        <v>45734</v>
      </c>
      <c r="B1145" t="s">
        <v>43</v>
      </c>
      <c r="C1145">
        <v>20</v>
      </c>
      <c r="D1145" t="str">
        <f t="shared" si="17"/>
        <v>18/03/2025General Surgery</v>
      </c>
    </row>
    <row r="1146" spans="1:4">
      <c r="A1146" s="1">
        <v>45734</v>
      </c>
      <c r="B1146" t="s">
        <v>48</v>
      </c>
      <c r="C1146">
        <v>15</v>
      </c>
      <c r="D1146" t="str">
        <f t="shared" si="17"/>
        <v>18/03/2025Orthopaedics</v>
      </c>
    </row>
    <row r="1147" spans="1:4">
      <c r="A1147" s="1">
        <v>45734</v>
      </c>
      <c r="B1147" t="s">
        <v>46</v>
      </c>
      <c r="C1147">
        <v>13</v>
      </c>
      <c r="D1147" t="str">
        <f t="shared" si="17"/>
        <v>18/03/2025Neurology</v>
      </c>
    </row>
    <row r="1148" spans="1:4">
      <c r="A1148" s="1">
        <v>45734</v>
      </c>
      <c r="B1148" t="s">
        <v>47</v>
      </c>
      <c r="C1148">
        <v>17</v>
      </c>
      <c r="D1148" t="str">
        <f t="shared" si="17"/>
        <v>18/03/2025Oncology</v>
      </c>
    </row>
    <row r="1149" spans="1:4">
      <c r="A1149" s="1">
        <v>45734</v>
      </c>
      <c r="B1149" t="s">
        <v>49</v>
      </c>
      <c r="C1149">
        <v>12</v>
      </c>
      <c r="D1149" t="str">
        <f t="shared" si="17"/>
        <v>18/03/2025Paediatrics</v>
      </c>
    </row>
    <row r="1150" spans="1:4">
      <c r="A1150" s="1">
        <v>45734</v>
      </c>
      <c r="B1150" t="s">
        <v>45</v>
      </c>
      <c r="C1150">
        <v>12</v>
      </c>
      <c r="D1150" t="str">
        <f t="shared" si="17"/>
        <v>18/03/2025Maternity</v>
      </c>
    </row>
    <row r="1151" spans="1:4">
      <c r="A1151" s="1">
        <v>45734</v>
      </c>
      <c r="B1151" t="s">
        <v>50</v>
      </c>
      <c r="C1151">
        <v>20</v>
      </c>
      <c r="D1151" t="str">
        <f t="shared" si="17"/>
        <v>18/03/2025Renal Medicine</v>
      </c>
    </row>
    <row r="1152" spans="1:4">
      <c r="A1152" s="1">
        <v>45734</v>
      </c>
      <c r="B1152" t="s">
        <v>42</v>
      </c>
      <c r="C1152">
        <v>11</v>
      </c>
      <c r="D1152" t="str">
        <f t="shared" si="17"/>
        <v>18/03/2025Gastroenterology</v>
      </c>
    </row>
    <row r="1153" spans="1:4">
      <c r="A1153" s="1">
        <v>45734</v>
      </c>
      <c r="B1153" t="s">
        <v>98</v>
      </c>
      <c r="C1153">
        <v>9</v>
      </c>
      <c r="D1153" t="str">
        <f t="shared" si="17"/>
        <v>18/03/2025Endocrinology</v>
      </c>
    </row>
    <row r="1154" spans="1:4">
      <c r="A1154" s="1">
        <v>45734</v>
      </c>
      <c r="B1154" t="s">
        <v>100</v>
      </c>
      <c r="C1154">
        <v>10</v>
      </c>
      <c r="D1154" t="str">
        <f t="shared" si="17"/>
        <v>18/03/2025Urology</v>
      </c>
    </row>
    <row r="1155" spans="1:4">
      <c r="A1155" s="1">
        <v>45734</v>
      </c>
      <c r="B1155" t="s">
        <v>41</v>
      </c>
      <c r="C1155">
        <v>12</v>
      </c>
      <c r="D1155" t="str">
        <f t="shared" ref="D1155:D1218" si="18">TEXT(A1155, "dd/mm/yyyy")&amp;B1155</f>
        <v>18/03/2025ENT</v>
      </c>
    </row>
    <row r="1156" spans="1:4">
      <c r="A1156" s="1">
        <v>45734</v>
      </c>
      <c r="B1156" t="s">
        <v>44</v>
      </c>
      <c r="C1156">
        <v>15</v>
      </c>
      <c r="D1156" t="str">
        <f t="shared" si="18"/>
        <v>18/03/2025Geriatrics</v>
      </c>
    </row>
    <row r="1157" spans="1:4">
      <c r="A1157" s="1">
        <v>45735</v>
      </c>
      <c r="B1157" t="s">
        <v>39</v>
      </c>
      <c r="C1157">
        <v>24</v>
      </c>
      <c r="D1157" t="str">
        <f t="shared" si="18"/>
        <v>19/03/2025A&amp;E (Emergency)</v>
      </c>
    </row>
    <row r="1158" spans="1:4">
      <c r="A1158" s="1">
        <v>45735</v>
      </c>
      <c r="B1158" t="s">
        <v>40</v>
      </c>
      <c r="C1158">
        <v>16</v>
      </c>
      <c r="D1158" t="str">
        <f t="shared" si="18"/>
        <v>19/03/2025Cardiology</v>
      </c>
    </row>
    <row r="1159" spans="1:4">
      <c r="A1159" s="1">
        <v>45735</v>
      </c>
      <c r="B1159" t="s">
        <v>51</v>
      </c>
      <c r="C1159">
        <v>13</v>
      </c>
      <c r="D1159" t="str">
        <f t="shared" si="18"/>
        <v>19/03/2025Respiratory</v>
      </c>
    </row>
    <row r="1160" spans="1:4">
      <c r="A1160" s="1">
        <v>45735</v>
      </c>
      <c r="B1160" t="s">
        <v>43</v>
      </c>
      <c r="C1160">
        <v>19</v>
      </c>
      <c r="D1160" t="str">
        <f t="shared" si="18"/>
        <v>19/03/2025General Surgery</v>
      </c>
    </row>
    <row r="1161" spans="1:4">
      <c r="A1161" s="1">
        <v>45735</v>
      </c>
      <c r="B1161" t="s">
        <v>48</v>
      </c>
      <c r="C1161">
        <v>14</v>
      </c>
      <c r="D1161" t="str">
        <f t="shared" si="18"/>
        <v>19/03/2025Orthopaedics</v>
      </c>
    </row>
    <row r="1162" spans="1:4">
      <c r="A1162" s="1">
        <v>45735</v>
      </c>
      <c r="B1162" t="s">
        <v>46</v>
      </c>
      <c r="C1162">
        <v>12</v>
      </c>
      <c r="D1162" t="str">
        <f t="shared" si="18"/>
        <v>19/03/2025Neurology</v>
      </c>
    </row>
    <row r="1163" spans="1:4">
      <c r="A1163" s="1">
        <v>45735</v>
      </c>
      <c r="B1163" t="s">
        <v>47</v>
      </c>
      <c r="C1163">
        <v>16</v>
      </c>
      <c r="D1163" t="str">
        <f t="shared" si="18"/>
        <v>19/03/2025Oncology</v>
      </c>
    </row>
    <row r="1164" spans="1:4">
      <c r="A1164" s="1">
        <v>45735</v>
      </c>
      <c r="B1164" t="s">
        <v>49</v>
      </c>
      <c r="C1164">
        <v>11</v>
      </c>
      <c r="D1164" t="str">
        <f t="shared" si="18"/>
        <v>19/03/2025Paediatrics</v>
      </c>
    </row>
    <row r="1165" spans="1:4">
      <c r="A1165" s="1">
        <v>45735</v>
      </c>
      <c r="B1165" t="s">
        <v>45</v>
      </c>
      <c r="C1165">
        <v>12</v>
      </c>
      <c r="D1165" t="str">
        <f t="shared" si="18"/>
        <v>19/03/2025Maternity</v>
      </c>
    </row>
    <row r="1166" spans="1:4">
      <c r="A1166" s="1">
        <v>45735</v>
      </c>
      <c r="B1166" t="s">
        <v>50</v>
      </c>
      <c r="C1166">
        <v>19</v>
      </c>
      <c r="D1166" t="str">
        <f t="shared" si="18"/>
        <v>19/03/2025Renal Medicine</v>
      </c>
    </row>
    <row r="1167" spans="1:4">
      <c r="A1167" s="1">
        <v>45735</v>
      </c>
      <c r="B1167" t="s">
        <v>42</v>
      </c>
      <c r="C1167">
        <v>10</v>
      </c>
      <c r="D1167" t="str">
        <f t="shared" si="18"/>
        <v>19/03/2025Gastroenterology</v>
      </c>
    </row>
    <row r="1168" spans="1:4">
      <c r="A1168" s="1">
        <v>45735</v>
      </c>
      <c r="B1168" t="s">
        <v>98</v>
      </c>
      <c r="C1168">
        <v>8</v>
      </c>
      <c r="D1168" t="str">
        <f t="shared" si="18"/>
        <v>19/03/2025Endocrinology</v>
      </c>
    </row>
    <row r="1169" spans="1:4">
      <c r="A1169" s="1">
        <v>45735</v>
      </c>
      <c r="B1169" t="s">
        <v>100</v>
      </c>
      <c r="C1169">
        <v>10</v>
      </c>
      <c r="D1169" t="str">
        <f t="shared" si="18"/>
        <v>19/03/2025Urology</v>
      </c>
    </row>
    <row r="1170" spans="1:4">
      <c r="A1170" s="1">
        <v>45735</v>
      </c>
      <c r="B1170" t="s">
        <v>41</v>
      </c>
      <c r="C1170">
        <v>12</v>
      </c>
      <c r="D1170" t="str">
        <f t="shared" si="18"/>
        <v>19/03/2025ENT</v>
      </c>
    </row>
    <row r="1171" spans="1:4">
      <c r="A1171" s="1">
        <v>45735</v>
      </c>
      <c r="B1171" t="s">
        <v>44</v>
      </c>
      <c r="C1171">
        <v>14</v>
      </c>
      <c r="D1171" t="str">
        <f t="shared" si="18"/>
        <v>19/03/2025Geriatrics</v>
      </c>
    </row>
    <row r="1172" spans="1:4">
      <c r="A1172" s="1">
        <v>45736</v>
      </c>
      <c r="B1172" t="s">
        <v>39</v>
      </c>
      <c r="C1172">
        <v>23</v>
      </c>
      <c r="D1172" t="str">
        <f t="shared" si="18"/>
        <v>20/03/2025A&amp;E (Emergency)</v>
      </c>
    </row>
    <row r="1173" spans="1:4">
      <c r="A1173" s="1">
        <v>45736</v>
      </c>
      <c r="B1173" t="s">
        <v>40</v>
      </c>
      <c r="C1173">
        <v>16</v>
      </c>
      <c r="D1173" t="str">
        <f t="shared" si="18"/>
        <v>20/03/2025Cardiology</v>
      </c>
    </row>
    <row r="1174" spans="1:4">
      <c r="A1174" s="1">
        <v>45736</v>
      </c>
      <c r="B1174" t="s">
        <v>51</v>
      </c>
      <c r="C1174">
        <v>13</v>
      </c>
      <c r="D1174" t="str">
        <f t="shared" si="18"/>
        <v>20/03/2025Respiratory</v>
      </c>
    </row>
    <row r="1175" spans="1:4">
      <c r="A1175" s="1">
        <v>45736</v>
      </c>
      <c r="B1175" t="s">
        <v>43</v>
      </c>
      <c r="C1175">
        <v>19</v>
      </c>
      <c r="D1175" t="str">
        <f t="shared" si="18"/>
        <v>20/03/2025General Surgery</v>
      </c>
    </row>
    <row r="1176" spans="1:4">
      <c r="A1176" s="1">
        <v>45736</v>
      </c>
      <c r="B1176" t="s">
        <v>48</v>
      </c>
      <c r="C1176">
        <v>14</v>
      </c>
      <c r="D1176" t="str">
        <f t="shared" si="18"/>
        <v>20/03/2025Orthopaedics</v>
      </c>
    </row>
    <row r="1177" spans="1:4">
      <c r="A1177" s="1">
        <v>45736</v>
      </c>
      <c r="B1177" t="s">
        <v>46</v>
      </c>
      <c r="C1177">
        <v>12</v>
      </c>
      <c r="D1177" t="str">
        <f t="shared" si="18"/>
        <v>20/03/2025Neurology</v>
      </c>
    </row>
    <row r="1178" spans="1:4">
      <c r="A1178" s="1">
        <v>45736</v>
      </c>
      <c r="B1178" t="s">
        <v>47</v>
      </c>
      <c r="C1178">
        <v>16</v>
      </c>
      <c r="D1178" t="str">
        <f t="shared" si="18"/>
        <v>20/03/2025Oncology</v>
      </c>
    </row>
    <row r="1179" spans="1:4">
      <c r="A1179" s="1">
        <v>45736</v>
      </c>
      <c r="B1179" t="s">
        <v>49</v>
      </c>
      <c r="C1179">
        <v>11</v>
      </c>
      <c r="D1179" t="str">
        <f t="shared" si="18"/>
        <v>20/03/2025Paediatrics</v>
      </c>
    </row>
    <row r="1180" spans="1:4">
      <c r="A1180" s="1">
        <v>45736</v>
      </c>
      <c r="B1180" t="s">
        <v>45</v>
      </c>
      <c r="C1180">
        <v>12</v>
      </c>
      <c r="D1180" t="str">
        <f t="shared" si="18"/>
        <v>20/03/2025Maternity</v>
      </c>
    </row>
    <row r="1181" spans="1:4">
      <c r="A1181" s="1">
        <v>45736</v>
      </c>
      <c r="B1181" t="s">
        <v>50</v>
      </c>
      <c r="C1181">
        <v>19</v>
      </c>
      <c r="D1181" t="str">
        <f t="shared" si="18"/>
        <v>20/03/2025Renal Medicine</v>
      </c>
    </row>
    <row r="1182" spans="1:4">
      <c r="A1182" s="1">
        <v>45736</v>
      </c>
      <c r="B1182" t="s">
        <v>42</v>
      </c>
      <c r="C1182">
        <v>10</v>
      </c>
      <c r="D1182" t="str">
        <f t="shared" si="18"/>
        <v>20/03/2025Gastroenterology</v>
      </c>
    </row>
    <row r="1183" spans="1:4">
      <c r="A1183" s="1">
        <v>45736</v>
      </c>
      <c r="B1183" t="s">
        <v>98</v>
      </c>
      <c r="C1183">
        <v>8</v>
      </c>
      <c r="D1183" t="str">
        <f t="shared" si="18"/>
        <v>20/03/2025Endocrinology</v>
      </c>
    </row>
    <row r="1184" spans="1:4">
      <c r="A1184" s="1">
        <v>45736</v>
      </c>
      <c r="B1184" t="s">
        <v>100</v>
      </c>
      <c r="C1184">
        <v>10</v>
      </c>
      <c r="D1184" t="str">
        <f t="shared" si="18"/>
        <v>20/03/2025Urology</v>
      </c>
    </row>
    <row r="1185" spans="1:4">
      <c r="A1185" s="1">
        <v>45736</v>
      </c>
      <c r="B1185" t="s">
        <v>41</v>
      </c>
      <c r="C1185">
        <v>12</v>
      </c>
      <c r="D1185" t="str">
        <f t="shared" si="18"/>
        <v>20/03/2025ENT</v>
      </c>
    </row>
    <row r="1186" spans="1:4">
      <c r="A1186" s="1">
        <v>45736</v>
      </c>
      <c r="B1186" t="s">
        <v>44</v>
      </c>
      <c r="C1186">
        <v>14</v>
      </c>
      <c r="D1186" t="str">
        <f t="shared" si="18"/>
        <v>20/03/2025Geriatrics</v>
      </c>
    </row>
    <row r="1187" spans="1:4">
      <c r="A1187" s="1">
        <v>45737</v>
      </c>
      <c r="B1187" t="s">
        <v>39</v>
      </c>
      <c r="C1187">
        <v>22</v>
      </c>
      <c r="D1187" t="str">
        <f t="shared" si="18"/>
        <v>21/03/2025A&amp;E (Emergency)</v>
      </c>
    </row>
    <row r="1188" spans="1:4">
      <c r="A1188" s="1">
        <v>45737</v>
      </c>
      <c r="B1188" t="s">
        <v>40</v>
      </c>
      <c r="C1188">
        <v>15</v>
      </c>
      <c r="D1188" t="str">
        <f t="shared" si="18"/>
        <v>21/03/2025Cardiology</v>
      </c>
    </row>
    <row r="1189" spans="1:4">
      <c r="A1189" s="1">
        <v>45737</v>
      </c>
      <c r="B1189" t="s">
        <v>51</v>
      </c>
      <c r="C1189">
        <v>12</v>
      </c>
      <c r="D1189" t="str">
        <f t="shared" si="18"/>
        <v>21/03/2025Respiratory</v>
      </c>
    </row>
    <row r="1190" spans="1:4">
      <c r="A1190" s="1">
        <v>45737</v>
      </c>
      <c r="B1190" t="s">
        <v>43</v>
      </c>
      <c r="C1190">
        <v>18</v>
      </c>
      <c r="D1190" t="str">
        <f t="shared" si="18"/>
        <v>21/03/2025General Surgery</v>
      </c>
    </row>
    <row r="1191" spans="1:4">
      <c r="A1191" s="1">
        <v>45737</v>
      </c>
      <c r="B1191" t="s">
        <v>48</v>
      </c>
      <c r="C1191">
        <v>13</v>
      </c>
      <c r="D1191" t="str">
        <f t="shared" si="18"/>
        <v>21/03/2025Orthopaedics</v>
      </c>
    </row>
    <row r="1192" spans="1:4">
      <c r="A1192" s="1">
        <v>45737</v>
      </c>
      <c r="B1192" t="s">
        <v>46</v>
      </c>
      <c r="C1192">
        <v>11</v>
      </c>
      <c r="D1192" t="str">
        <f t="shared" si="18"/>
        <v>21/03/2025Neurology</v>
      </c>
    </row>
    <row r="1193" spans="1:4">
      <c r="A1193" s="1">
        <v>45737</v>
      </c>
      <c r="B1193" t="s">
        <v>47</v>
      </c>
      <c r="C1193">
        <v>15</v>
      </c>
      <c r="D1193" t="str">
        <f t="shared" si="18"/>
        <v>21/03/2025Oncology</v>
      </c>
    </row>
    <row r="1194" spans="1:4">
      <c r="A1194" s="1">
        <v>45737</v>
      </c>
      <c r="B1194" t="s">
        <v>49</v>
      </c>
      <c r="C1194">
        <v>10</v>
      </c>
      <c r="D1194" t="str">
        <f t="shared" si="18"/>
        <v>21/03/2025Paediatrics</v>
      </c>
    </row>
    <row r="1195" spans="1:4">
      <c r="A1195" s="1">
        <v>45737</v>
      </c>
      <c r="B1195" t="s">
        <v>45</v>
      </c>
      <c r="C1195">
        <v>11</v>
      </c>
      <c r="D1195" t="str">
        <f t="shared" si="18"/>
        <v>21/03/2025Maternity</v>
      </c>
    </row>
    <row r="1196" spans="1:4">
      <c r="A1196" s="1">
        <v>45737</v>
      </c>
      <c r="B1196" t="s">
        <v>50</v>
      </c>
      <c r="C1196">
        <v>18</v>
      </c>
      <c r="D1196" t="str">
        <f t="shared" si="18"/>
        <v>21/03/2025Renal Medicine</v>
      </c>
    </row>
    <row r="1197" spans="1:4">
      <c r="A1197" s="1">
        <v>45737</v>
      </c>
      <c r="B1197" t="s">
        <v>42</v>
      </c>
      <c r="C1197">
        <v>9</v>
      </c>
      <c r="D1197" t="str">
        <f t="shared" si="18"/>
        <v>21/03/2025Gastroenterology</v>
      </c>
    </row>
    <row r="1198" spans="1:4">
      <c r="A1198" s="1">
        <v>45737</v>
      </c>
      <c r="B1198" t="s">
        <v>98</v>
      </c>
      <c r="C1198">
        <v>7</v>
      </c>
      <c r="D1198" t="str">
        <f t="shared" si="18"/>
        <v>21/03/2025Endocrinology</v>
      </c>
    </row>
    <row r="1199" spans="1:4">
      <c r="A1199" s="1">
        <v>45737</v>
      </c>
      <c r="B1199" t="s">
        <v>100</v>
      </c>
      <c r="C1199">
        <v>9</v>
      </c>
      <c r="D1199" t="str">
        <f t="shared" si="18"/>
        <v>21/03/2025Urology</v>
      </c>
    </row>
    <row r="1200" spans="1:4">
      <c r="A1200" s="1">
        <v>45737</v>
      </c>
      <c r="B1200" t="s">
        <v>41</v>
      </c>
      <c r="C1200">
        <v>11</v>
      </c>
      <c r="D1200" t="str">
        <f t="shared" si="18"/>
        <v>21/03/2025ENT</v>
      </c>
    </row>
    <row r="1201" spans="1:4">
      <c r="A1201" s="1">
        <v>45737</v>
      </c>
      <c r="B1201" t="s">
        <v>44</v>
      </c>
      <c r="C1201">
        <v>13</v>
      </c>
      <c r="D1201" t="str">
        <f t="shared" si="18"/>
        <v>21/03/2025Geriatrics</v>
      </c>
    </row>
    <row r="1202" spans="1:4">
      <c r="A1202" s="1">
        <v>45738</v>
      </c>
      <c r="B1202" t="s">
        <v>39</v>
      </c>
      <c r="C1202">
        <v>20</v>
      </c>
      <c r="D1202" t="str">
        <f t="shared" si="18"/>
        <v>22/03/2025A&amp;E (Emergency)</v>
      </c>
    </row>
    <row r="1203" spans="1:4">
      <c r="A1203" s="1">
        <v>45738</v>
      </c>
      <c r="B1203" t="s">
        <v>40</v>
      </c>
      <c r="C1203">
        <v>12</v>
      </c>
      <c r="D1203" t="str">
        <f t="shared" si="18"/>
        <v>22/03/2025Cardiology</v>
      </c>
    </row>
    <row r="1204" spans="1:4">
      <c r="A1204" s="1">
        <v>45738</v>
      </c>
      <c r="B1204" t="s">
        <v>51</v>
      </c>
      <c r="C1204">
        <v>9</v>
      </c>
      <c r="D1204" t="str">
        <f t="shared" si="18"/>
        <v>22/03/2025Respiratory</v>
      </c>
    </row>
    <row r="1205" spans="1:4">
      <c r="A1205" s="1">
        <v>45738</v>
      </c>
      <c r="B1205" t="s">
        <v>43</v>
      </c>
      <c r="C1205">
        <v>15</v>
      </c>
      <c r="D1205" t="str">
        <f t="shared" si="18"/>
        <v>22/03/2025General Surgery</v>
      </c>
    </row>
    <row r="1206" spans="1:4">
      <c r="A1206" s="1">
        <v>45738</v>
      </c>
      <c r="B1206" t="s">
        <v>48</v>
      </c>
      <c r="C1206">
        <v>11</v>
      </c>
      <c r="D1206" t="str">
        <f t="shared" si="18"/>
        <v>22/03/2025Orthopaedics</v>
      </c>
    </row>
    <row r="1207" spans="1:4">
      <c r="A1207" s="1">
        <v>45738</v>
      </c>
      <c r="B1207" t="s">
        <v>46</v>
      </c>
      <c r="C1207">
        <v>9</v>
      </c>
      <c r="D1207" t="str">
        <f t="shared" si="18"/>
        <v>22/03/2025Neurology</v>
      </c>
    </row>
    <row r="1208" spans="1:4">
      <c r="A1208" s="1">
        <v>45738</v>
      </c>
      <c r="B1208" t="s">
        <v>47</v>
      </c>
      <c r="C1208">
        <v>13</v>
      </c>
      <c r="D1208" t="str">
        <f t="shared" si="18"/>
        <v>22/03/2025Oncology</v>
      </c>
    </row>
    <row r="1209" spans="1:4">
      <c r="A1209" s="1">
        <v>45738</v>
      </c>
      <c r="B1209" t="s">
        <v>49</v>
      </c>
      <c r="C1209">
        <v>9</v>
      </c>
      <c r="D1209" t="str">
        <f t="shared" si="18"/>
        <v>22/03/2025Paediatrics</v>
      </c>
    </row>
    <row r="1210" spans="1:4">
      <c r="A1210" s="1">
        <v>45738</v>
      </c>
      <c r="B1210" t="s">
        <v>45</v>
      </c>
      <c r="C1210">
        <v>10</v>
      </c>
      <c r="D1210" t="str">
        <f t="shared" si="18"/>
        <v>22/03/2025Maternity</v>
      </c>
    </row>
    <row r="1211" spans="1:4">
      <c r="A1211" s="1">
        <v>45738</v>
      </c>
      <c r="B1211" t="s">
        <v>50</v>
      </c>
      <c r="C1211">
        <v>17</v>
      </c>
      <c r="D1211" t="str">
        <f t="shared" si="18"/>
        <v>22/03/2025Renal Medicine</v>
      </c>
    </row>
    <row r="1212" spans="1:4">
      <c r="A1212" s="1">
        <v>45738</v>
      </c>
      <c r="B1212" t="s">
        <v>42</v>
      </c>
      <c r="C1212">
        <v>7</v>
      </c>
      <c r="D1212" t="str">
        <f t="shared" si="18"/>
        <v>22/03/2025Gastroenterology</v>
      </c>
    </row>
    <row r="1213" spans="1:4">
      <c r="A1213" s="1">
        <v>45738</v>
      </c>
      <c r="B1213" t="s">
        <v>98</v>
      </c>
      <c r="C1213">
        <v>6</v>
      </c>
      <c r="D1213" t="str">
        <f t="shared" si="18"/>
        <v>22/03/2025Endocrinology</v>
      </c>
    </row>
    <row r="1214" spans="1:4">
      <c r="A1214" s="1">
        <v>45738</v>
      </c>
      <c r="B1214" t="s">
        <v>100</v>
      </c>
      <c r="C1214">
        <v>8</v>
      </c>
      <c r="D1214" t="str">
        <f t="shared" si="18"/>
        <v>22/03/2025Urology</v>
      </c>
    </row>
    <row r="1215" spans="1:4">
      <c r="A1215" s="1">
        <v>45738</v>
      </c>
      <c r="B1215" t="s">
        <v>41</v>
      </c>
      <c r="C1215">
        <v>10</v>
      </c>
      <c r="D1215" t="str">
        <f t="shared" si="18"/>
        <v>22/03/2025ENT</v>
      </c>
    </row>
    <row r="1216" spans="1:4">
      <c r="A1216" s="1">
        <v>45738</v>
      </c>
      <c r="B1216" t="s">
        <v>44</v>
      </c>
      <c r="C1216">
        <v>12</v>
      </c>
      <c r="D1216" t="str">
        <f t="shared" si="18"/>
        <v>22/03/2025Geriatrics</v>
      </c>
    </row>
    <row r="1217" spans="1:4">
      <c r="A1217" s="1">
        <v>45739</v>
      </c>
      <c r="B1217" t="s">
        <v>39</v>
      </c>
      <c r="C1217">
        <v>19</v>
      </c>
      <c r="D1217" t="str">
        <f t="shared" si="18"/>
        <v>23/03/2025A&amp;E (Emergency)</v>
      </c>
    </row>
    <row r="1218" spans="1:4">
      <c r="A1218" s="1">
        <v>45739</v>
      </c>
      <c r="B1218" t="s">
        <v>40</v>
      </c>
      <c r="C1218">
        <v>11</v>
      </c>
      <c r="D1218" t="str">
        <f t="shared" si="18"/>
        <v>23/03/2025Cardiology</v>
      </c>
    </row>
    <row r="1219" spans="1:4">
      <c r="A1219" s="1">
        <v>45739</v>
      </c>
      <c r="B1219" t="s">
        <v>51</v>
      </c>
      <c r="C1219">
        <v>9</v>
      </c>
      <c r="D1219" t="str">
        <f t="shared" ref="D1219:D1282" si="19">TEXT(A1219, "dd/mm/yyyy")&amp;B1219</f>
        <v>23/03/2025Respiratory</v>
      </c>
    </row>
    <row r="1220" spans="1:4">
      <c r="A1220" s="1">
        <v>45739</v>
      </c>
      <c r="B1220" t="s">
        <v>43</v>
      </c>
      <c r="C1220">
        <v>14</v>
      </c>
      <c r="D1220" t="str">
        <f t="shared" si="19"/>
        <v>23/03/2025General Surgery</v>
      </c>
    </row>
    <row r="1221" spans="1:4">
      <c r="A1221" s="1">
        <v>45739</v>
      </c>
      <c r="B1221" t="s">
        <v>48</v>
      </c>
      <c r="C1221">
        <v>10</v>
      </c>
      <c r="D1221" t="str">
        <f t="shared" si="19"/>
        <v>23/03/2025Orthopaedics</v>
      </c>
    </row>
    <row r="1222" spans="1:4">
      <c r="A1222" s="1">
        <v>45739</v>
      </c>
      <c r="B1222" t="s">
        <v>46</v>
      </c>
      <c r="C1222">
        <v>9</v>
      </c>
      <c r="D1222" t="str">
        <f t="shared" si="19"/>
        <v>23/03/2025Neurology</v>
      </c>
    </row>
    <row r="1223" spans="1:4">
      <c r="A1223" s="1">
        <v>45739</v>
      </c>
      <c r="B1223" t="s">
        <v>47</v>
      </c>
      <c r="C1223">
        <v>12</v>
      </c>
      <c r="D1223" t="str">
        <f t="shared" si="19"/>
        <v>23/03/2025Oncology</v>
      </c>
    </row>
    <row r="1224" spans="1:4">
      <c r="A1224" s="1">
        <v>45739</v>
      </c>
      <c r="B1224" t="s">
        <v>49</v>
      </c>
      <c r="C1224">
        <v>8</v>
      </c>
      <c r="D1224" t="str">
        <f t="shared" si="19"/>
        <v>23/03/2025Paediatrics</v>
      </c>
    </row>
    <row r="1225" spans="1:4">
      <c r="A1225" s="1">
        <v>45739</v>
      </c>
      <c r="B1225" t="s">
        <v>45</v>
      </c>
      <c r="C1225">
        <v>9</v>
      </c>
      <c r="D1225" t="str">
        <f t="shared" si="19"/>
        <v>23/03/2025Maternity</v>
      </c>
    </row>
    <row r="1226" spans="1:4">
      <c r="A1226" s="1">
        <v>45739</v>
      </c>
      <c r="B1226" t="s">
        <v>50</v>
      </c>
      <c r="C1226">
        <v>17</v>
      </c>
      <c r="D1226" t="str">
        <f t="shared" si="19"/>
        <v>23/03/2025Renal Medicine</v>
      </c>
    </row>
    <row r="1227" spans="1:4">
      <c r="A1227" s="1">
        <v>45739</v>
      </c>
      <c r="B1227" t="s">
        <v>42</v>
      </c>
      <c r="C1227">
        <v>7</v>
      </c>
      <c r="D1227" t="str">
        <f t="shared" si="19"/>
        <v>23/03/2025Gastroenterology</v>
      </c>
    </row>
    <row r="1228" spans="1:4">
      <c r="A1228" s="1">
        <v>45739</v>
      </c>
      <c r="B1228" t="s">
        <v>98</v>
      </c>
      <c r="C1228">
        <v>6</v>
      </c>
      <c r="D1228" t="str">
        <f t="shared" si="19"/>
        <v>23/03/2025Endocrinology</v>
      </c>
    </row>
    <row r="1229" spans="1:4">
      <c r="A1229" s="1">
        <v>45739</v>
      </c>
      <c r="B1229" t="s">
        <v>100</v>
      </c>
      <c r="C1229">
        <v>8</v>
      </c>
      <c r="D1229" t="str">
        <f t="shared" si="19"/>
        <v>23/03/2025Urology</v>
      </c>
    </row>
    <row r="1230" spans="1:4">
      <c r="A1230" s="1">
        <v>45739</v>
      </c>
      <c r="B1230" t="s">
        <v>41</v>
      </c>
      <c r="C1230">
        <v>10</v>
      </c>
      <c r="D1230" t="str">
        <f t="shared" si="19"/>
        <v>23/03/2025ENT</v>
      </c>
    </row>
    <row r="1231" spans="1:4">
      <c r="A1231" s="1">
        <v>45739</v>
      </c>
      <c r="B1231" t="s">
        <v>44</v>
      </c>
      <c r="C1231">
        <v>12</v>
      </c>
      <c r="D1231" t="str">
        <f t="shared" si="19"/>
        <v>23/03/2025Geriatrics</v>
      </c>
    </row>
    <row r="1232" spans="1:4">
      <c r="A1232" s="1">
        <v>45740</v>
      </c>
      <c r="B1232" t="s">
        <v>39</v>
      </c>
      <c r="C1232">
        <v>27</v>
      </c>
      <c r="D1232" t="str">
        <f t="shared" si="19"/>
        <v>24/03/2025A&amp;E (Emergency)</v>
      </c>
    </row>
    <row r="1233" spans="1:4">
      <c r="A1233" s="1">
        <v>45740</v>
      </c>
      <c r="B1233" t="s">
        <v>40</v>
      </c>
      <c r="C1233">
        <v>18</v>
      </c>
      <c r="D1233" t="str">
        <f t="shared" si="19"/>
        <v>24/03/2025Cardiology</v>
      </c>
    </row>
    <row r="1234" spans="1:4">
      <c r="A1234" s="1">
        <v>45740</v>
      </c>
      <c r="B1234" t="s">
        <v>51</v>
      </c>
      <c r="C1234">
        <v>15</v>
      </c>
      <c r="D1234" t="str">
        <f t="shared" si="19"/>
        <v>24/03/2025Respiratory</v>
      </c>
    </row>
    <row r="1235" spans="1:4">
      <c r="A1235" s="1">
        <v>45740</v>
      </c>
      <c r="B1235" t="s">
        <v>43</v>
      </c>
      <c r="C1235">
        <v>21</v>
      </c>
      <c r="D1235" t="str">
        <f t="shared" si="19"/>
        <v>24/03/2025General Surgery</v>
      </c>
    </row>
    <row r="1236" spans="1:4">
      <c r="A1236" s="1">
        <v>45740</v>
      </c>
      <c r="B1236" t="s">
        <v>48</v>
      </c>
      <c r="C1236">
        <v>16</v>
      </c>
      <c r="D1236" t="str">
        <f t="shared" si="19"/>
        <v>24/03/2025Orthopaedics</v>
      </c>
    </row>
    <row r="1237" spans="1:4">
      <c r="A1237" s="1">
        <v>45740</v>
      </c>
      <c r="B1237" t="s">
        <v>46</v>
      </c>
      <c r="C1237">
        <v>14</v>
      </c>
      <c r="D1237" t="str">
        <f t="shared" si="19"/>
        <v>24/03/2025Neurology</v>
      </c>
    </row>
    <row r="1238" spans="1:4">
      <c r="A1238" s="1">
        <v>45740</v>
      </c>
      <c r="B1238" t="s">
        <v>47</v>
      </c>
      <c r="C1238">
        <v>18</v>
      </c>
      <c r="D1238" t="str">
        <f t="shared" si="19"/>
        <v>24/03/2025Oncology</v>
      </c>
    </row>
    <row r="1239" spans="1:4">
      <c r="A1239" s="1">
        <v>45740</v>
      </c>
      <c r="B1239" t="s">
        <v>49</v>
      </c>
      <c r="C1239">
        <v>13</v>
      </c>
      <c r="D1239" t="str">
        <f t="shared" si="19"/>
        <v>24/03/2025Paediatrics</v>
      </c>
    </row>
    <row r="1240" spans="1:4">
      <c r="A1240" s="1">
        <v>45740</v>
      </c>
      <c r="B1240" t="s">
        <v>45</v>
      </c>
      <c r="C1240">
        <v>13</v>
      </c>
      <c r="D1240" t="str">
        <f t="shared" si="19"/>
        <v>24/03/2025Maternity</v>
      </c>
    </row>
    <row r="1241" spans="1:4">
      <c r="A1241" s="1">
        <v>45740</v>
      </c>
      <c r="B1241" t="s">
        <v>50</v>
      </c>
      <c r="C1241">
        <v>21</v>
      </c>
      <c r="D1241" t="str">
        <f t="shared" si="19"/>
        <v>24/03/2025Renal Medicine</v>
      </c>
    </row>
    <row r="1242" spans="1:4">
      <c r="A1242" s="1">
        <v>45740</v>
      </c>
      <c r="B1242" t="s">
        <v>42</v>
      </c>
      <c r="C1242">
        <v>12</v>
      </c>
      <c r="D1242" t="str">
        <f t="shared" si="19"/>
        <v>24/03/2025Gastroenterology</v>
      </c>
    </row>
    <row r="1243" spans="1:4">
      <c r="A1243" s="1">
        <v>45740</v>
      </c>
      <c r="B1243" t="s">
        <v>98</v>
      </c>
      <c r="C1243">
        <v>10</v>
      </c>
      <c r="D1243" t="str">
        <f t="shared" si="19"/>
        <v>24/03/2025Endocrinology</v>
      </c>
    </row>
    <row r="1244" spans="1:4">
      <c r="A1244" s="1">
        <v>45740</v>
      </c>
      <c r="B1244" t="s">
        <v>100</v>
      </c>
      <c r="C1244">
        <v>11</v>
      </c>
      <c r="D1244" t="str">
        <f t="shared" si="19"/>
        <v>24/03/2025Urology</v>
      </c>
    </row>
    <row r="1245" spans="1:4">
      <c r="A1245" s="1">
        <v>45740</v>
      </c>
      <c r="B1245" t="s">
        <v>41</v>
      </c>
      <c r="C1245">
        <v>13</v>
      </c>
      <c r="D1245" t="str">
        <f t="shared" si="19"/>
        <v>24/03/2025ENT</v>
      </c>
    </row>
    <row r="1246" spans="1:4">
      <c r="A1246" s="1">
        <v>45740</v>
      </c>
      <c r="B1246" t="s">
        <v>44</v>
      </c>
      <c r="C1246">
        <v>16</v>
      </c>
      <c r="D1246" t="str">
        <f t="shared" si="19"/>
        <v>24/03/2025Geriatrics</v>
      </c>
    </row>
    <row r="1247" spans="1:4">
      <c r="A1247" s="1">
        <v>45741</v>
      </c>
      <c r="B1247" t="s">
        <v>39</v>
      </c>
      <c r="C1247">
        <v>25</v>
      </c>
      <c r="D1247" t="str">
        <f t="shared" si="19"/>
        <v>25/03/2025A&amp;E (Emergency)</v>
      </c>
    </row>
    <row r="1248" spans="1:4">
      <c r="A1248" s="1">
        <v>45741</v>
      </c>
      <c r="B1248" t="s">
        <v>40</v>
      </c>
      <c r="C1248">
        <v>17</v>
      </c>
      <c r="D1248" t="str">
        <f t="shared" si="19"/>
        <v>25/03/2025Cardiology</v>
      </c>
    </row>
    <row r="1249" spans="1:4">
      <c r="A1249" s="1">
        <v>45741</v>
      </c>
      <c r="B1249" t="s">
        <v>51</v>
      </c>
      <c r="C1249">
        <v>14</v>
      </c>
      <c r="D1249" t="str">
        <f t="shared" si="19"/>
        <v>25/03/2025Respiratory</v>
      </c>
    </row>
    <row r="1250" spans="1:4">
      <c r="A1250" s="1">
        <v>45741</v>
      </c>
      <c r="B1250" t="s">
        <v>43</v>
      </c>
      <c r="C1250">
        <v>20</v>
      </c>
      <c r="D1250" t="str">
        <f t="shared" si="19"/>
        <v>25/03/2025General Surgery</v>
      </c>
    </row>
    <row r="1251" spans="1:4">
      <c r="A1251" s="1">
        <v>45741</v>
      </c>
      <c r="B1251" t="s">
        <v>48</v>
      </c>
      <c r="C1251">
        <v>15</v>
      </c>
      <c r="D1251" t="str">
        <f t="shared" si="19"/>
        <v>25/03/2025Orthopaedics</v>
      </c>
    </row>
    <row r="1252" spans="1:4">
      <c r="A1252" s="1">
        <v>45741</v>
      </c>
      <c r="B1252" t="s">
        <v>46</v>
      </c>
      <c r="C1252">
        <v>13</v>
      </c>
      <c r="D1252" t="str">
        <f t="shared" si="19"/>
        <v>25/03/2025Neurology</v>
      </c>
    </row>
    <row r="1253" spans="1:4">
      <c r="A1253" s="1">
        <v>45741</v>
      </c>
      <c r="B1253" t="s">
        <v>47</v>
      </c>
      <c r="C1253">
        <v>17</v>
      </c>
      <c r="D1253" t="str">
        <f t="shared" si="19"/>
        <v>25/03/2025Oncology</v>
      </c>
    </row>
    <row r="1254" spans="1:4">
      <c r="A1254" s="1">
        <v>45741</v>
      </c>
      <c r="B1254" t="s">
        <v>49</v>
      </c>
      <c r="C1254">
        <v>12</v>
      </c>
      <c r="D1254" t="str">
        <f t="shared" si="19"/>
        <v>25/03/2025Paediatrics</v>
      </c>
    </row>
    <row r="1255" spans="1:4">
      <c r="A1255" s="1">
        <v>45741</v>
      </c>
      <c r="B1255" t="s">
        <v>45</v>
      </c>
      <c r="C1255">
        <v>12</v>
      </c>
      <c r="D1255" t="str">
        <f t="shared" si="19"/>
        <v>25/03/2025Maternity</v>
      </c>
    </row>
    <row r="1256" spans="1:4">
      <c r="A1256" s="1">
        <v>45741</v>
      </c>
      <c r="B1256" t="s">
        <v>50</v>
      </c>
      <c r="C1256">
        <v>20</v>
      </c>
      <c r="D1256" t="str">
        <f t="shared" si="19"/>
        <v>25/03/2025Renal Medicine</v>
      </c>
    </row>
    <row r="1257" spans="1:4">
      <c r="A1257" s="1">
        <v>45741</v>
      </c>
      <c r="B1257" t="s">
        <v>42</v>
      </c>
      <c r="C1257">
        <v>11</v>
      </c>
      <c r="D1257" t="str">
        <f t="shared" si="19"/>
        <v>25/03/2025Gastroenterology</v>
      </c>
    </row>
    <row r="1258" spans="1:4">
      <c r="A1258" s="1">
        <v>45741</v>
      </c>
      <c r="B1258" t="s">
        <v>98</v>
      </c>
      <c r="C1258">
        <v>9</v>
      </c>
      <c r="D1258" t="str">
        <f t="shared" si="19"/>
        <v>25/03/2025Endocrinology</v>
      </c>
    </row>
    <row r="1259" spans="1:4">
      <c r="A1259" s="1">
        <v>45741</v>
      </c>
      <c r="B1259" t="s">
        <v>100</v>
      </c>
      <c r="C1259">
        <v>10</v>
      </c>
      <c r="D1259" t="str">
        <f t="shared" si="19"/>
        <v>25/03/2025Urology</v>
      </c>
    </row>
    <row r="1260" spans="1:4">
      <c r="A1260" s="1">
        <v>45741</v>
      </c>
      <c r="B1260" t="s">
        <v>41</v>
      </c>
      <c r="C1260">
        <v>12</v>
      </c>
      <c r="D1260" t="str">
        <f t="shared" si="19"/>
        <v>25/03/2025ENT</v>
      </c>
    </row>
    <row r="1261" spans="1:4">
      <c r="A1261" s="1">
        <v>45741</v>
      </c>
      <c r="B1261" t="s">
        <v>44</v>
      </c>
      <c r="C1261">
        <v>15</v>
      </c>
      <c r="D1261" t="str">
        <f t="shared" si="19"/>
        <v>25/03/2025Geriatrics</v>
      </c>
    </row>
    <row r="1262" spans="1:4">
      <c r="A1262" s="1">
        <v>45742</v>
      </c>
      <c r="B1262" t="s">
        <v>39</v>
      </c>
      <c r="C1262">
        <v>24</v>
      </c>
      <c r="D1262" t="str">
        <f t="shared" si="19"/>
        <v>26/03/2025A&amp;E (Emergency)</v>
      </c>
    </row>
    <row r="1263" spans="1:4">
      <c r="A1263" s="1">
        <v>45742</v>
      </c>
      <c r="B1263" t="s">
        <v>40</v>
      </c>
      <c r="C1263">
        <v>16</v>
      </c>
      <c r="D1263" t="str">
        <f t="shared" si="19"/>
        <v>26/03/2025Cardiology</v>
      </c>
    </row>
    <row r="1264" spans="1:4">
      <c r="A1264" s="1">
        <v>45742</v>
      </c>
      <c r="B1264" t="s">
        <v>51</v>
      </c>
      <c r="C1264">
        <v>13</v>
      </c>
      <c r="D1264" t="str">
        <f t="shared" si="19"/>
        <v>26/03/2025Respiratory</v>
      </c>
    </row>
    <row r="1265" spans="1:4">
      <c r="A1265" s="1">
        <v>45742</v>
      </c>
      <c r="B1265" t="s">
        <v>43</v>
      </c>
      <c r="C1265">
        <v>19</v>
      </c>
      <c r="D1265" t="str">
        <f t="shared" si="19"/>
        <v>26/03/2025General Surgery</v>
      </c>
    </row>
    <row r="1266" spans="1:4">
      <c r="A1266" s="1">
        <v>45742</v>
      </c>
      <c r="B1266" t="s">
        <v>48</v>
      </c>
      <c r="C1266">
        <v>14</v>
      </c>
      <c r="D1266" t="str">
        <f t="shared" si="19"/>
        <v>26/03/2025Orthopaedics</v>
      </c>
    </row>
    <row r="1267" spans="1:4">
      <c r="A1267" s="1">
        <v>45742</v>
      </c>
      <c r="B1267" t="s">
        <v>46</v>
      </c>
      <c r="C1267">
        <v>12</v>
      </c>
      <c r="D1267" t="str">
        <f t="shared" si="19"/>
        <v>26/03/2025Neurology</v>
      </c>
    </row>
    <row r="1268" spans="1:4">
      <c r="A1268" s="1">
        <v>45742</v>
      </c>
      <c r="B1268" t="s">
        <v>47</v>
      </c>
      <c r="C1268">
        <v>16</v>
      </c>
      <c r="D1268" t="str">
        <f t="shared" si="19"/>
        <v>26/03/2025Oncology</v>
      </c>
    </row>
    <row r="1269" spans="1:4">
      <c r="A1269" s="1">
        <v>45742</v>
      </c>
      <c r="B1269" t="s">
        <v>49</v>
      </c>
      <c r="C1269">
        <v>11</v>
      </c>
      <c r="D1269" t="str">
        <f t="shared" si="19"/>
        <v>26/03/2025Paediatrics</v>
      </c>
    </row>
    <row r="1270" spans="1:4">
      <c r="A1270" s="1">
        <v>45742</v>
      </c>
      <c r="B1270" t="s">
        <v>45</v>
      </c>
      <c r="C1270">
        <v>12</v>
      </c>
      <c r="D1270" t="str">
        <f t="shared" si="19"/>
        <v>26/03/2025Maternity</v>
      </c>
    </row>
    <row r="1271" spans="1:4">
      <c r="A1271" s="1">
        <v>45742</v>
      </c>
      <c r="B1271" t="s">
        <v>50</v>
      </c>
      <c r="C1271">
        <v>19</v>
      </c>
      <c r="D1271" t="str">
        <f t="shared" si="19"/>
        <v>26/03/2025Renal Medicine</v>
      </c>
    </row>
    <row r="1272" spans="1:4">
      <c r="A1272" s="1">
        <v>45742</v>
      </c>
      <c r="B1272" t="s">
        <v>42</v>
      </c>
      <c r="C1272">
        <v>10</v>
      </c>
      <c r="D1272" t="str">
        <f t="shared" si="19"/>
        <v>26/03/2025Gastroenterology</v>
      </c>
    </row>
    <row r="1273" spans="1:4">
      <c r="A1273" s="1">
        <v>45742</v>
      </c>
      <c r="B1273" t="s">
        <v>98</v>
      </c>
      <c r="C1273">
        <v>8</v>
      </c>
      <c r="D1273" t="str">
        <f t="shared" si="19"/>
        <v>26/03/2025Endocrinology</v>
      </c>
    </row>
    <row r="1274" spans="1:4">
      <c r="A1274" s="1">
        <v>45742</v>
      </c>
      <c r="B1274" t="s">
        <v>100</v>
      </c>
      <c r="C1274">
        <v>10</v>
      </c>
      <c r="D1274" t="str">
        <f t="shared" si="19"/>
        <v>26/03/2025Urology</v>
      </c>
    </row>
    <row r="1275" spans="1:4">
      <c r="A1275" s="1">
        <v>45742</v>
      </c>
      <c r="B1275" t="s">
        <v>41</v>
      </c>
      <c r="C1275">
        <v>12</v>
      </c>
      <c r="D1275" t="str">
        <f t="shared" si="19"/>
        <v>26/03/2025ENT</v>
      </c>
    </row>
    <row r="1276" spans="1:4">
      <c r="A1276" s="1">
        <v>45742</v>
      </c>
      <c r="B1276" t="s">
        <v>44</v>
      </c>
      <c r="C1276">
        <v>14</v>
      </c>
      <c r="D1276" t="str">
        <f t="shared" si="19"/>
        <v>26/03/2025Geriatrics</v>
      </c>
    </row>
    <row r="1277" spans="1:4">
      <c r="A1277" s="1">
        <v>45743</v>
      </c>
      <c r="B1277" t="s">
        <v>39</v>
      </c>
      <c r="C1277">
        <v>23</v>
      </c>
      <c r="D1277" t="str">
        <f t="shared" si="19"/>
        <v>27/03/2025A&amp;E (Emergency)</v>
      </c>
    </row>
    <row r="1278" spans="1:4">
      <c r="A1278" s="1">
        <v>45743</v>
      </c>
      <c r="B1278" t="s">
        <v>40</v>
      </c>
      <c r="C1278">
        <v>16</v>
      </c>
      <c r="D1278" t="str">
        <f t="shared" si="19"/>
        <v>27/03/2025Cardiology</v>
      </c>
    </row>
    <row r="1279" spans="1:4">
      <c r="A1279" s="1">
        <v>45743</v>
      </c>
      <c r="B1279" t="s">
        <v>51</v>
      </c>
      <c r="C1279">
        <v>13</v>
      </c>
      <c r="D1279" t="str">
        <f t="shared" si="19"/>
        <v>27/03/2025Respiratory</v>
      </c>
    </row>
    <row r="1280" spans="1:4">
      <c r="A1280" s="1">
        <v>45743</v>
      </c>
      <c r="B1280" t="s">
        <v>43</v>
      </c>
      <c r="C1280">
        <v>19</v>
      </c>
      <c r="D1280" t="str">
        <f t="shared" si="19"/>
        <v>27/03/2025General Surgery</v>
      </c>
    </row>
    <row r="1281" spans="1:4">
      <c r="A1281" s="1">
        <v>45743</v>
      </c>
      <c r="B1281" t="s">
        <v>48</v>
      </c>
      <c r="C1281">
        <v>14</v>
      </c>
      <c r="D1281" t="str">
        <f t="shared" si="19"/>
        <v>27/03/2025Orthopaedics</v>
      </c>
    </row>
    <row r="1282" spans="1:4">
      <c r="A1282" s="1">
        <v>45743</v>
      </c>
      <c r="B1282" t="s">
        <v>46</v>
      </c>
      <c r="C1282">
        <v>12</v>
      </c>
      <c r="D1282" t="str">
        <f t="shared" si="19"/>
        <v>27/03/2025Neurology</v>
      </c>
    </row>
    <row r="1283" spans="1:4">
      <c r="A1283" s="1">
        <v>45743</v>
      </c>
      <c r="B1283" t="s">
        <v>47</v>
      </c>
      <c r="C1283">
        <v>16</v>
      </c>
      <c r="D1283" t="str">
        <f t="shared" ref="D1283:D1346" si="20">TEXT(A1283, "dd/mm/yyyy")&amp;B1283</f>
        <v>27/03/2025Oncology</v>
      </c>
    </row>
    <row r="1284" spans="1:4">
      <c r="A1284" s="1">
        <v>45743</v>
      </c>
      <c r="B1284" t="s">
        <v>49</v>
      </c>
      <c r="C1284">
        <v>11</v>
      </c>
      <c r="D1284" t="str">
        <f t="shared" si="20"/>
        <v>27/03/2025Paediatrics</v>
      </c>
    </row>
    <row r="1285" spans="1:4">
      <c r="A1285" s="1">
        <v>45743</v>
      </c>
      <c r="B1285" t="s">
        <v>45</v>
      </c>
      <c r="C1285">
        <v>12</v>
      </c>
      <c r="D1285" t="str">
        <f t="shared" si="20"/>
        <v>27/03/2025Maternity</v>
      </c>
    </row>
    <row r="1286" spans="1:4">
      <c r="A1286" s="1">
        <v>45743</v>
      </c>
      <c r="B1286" t="s">
        <v>50</v>
      </c>
      <c r="C1286">
        <v>19</v>
      </c>
      <c r="D1286" t="str">
        <f t="shared" si="20"/>
        <v>27/03/2025Renal Medicine</v>
      </c>
    </row>
    <row r="1287" spans="1:4">
      <c r="A1287" s="1">
        <v>45743</v>
      </c>
      <c r="B1287" t="s">
        <v>42</v>
      </c>
      <c r="C1287">
        <v>10</v>
      </c>
      <c r="D1287" t="str">
        <f t="shared" si="20"/>
        <v>27/03/2025Gastroenterology</v>
      </c>
    </row>
    <row r="1288" spans="1:4">
      <c r="A1288" s="1">
        <v>45743</v>
      </c>
      <c r="B1288" t="s">
        <v>98</v>
      </c>
      <c r="C1288">
        <v>8</v>
      </c>
      <c r="D1288" t="str">
        <f t="shared" si="20"/>
        <v>27/03/2025Endocrinology</v>
      </c>
    </row>
    <row r="1289" spans="1:4">
      <c r="A1289" s="1">
        <v>45743</v>
      </c>
      <c r="B1289" t="s">
        <v>100</v>
      </c>
      <c r="C1289">
        <v>10</v>
      </c>
      <c r="D1289" t="str">
        <f t="shared" si="20"/>
        <v>27/03/2025Urology</v>
      </c>
    </row>
    <row r="1290" spans="1:4">
      <c r="A1290" s="1">
        <v>45743</v>
      </c>
      <c r="B1290" t="s">
        <v>41</v>
      </c>
      <c r="C1290">
        <v>12</v>
      </c>
      <c r="D1290" t="str">
        <f t="shared" si="20"/>
        <v>27/03/2025ENT</v>
      </c>
    </row>
    <row r="1291" spans="1:4">
      <c r="A1291" s="1">
        <v>45743</v>
      </c>
      <c r="B1291" t="s">
        <v>44</v>
      </c>
      <c r="C1291">
        <v>14</v>
      </c>
      <c r="D1291" t="str">
        <f t="shared" si="20"/>
        <v>27/03/2025Geriatrics</v>
      </c>
    </row>
    <row r="1292" spans="1:4">
      <c r="A1292" s="1">
        <v>45744</v>
      </c>
      <c r="B1292" t="s">
        <v>39</v>
      </c>
      <c r="C1292">
        <v>22</v>
      </c>
      <c r="D1292" t="str">
        <f t="shared" si="20"/>
        <v>28/03/2025A&amp;E (Emergency)</v>
      </c>
    </row>
    <row r="1293" spans="1:4">
      <c r="A1293" s="1">
        <v>45744</v>
      </c>
      <c r="B1293" t="s">
        <v>40</v>
      </c>
      <c r="C1293">
        <v>15</v>
      </c>
      <c r="D1293" t="str">
        <f t="shared" si="20"/>
        <v>28/03/2025Cardiology</v>
      </c>
    </row>
    <row r="1294" spans="1:4">
      <c r="A1294" s="1">
        <v>45744</v>
      </c>
      <c r="B1294" t="s">
        <v>51</v>
      </c>
      <c r="C1294">
        <v>12</v>
      </c>
      <c r="D1294" t="str">
        <f t="shared" si="20"/>
        <v>28/03/2025Respiratory</v>
      </c>
    </row>
    <row r="1295" spans="1:4">
      <c r="A1295" s="1">
        <v>45744</v>
      </c>
      <c r="B1295" t="s">
        <v>43</v>
      </c>
      <c r="C1295">
        <v>18</v>
      </c>
      <c r="D1295" t="str">
        <f t="shared" si="20"/>
        <v>28/03/2025General Surgery</v>
      </c>
    </row>
    <row r="1296" spans="1:4">
      <c r="A1296" s="1">
        <v>45744</v>
      </c>
      <c r="B1296" t="s">
        <v>48</v>
      </c>
      <c r="C1296">
        <v>13</v>
      </c>
      <c r="D1296" t="str">
        <f t="shared" si="20"/>
        <v>28/03/2025Orthopaedics</v>
      </c>
    </row>
    <row r="1297" spans="1:4">
      <c r="A1297" s="1">
        <v>45744</v>
      </c>
      <c r="B1297" t="s">
        <v>46</v>
      </c>
      <c r="C1297">
        <v>11</v>
      </c>
      <c r="D1297" t="str">
        <f t="shared" si="20"/>
        <v>28/03/2025Neurology</v>
      </c>
    </row>
    <row r="1298" spans="1:4">
      <c r="A1298" s="1">
        <v>45744</v>
      </c>
      <c r="B1298" t="s">
        <v>47</v>
      </c>
      <c r="C1298">
        <v>15</v>
      </c>
      <c r="D1298" t="str">
        <f t="shared" si="20"/>
        <v>28/03/2025Oncology</v>
      </c>
    </row>
    <row r="1299" spans="1:4">
      <c r="A1299" s="1">
        <v>45744</v>
      </c>
      <c r="B1299" t="s">
        <v>49</v>
      </c>
      <c r="C1299">
        <v>10</v>
      </c>
      <c r="D1299" t="str">
        <f t="shared" si="20"/>
        <v>28/03/2025Paediatrics</v>
      </c>
    </row>
    <row r="1300" spans="1:4">
      <c r="A1300" s="1">
        <v>45744</v>
      </c>
      <c r="B1300" t="s">
        <v>45</v>
      </c>
      <c r="C1300">
        <v>11</v>
      </c>
      <c r="D1300" t="str">
        <f t="shared" si="20"/>
        <v>28/03/2025Maternity</v>
      </c>
    </row>
    <row r="1301" spans="1:4">
      <c r="A1301" s="1">
        <v>45744</v>
      </c>
      <c r="B1301" t="s">
        <v>50</v>
      </c>
      <c r="C1301">
        <v>18</v>
      </c>
      <c r="D1301" t="str">
        <f t="shared" si="20"/>
        <v>28/03/2025Renal Medicine</v>
      </c>
    </row>
    <row r="1302" spans="1:4">
      <c r="A1302" s="1">
        <v>45744</v>
      </c>
      <c r="B1302" t="s">
        <v>42</v>
      </c>
      <c r="C1302">
        <v>9</v>
      </c>
      <c r="D1302" t="str">
        <f t="shared" si="20"/>
        <v>28/03/2025Gastroenterology</v>
      </c>
    </row>
    <row r="1303" spans="1:4">
      <c r="A1303" s="1">
        <v>45744</v>
      </c>
      <c r="B1303" t="s">
        <v>98</v>
      </c>
      <c r="C1303">
        <v>7</v>
      </c>
      <c r="D1303" t="str">
        <f t="shared" si="20"/>
        <v>28/03/2025Endocrinology</v>
      </c>
    </row>
    <row r="1304" spans="1:4">
      <c r="A1304" s="1">
        <v>45744</v>
      </c>
      <c r="B1304" t="s">
        <v>100</v>
      </c>
      <c r="C1304">
        <v>9</v>
      </c>
      <c r="D1304" t="str">
        <f t="shared" si="20"/>
        <v>28/03/2025Urology</v>
      </c>
    </row>
    <row r="1305" spans="1:4">
      <c r="A1305" s="1">
        <v>45744</v>
      </c>
      <c r="B1305" t="s">
        <v>41</v>
      </c>
      <c r="C1305">
        <v>11</v>
      </c>
      <c r="D1305" t="str">
        <f t="shared" si="20"/>
        <v>28/03/2025ENT</v>
      </c>
    </row>
    <row r="1306" spans="1:4">
      <c r="A1306" s="1">
        <v>45744</v>
      </c>
      <c r="B1306" t="s">
        <v>44</v>
      </c>
      <c r="C1306">
        <v>13</v>
      </c>
      <c r="D1306" t="str">
        <f t="shared" si="20"/>
        <v>28/03/2025Geriatrics</v>
      </c>
    </row>
    <row r="1307" spans="1:4">
      <c r="A1307" s="1">
        <v>45745</v>
      </c>
      <c r="B1307" t="s">
        <v>39</v>
      </c>
      <c r="C1307">
        <v>20</v>
      </c>
      <c r="D1307" t="str">
        <f t="shared" si="20"/>
        <v>29/03/2025A&amp;E (Emergency)</v>
      </c>
    </row>
    <row r="1308" spans="1:4">
      <c r="A1308" s="1">
        <v>45745</v>
      </c>
      <c r="B1308" t="s">
        <v>40</v>
      </c>
      <c r="C1308">
        <v>12</v>
      </c>
      <c r="D1308" t="str">
        <f t="shared" si="20"/>
        <v>29/03/2025Cardiology</v>
      </c>
    </row>
    <row r="1309" spans="1:4">
      <c r="A1309" s="1">
        <v>45745</v>
      </c>
      <c r="B1309" t="s">
        <v>51</v>
      </c>
      <c r="C1309">
        <v>9</v>
      </c>
      <c r="D1309" t="str">
        <f t="shared" si="20"/>
        <v>29/03/2025Respiratory</v>
      </c>
    </row>
    <row r="1310" spans="1:4">
      <c r="A1310" s="1">
        <v>45745</v>
      </c>
      <c r="B1310" t="s">
        <v>43</v>
      </c>
      <c r="C1310">
        <v>15</v>
      </c>
      <c r="D1310" t="str">
        <f t="shared" si="20"/>
        <v>29/03/2025General Surgery</v>
      </c>
    </row>
    <row r="1311" spans="1:4">
      <c r="A1311" s="1">
        <v>45745</v>
      </c>
      <c r="B1311" t="s">
        <v>48</v>
      </c>
      <c r="C1311">
        <v>11</v>
      </c>
      <c r="D1311" t="str">
        <f t="shared" si="20"/>
        <v>29/03/2025Orthopaedics</v>
      </c>
    </row>
    <row r="1312" spans="1:4">
      <c r="A1312" s="1">
        <v>45745</v>
      </c>
      <c r="B1312" t="s">
        <v>46</v>
      </c>
      <c r="C1312">
        <v>9</v>
      </c>
      <c r="D1312" t="str">
        <f t="shared" si="20"/>
        <v>29/03/2025Neurology</v>
      </c>
    </row>
    <row r="1313" spans="1:4">
      <c r="A1313" s="1">
        <v>45745</v>
      </c>
      <c r="B1313" t="s">
        <v>47</v>
      </c>
      <c r="C1313">
        <v>13</v>
      </c>
      <c r="D1313" t="str">
        <f t="shared" si="20"/>
        <v>29/03/2025Oncology</v>
      </c>
    </row>
    <row r="1314" spans="1:4">
      <c r="A1314" s="1">
        <v>45745</v>
      </c>
      <c r="B1314" t="s">
        <v>49</v>
      </c>
      <c r="C1314">
        <v>9</v>
      </c>
      <c r="D1314" t="str">
        <f t="shared" si="20"/>
        <v>29/03/2025Paediatrics</v>
      </c>
    </row>
    <row r="1315" spans="1:4">
      <c r="A1315" s="1">
        <v>45745</v>
      </c>
      <c r="B1315" t="s">
        <v>45</v>
      </c>
      <c r="C1315">
        <v>10</v>
      </c>
      <c r="D1315" t="str">
        <f t="shared" si="20"/>
        <v>29/03/2025Maternity</v>
      </c>
    </row>
    <row r="1316" spans="1:4">
      <c r="A1316" s="1">
        <v>45745</v>
      </c>
      <c r="B1316" t="s">
        <v>50</v>
      </c>
      <c r="C1316">
        <v>17</v>
      </c>
      <c r="D1316" t="str">
        <f t="shared" si="20"/>
        <v>29/03/2025Renal Medicine</v>
      </c>
    </row>
    <row r="1317" spans="1:4">
      <c r="A1317" s="1">
        <v>45745</v>
      </c>
      <c r="B1317" t="s">
        <v>42</v>
      </c>
      <c r="C1317">
        <v>7</v>
      </c>
      <c r="D1317" t="str">
        <f t="shared" si="20"/>
        <v>29/03/2025Gastroenterology</v>
      </c>
    </row>
    <row r="1318" spans="1:4">
      <c r="A1318" s="1">
        <v>45745</v>
      </c>
      <c r="B1318" t="s">
        <v>98</v>
      </c>
      <c r="C1318">
        <v>6</v>
      </c>
      <c r="D1318" t="str">
        <f t="shared" si="20"/>
        <v>29/03/2025Endocrinology</v>
      </c>
    </row>
    <row r="1319" spans="1:4">
      <c r="A1319" s="1">
        <v>45745</v>
      </c>
      <c r="B1319" t="s">
        <v>100</v>
      </c>
      <c r="C1319">
        <v>8</v>
      </c>
      <c r="D1319" t="str">
        <f t="shared" si="20"/>
        <v>29/03/2025Urology</v>
      </c>
    </row>
    <row r="1320" spans="1:4">
      <c r="A1320" s="1">
        <v>45745</v>
      </c>
      <c r="B1320" t="s">
        <v>41</v>
      </c>
      <c r="C1320">
        <v>10</v>
      </c>
      <c r="D1320" t="str">
        <f t="shared" si="20"/>
        <v>29/03/2025ENT</v>
      </c>
    </row>
    <row r="1321" spans="1:4">
      <c r="A1321" s="1">
        <v>45745</v>
      </c>
      <c r="B1321" t="s">
        <v>44</v>
      </c>
      <c r="C1321">
        <v>12</v>
      </c>
      <c r="D1321" t="str">
        <f t="shared" si="20"/>
        <v>29/03/2025Geriatrics</v>
      </c>
    </row>
    <row r="1322" spans="1:4">
      <c r="A1322" s="1">
        <v>45746</v>
      </c>
      <c r="B1322" t="s">
        <v>39</v>
      </c>
      <c r="C1322">
        <v>19</v>
      </c>
      <c r="D1322" t="str">
        <f t="shared" si="20"/>
        <v>30/03/2025A&amp;E (Emergency)</v>
      </c>
    </row>
    <row r="1323" spans="1:4">
      <c r="A1323" s="1">
        <v>45746</v>
      </c>
      <c r="B1323" t="s">
        <v>40</v>
      </c>
      <c r="C1323">
        <v>11</v>
      </c>
      <c r="D1323" t="str">
        <f t="shared" si="20"/>
        <v>30/03/2025Cardiology</v>
      </c>
    </row>
    <row r="1324" spans="1:4">
      <c r="A1324" s="1">
        <v>45746</v>
      </c>
      <c r="B1324" t="s">
        <v>51</v>
      </c>
      <c r="C1324">
        <v>9</v>
      </c>
      <c r="D1324" t="str">
        <f t="shared" si="20"/>
        <v>30/03/2025Respiratory</v>
      </c>
    </row>
    <row r="1325" spans="1:4">
      <c r="A1325" s="1">
        <v>45746</v>
      </c>
      <c r="B1325" t="s">
        <v>43</v>
      </c>
      <c r="C1325">
        <v>14</v>
      </c>
      <c r="D1325" t="str">
        <f t="shared" si="20"/>
        <v>30/03/2025General Surgery</v>
      </c>
    </row>
    <row r="1326" spans="1:4">
      <c r="A1326" s="1">
        <v>45746</v>
      </c>
      <c r="B1326" t="s">
        <v>48</v>
      </c>
      <c r="C1326">
        <v>10</v>
      </c>
      <c r="D1326" t="str">
        <f t="shared" si="20"/>
        <v>30/03/2025Orthopaedics</v>
      </c>
    </row>
    <row r="1327" spans="1:4">
      <c r="A1327" s="1">
        <v>45746</v>
      </c>
      <c r="B1327" t="s">
        <v>46</v>
      </c>
      <c r="C1327">
        <v>9</v>
      </c>
      <c r="D1327" t="str">
        <f t="shared" si="20"/>
        <v>30/03/2025Neurology</v>
      </c>
    </row>
    <row r="1328" spans="1:4">
      <c r="A1328" s="1">
        <v>45746</v>
      </c>
      <c r="B1328" t="s">
        <v>47</v>
      </c>
      <c r="C1328">
        <v>12</v>
      </c>
      <c r="D1328" t="str">
        <f t="shared" si="20"/>
        <v>30/03/2025Oncology</v>
      </c>
    </row>
    <row r="1329" spans="1:4">
      <c r="A1329" s="1">
        <v>45746</v>
      </c>
      <c r="B1329" t="s">
        <v>49</v>
      </c>
      <c r="C1329">
        <v>8</v>
      </c>
      <c r="D1329" t="str">
        <f t="shared" si="20"/>
        <v>30/03/2025Paediatrics</v>
      </c>
    </row>
    <row r="1330" spans="1:4">
      <c r="A1330" s="1">
        <v>45746</v>
      </c>
      <c r="B1330" t="s">
        <v>45</v>
      </c>
      <c r="C1330">
        <v>9</v>
      </c>
      <c r="D1330" t="str">
        <f t="shared" si="20"/>
        <v>30/03/2025Maternity</v>
      </c>
    </row>
    <row r="1331" spans="1:4">
      <c r="A1331" s="1">
        <v>45746</v>
      </c>
      <c r="B1331" t="s">
        <v>50</v>
      </c>
      <c r="C1331">
        <v>17</v>
      </c>
      <c r="D1331" t="str">
        <f t="shared" si="20"/>
        <v>30/03/2025Renal Medicine</v>
      </c>
    </row>
    <row r="1332" spans="1:4">
      <c r="A1332" s="1">
        <v>45746</v>
      </c>
      <c r="B1332" t="s">
        <v>42</v>
      </c>
      <c r="C1332">
        <v>7</v>
      </c>
      <c r="D1332" t="str">
        <f t="shared" si="20"/>
        <v>30/03/2025Gastroenterology</v>
      </c>
    </row>
    <row r="1333" spans="1:4">
      <c r="A1333" s="1">
        <v>45746</v>
      </c>
      <c r="B1333" t="s">
        <v>98</v>
      </c>
      <c r="C1333">
        <v>6</v>
      </c>
      <c r="D1333" t="str">
        <f t="shared" si="20"/>
        <v>30/03/2025Endocrinology</v>
      </c>
    </row>
    <row r="1334" spans="1:4">
      <c r="A1334" s="1">
        <v>45746</v>
      </c>
      <c r="B1334" t="s">
        <v>100</v>
      </c>
      <c r="C1334">
        <v>8</v>
      </c>
      <c r="D1334" t="str">
        <f t="shared" si="20"/>
        <v>30/03/2025Urology</v>
      </c>
    </row>
    <row r="1335" spans="1:4">
      <c r="A1335" s="1">
        <v>45746</v>
      </c>
      <c r="B1335" t="s">
        <v>41</v>
      </c>
      <c r="C1335">
        <v>10</v>
      </c>
      <c r="D1335" t="str">
        <f t="shared" si="20"/>
        <v>30/03/2025ENT</v>
      </c>
    </row>
    <row r="1336" spans="1:4">
      <c r="A1336" s="1">
        <v>45746</v>
      </c>
      <c r="B1336" t="s">
        <v>44</v>
      </c>
      <c r="C1336">
        <v>12</v>
      </c>
      <c r="D1336" t="str">
        <f t="shared" si="20"/>
        <v>30/03/2025Geriatrics</v>
      </c>
    </row>
    <row r="1337" spans="1:4">
      <c r="A1337" s="1">
        <v>45747</v>
      </c>
      <c r="B1337" t="s">
        <v>39</v>
      </c>
      <c r="C1337">
        <v>28</v>
      </c>
      <c r="D1337" t="str">
        <f t="shared" si="20"/>
        <v>31/03/2025A&amp;E (Emergency)</v>
      </c>
    </row>
    <row r="1338" spans="1:4">
      <c r="A1338" s="1">
        <v>45747</v>
      </c>
      <c r="B1338" t="s">
        <v>40</v>
      </c>
      <c r="C1338">
        <v>18</v>
      </c>
      <c r="D1338" t="str">
        <f t="shared" si="20"/>
        <v>31/03/2025Cardiology</v>
      </c>
    </row>
    <row r="1339" spans="1:4">
      <c r="A1339" s="1">
        <v>45747</v>
      </c>
      <c r="B1339" t="s">
        <v>51</v>
      </c>
      <c r="C1339">
        <v>15</v>
      </c>
      <c r="D1339" t="str">
        <f t="shared" si="20"/>
        <v>31/03/2025Respiratory</v>
      </c>
    </row>
    <row r="1340" spans="1:4">
      <c r="A1340" s="1">
        <v>45747</v>
      </c>
      <c r="B1340" t="s">
        <v>43</v>
      </c>
      <c r="C1340">
        <v>22</v>
      </c>
      <c r="D1340" t="str">
        <f t="shared" si="20"/>
        <v>31/03/2025General Surgery</v>
      </c>
    </row>
    <row r="1341" spans="1:4">
      <c r="A1341" s="1">
        <v>45747</v>
      </c>
      <c r="B1341" t="s">
        <v>48</v>
      </c>
      <c r="C1341">
        <v>16</v>
      </c>
      <c r="D1341" t="str">
        <f t="shared" si="20"/>
        <v>31/03/2025Orthopaedics</v>
      </c>
    </row>
    <row r="1342" spans="1:4">
      <c r="A1342" s="1">
        <v>45747</v>
      </c>
      <c r="B1342" t="s">
        <v>46</v>
      </c>
      <c r="C1342">
        <v>14</v>
      </c>
      <c r="D1342" t="str">
        <f t="shared" si="20"/>
        <v>31/03/2025Neurology</v>
      </c>
    </row>
    <row r="1343" spans="1:4">
      <c r="A1343" s="1">
        <v>45747</v>
      </c>
      <c r="B1343" t="s">
        <v>47</v>
      </c>
      <c r="C1343">
        <v>18</v>
      </c>
      <c r="D1343" t="str">
        <f t="shared" si="20"/>
        <v>31/03/2025Oncology</v>
      </c>
    </row>
    <row r="1344" spans="1:4">
      <c r="A1344" s="1">
        <v>45747</v>
      </c>
      <c r="B1344" t="s">
        <v>49</v>
      </c>
      <c r="C1344">
        <v>13</v>
      </c>
      <c r="D1344" t="str">
        <f t="shared" si="20"/>
        <v>31/03/2025Paediatrics</v>
      </c>
    </row>
    <row r="1345" spans="1:4">
      <c r="A1345" s="1">
        <v>45747</v>
      </c>
      <c r="B1345" t="s">
        <v>45</v>
      </c>
      <c r="C1345">
        <v>13</v>
      </c>
      <c r="D1345" t="str">
        <f t="shared" si="20"/>
        <v>31/03/2025Maternity</v>
      </c>
    </row>
    <row r="1346" spans="1:4">
      <c r="A1346" s="1">
        <v>45747</v>
      </c>
      <c r="B1346" t="s">
        <v>50</v>
      </c>
      <c r="C1346">
        <v>21</v>
      </c>
      <c r="D1346" t="str">
        <f t="shared" si="20"/>
        <v>31/03/2025Renal Medicine</v>
      </c>
    </row>
    <row r="1347" spans="1:4">
      <c r="A1347" s="1">
        <v>45747</v>
      </c>
      <c r="B1347" t="s">
        <v>42</v>
      </c>
      <c r="C1347">
        <v>12</v>
      </c>
      <c r="D1347" t="str">
        <f t="shared" ref="D1347:D1410" si="21">TEXT(A1347, "dd/mm/yyyy")&amp;B1347</f>
        <v>31/03/2025Gastroenterology</v>
      </c>
    </row>
    <row r="1348" spans="1:4">
      <c r="A1348" s="1">
        <v>45747</v>
      </c>
      <c r="B1348" t="s">
        <v>98</v>
      </c>
      <c r="C1348">
        <v>10</v>
      </c>
      <c r="D1348" t="str">
        <f t="shared" si="21"/>
        <v>31/03/2025Endocrinology</v>
      </c>
    </row>
    <row r="1349" spans="1:4">
      <c r="A1349" s="1">
        <v>45747</v>
      </c>
      <c r="B1349" t="s">
        <v>100</v>
      </c>
      <c r="C1349">
        <v>11</v>
      </c>
      <c r="D1349" t="str">
        <f t="shared" si="21"/>
        <v>31/03/2025Urology</v>
      </c>
    </row>
    <row r="1350" spans="1:4">
      <c r="A1350" s="1">
        <v>45747</v>
      </c>
      <c r="B1350" t="s">
        <v>41</v>
      </c>
      <c r="C1350">
        <v>13</v>
      </c>
      <c r="D1350" t="str">
        <f t="shared" si="21"/>
        <v>31/03/2025ENT</v>
      </c>
    </row>
    <row r="1351" spans="1:4">
      <c r="A1351" s="1">
        <v>45747</v>
      </c>
      <c r="B1351" t="s">
        <v>44</v>
      </c>
      <c r="C1351">
        <v>16</v>
      </c>
      <c r="D1351" t="str">
        <f t="shared" si="21"/>
        <v>31/03/2025Geriatrics</v>
      </c>
    </row>
    <row r="1352" spans="1:4">
      <c r="A1352" s="1">
        <v>45748</v>
      </c>
      <c r="B1352" t="s">
        <v>39</v>
      </c>
      <c r="C1352">
        <v>25</v>
      </c>
      <c r="D1352" t="str">
        <f t="shared" si="21"/>
        <v>01/04/2025A&amp;E (Emergency)</v>
      </c>
    </row>
    <row r="1353" spans="1:4">
      <c r="A1353" s="1">
        <v>45748</v>
      </c>
      <c r="B1353" t="s">
        <v>40</v>
      </c>
      <c r="C1353">
        <v>17</v>
      </c>
      <c r="D1353" t="str">
        <f t="shared" si="21"/>
        <v>01/04/2025Cardiology</v>
      </c>
    </row>
    <row r="1354" spans="1:4">
      <c r="A1354" s="1">
        <v>45748</v>
      </c>
      <c r="B1354" t="s">
        <v>51</v>
      </c>
      <c r="C1354">
        <v>14</v>
      </c>
      <c r="D1354" t="str">
        <f t="shared" si="21"/>
        <v>01/04/2025Respiratory</v>
      </c>
    </row>
    <row r="1355" spans="1:4">
      <c r="A1355" s="1">
        <v>45748</v>
      </c>
      <c r="B1355" t="s">
        <v>43</v>
      </c>
      <c r="C1355">
        <v>20</v>
      </c>
      <c r="D1355" t="str">
        <f t="shared" si="21"/>
        <v>01/04/2025General Surgery</v>
      </c>
    </row>
    <row r="1356" spans="1:4">
      <c r="A1356" s="1">
        <v>45748</v>
      </c>
      <c r="B1356" t="s">
        <v>48</v>
      </c>
      <c r="C1356">
        <v>15</v>
      </c>
      <c r="D1356" t="str">
        <f t="shared" si="21"/>
        <v>01/04/2025Orthopaedics</v>
      </c>
    </row>
    <row r="1357" spans="1:4">
      <c r="A1357" s="1">
        <v>45748</v>
      </c>
      <c r="B1357" t="s">
        <v>46</v>
      </c>
      <c r="C1357">
        <v>13</v>
      </c>
      <c r="D1357" t="str">
        <f t="shared" si="21"/>
        <v>01/04/2025Neurology</v>
      </c>
    </row>
    <row r="1358" spans="1:4">
      <c r="A1358" s="1">
        <v>45748</v>
      </c>
      <c r="B1358" t="s">
        <v>47</v>
      </c>
      <c r="C1358">
        <v>17</v>
      </c>
      <c r="D1358" t="str">
        <f t="shared" si="21"/>
        <v>01/04/2025Oncology</v>
      </c>
    </row>
    <row r="1359" spans="1:4">
      <c r="A1359" s="1">
        <v>45748</v>
      </c>
      <c r="B1359" t="s">
        <v>49</v>
      </c>
      <c r="C1359">
        <v>12</v>
      </c>
      <c r="D1359" t="str">
        <f t="shared" si="21"/>
        <v>01/04/2025Paediatrics</v>
      </c>
    </row>
    <row r="1360" spans="1:4">
      <c r="A1360" s="1">
        <v>45748</v>
      </c>
      <c r="B1360" t="s">
        <v>45</v>
      </c>
      <c r="C1360">
        <v>12</v>
      </c>
      <c r="D1360" t="str">
        <f t="shared" si="21"/>
        <v>01/04/2025Maternity</v>
      </c>
    </row>
    <row r="1361" spans="1:4">
      <c r="A1361" s="1">
        <v>45748</v>
      </c>
      <c r="B1361" t="s">
        <v>50</v>
      </c>
      <c r="C1361">
        <v>20</v>
      </c>
      <c r="D1361" t="str">
        <f t="shared" si="21"/>
        <v>01/04/2025Renal Medicine</v>
      </c>
    </row>
    <row r="1362" spans="1:4">
      <c r="A1362" s="1">
        <v>45748</v>
      </c>
      <c r="B1362" t="s">
        <v>42</v>
      </c>
      <c r="C1362">
        <v>11</v>
      </c>
      <c r="D1362" t="str">
        <f t="shared" si="21"/>
        <v>01/04/2025Gastroenterology</v>
      </c>
    </row>
    <row r="1363" spans="1:4">
      <c r="A1363" s="1">
        <v>45748</v>
      </c>
      <c r="B1363" t="s">
        <v>98</v>
      </c>
      <c r="C1363">
        <v>9</v>
      </c>
      <c r="D1363" t="str">
        <f t="shared" si="21"/>
        <v>01/04/2025Endocrinology</v>
      </c>
    </row>
    <row r="1364" spans="1:4">
      <c r="A1364" s="1">
        <v>45748</v>
      </c>
      <c r="B1364" t="s">
        <v>100</v>
      </c>
      <c r="C1364">
        <v>10</v>
      </c>
      <c r="D1364" t="str">
        <f t="shared" si="21"/>
        <v>01/04/2025Urology</v>
      </c>
    </row>
    <row r="1365" spans="1:4">
      <c r="A1365" s="1">
        <v>45748</v>
      </c>
      <c r="B1365" t="s">
        <v>41</v>
      </c>
      <c r="C1365">
        <v>12</v>
      </c>
      <c r="D1365" t="str">
        <f t="shared" si="21"/>
        <v>01/04/2025ENT</v>
      </c>
    </row>
    <row r="1366" spans="1:4">
      <c r="A1366" s="1">
        <v>45748</v>
      </c>
      <c r="B1366" t="s">
        <v>44</v>
      </c>
      <c r="C1366">
        <v>15</v>
      </c>
      <c r="D1366" t="str">
        <f t="shared" si="21"/>
        <v>01/04/2025Geriatrics</v>
      </c>
    </row>
    <row r="1367" spans="1:4">
      <c r="A1367" s="1">
        <v>45749</v>
      </c>
      <c r="B1367" t="s">
        <v>39</v>
      </c>
      <c r="C1367">
        <v>24</v>
      </c>
      <c r="D1367" t="str">
        <f t="shared" si="21"/>
        <v>02/04/2025A&amp;E (Emergency)</v>
      </c>
    </row>
    <row r="1368" spans="1:4">
      <c r="A1368" s="1">
        <v>45749</v>
      </c>
      <c r="B1368" t="s">
        <v>40</v>
      </c>
      <c r="C1368">
        <v>16</v>
      </c>
      <c r="D1368" t="str">
        <f t="shared" si="21"/>
        <v>02/04/2025Cardiology</v>
      </c>
    </row>
    <row r="1369" spans="1:4">
      <c r="A1369" s="1">
        <v>45749</v>
      </c>
      <c r="B1369" t="s">
        <v>51</v>
      </c>
      <c r="C1369">
        <v>13</v>
      </c>
      <c r="D1369" t="str">
        <f t="shared" si="21"/>
        <v>02/04/2025Respiratory</v>
      </c>
    </row>
    <row r="1370" spans="1:4">
      <c r="A1370" s="1">
        <v>45749</v>
      </c>
      <c r="B1370" t="s">
        <v>43</v>
      </c>
      <c r="C1370">
        <v>19</v>
      </c>
      <c r="D1370" t="str">
        <f t="shared" si="21"/>
        <v>02/04/2025General Surgery</v>
      </c>
    </row>
    <row r="1371" spans="1:4">
      <c r="A1371" s="1">
        <v>45749</v>
      </c>
      <c r="B1371" t="s">
        <v>48</v>
      </c>
      <c r="C1371">
        <v>14</v>
      </c>
      <c r="D1371" t="str">
        <f t="shared" si="21"/>
        <v>02/04/2025Orthopaedics</v>
      </c>
    </row>
    <row r="1372" spans="1:4">
      <c r="A1372" s="1">
        <v>45749</v>
      </c>
      <c r="B1372" t="s">
        <v>46</v>
      </c>
      <c r="C1372">
        <v>12</v>
      </c>
      <c r="D1372" t="str">
        <f t="shared" si="21"/>
        <v>02/04/2025Neurology</v>
      </c>
    </row>
    <row r="1373" spans="1:4">
      <c r="A1373" s="1">
        <v>45749</v>
      </c>
      <c r="B1373" t="s">
        <v>47</v>
      </c>
      <c r="C1373">
        <v>16</v>
      </c>
      <c r="D1373" t="str">
        <f t="shared" si="21"/>
        <v>02/04/2025Oncology</v>
      </c>
    </row>
    <row r="1374" spans="1:4">
      <c r="A1374" s="1">
        <v>45749</v>
      </c>
      <c r="B1374" t="s">
        <v>49</v>
      </c>
      <c r="C1374">
        <v>11</v>
      </c>
      <c r="D1374" t="str">
        <f t="shared" si="21"/>
        <v>02/04/2025Paediatrics</v>
      </c>
    </row>
    <row r="1375" spans="1:4">
      <c r="A1375" s="1">
        <v>45749</v>
      </c>
      <c r="B1375" t="s">
        <v>45</v>
      </c>
      <c r="C1375">
        <v>12</v>
      </c>
      <c r="D1375" t="str">
        <f t="shared" si="21"/>
        <v>02/04/2025Maternity</v>
      </c>
    </row>
    <row r="1376" spans="1:4">
      <c r="A1376" s="1">
        <v>45749</v>
      </c>
      <c r="B1376" t="s">
        <v>50</v>
      </c>
      <c r="C1376">
        <v>19</v>
      </c>
      <c r="D1376" t="str">
        <f t="shared" si="21"/>
        <v>02/04/2025Renal Medicine</v>
      </c>
    </row>
    <row r="1377" spans="1:4">
      <c r="A1377" s="1">
        <v>45749</v>
      </c>
      <c r="B1377" t="s">
        <v>42</v>
      </c>
      <c r="C1377">
        <v>10</v>
      </c>
      <c r="D1377" t="str">
        <f t="shared" si="21"/>
        <v>02/04/2025Gastroenterology</v>
      </c>
    </row>
    <row r="1378" spans="1:4">
      <c r="A1378" s="1">
        <v>45749</v>
      </c>
      <c r="B1378" t="s">
        <v>98</v>
      </c>
      <c r="C1378">
        <v>8</v>
      </c>
      <c r="D1378" t="str">
        <f t="shared" si="21"/>
        <v>02/04/2025Endocrinology</v>
      </c>
    </row>
    <row r="1379" spans="1:4">
      <c r="A1379" s="1">
        <v>45749</v>
      </c>
      <c r="B1379" t="s">
        <v>100</v>
      </c>
      <c r="C1379">
        <v>10</v>
      </c>
      <c r="D1379" t="str">
        <f t="shared" si="21"/>
        <v>02/04/2025Urology</v>
      </c>
    </row>
    <row r="1380" spans="1:4">
      <c r="A1380" s="1">
        <v>45749</v>
      </c>
      <c r="B1380" t="s">
        <v>41</v>
      </c>
      <c r="C1380">
        <v>12</v>
      </c>
      <c r="D1380" t="str">
        <f t="shared" si="21"/>
        <v>02/04/2025ENT</v>
      </c>
    </row>
    <row r="1381" spans="1:4">
      <c r="A1381" s="1">
        <v>45749</v>
      </c>
      <c r="B1381" t="s">
        <v>44</v>
      </c>
      <c r="C1381">
        <v>14</v>
      </c>
      <c r="D1381" t="str">
        <f t="shared" si="21"/>
        <v>02/04/2025Geriatrics</v>
      </c>
    </row>
    <row r="1382" spans="1:4">
      <c r="A1382" s="1">
        <v>45750</v>
      </c>
      <c r="B1382" t="s">
        <v>39</v>
      </c>
      <c r="C1382">
        <v>23</v>
      </c>
      <c r="D1382" t="str">
        <f t="shared" si="21"/>
        <v>03/04/2025A&amp;E (Emergency)</v>
      </c>
    </row>
    <row r="1383" spans="1:4">
      <c r="A1383" s="1">
        <v>45750</v>
      </c>
      <c r="B1383" t="s">
        <v>40</v>
      </c>
      <c r="C1383">
        <v>16</v>
      </c>
      <c r="D1383" t="str">
        <f t="shared" si="21"/>
        <v>03/04/2025Cardiology</v>
      </c>
    </row>
    <row r="1384" spans="1:4">
      <c r="A1384" s="1">
        <v>45750</v>
      </c>
      <c r="B1384" t="s">
        <v>51</v>
      </c>
      <c r="C1384">
        <v>13</v>
      </c>
      <c r="D1384" t="str">
        <f t="shared" si="21"/>
        <v>03/04/2025Respiratory</v>
      </c>
    </row>
    <row r="1385" spans="1:4">
      <c r="A1385" s="1">
        <v>45750</v>
      </c>
      <c r="B1385" t="s">
        <v>43</v>
      </c>
      <c r="C1385">
        <v>19</v>
      </c>
      <c r="D1385" t="str">
        <f t="shared" si="21"/>
        <v>03/04/2025General Surgery</v>
      </c>
    </row>
    <row r="1386" spans="1:4">
      <c r="A1386" s="1">
        <v>45750</v>
      </c>
      <c r="B1386" t="s">
        <v>48</v>
      </c>
      <c r="C1386">
        <v>14</v>
      </c>
      <c r="D1386" t="str">
        <f t="shared" si="21"/>
        <v>03/04/2025Orthopaedics</v>
      </c>
    </row>
    <row r="1387" spans="1:4">
      <c r="A1387" s="1">
        <v>45750</v>
      </c>
      <c r="B1387" t="s">
        <v>46</v>
      </c>
      <c r="C1387">
        <v>12</v>
      </c>
      <c r="D1387" t="str">
        <f t="shared" si="21"/>
        <v>03/04/2025Neurology</v>
      </c>
    </row>
    <row r="1388" spans="1:4">
      <c r="A1388" s="1">
        <v>45750</v>
      </c>
      <c r="B1388" t="s">
        <v>47</v>
      </c>
      <c r="C1388">
        <v>16</v>
      </c>
      <c r="D1388" t="str">
        <f t="shared" si="21"/>
        <v>03/04/2025Oncology</v>
      </c>
    </row>
    <row r="1389" spans="1:4">
      <c r="A1389" s="1">
        <v>45750</v>
      </c>
      <c r="B1389" t="s">
        <v>49</v>
      </c>
      <c r="C1389">
        <v>11</v>
      </c>
      <c r="D1389" t="str">
        <f t="shared" si="21"/>
        <v>03/04/2025Paediatrics</v>
      </c>
    </row>
    <row r="1390" spans="1:4">
      <c r="A1390" s="1">
        <v>45750</v>
      </c>
      <c r="B1390" t="s">
        <v>45</v>
      </c>
      <c r="C1390">
        <v>12</v>
      </c>
      <c r="D1390" t="str">
        <f t="shared" si="21"/>
        <v>03/04/2025Maternity</v>
      </c>
    </row>
    <row r="1391" spans="1:4">
      <c r="A1391" s="1">
        <v>45750</v>
      </c>
      <c r="B1391" t="s">
        <v>50</v>
      </c>
      <c r="C1391">
        <v>19</v>
      </c>
      <c r="D1391" t="str">
        <f t="shared" si="21"/>
        <v>03/04/2025Renal Medicine</v>
      </c>
    </row>
    <row r="1392" spans="1:4">
      <c r="A1392" s="1">
        <v>45750</v>
      </c>
      <c r="B1392" t="s">
        <v>42</v>
      </c>
      <c r="C1392">
        <v>10</v>
      </c>
      <c r="D1392" t="str">
        <f t="shared" si="21"/>
        <v>03/04/2025Gastroenterology</v>
      </c>
    </row>
    <row r="1393" spans="1:4">
      <c r="A1393" s="1">
        <v>45750</v>
      </c>
      <c r="B1393" t="s">
        <v>98</v>
      </c>
      <c r="C1393">
        <v>8</v>
      </c>
      <c r="D1393" t="str">
        <f t="shared" si="21"/>
        <v>03/04/2025Endocrinology</v>
      </c>
    </row>
    <row r="1394" spans="1:4">
      <c r="A1394" s="1">
        <v>45750</v>
      </c>
      <c r="B1394" t="s">
        <v>100</v>
      </c>
      <c r="C1394">
        <v>10</v>
      </c>
      <c r="D1394" t="str">
        <f t="shared" si="21"/>
        <v>03/04/2025Urology</v>
      </c>
    </row>
    <row r="1395" spans="1:4">
      <c r="A1395" s="1">
        <v>45750</v>
      </c>
      <c r="B1395" t="s">
        <v>41</v>
      </c>
      <c r="C1395">
        <v>12</v>
      </c>
      <c r="D1395" t="str">
        <f t="shared" si="21"/>
        <v>03/04/2025ENT</v>
      </c>
    </row>
    <row r="1396" spans="1:4">
      <c r="A1396" s="1">
        <v>45750</v>
      </c>
      <c r="B1396" t="s">
        <v>44</v>
      </c>
      <c r="C1396">
        <v>14</v>
      </c>
      <c r="D1396" t="str">
        <f t="shared" si="21"/>
        <v>03/04/2025Geriatrics</v>
      </c>
    </row>
    <row r="1397" spans="1:4">
      <c r="A1397" s="1">
        <v>45751</v>
      </c>
      <c r="B1397" t="s">
        <v>39</v>
      </c>
      <c r="C1397">
        <v>22</v>
      </c>
      <c r="D1397" t="str">
        <f t="shared" si="21"/>
        <v>04/04/2025A&amp;E (Emergency)</v>
      </c>
    </row>
    <row r="1398" spans="1:4">
      <c r="A1398" s="1">
        <v>45751</v>
      </c>
      <c r="B1398" t="s">
        <v>40</v>
      </c>
      <c r="C1398">
        <v>15</v>
      </c>
      <c r="D1398" t="str">
        <f t="shared" si="21"/>
        <v>04/04/2025Cardiology</v>
      </c>
    </row>
    <row r="1399" spans="1:4">
      <c r="A1399" s="1">
        <v>45751</v>
      </c>
      <c r="B1399" t="s">
        <v>51</v>
      </c>
      <c r="C1399">
        <v>12</v>
      </c>
      <c r="D1399" t="str">
        <f t="shared" si="21"/>
        <v>04/04/2025Respiratory</v>
      </c>
    </row>
    <row r="1400" spans="1:4">
      <c r="A1400" s="1">
        <v>45751</v>
      </c>
      <c r="B1400" t="s">
        <v>43</v>
      </c>
      <c r="C1400">
        <v>18</v>
      </c>
      <c r="D1400" t="str">
        <f t="shared" si="21"/>
        <v>04/04/2025General Surgery</v>
      </c>
    </row>
    <row r="1401" spans="1:4">
      <c r="A1401" s="1">
        <v>45751</v>
      </c>
      <c r="B1401" t="s">
        <v>48</v>
      </c>
      <c r="C1401">
        <v>13</v>
      </c>
      <c r="D1401" t="str">
        <f t="shared" si="21"/>
        <v>04/04/2025Orthopaedics</v>
      </c>
    </row>
    <row r="1402" spans="1:4">
      <c r="A1402" s="1">
        <v>45751</v>
      </c>
      <c r="B1402" t="s">
        <v>46</v>
      </c>
      <c r="C1402">
        <v>11</v>
      </c>
      <c r="D1402" t="str">
        <f t="shared" si="21"/>
        <v>04/04/2025Neurology</v>
      </c>
    </row>
    <row r="1403" spans="1:4">
      <c r="A1403" s="1">
        <v>45751</v>
      </c>
      <c r="B1403" t="s">
        <v>47</v>
      </c>
      <c r="C1403">
        <v>15</v>
      </c>
      <c r="D1403" t="str">
        <f t="shared" si="21"/>
        <v>04/04/2025Oncology</v>
      </c>
    </row>
    <row r="1404" spans="1:4">
      <c r="A1404" s="1">
        <v>45751</v>
      </c>
      <c r="B1404" t="s">
        <v>49</v>
      </c>
      <c r="C1404">
        <v>10</v>
      </c>
      <c r="D1404" t="str">
        <f t="shared" si="21"/>
        <v>04/04/2025Paediatrics</v>
      </c>
    </row>
    <row r="1405" spans="1:4">
      <c r="A1405" s="1">
        <v>45751</v>
      </c>
      <c r="B1405" t="s">
        <v>45</v>
      </c>
      <c r="C1405">
        <v>11</v>
      </c>
      <c r="D1405" t="str">
        <f t="shared" si="21"/>
        <v>04/04/2025Maternity</v>
      </c>
    </row>
    <row r="1406" spans="1:4">
      <c r="A1406" s="1">
        <v>45751</v>
      </c>
      <c r="B1406" t="s">
        <v>50</v>
      </c>
      <c r="C1406">
        <v>18</v>
      </c>
      <c r="D1406" t="str">
        <f t="shared" si="21"/>
        <v>04/04/2025Renal Medicine</v>
      </c>
    </row>
    <row r="1407" spans="1:4">
      <c r="A1407" s="1">
        <v>45751</v>
      </c>
      <c r="B1407" t="s">
        <v>42</v>
      </c>
      <c r="C1407">
        <v>9</v>
      </c>
      <c r="D1407" t="str">
        <f t="shared" si="21"/>
        <v>04/04/2025Gastroenterology</v>
      </c>
    </row>
    <row r="1408" spans="1:4">
      <c r="A1408" s="1">
        <v>45751</v>
      </c>
      <c r="B1408" t="s">
        <v>98</v>
      </c>
      <c r="C1408">
        <v>7</v>
      </c>
      <c r="D1408" t="str">
        <f t="shared" si="21"/>
        <v>04/04/2025Endocrinology</v>
      </c>
    </row>
    <row r="1409" spans="1:4">
      <c r="A1409" s="1">
        <v>45751</v>
      </c>
      <c r="B1409" t="s">
        <v>100</v>
      </c>
      <c r="C1409">
        <v>9</v>
      </c>
      <c r="D1409" t="str">
        <f t="shared" si="21"/>
        <v>04/04/2025Urology</v>
      </c>
    </row>
    <row r="1410" spans="1:4">
      <c r="A1410" s="1">
        <v>45751</v>
      </c>
      <c r="B1410" t="s">
        <v>41</v>
      </c>
      <c r="C1410">
        <v>11</v>
      </c>
      <c r="D1410" t="str">
        <f t="shared" si="21"/>
        <v>04/04/2025ENT</v>
      </c>
    </row>
    <row r="1411" spans="1:4">
      <c r="A1411" s="1">
        <v>45751</v>
      </c>
      <c r="B1411" t="s">
        <v>44</v>
      </c>
      <c r="C1411">
        <v>13</v>
      </c>
      <c r="D1411" t="str">
        <f t="shared" ref="D1411:D1474" si="22">TEXT(A1411, "dd/mm/yyyy")&amp;B1411</f>
        <v>04/04/2025Geriatrics</v>
      </c>
    </row>
    <row r="1412" spans="1:4">
      <c r="A1412" s="1">
        <v>45752</v>
      </c>
      <c r="B1412" t="s">
        <v>39</v>
      </c>
      <c r="C1412">
        <v>20</v>
      </c>
      <c r="D1412" t="str">
        <f t="shared" si="22"/>
        <v>05/04/2025A&amp;E (Emergency)</v>
      </c>
    </row>
    <row r="1413" spans="1:4">
      <c r="A1413" s="1">
        <v>45752</v>
      </c>
      <c r="B1413" t="s">
        <v>40</v>
      </c>
      <c r="C1413">
        <v>12</v>
      </c>
      <c r="D1413" t="str">
        <f t="shared" si="22"/>
        <v>05/04/2025Cardiology</v>
      </c>
    </row>
    <row r="1414" spans="1:4">
      <c r="A1414" s="1">
        <v>45752</v>
      </c>
      <c r="B1414" t="s">
        <v>51</v>
      </c>
      <c r="C1414">
        <v>9</v>
      </c>
      <c r="D1414" t="str">
        <f t="shared" si="22"/>
        <v>05/04/2025Respiratory</v>
      </c>
    </row>
    <row r="1415" spans="1:4">
      <c r="A1415" s="1">
        <v>45752</v>
      </c>
      <c r="B1415" t="s">
        <v>43</v>
      </c>
      <c r="C1415">
        <v>15</v>
      </c>
      <c r="D1415" t="str">
        <f t="shared" si="22"/>
        <v>05/04/2025General Surgery</v>
      </c>
    </row>
    <row r="1416" spans="1:4">
      <c r="A1416" s="1">
        <v>45752</v>
      </c>
      <c r="B1416" t="s">
        <v>48</v>
      </c>
      <c r="C1416">
        <v>11</v>
      </c>
      <c r="D1416" t="str">
        <f t="shared" si="22"/>
        <v>05/04/2025Orthopaedics</v>
      </c>
    </row>
    <row r="1417" spans="1:4">
      <c r="A1417" s="1">
        <v>45752</v>
      </c>
      <c r="B1417" t="s">
        <v>46</v>
      </c>
      <c r="C1417">
        <v>9</v>
      </c>
      <c r="D1417" t="str">
        <f t="shared" si="22"/>
        <v>05/04/2025Neurology</v>
      </c>
    </row>
    <row r="1418" spans="1:4">
      <c r="A1418" s="1">
        <v>45752</v>
      </c>
      <c r="B1418" t="s">
        <v>47</v>
      </c>
      <c r="C1418">
        <v>13</v>
      </c>
      <c r="D1418" t="str">
        <f t="shared" si="22"/>
        <v>05/04/2025Oncology</v>
      </c>
    </row>
    <row r="1419" spans="1:4">
      <c r="A1419" s="1">
        <v>45752</v>
      </c>
      <c r="B1419" t="s">
        <v>49</v>
      </c>
      <c r="C1419">
        <v>9</v>
      </c>
      <c r="D1419" t="str">
        <f t="shared" si="22"/>
        <v>05/04/2025Paediatrics</v>
      </c>
    </row>
    <row r="1420" spans="1:4">
      <c r="A1420" s="1">
        <v>45752</v>
      </c>
      <c r="B1420" t="s">
        <v>45</v>
      </c>
      <c r="C1420">
        <v>10</v>
      </c>
      <c r="D1420" t="str">
        <f t="shared" si="22"/>
        <v>05/04/2025Maternity</v>
      </c>
    </row>
    <row r="1421" spans="1:4">
      <c r="A1421" s="1">
        <v>45752</v>
      </c>
      <c r="B1421" t="s">
        <v>50</v>
      </c>
      <c r="C1421">
        <v>17</v>
      </c>
      <c r="D1421" t="str">
        <f t="shared" si="22"/>
        <v>05/04/2025Renal Medicine</v>
      </c>
    </row>
    <row r="1422" spans="1:4">
      <c r="A1422" s="1">
        <v>45752</v>
      </c>
      <c r="B1422" t="s">
        <v>42</v>
      </c>
      <c r="C1422">
        <v>7</v>
      </c>
      <c r="D1422" t="str">
        <f t="shared" si="22"/>
        <v>05/04/2025Gastroenterology</v>
      </c>
    </row>
    <row r="1423" spans="1:4">
      <c r="A1423" s="1">
        <v>45752</v>
      </c>
      <c r="B1423" t="s">
        <v>98</v>
      </c>
      <c r="C1423">
        <v>6</v>
      </c>
      <c r="D1423" t="str">
        <f t="shared" si="22"/>
        <v>05/04/2025Endocrinology</v>
      </c>
    </row>
    <row r="1424" spans="1:4">
      <c r="A1424" s="1">
        <v>45752</v>
      </c>
      <c r="B1424" t="s">
        <v>100</v>
      </c>
      <c r="C1424">
        <v>8</v>
      </c>
      <c r="D1424" t="str">
        <f t="shared" si="22"/>
        <v>05/04/2025Urology</v>
      </c>
    </row>
    <row r="1425" spans="1:4">
      <c r="A1425" s="1">
        <v>45752</v>
      </c>
      <c r="B1425" t="s">
        <v>41</v>
      </c>
      <c r="C1425">
        <v>10</v>
      </c>
      <c r="D1425" t="str">
        <f t="shared" si="22"/>
        <v>05/04/2025ENT</v>
      </c>
    </row>
    <row r="1426" spans="1:4">
      <c r="A1426" s="1">
        <v>45752</v>
      </c>
      <c r="B1426" t="s">
        <v>44</v>
      </c>
      <c r="C1426">
        <v>12</v>
      </c>
      <c r="D1426" t="str">
        <f t="shared" si="22"/>
        <v>05/04/2025Geriatrics</v>
      </c>
    </row>
    <row r="1427" spans="1:4">
      <c r="A1427" s="1">
        <v>45753</v>
      </c>
      <c r="B1427" t="s">
        <v>39</v>
      </c>
      <c r="C1427">
        <v>19</v>
      </c>
      <c r="D1427" t="str">
        <f t="shared" si="22"/>
        <v>06/04/2025A&amp;E (Emergency)</v>
      </c>
    </row>
    <row r="1428" spans="1:4">
      <c r="A1428" s="1">
        <v>45753</v>
      </c>
      <c r="B1428" t="s">
        <v>40</v>
      </c>
      <c r="C1428">
        <v>11</v>
      </c>
      <c r="D1428" t="str">
        <f t="shared" si="22"/>
        <v>06/04/2025Cardiology</v>
      </c>
    </row>
    <row r="1429" spans="1:4">
      <c r="A1429" s="1">
        <v>45753</v>
      </c>
      <c r="B1429" t="s">
        <v>51</v>
      </c>
      <c r="C1429">
        <v>9</v>
      </c>
      <c r="D1429" t="str">
        <f t="shared" si="22"/>
        <v>06/04/2025Respiratory</v>
      </c>
    </row>
    <row r="1430" spans="1:4">
      <c r="A1430" s="1">
        <v>45753</v>
      </c>
      <c r="B1430" t="s">
        <v>43</v>
      </c>
      <c r="C1430">
        <v>14</v>
      </c>
      <c r="D1430" t="str">
        <f t="shared" si="22"/>
        <v>06/04/2025General Surgery</v>
      </c>
    </row>
    <row r="1431" spans="1:4">
      <c r="A1431" s="1">
        <v>45753</v>
      </c>
      <c r="B1431" t="s">
        <v>48</v>
      </c>
      <c r="C1431">
        <v>10</v>
      </c>
      <c r="D1431" t="str">
        <f t="shared" si="22"/>
        <v>06/04/2025Orthopaedics</v>
      </c>
    </row>
    <row r="1432" spans="1:4">
      <c r="A1432" s="1">
        <v>45753</v>
      </c>
      <c r="B1432" t="s">
        <v>46</v>
      </c>
      <c r="C1432">
        <v>9</v>
      </c>
      <c r="D1432" t="str">
        <f t="shared" si="22"/>
        <v>06/04/2025Neurology</v>
      </c>
    </row>
    <row r="1433" spans="1:4">
      <c r="A1433" s="1">
        <v>45753</v>
      </c>
      <c r="B1433" t="s">
        <v>47</v>
      </c>
      <c r="C1433">
        <v>12</v>
      </c>
      <c r="D1433" t="str">
        <f t="shared" si="22"/>
        <v>06/04/2025Oncology</v>
      </c>
    </row>
    <row r="1434" spans="1:4">
      <c r="A1434" s="1">
        <v>45753</v>
      </c>
      <c r="B1434" t="s">
        <v>49</v>
      </c>
      <c r="C1434">
        <v>8</v>
      </c>
      <c r="D1434" t="str">
        <f t="shared" si="22"/>
        <v>06/04/2025Paediatrics</v>
      </c>
    </row>
    <row r="1435" spans="1:4">
      <c r="A1435" s="1">
        <v>45753</v>
      </c>
      <c r="B1435" t="s">
        <v>45</v>
      </c>
      <c r="C1435">
        <v>9</v>
      </c>
      <c r="D1435" t="str">
        <f t="shared" si="22"/>
        <v>06/04/2025Maternity</v>
      </c>
    </row>
    <row r="1436" spans="1:4">
      <c r="A1436" s="1">
        <v>45753</v>
      </c>
      <c r="B1436" t="s">
        <v>50</v>
      </c>
      <c r="C1436">
        <v>17</v>
      </c>
      <c r="D1436" t="str">
        <f t="shared" si="22"/>
        <v>06/04/2025Renal Medicine</v>
      </c>
    </row>
    <row r="1437" spans="1:4">
      <c r="A1437" s="1">
        <v>45753</v>
      </c>
      <c r="B1437" t="s">
        <v>42</v>
      </c>
      <c r="C1437">
        <v>7</v>
      </c>
      <c r="D1437" t="str">
        <f t="shared" si="22"/>
        <v>06/04/2025Gastroenterology</v>
      </c>
    </row>
    <row r="1438" spans="1:4">
      <c r="A1438" s="1">
        <v>45753</v>
      </c>
      <c r="B1438" t="s">
        <v>98</v>
      </c>
      <c r="C1438">
        <v>6</v>
      </c>
      <c r="D1438" t="str">
        <f t="shared" si="22"/>
        <v>06/04/2025Endocrinology</v>
      </c>
    </row>
    <row r="1439" spans="1:4">
      <c r="A1439" s="1">
        <v>45753</v>
      </c>
      <c r="B1439" t="s">
        <v>100</v>
      </c>
      <c r="C1439">
        <v>8</v>
      </c>
      <c r="D1439" t="str">
        <f t="shared" si="22"/>
        <v>06/04/2025Urology</v>
      </c>
    </row>
    <row r="1440" spans="1:4">
      <c r="A1440" s="1">
        <v>45753</v>
      </c>
      <c r="B1440" t="s">
        <v>41</v>
      </c>
      <c r="C1440">
        <v>10</v>
      </c>
      <c r="D1440" t="str">
        <f t="shared" si="22"/>
        <v>06/04/2025ENT</v>
      </c>
    </row>
    <row r="1441" spans="1:4">
      <c r="A1441" s="1">
        <v>45753</v>
      </c>
      <c r="B1441" t="s">
        <v>44</v>
      </c>
      <c r="C1441">
        <v>12</v>
      </c>
      <c r="D1441" t="str">
        <f t="shared" si="22"/>
        <v>06/04/2025Geriatrics</v>
      </c>
    </row>
    <row r="1442" spans="1:4">
      <c r="A1442" s="1">
        <v>45754</v>
      </c>
      <c r="B1442" t="s">
        <v>39</v>
      </c>
      <c r="C1442">
        <v>28</v>
      </c>
      <c r="D1442" t="str">
        <f t="shared" si="22"/>
        <v>07/04/2025A&amp;E (Emergency)</v>
      </c>
    </row>
    <row r="1443" spans="1:4">
      <c r="A1443" s="1">
        <v>45754</v>
      </c>
      <c r="B1443" t="s">
        <v>40</v>
      </c>
      <c r="C1443">
        <v>18</v>
      </c>
      <c r="D1443" t="str">
        <f t="shared" si="22"/>
        <v>07/04/2025Cardiology</v>
      </c>
    </row>
    <row r="1444" spans="1:4">
      <c r="A1444" s="1">
        <v>45754</v>
      </c>
      <c r="B1444" t="s">
        <v>51</v>
      </c>
      <c r="C1444">
        <v>15</v>
      </c>
      <c r="D1444" t="str">
        <f t="shared" si="22"/>
        <v>07/04/2025Respiratory</v>
      </c>
    </row>
    <row r="1445" spans="1:4">
      <c r="A1445" s="1">
        <v>45754</v>
      </c>
      <c r="B1445" t="s">
        <v>43</v>
      </c>
      <c r="C1445">
        <v>22</v>
      </c>
      <c r="D1445" t="str">
        <f t="shared" si="22"/>
        <v>07/04/2025General Surgery</v>
      </c>
    </row>
    <row r="1446" spans="1:4">
      <c r="A1446" s="1">
        <v>45754</v>
      </c>
      <c r="B1446" t="s">
        <v>48</v>
      </c>
      <c r="C1446">
        <v>16</v>
      </c>
      <c r="D1446" t="str">
        <f t="shared" si="22"/>
        <v>07/04/2025Orthopaedics</v>
      </c>
    </row>
    <row r="1447" spans="1:4">
      <c r="A1447" s="1">
        <v>45754</v>
      </c>
      <c r="B1447" t="s">
        <v>46</v>
      </c>
      <c r="C1447">
        <v>14</v>
      </c>
      <c r="D1447" t="str">
        <f t="shared" si="22"/>
        <v>07/04/2025Neurology</v>
      </c>
    </row>
    <row r="1448" spans="1:4">
      <c r="A1448" s="1">
        <v>45754</v>
      </c>
      <c r="B1448" t="s">
        <v>47</v>
      </c>
      <c r="C1448">
        <v>18</v>
      </c>
      <c r="D1448" t="str">
        <f t="shared" si="22"/>
        <v>07/04/2025Oncology</v>
      </c>
    </row>
    <row r="1449" spans="1:4">
      <c r="A1449" s="1">
        <v>45754</v>
      </c>
      <c r="B1449" t="s">
        <v>49</v>
      </c>
      <c r="C1449">
        <v>13</v>
      </c>
      <c r="D1449" t="str">
        <f t="shared" si="22"/>
        <v>07/04/2025Paediatrics</v>
      </c>
    </row>
    <row r="1450" spans="1:4">
      <c r="A1450" s="1">
        <v>45754</v>
      </c>
      <c r="B1450" t="s">
        <v>45</v>
      </c>
      <c r="C1450">
        <v>13</v>
      </c>
      <c r="D1450" t="str">
        <f t="shared" si="22"/>
        <v>07/04/2025Maternity</v>
      </c>
    </row>
    <row r="1451" spans="1:4">
      <c r="A1451" s="1">
        <v>45754</v>
      </c>
      <c r="B1451" t="s">
        <v>50</v>
      </c>
      <c r="C1451">
        <v>21</v>
      </c>
      <c r="D1451" t="str">
        <f t="shared" si="22"/>
        <v>07/04/2025Renal Medicine</v>
      </c>
    </row>
    <row r="1452" spans="1:4">
      <c r="A1452" s="1">
        <v>45754</v>
      </c>
      <c r="B1452" t="s">
        <v>42</v>
      </c>
      <c r="C1452">
        <v>12</v>
      </c>
      <c r="D1452" t="str">
        <f t="shared" si="22"/>
        <v>07/04/2025Gastroenterology</v>
      </c>
    </row>
    <row r="1453" spans="1:4">
      <c r="A1453" s="1">
        <v>45754</v>
      </c>
      <c r="B1453" t="s">
        <v>98</v>
      </c>
      <c r="C1453">
        <v>10</v>
      </c>
      <c r="D1453" t="str">
        <f t="shared" si="22"/>
        <v>07/04/2025Endocrinology</v>
      </c>
    </row>
    <row r="1454" spans="1:4">
      <c r="A1454" s="1">
        <v>45754</v>
      </c>
      <c r="B1454" t="s">
        <v>100</v>
      </c>
      <c r="C1454">
        <v>11</v>
      </c>
      <c r="D1454" t="str">
        <f t="shared" si="22"/>
        <v>07/04/2025Urology</v>
      </c>
    </row>
    <row r="1455" spans="1:4">
      <c r="A1455" s="1">
        <v>45754</v>
      </c>
      <c r="B1455" t="s">
        <v>41</v>
      </c>
      <c r="C1455">
        <v>13</v>
      </c>
      <c r="D1455" t="str">
        <f t="shared" si="22"/>
        <v>07/04/2025ENT</v>
      </c>
    </row>
    <row r="1456" spans="1:4">
      <c r="A1456" s="1">
        <v>45754</v>
      </c>
      <c r="B1456" t="s">
        <v>44</v>
      </c>
      <c r="C1456">
        <v>16</v>
      </c>
      <c r="D1456" t="str">
        <f t="shared" si="22"/>
        <v>07/04/2025Geriatrics</v>
      </c>
    </row>
    <row r="1457" spans="1:4">
      <c r="A1457" s="1">
        <v>45755</v>
      </c>
      <c r="B1457" t="s">
        <v>39</v>
      </c>
      <c r="C1457">
        <v>25</v>
      </c>
      <c r="D1457" t="str">
        <f t="shared" si="22"/>
        <v>08/04/2025A&amp;E (Emergency)</v>
      </c>
    </row>
    <row r="1458" spans="1:4">
      <c r="A1458" s="1">
        <v>45755</v>
      </c>
      <c r="B1458" t="s">
        <v>40</v>
      </c>
      <c r="C1458">
        <v>17</v>
      </c>
      <c r="D1458" t="str">
        <f t="shared" si="22"/>
        <v>08/04/2025Cardiology</v>
      </c>
    </row>
    <row r="1459" spans="1:4">
      <c r="A1459" s="1">
        <v>45755</v>
      </c>
      <c r="B1459" t="s">
        <v>51</v>
      </c>
      <c r="C1459">
        <v>14</v>
      </c>
      <c r="D1459" t="str">
        <f t="shared" si="22"/>
        <v>08/04/2025Respiratory</v>
      </c>
    </row>
    <row r="1460" spans="1:4">
      <c r="A1460" s="1">
        <v>45755</v>
      </c>
      <c r="B1460" t="s">
        <v>43</v>
      </c>
      <c r="C1460">
        <v>20</v>
      </c>
      <c r="D1460" t="str">
        <f t="shared" si="22"/>
        <v>08/04/2025General Surgery</v>
      </c>
    </row>
    <row r="1461" spans="1:4">
      <c r="A1461" s="1">
        <v>45755</v>
      </c>
      <c r="B1461" t="s">
        <v>48</v>
      </c>
      <c r="C1461">
        <v>15</v>
      </c>
      <c r="D1461" t="str">
        <f t="shared" si="22"/>
        <v>08/04/2025Orthopaedics</v>
      </c>
    </row>
    <row r="1462" spans="1:4">
      <c r="A1462" s="1">
        <v>45755</v>
      </c>
      <c r="B1462" t="s">
        <v>46</v>
      </c>
      <c r="C1462">
        <v>13</v>
      </c>
      <c r="D1462" t="str">
        <f t="shared" si="22"/>
        <v>08/04/2025Neurology</v>
      </c>
    </row>
    <row r="1463" spans="1:4">
      <c r="A1463" s="1">
        <v>45755</v>
      </c>
      <c r="B1463" t="s">
        <v>47</v>
      </c>
      <c r="C1463">
        <v>17</v>
      </c>
      <c r="D1463" t="str">
        <f t="shared" si="22"/>
        <v>08/04/2025Oncology</v>
      </c>
    </row>
    <row r="1464" spans="1:4">
      <c r="A1464" s="1">
        <v>45755</v>
      </c>
      <c r="B1464" t="s">
        <v>49</v>
      </c>
      <c r="C1464">
        <v>12</v>
      </c>
      <c r="D1464" t="str">
        <f t="shared" si="22"/>
        <v>08/04/2025Paediatrics</v>
      </c>
    </row>
    <row r="1465" spans="1:4">
      <c r="A1465" s="1">
        <v>45755</v>
      </c>
      <c r="B1465" t="s">
        <v>45</v>
      </c>
      <c r="C1465">
        <v>12</v>
      </c>
      <c r="D1465" t="str">
        <f t="shared" si="22"/>
        <v>08/04/2025Maternity</v>
      </c>
    </row>
    <row r="1466" spans="1:4">
      <c r="A1466" s="1">
        <v>45755</v>
      </c>
      <c r="B1466" t="s">
        <v>50</v>
      </c>
      <c r="C1466">
        <v>20</v>
      </c>
      <c r="D1466" t="str">
        <f t="shared" si="22"/>
        <v>08/04/2025Renal Medicine</v>
      </c>
    </row>
    <row r="1467" spans="1:4">
      <c r="A1467" s="1">
        <v>45755</v>
      </c>
      <c r="B1467" t="s">
        <v>42</v>
      </c>
      <c r="C1467">
        <v>11</v>
      </c>
      <c r="D1467" t="str">
        <f t="shared" si="22"/>
        <v>08/04/2025Gastroenterology</v>
      </c>
    </row>
    <row r="1468" spans="1:4">
      <c r="A1468" s="1">
        <v>45755</v>
      </c>
      <c r="B1468" t="s">
        <v>98</v>
      </c>
      <c r="C1468">
        <v>9</v>
      </c>
      <c r="D1468" t="str">
        <f t="shared" si="22"/>
        <v>08/04/2025Endocrinology</v>
      </c>
    </row>
    <row r="1469" spans="1:4">
      <c r="A1469" s="1">
        <v>45755</v>
      </c>
      <c r="B1469" t="s">
        <v>100</v>
      </c>
      <c r="C1469">
        <v>10</v>
      </c>
      <c r="D1469" t="str">
        <f t="shared" si="22"/>
        <v>08/04/2025Urology</v>
      </c>
    </row>
    <row r="1470" spans="1:4">
      <c r="A1470" s="1">
        <v>45755</v>
      </c>
      <c r="B1470" t="s">
        <v>41</v>
      </c>
      <c r="C1470">
        <v>12</v>
      </c>
      <c r="D1470" t="str">
        <f t="shared" si="22"/>
        <v>08/04/2025ENT</v>
      </c>
    </row>
    <row r="1471" spans="1:4">
      <c r="A1471" s="1">
        <v>45755</v>
      </c>
      <c r="B1471" t="s">
        <v>44</v>
      </c>
      <c r="C1471">
        <v>15</v>
      </c>
      <c r="D1471" t="str">
        <f t="shared" si="22"/>
        <v>08/04/2025Geriatrics</v>
      </c>
    </row>
    <row r="1472" spans="1:4">
      <c r="A1472" s="1">
        <v>45756</v>
      </c>
      <c r="B1472" t="s">
        <v>39</v>
      </c>
      <c r="C1472">
        <v>24</v>
      </c>
      <c r="D1472" t="str">
        <f t="shared" si="22"/>
        <v>09/04/2025A&amp;E (Emergency)</v>
      </c>
    </row>
    <row r="1473" spans="1:4">
      <c r="A1473" s="1">
        <v>45756</v>
      </c>
      <c r="B1473" t="s">
        <v>40</v>
      </c>
      <c r="C1473">
        <v>16</v>
      </c>
      <c r="D1473" t="str">
        <f t="shared" si="22"/>
        <v>09/04/2025Cardiology</v>
      </c>
    </row>
    <row r="1474" spans="1:4">
      <c r="A1474" s="1">
        <v>45756</v>
      </c>
      <c r="B1474" t="s">
        <v>51</v>
      </c>
      <c r="C1474">
        <v>13</v>
      </c>
      <c r="D1474" t="str">
        <f t="shared" si="22"/>
        <v>09/04/2025Respiratory</v>
      </c>
    </row>
    <row r="1475" spans="1:4">
      <c r="A1475" s="1">
        <v>45756</v>
      </c>
      <c r="B1475" t="s">
        <v>43</v>
      </c>
      <c r="C1475">
        <v>19</v>
      </c>
      <c r="D1475" t="str">
        <f t="shared" ref="D1475:D1538" si="23">TEXT(A1475, "dd/mm/yyyy")&amp;B1475</f>
        <v>09/04/2025General Surgery</v>
      </c>
    </row>
    <row r="1476" spans="1:4">
      <c r="A1476" s="1">
        <v>45756</v>
      </c>
      <c r="B1476" t="s">
        <v>48</v>
      </c>
      <c r="C1476">
        <v>14</v>
      </c>
      <c r="D1476" t="str">
        <f t="shared" si="23"/>
        <v>09/04/2025Orthopaedics</v>
      </c>
    </row>
    <row r="1477" spans="1:4">
      <c r="A1477" s="1">
        <v>45756</v>
      </c>
      <c r="B1477" t="s">
        <v>46</v>
      </c>
      <c r="C1477">
        <v>12</v>
      </c>
      <c r="D1477" t="str">
        <f t="shared" si="23"/>
        <v>09/04/2025Neurology</v>
      </c>
    </row>
    <row r="1478" spans="1:4">
      <c r="A1478" s="1">
        <v>45756</v>
      </c>
      <c r="B1478" t="s">
        <v>47</v>
      </c>
      <c r="C1478">
        <v>16</v>
      </c>
      <c r="D1478" t="str">
        <f t="shared" si="23"/>
        <v>09/04/2025Oncology</v>
      </c>
    </row>
    <row r="1479" spans="1:4">
      <c r="A1479" s="1">
        <v>45756</v>
      </c>
      <c r="B1479" t="s">
        <v>49</v>
      </c>
      <c r="C1479">
        <v>11</v>
      </c>
      <c r="D1479" t="str">
        <f t="shared" si="23"/>
        <v>09/04/2025Paediatrics</v>
      </c>
    </row>
    <row r="1480" spans="1:4">
      <c r="A1480" s="1">
        <v>45756</v>
      </c>
      <c r="B1480" t="s">
        <v>45</v>
      </c>
      <c r="C1480">
        <v>12</v>
      </c>
      <c r="D1480" t="str">
        <f t="shared" si="23"/>
        <v>09/04/2025Maternity</v>
      </c>
    </row>
    <row r="1481" spans="1:4">
      <c r="A1481" s="1">
        <v>45756</v>
      </c>
      <c r="B1481" t="s">
        <v>50</v>
      </c>
      <c r="C1481">
        <v>19</v>
      </c>
      <c r="D1481" t="str">
        <f t="shared" si="23"/>
        <v>09/04/2025Renal Medicine</v>
      </c>
    </row>
    <row r="1482" spans="1:4">
      <c r="A1482" s="1">
        <v>45756</v>
      </c>
      <c r="B1482" t="s">
        <v>42</v>
      </c>
      <c r="C1482">
        <v>10</v>
      </c>
      <c r="D1482" t="str">
        <f t="shared" si="23"/>
        <v>09/04/2025Gastroenterology</v>
      </c>
    </row>
    <row r="1483" spans="1:4">
      <c r="A1483" s="1">
        <v>45756</v>
      </c>
      <c r="B1483" t="s">
        <v>98</v>
      </c>
      <c r="C1483">
        <v>8</v>
      </c>
      <c r="D1483" t="str">
        <f t="shared" si="23"/>
        <v>09/04/2025Endocrinology</v>
      </c>
    </row>
    <row r="1484" spans="1:4">
      <c r="A1484" s="1">
        <v>45756</v>
      </c>
      <c r="B1484" t="s">
        <v>100</v>
      </c>
      <c r="C1484">
        <v>10</v>
      </c>
      <c r="D1484" t="str">
        <f t="shared" si="23"/>
        <v>09/04/2025Urology</v>
      </c>
    </row>
    <row r="1485" spans="1:4">
      <c r="A1485" s="1">
        <v>45756</v>
      </c>
      <c r="B1485" t="s">
        <v>41</v>
      </c>
      <c r="C1485">
        <v>12</v>
      </c>
      <c r="D1485" t="str">
        <f t="shared" si="23"/>
        <v>09/04/2025ENT</v>
      </c>
    </row>
    <row r="1486" spans="1:4">
      <c r="A1486" s="1">
        <v>45756</v>
      </c>
      <c r="B1486" t="s">
        <v>44</v>
      </c>
      <c r="C1486">
        <v>14</v>
      </c>
      <c r="D1486" t="str">
        <f t="shared" si="23"/>
        <v>09/04/2025Geriatrics</v>
      </c>
    </row>
    <row r="1487" spans="1:4">
      <c r="A1487" s="1">
        <v>45757</v>
      </c>
      <c r="B1487" t="s">
        <v>39</v>
      </c>
      <c r="C1487">
        <v>23</v>
      </c>
      <c r="D1487" t="str">
        <f t="shared" si="23"/>
        <v>10/04/2025A&amp;E (Emergency)</v>
      </c>
    </row>
    <row r="1488" spans="1:4">
      <c r="A1488" s="1">
        <v>45757</v>
      </c>
      <c r="B1488" t="s">
        <v>40</v>
      </c>
      <c r="C1488">
        <v>16</v>
      </c>
      <c r="D1488" t="str">
        <f t="shared" si="23"/>
        <v>10/04/2025Cardiology</v>
      </c>
    </row>
    <row r="1489" spans="1:4">
      <c r="A1489" s="1">
        <v>45757</v>
      </c>
      <c r="B1489" t="s">
        <v>51</v>
      </c>
      <c r="C1489">
        <v>13</v>
      </c>
      <c r="D1489" t="str">
        <f t="shared" si="23"/>
        <v>10/04/2025Respiratory</v>
      </c>
    </row>
    <row r="1490" spans="1:4">
      <c r="A1490" s="1">
        <v>45757</v>
      </c>
      <c r="B1490" t="s">
        <v>43</v>
      </c>
      <c r="C1490">
        <v>19</v>
      </c>
      <c r="D1490" t="str">
        <f t="shared" si="23"/>
        <v>10/04/2025General Surgery</v>
      </c>
    </row>
    <row r="1491" spans="1:4">
      <c r="A1491" s="1">
        <v>45757</v>
      </c>
      <c r="B1491" t="s">
        <v>48</v>
      </c>
      <c r="C1491">
        <v>14</v>
      </c>
      <c r="D1491" t="str">
        <f t="shared" si="23"/>
        <v>10/04/2025Orthopaedics</v>
      </c>
    </row>
    <row r="1492" spans="1:4">
      <c r="A1492" s="1">
        <v>45757</v>
      </c>
      <c r="B1492" t="s">
        <v>46</v>
      </c>
      <c r="C1492">
        <v>12</v>
      </c>
      <c r="D1492" t="str">
        <f t="shared" si="23"/>
        <v>10/04/2025Neurology</v>
      </c>
    </row>
    <row r="1493" spans="1:4">
      <c r="A1493" s="1">
        <v>45757</v>
      </c>
      <c r="B1493" t="s">
        <v>47</v>
      </c>
      <c r="C1493">
        <v>16</v>
      </c>
      <c r="D1493" t="str">
        <f t="shared" si="23"/>
        <v>10/04/2025Oncology</v>
      </c>
    </row>
    <row r="1494" spans="1:4">
      <c r="A1494" s="1">
        <v>45757</v>
      </c>
      <c r="B1494" t="s">
        <v>49</v>
      </c>
      <c r="C1494">
        <v>11</v>
      </c>
      <c r="D1494" t="str">
        <f t="shared" si="23"/>
        <v>10/04/2025Paediatrics</v>
      </c>
    </row>
    <row r="1495" spans="1:4">
      <c r="A1495" s="1">
        <v>45757</v>
      </c>
      <c r="B1495" t="s">
        <v>45</v>
      </c>
      <c r="C1495">
        <v>12</v>
      </c>
      <c r="D1495" t="str">
        <f t="shared" si="23"/>
        <v>10/04/2025Maternity</v>
      </c>
    </row>
    <row r="1496" spans="1:4">
      <c r="A1496" s="1">
        <v>45757</v>
      </c>
      <c r="B1496" t="s">
        <v>50</v>
      </c>
      <c r="C1496">
        <v>19</v>
      </c>
      <c r="D1496" t="str">
        <f t="shared" si="23"/>
        <v>10/04/2025Renal Medicine</v>
      </c>
    </row>
    <row r="1497" spans="1:4">
      <c r="A1497" s="1">
        <v>45757</v>
      </c>
      <c r="B1497" t="s">
        <v>42</v>
      </c>
      <c r="C1497">
        <v>10</v>
      </c>
      <c r="D1497" t="str">
        <f t="shared" si="23"/>
        <v>10/04/2025Gastroenterology</v>
      </c>
    </row>
    <row r="1498" spans="1:4">
      <c r="A1498" s="1">
        <v>45757</v>
      </c>
      <c r="B1498" t="s">
        <v>98</v>
      </c>
      <c r="C1498">
        <v>8</v>
      </c>
      <c r="D1498" t="str">
        <f t="shared" si="23"/>
        <v>10/04/2025Endocrinology</v>
      </c>
    </row>
    <row r="1499" spans="1:4">
      <c r="A1499" s="1">
        <v>45757</v>
      </c>
      <c r="B1499" t="s">
        <v>100</v>
      </c>
      <c r="C1499">
        <v>10</v>
      </c>
      <c r="D1499" t="str">
        <f t="shared" si="23"/>
        <v>10/04/2025Urology</v>
      </c>
    </row>
    <row r="1500" spans="1:4">
      <c r="A1500" s="1">
        <v>45757</v>
      </c>
      <c r="B1500" t="s">
        <v>41</v>
      </c>
      <c r="C1500">
        <v>12</v>
      </c>
      <c r="D1500" t="str">
        <f t="shared" si="23"/>
        <v>10/04/2025ENT</v>
      </c>
    </row>
    <row r="1501" spans="1:4">
      <c r="A1501" s="1">
        <v>45757</v>
      </c>
      <c r="B1501" t="s">
        <v>44</v>
      </c>
      <c r="C1501">
        <v>14</v>
      </c>
      <c r="D1501" t="str">
        <f t="shared" si="23"/>
        <v>10/04/2025Geriatrics</v>
      </c>
    </row>
    <row r="1502" spans="1:4">
      <c r="A1502" s="1">
        <v>45758</v>
      </c>
      <c r="B1502" t="s">
        <v>39</v>
      </c>
      <c r="C1502">
        <v>22</v>
      </c>
      <c r="D1502" t="str">
        <f t="shared" si="23"/>
        <v>11/04/2025A&amp;E (Emergency)</v>
      </c>
    </row>
    <row r="1503" spans="1:4">
      <c r="A1503" s="1">
        <v>45758</v>
      </c>
      <c r="B1503" t="s">
        <v>40</v>
      </c>
      <c r="C1503">
        <v>15</v>
      </c>
      <c r="D1503" t="str">
        <f t="shared" si="23"/>
        <v>11/04/2025Cardiology</v>
      </c>
    </row>
    <row r="1504" spans="1:4">
      <c r="A1504" s="1">
        <v>45758</v>
      </c>
      <c r="B1504" t="s">
        <v>51</v>
      </c>
      <c r="C1504">
        <v>12</v>
      </c>
      <c r="D1504" t="str">
        <f t="shared" si="23"/>
        <v>11/04/2025Respiratory</v>
      </c>
    </row>
    <row r="1505" spans="1:4">
      <c r="A1505" s="1">
        <v>45758</v>
      </c>
      <c r="B1505" t="s">
        <v>43</v>
      </c>
      <c r="C1505">
        <v>18</v>
      </c>
      <c r="D1505" t="str">
        <f t="shared" si="23"/>
        <v>11/04/2025General Surgery</v>
      </c>
    </row>
    <row r="1506" spans="1:4">
      <c r="A1506" s="1">
        <v>45758</v>
      </c>
      <c r="B1506" t="s">
        <v>48</v>
      </c>
      <c r="C1506">
        <v>13</v>
      </c>
      <c r="D1506" t="str">
        <f t="shared" si="23"/>
        <v>11/04/2025Orthopaedics</v>
      </c>
    </row>
    <row r="1507" spans="1:4">
      <c r="A1507" s="1">
        <v>45758</v>
      </c>
      <c r="B1507" t="s">
        <v>46</v>
      </c>
      <c r="C1507">
        <v>11</v>
      </c>
      <c r="D1507" t="str">
        <f t="shared" si="23"/>
        <v>11/04/2025Neurology</v>
      </c>
    </row>
    <row r="1508" spans="1:4">
      <c r="A1508" s="1">
        <v>45758</v>
      </c>
      <c r="B1508" t="s">
        <v>47</v>
      </c>
      <c r="C1508">
        <v>15</v>
      </c>
      <c r="D1508" t="str">
        <f t="shared" si="23"/>
        <v>11/04/2025Oncology</v>
      </c>
    </row>
    <row r="1509" spans="1:4">
      <c r="A1509" s="1">
        <v>45758</v>
      </c>
      <c r="B1509" t="s">
        <v>49</v>
      </c>
      <c r="C1509">
        <v>10</v>
      </c>
      <c r="D1509" t="str">
        <f t="shared" si="23"/>
        <v>11/04/2025Paediatrics</v>
      </c>
    </row>
    <row r="1510" spans="1:4">
      <c r="A1510" s="1">
        <v>45758</v>
      </c>
      <c r="B1510" t="s">
        <v>45</v>
      </c>
      <c r="C1510">
        <v>11</v>
      </c>
      <c r="D1510" t="str">
        <f t="shared" si="23"/>
        <v>11/04/2025Maternity</v>
      </c>
    </row>
    <row r="1511" spans="1:4">
      <c r="A1511" s="1">
        <v>45758</v>
      </c>
      <c r="B1511" t="s">
        <v>50</v>
      </c>
      <c r="C1511">
        <v>18</v>
      </c>
      <c r="D1511" t="str">
        <f t="shared" si="23"/>
        <v>11/04/2025Renal Medicine</v>
      </c>
    </row>
    <row r="1512" spans="1:4">
      <c r="A1512" s="1">
        <v>45758</v>
      </c>
      <c r="B1512" t="s">
        <v>42</v>
      </c>
      <c r="C1512">
        <v>9</v>
      </c>
      <c r="D1512" t="str">
        <f t="shared" si="23"/>
        <v>11/04/2025Gastroenterology</v>
      </c>
    </row>
    <row r="1513" spans="1:4">
      <c r="A1513" s="1">
        <v>45758</v>
      </c>
      <c r="B1513" t="s">
        <v>98</v>
      </c>
      <c r="C1513">
        <v>7</v>
      </c>
      <c r="D1513" t="str">
        <f t="shared" si="23"/>
        <v>11/04/2025Endocrinology</v>
      </c>
    </row>
    <row r="1514" spans="1:4">
      <c r="A1514" s="1">
        <v>45758</v>
      </c>
      <c r="B1514" t="s">
        <v>100</v>
      </c>
      <c r="C1514">
        <v>9</v>
      </c>
      <c r="D1514" t="str">
        <f t="shared" si="23"/>
        <v>11/04/2025Urology</v>
      </c>
    </row>
    <row r="1515" spans="1:4">
      <c r="A1515" s="1">
        <v>45758</v>
      </c>
      <c r="B1515" t="s">
        <v>41</v>
      </c>
      <c r="C1515">
        <v>11</v>
      </c>
      <c r="D1515" t="str">
        <f t="shared" si="23"/>
        <v>11/04/2025ENT</v>
      </c>
    </row>
    <row r="1516" spans="1:4">
      <c r="A1516" s="1">
        <v>45758</v>
      </c>
      <c r="B1516" t="s">
        <v>44</v>
      </c>
      <c r="C1516">
        <v>13</v>
      </c>
      <c r="D1516" t="str">
        <f t="shared" si="23"/>
        <v>11/04/2025Geriatrics</v>
      </c>
    </row>
    <row r="1517" spans="1:4">
      <c r="A1517" s="1">
        <v>45759</v>
      </c>
      <c r="B1517" t="s">
        <v>39</v>
      </c>
      <c r="C1517">
        <v>20</v>
      </c>
      <c r="D1517" t="str">
        <f t="shared" si="23"/>
        <v>12/04/2025A&amp;E (Emergency)</v>
      </c>
    </row>
    <row r="1518" spans="1:4">
      <c r="A1518" s="1">
        <v>45759</v>
      </c>
      <c r="B1518" t="s">
        <v>40</v>
      </c>
      <c r="C1518">
        <v>12</v>
      </c>
      <c r="D1518" t="str">
        <f t="shared" si="23"/>
        <v>12/04/2025Cardiology</v>
      </c>
    </row>
    <row r="1519" spans="1:4">
      <c r="A1519" s="1">
        <v>45759</v>
      </c>
      <c r="B1519" t="s">
        <v>51</v>
      </c>
      <c r="C1519">
        <v>9</v>
      </c>
      <c r="D1519" t="str">
        <f t="shared" si="23"/>
        <v>12/04/2025Respiratory</v>
      </c>
    </row>
    <row r="1520" spans="1:4">
      <c r="A1520" s="1">
        <v>45759</v>
      </c>
      <c r="B1520" t="s">
        <v>43</v>
      </c>
      <c r="C1520">
        <v>15</v>
      </c>
      <c r="D1520" t="str">
        <f t="shared" si="23"/>
        <v>12/04/2025General Surgery</v>
      </c>
    </row>
    <row r="1521" spans="1:4">
      <c r="A1521" s="1">
        <v>45759</v>
      </c>
      <c r="B1521" t="s">
        <v>48</v>
      </c>
      <c r="C1521">
        <v>11</v>
      </c>
      <c r="D1521" t="str">
        <f t="shared" si="23"/>
        <v>12/04/2025Orthopaedics</v>
      </c>
    </row>
    <row r="1522" spans="1:4">
      <c r="A1522" s="1">
        <v>45759</v>
      </c>
      <c r="B1522" t="s">
        <v>46</v>
      </c>
      <c r="C1522">
        <v>9</v>
      </c>
      <c r="D1522" t="str">
        <f t="shared" si="23"/>
        <v>12/04/2025Neurology</v>
      </c>
    </row>
    <row r="1523" spans="1:4">
      <c r="A1523" s="1">
        <v>45759</v>
      </c>
      <c r="B1523" t="s">
        <v>47</v>
      </c>
      <c r="C1523">
        <v>13</v>
      </c>
      <c r="D1523" t="str">
        <f t="shared" si="23"/>
        <v>12/04/2025Oncology</v>
      </c>
    </row>
    <row r="1524" spans="1:4">
      <c r="A1524" s="1">
        <v>45759</v>
      </c>
      <c r="B1524" t="s">
        <v>49</v>
      </c>
      <c r="C1524">
        <v>9</v>
      </c>
      <c r="D1524" t="str">
        <f t="shared" si="23"/>
        <v>12/04/2025Paediatrics</v>
      </c>
    </row>
    <row r="1525" spans="1:4">
      <c r="A1525" s="1">
        <v>45759</v>
      </c>
      <c r="B1525" t="s">
        <v>45</v>
      </c>
      <c r="C1525">
        <v>10</v>
      </c>
      <c r="D1525" t="str">
        <f t="shared" si="23"/>
        <v>12/04/2025Maternity</v>
      </c>
    </row>
    <row r="1526" spans="1:4">
      <c r="A1526" s="1">
        <v>45759</v>
      </c>
      <c r="B1526" t="s">
        <v>50</v>
      </c>
      <c r="C1526">
        <v>17</v>
      </c>
      <c r="D1526" t="str">
        <f t="shared" si="23"/>
        <v>12/04/2025Renal Medicine</v>
      </c>
    </row>
    <row r="1527" spans="1:4">
      <c r="A1527" s="1">
        <v>45759</v>
      </c>
      <c r="B1527" t="s">
        <v>42</v>
      </c>
      <c r="C1527">
        <v>7</v>
      </c>
      <c r="D1527" t="str">
        <f t="shared" si="23"/>
        <v>12/04/2025Gastroenterology</v>
      </c>
    </row>
    <row r="1528" spans="1:4">
      <c r="A1528" s="1">
        <v>45759</v>
      </c>
      <c r="B1528" t="s">
        <v>98</v>
      </c>
      <c r="C1528">
        <v>6</v>
      </c>
      <c r="D1528" t="str">
        <f t="shared" si="23"/>
        <v>12/04/2025Endocrinology</v>
      </c>
    </row>
    <row r="1529" spans="1:4">
      <c r="A1529" s="1">
        <v>45759</v>
      </c>
      <c r="B1529" t="s">
        <v>100</v>
      </c>
      <c r="C1529">
        <v>8</v>
      </c>
      <c r="D1529" t="str">
        <f t="shared" si="23"/>
        <v>12/04/2025Urology</v>
      </c>
    </row>
    <row r="1530" spans="1:4">
      <c r="A1530" s="1">
        <v>45759</v>
      </c>
      <c r="B1530" t="s">
        <v>41</v>
      </c>
      <c r="C1530">
        <v>10</v>
      </c>
      <c r="D1530" t="str">
        <f t="shared" si="23"/>
        <v>12/04/2025ENT</v>
      </c>
    </row>
    <row r="1531" spans="1:4">
      <c r="A1531" s="1">
        <v>45759</v>
      </c>
      <c r="B1531" t="s">
        <v>44</v>
      </c>
      <c r="C1531">
        <v>12</v>
      </c>
      <c r="D1531" t="str">
        <f t="shared" si="23"/>
        <v>12/04/2025Geriatrics</v>
      </c>
    </row>
    <row r="1532" spans="1:4">
      <c r="A1532" s="1">
        <v>45760</v>
      </c>
      <c r="B1532" t="s">
        <v>39</v>
      </c>
      <c r="C1532">
        <v>19</v>
      </c>
      <c r="D1532" t="str">
        <f t="shared" si="23"/>
        <v>13/04/2025A&amp;E (Emergency)</v>
      </c>
    </row>
    <row r="1533" spans="1:4">
      <c r="A1533" s="1">
        <v>45760</v>
      </c>
      <c r="B1533" t="s">
        <v>40</v>
      </c>
      <c r="C1533">
        <v>11</v>
      </c>
      <c r="D1533" t="str">
        <f t="shared" si="23"/>
        <v>13/04/2025Cardiology</v>
      </c>
    </row>
    <row r="1534" spans="1:4">
      <c r="A1534" s="1">
        <v>45760</v>
      </c>
      <c r="B1534" t="s">
        <v>51</v>
      </c>
      <c r="C1534">
        <v>9</v>
      </c>
      <c r="D1534" t="str">
        <f t="shared" si="23"/>
        <v>13/04/2025Respiratory</v>
      </c>
    </row>
    <row r="1535" spans="1:4">
      <c r="A1535" s="1">
        <v>45760</v>
      </c>
      <c r="B1535" t="s">
        <v>43</v>
      </c>
      <c r="C1535">
        <v>14</v>
      </c>
      <c r="D1535" t="str">
        <f t="shared" si="23"/>
        <v>13/04/2025General Surgery</v>
      </c>
    </row>
    <row r="1536" spans="1:4">
      <c r="A1536" s="1">
        <v>45760</v>
      </c>
      <c r="B1536" t="s">
        <v>48</v>
      </c>
      <c r="C1536">
        <v>10</v>
      </c>
      <c r="D1536" t="str">
        <f t="shared" si="23"/>
        <v>13/04/2025Orthopaedics</v>
      </c>
    </row>
    <row r="1537" spans="1:4">
      <c r="A1537" s="1">
        <v>45760</v>
      </c>
      <c r="B1537" t="s">
        <v>46</v>
      </c>
      <c r="C1537">
        <v>9</v>
      </c>
      <c r="D1537" t="str">
        <f t="shared" si="23"/>
        <v>13/04/2025Neurology</v>
      </c>
    </row>
    <row r="1538" spans="1:4">
      <c r="A1538" s="1">
        <v>45760</v>
      </c>
      <c r="B1538" t="s">
        <v>47</v>
      </c>
      <c r="C1538">
        <v>12</v>
      </c>
      <c r="D1538" t="str">
        <f t="shared" si="23"/>
        <v>13/04/2025Oncology</v>
      </c>
    </row>
    <row r="1539" spans="1:4">
      <c r="A1539" s="1">
        <v>45760</v>
      </c>
      <c r="B1539" t="s">
        <v>49</v>
      </c>
      <c r="C1539">
        <v>8</v>
      </c>
      <c r="D1539" t="str">
        <f t="shared" ref="D1539:D1602" si="24">TEXT(A1539, "dd/mm/yyyy")&amp;B1539</f>
        <v>13/04/2025Paediatrics</v>
      </c>
    </row>
    <row r="1540" spans="1:4">
      <c r="A1540" s="1">
        <v>45760</v>
      </c>
      <c r="B1540" t="s">
        <v>45</v>
      </c>
      <c r="C1540">
        <v>9</v>
      </c>
      <c r="D1540" t="str">
        <f t="shared" si="24"/>
        <v>13/04/2025Maternity</v>
      </c>
    </row>
    <row r="1541" spans="1:4">
      <c r="A1541" s="1">
        <v>45760</v>
      </c>
      <c r="B1541" t="s">
        <v>50</v>
      </c>
      <c r="C1541">
        <v>17</v>
      </c>
      <c r="D1541" t="str">
        <f t="shared" si="24"/>
        <v>13/04/2025Renal Medicine</v>
      </c>
    </row>
    <row r="1542" spans="1:4">
      <c r="A1542" s="1">
        <v>45760</v>
      </c>
      <c r="B1542" t="s">
        <v>42</v>
      </c>
      <c r="C1542">
        <v>7</v>
      </c>
      <c r="D1542" t="str">
        <f t="shared" si="24"/>
        <v>13/04/2025Gastroenterology</v>
      </c>
    </row>
    <row r="1543" spans="1:4">
      <c r="A1543" s="1">
        <v>45760</v>
      </c>
      <c r="B1543" t="s">
        <v>98</v>
      </c>
      <c r="C1543">
        <v>6</v>
      </c>
      <c r="D1543" t="str">
        <f t="shared" si="24"/>
        <v>13/04/2025Endocrinology</v>
      </c>
    </row>
    <row r="1544" spans="1:4">
      <c r="A1544" s="1">
        <v>45760</v>
      </c>
      <c r="B1544" t="s">
        <v>100</v>
      </c>
      <c r="C1544">
        <v>8</v>
      </c>
      <c r="D1544" t="str">
        <f t="shared" si="24"/>
        <v>13/04/2025Urology</v>
      </c>
    </row>
    <row r="1545" spans="1:4">
      <c r="A1545" s="1">
        <v>45760</v>
      </c>
      <c r="B1545" t="s">
        <v>41</v>
      </c>
      <c r="C1545">
        <v>10</v>
      </c>
      <c r="D1545" t="str">
        <f t="shared" si="24"/>
        <v>13/04/2025ENT</v>
      </c>
    </row>
    <row r="1546" spans="1:4">
      <c r="A1546" s="1">
        <v>45760</v>
      </c>
      <c r="B1546" t="s">
        <v>44</v>
      </c>
      <c r="C1546">
        <v>12</v>
      </c>
      <c r="D1546" t="str">
        <f t="shared" si="24"/>
        <v>13/04/2025Geriatrics</v>
      </c>
    </row>
    <row r="1547" spans="1:4">
      <c r="A1547" s="1">
        <v>45761</v>
      </c>
      <c r="B1547" t="s">
        <v>39</v>
      </c>
      <c r="C1547">
        <v>28</v>
      </c>
      <c r="D1547" t="str">
        <f t="shared" si="24"/>
        <v>14/04/2025A&amp;E (Emergency)</v>
      </c>
    </row>
    <row r="1548" spans="1:4">
      <c r="A1548" s="1">
        <v>45761</v>
      </c>
      <c r="B1548" t="s">
        <v>40</v>
      </c>
      <c r="C1548">
        <v>18</v>
      </c>
      <c r="D1548" t="str">
        <f t="shared" si="24"/>
        <v>14/04/2025Cardiology</v>
      </c>
    </row>
    <row r="1549" spans="1:4">
      <c r="A1549" s="1">
        <v>45761</v>
      </c>
      <c r="B1549" t="s">
        <v>51</v>
      </c>
      <c r="C1549">
        <v>15</v>
      </c>
      <c r="D1549" t="str">
        <f t="shared" si="24"/>
        <v>14/04/2025Respiratory</v>
      </c>
    </row>
    <row r="1550" spans="1:4">
      <c r="A1550" s="1">
        <v>45761</v>
      </c>
      <c r="B1550" t="s">
        <v>43</v>
      </c>
      <c r="C1550">
        <v>22</v>
      </c>
      <c r="D1550" t="str">
        <f t="shared" si="24"/>
        <v>14/04/2025General Surgery</v>
      </c>
    </row>
    <row r="1551" spans="1:4">
      <c r="A1551" s="1">
        <v>45761</v>
      </c>
      <c r="B1551" t="s">
        <v>48</v>
      </c>
      <c r="C1551">
        <v>16</v>
      </c>
      <c r="D1551" t="str">
        <f t="shared" si="24"/>
        <v>14/04/2025Orthopaedics</v>
      </c>
    </row>
    <row r="1552" spans="1:4">
      <c r="A1552" s="1">
        <v>45761</v>
      </c>
      <c r="B1552" t="s">
        <v>46</v>
      </c>
      <c r="C1552">
        <v>14</v>
      </c>
      <c r="D1552" t="str">
        <f t="shared" si="24"/>
        <v>14/04/2025Neurology</v>
      </c>
    </row>
    <row r="1553" spans="1:4">
      <c r="A1553" s="1">
        <v>45761</v>
      </c>
      <c r="B1553" t="s">
        <v>47</v>
      </c>
      <c r="C1553">
        <v>18</v>
      </c>
      <c r="D1553" t="str">
        <f t="shared" si="24"/>
        <v>14/04/2025Oncology</v>
      </c>
    </row>
    <row r="1554" spans="1:4">
      <c r="A1554" s="1">
        <v>45761</v>
      </c>
      <c r="B1554" t="s">
        <v>49</v>
      </c>
      <c r="C1554">
        <v>13</v>
      </c>
      <c r="D1554" t="str">
        <f t="shared" si="24"/>
        <v>14/04/2025Paediatrics</v>
      </c>
    </row>
    <row r="1555" spans="1:4">
      <c r="A1555" s="1">
        <v>45761</v>
      </c>
      <c r="B1555" t="s">
        <v>45</v>
      </c>
      <c r="C1555">
        <v>13</v>
      </c>
      <c r="D1555" t="str">
        <f t="shared" si="24"/>
        <v>14/04/2025Maternity</v>
      </c>
    </row>
    <row r="1556" spans="1:4">
      <c r="A1556" s="1">
        <v>45761</v>
      </c>
      <c r="B1556" t="s">
        <v>50</v>
      </c>
      <c r="C1556">
        <v>21</v>
      </c>
      <c r="D1556" t="str">
        <f t="shared" si="24"/>
        <v>14/04/2025Renal Medicine</v>
      </c>
    </row>
    <row r="1557" spans="1:4">
      <c r="A1557" s="1">
        <v>45761</v>
      </c>
      <c r="B1557" t="s">
        <v>42</v>
      </c>
      <c r="C1557">
        <v>12</v>
      </c>
      <c r="D1557" t="str">
        <f t="shared" si="24"/>
        <v>14/04/2025Gastroenterology</v>
      </c>
    </row>
    <row r="1558" spans="1:4">
      <c r="A1558" s="1">
        <v>45761</v>
      </c>
      <c r="B1558" t="s">
        <v>98</v>
      </c>
      <c r="C1558">
        <v>10</v>
      </c>
      <c r="D1558" t="str">
        <f t="shared" si="24"/>
        <v>14/04/2025Endocrinology</v>
      </c>
    </row>
    <row r="1559" spans="1:4">
      <c r="A1559" s="1">
        <v>45761</v>
      </c>
      <c r="B1559" t="s">
        <v>100</v>
      </c>
      <c r="C1559">
        <v>11</v>
      </c>
      <c r="D1559" t="str">
        <f t="shared" si="24"/>
        <v>14/04/2025Urology</v>
      </c>
    </row>
    <row r="1560" spans="1:4">
      <c r="A1560" s="1">
        <v>45761</v>
      </c>
      <c r="B1560" t="s">
        <v>41</v>
      </c>
      <c r="C1560">
        <v>13</v>
      </c>
      <c r="D1560" t="str">
        <f t="shared" si="24"/>
        <v>14/04/2025ENT</v>
      </c>
    </row>
    <row r="1561" spans="1:4">
      <c r="A1561" s="1">
        <v>45761</v>
      </c>
      <c r="B1561" t="s">
        <v>44</v>
      </c>
      <c r="C1561">
        <v>16</v>
      </c>
      <c r="D1561" t="str">
        <f t="shared" si="24"/>
        <v>14/04/2025Geriatrics</v>
      </c>
    </row>
    <row r="1562" spans="1:4">
      <c r="A1562" s="1">
        <v>45762</v>
      </c>
      <c r="B1562" t="s">
        <v>39</v>
      </c>
      <c r="C1562">
        <v>25</v>
      </c>
      <c r="D1562" t="str">
        <f t="shared" si="24"/>
        <v>15/04/2025A&amp;E (Emergency)</v>
      </c>
    </row>
    <row r="1563" spans="1:4">
      <c r="A1563" s="1">
        <v>45762</v>
      </c>
      <c r="B1563" t="s">
        <v>40</v>
      </c>
      <c r="C1563">
        <v>17</v>
      </c>
      <c r="D1563" t="str">
        <f t="shared" si="24"/>
        <v>15/04/2025Cardiology</v>
      </c>
    </row>
    <row r="1564" spans="1:4">
      <c r="A1564" s="1">
        <v>45762</v>
      </c>
      <c r="B1564" t="s">
        <v>51</v>
      </c>
      <c r="C1564">
        <v>14</v>
      </c>
      <c r="D1564" t="str">
        <f t="shared" si="24"/>
        <v>15/04/2025Respiratory</v>
      </c>
    </row>
    <row r="1565" spans="1:4">
      <c r="A1565" s="1">
        <v>45762</v>
      </c>
      <c r="B1565" t="s">
        <v>43</v>
      </c>
      <c r="C1565">
        <v>20</v>
      </c>
      <c r="D1565" t="str">
        <f t="shared" si="24"/>
        <v>15/04/2025General Surgery</v>
      </c>
    </row>
    <row r="1566" spans="1:4">
      <c r="A1566" s="1">
        <v>45762</v>
      </c>
      <c r="B1566" t="s">
        <v>48</v>
      </c>
      <c r="C1566">
        <v>15</v>
      </c>
      <c r="D1566" t="str">
        <f t="shared" si="24"/>
        <v>15/04/2025Orthopaedics</v>
      </c>
    </row>
    <row r="1567" spans="1:4">
      <c r="A1567" s="1">
        <v>45762</v>
      </c>
      <c r="B1567" t="s">
        <v>46</v>
      </c>
      <c r="C1567">
        <v>13</v>
      </c>
      <c r="D1567" t="str">
        <f t="shared" si="24"/>
        <v>15/04/2025Neurology</v>
      </c>
    </row>
    <row r="1568" spans="1:4">
      <c r="A1568" s="1">
        <v>45762</v>
      </c>
      <c r="B1568" t="s">
        <v>47</v>
      </c>
      <c r="C1568">
        <v>17</v>
      </c>
      <c r="D1568" t="str">
        <f t="shared" si="24"/>
        <v>15/04/2025Oncology</v>
      </c>
    </row>
    <row r="1569" spans="1:4">
      <c r="A1569" s="1">
        <v>45762</v>
      </c>
      <c r="B1569" t="s">
        <v>49</v>
      </c>
      <c r="C1569">
        <v>12</v>
      </c>
      <c r="D1569" t="str">
        <f t="shared" si="24"/>
        <v>15/04/2025Paediatrics</v>
      </c>
    </row>
    <row r="1570" spans="1:4">
      <c r="A1570" s="1">
        <v>45762</v>
      </c>
      <c r="B1570" t="s">
        <v>45</v>
      </c>
      <c r="C1570">
        <v>12</v>
      </c>
      <c r="D1570" t="str">
        <f t="shared" si="24"/>
        <v>15/04/2025Maternity</v>
      </c>
    </row>
    <row r="1571" spans="1:4">
      <c r="A1571" s="1">
        <v>45762</v>
      </c>
      <c r="B1571" t="s">
        <v>50</v>
      </c>
      <c r="C1571">
        <v>20</v>
      </c>
      <c r="D1571" t="str">
        <f t="shared" si="24"/>
        <v>15/04/2025Renal Medicine</v>
      </c>
    </row>
    <row r="1572" spans="1:4">
      <c r="A1572" s="1">
        <v>45762</v>
      </c>
      <c r="B1572" t="s">
        <v>42</v>
      </c>
      <c r="C1572">
        <v>11</v>
      </c>
      <c r="D1572" t="str">
        <f t="shared" si="24"/>
        <v>15/04/2025Gastroenterology</v>
      </c>
    </row>
    <row r="1573" spans="1:4">
      <c r="A1573" s="1">
        <v>45762</v>
      </c>
      <c r="B1573" t="s">
        <v>98</v>
      </c>
      <c r="C1573">
        <v>9</v>
      </c>
      <c r="D1573" t="str">
        <f t="shared" si="24"/>
        <v>15/04/2025Endocrinology</v>
      </c>
    </row>
    <row r="1574" spans="1:4">
      <c r="A1574" s="1">
        <v>45762</v>
      </c>
      <c r="B1574" t="s">
        <v>100</v>
      </c>
      <c r="C1574">
        <v>10</v>
      </c>
      <c r="D1574" t="str">
        <f t="shared" si="24"/>
        <v>15/04/2025Urology</v>
      </c>
    </row>
    <row r="1575" spans="1:4">
      <c r="A1575" s="1">
        <v>45762</v>
      </c>
      <c r="B1575" t="s">
        <v>41</v>
      </c>
      <c r="C1575">
        <v>12</v>
      </c>
      <c r="D1575" t="str">
        <f t="shared" si="24"/>
        <v>15/04/2025ENT</v>
      </c>
    </row>
    <row r="1576" spans="1:4">
      <c r="A1576" s="1">
        <v>45762</v>
      </c>
      <c r="B1576" t="s">
        <v>44</v>
      </c>
      <c r="C1576">
        <v>15</v>
      </c>
      <c r="D1576" t="str">
        <f t="shared" si="24"/>
        <v>15/04/2025Geriatrics</v>
      </c>
    </row>
    <row r="1577" spans="1:4">
      <c r="A1577" s="1">
        <v>45763</v>
      </c>
      <c r="B1577" t="s">
        <v>39</v>
      </c>
      <c r="C1577">
        <v>24</v>
      </c>
      <c r="D1577" t="str">
        <f t="shared" si="24"/>
        <v>16/04/2025A&amp;E (Emergency)</v>
      </c>
    </row>
    <row r="1578" spans="1:4">
      <c r="A1578" s="1">
        <v>45763</v>
      </c>
      <c r="B1578" t="s">
        <v>40</v>
      </c>
      <c r="C1578">
        <v>16</v>
      </c>
      <c r="D1578" t="str">
        <f t="shared" si="24"/>
        <v>16/04/2025Cardiology</v>
      </c>
    </row>
    <row r="1579" spans="1:4">
      <c r="A1579" s="1">
        <v>45763</v>
      </c>
      <c r="B1579" t="s">
        <v>51</v>
      </c>
      <c r="C1579">
        <v>13</v>
      </c>
      <c r="D1579" t="str">
        <f t="shared" si="24"/>
        <v>16/04/2025Respiratory</v>
      </c>
    </row>
    <row r="1580" spans="1:4">
      <c r="A1580" s="1">
        <v>45763</v>
      </c>
      <c r="B1580" t="s">
        <v>43</v>
      </c>
      <c r="C1580">
        <v>19</v>
      </c>
      <c r="D1580" t="str">
        <f t="shared" si="24"/>
        <v>16/04/2025General Surgery</v>
      </c>
    </row>
    <row r="1581" spans="1:4">
      <c r="A1581" s="1">
        <v>45763</v>
      </c>
      <c r="B1581" t="s">
        <v>48</v>
      </c>
      <c r="C1581">
        <v>14</v>
      </c>
      <c r="D1581" t="str">
        <f t="shared" si="24"/>
        <v>16/04/2025Orthopaedics</v>
      </c>
    </row>
    <row r="1582" spans="1:4">
      <c r="A1582" s="1">
        <v>45763</v>
      </c>
      <c r="B1582" t="s">
        <v>46</v>
      </c>
      <c r="C1582">
        <v>12</v>
      </c>
      <c r="D1582" t="str">
        <f t="shared" si="24"/>
        <v>16/04/2025Neurology</v>
      </c>
    </row>
    <row r="1583" spans="1:4">
      <c r="A1583" s="1">
        <v>45763</v>
      </c>
      <c r="B1583" t="s">
        <v>47</v>
      </c>
      <c r="C1583">
        <v>16</v>
      </c>
      <c r="D1583" t="str">
        <f t="shared" si="24"/>
        <v>16/04/2025Oncology</v>
      </c>
    </row>
    <row r="1584" spans="1:4">
      <c r="A1584" s="1">
        <v>45763</v>
      </c>
      <c r="B1584" t="s">
        <v>49</v>
      </c>
      <c r="C1584">
        <v>11</v>
      </c>
      <c r="D1584" t="str">
        <f t="shared" si="24"/>
        <v>16/04/2025Paediatrics</v>
      </c>
    </row>
    <row r="1585" spans="1:4">
      <c r="A1585" s="1">
        <v>45763</v>
      </c>
      <c r="B1585" t="s">
        <v>45</v>
      </c>
      <c r="C1585">
        <v>12</v>
      </c>
      <c r="D1585" t="str">
        <f t="shared" si="24"/>
        <v>16/04/2025Maternity</v>
      </c>
    </row>
    <row r="1586" spans="1:4">
      <c r="A1586" s="1">
        <v>45763</v>
      </c>
      <c r="B1586" t="s">
        <v>50</v>
      </c>
      <c r="C1586">
        <v>19</v>
      </c>
      <c r="D1586" t="str">
        <f t="shared" si="24"/>
        <v>16/04/2025Renal Medicine</v>
      </c>
    </row>
    <row r="1587" spans="1:4">
      <c r="A1587" s="1">
        <v>45763</v>
      </c>
      <c r="B1587" t="s">
        <v>42</v>
      </c>
      <c r="C1587">
        <v>10</v>
      </c>
      <c r="D1587" t="str">
        <f t="shared" si="24"/>
        <v>16/04/2025Gastroenterology</v>
      </c>
    </row>
    <row r="1588" spans="1:4">
      <c r="A1588" s="1">
        <v>45763</v>
      </c>
      <c r="B1588" t="s">
        <v>98</v>
      </c>
      <c r="C1588">
        <v>8</v>
      </c>
      <c r="D1588" t="str">
        <f t="shared" si="24"/>
        <v>16/04/2025Endocrinology</v>
      </c>
    </row>
    <row r="1589" spans="1:4">
      <c r="A1589" s="1">
        <v>45763</v>
      </c>
      <c r="B1589" t="s">
        <v>100</v>
      </c>
      <c r="C1589">
        <v>10</v>
      </c>
      <c r="D1589" t="str">
        <f t="shared" si="24"/>
        <v>16/04/2025Urology</v>
      </c>
    </row>
    <row r="1590" spans="1:4">
      <c r="A1590" s="1">
        <v>45763</v>
      </c>
      <c r="B1590" t="s">
        <v>41</v>
      </c>
      <c r="C1590">
        <v>12</v>
      </c>
      <c r="D1590" t="str">
        <f t="shared" si="24"/>
        <v>16/04/2025ENT</v>
      </c>
    </row>
    <row r="1591" spans="1:4">
      <c r="A1591" s="1">
        <v>45763</v>
      </c>
      <c r="B1591" t="s">
        <v>44</v>
      </c>
      <c r="C1591">
        <v>14</v>
      </c>
      <c r="D1591" t="str">
        <f t="shared" si="24"/>
        <v>16/04/2025Geriatrics</v>
      </c>
    </row>
    <row r="1592" spans="1:4">
      <c r="A1592" s="1">
        <v>45764</v>
      </c>
      <c r="B1592" t="s">
        <v>39</v>
      </c>
      <c r="C1592">
        <v>23</v>
      </c>
      <c r="D1592" t="str">
        <f t="shared" si="24"/>
        <v>17/04/2025A&amp;E (Emergency)</v>
      </c>
    </row>
    <row r="1593" spans="1:4">
      <c r="A1593" s="1">
        <v>45764</v>
      </c>
      <c r="B1593" t="s">
        <v>40</v>
      </c>
      <c r="C1593">
        <v>16</v>
      </c>
      <c r="D1593" t="str">
        <f t="shared" si="24"/>
        <v>17/04/2025Cardiology</v>
      </c>
    </row>
    <row r="1594" spans="1:4">
      <c r="A1594" s="1">
        <v>45764</v>
      </c>
      <c r="B1594" t="s">
        <v>51</v>
      </c>
      <c r="C1594">
        <v>13</v>
      </c>
      <c r="D1594" t="str">
        <f t="shared" si="24"/>
        <v>17/04/2025Respiratory</v>
      </c>
    </row>
    <row r="1595" spans="1:4">
      <c r="A1595" s="1">
        <v>45764</v>
      </c>
      <c r="B1595" t="s">
        <v>43</v>
      </c>
      <c r="C1595">
        <v>19</v>
      </c>
      <c r="D1595" t="str">
        <f t="shared" si="24"/>
        <v>17/04/2025General Surgery</v>
      </c>
    </row>
    <row r="1596" spans="1:4">
      <c r="A1596" s="1">
        <v>45764</v>
      </c>
      <c r="B1596" t="s">
        <v>48</v>
      </c>
      <c r="C1596">
        <v>14</v>
      </c>
      <c r="D1596" t="str">
        <f t="shared" si="24"/>
        <v>17/04/2025Orthopaedics</v>
      </c>
    </row>
    <row r="1597" spans="1:4">
      <c r="A1597" s="1">
        <v>45764</v>
      </c>
      <c r="B1597" t="s">
        <v>46</v>
      </c>
      <c r="C1597">
        <v>12</v>
      </c>
      <c r="D1597" t="str">
        <f t="shared" si="24"/>
        <v>17/04/2025Neurology</v>
      </c>
    </row>
    <row r="1598" spans="1:4">
      <c r="A1598" s="1">
        <v>45764</v>
      </c>
      <c r="B1598" t="s">
        <v>47</v>
      </c>
      <c r="C1598">
        <v>16</v>
      </c>
      <c r="D1598" t="str">
        <f t="shared" si="24"/>
        <v>17/04/2025Oncology</v>
      </c>
    </row>
    <row r="1599" spans="1:4">
      <c r="A1599" s="1">
        <v>45764</v>
      </c>
      <c r="B1599" t="s">
        <v>49</v>
      </c>
      <c r="C1599">
        <v>11</v>
      </c>
      <c r="D1599" t="str">
        <f t="shared" si="24"/>
        <v>17/04/2025Paediatrics</v>
      </c>
    </row>
    <row r="1600" spans="1:4">
      <c r="A1600" s="1">
        <v>45764</v>
      </c>
      <c r="B1600" t="s">
        <v>45</v>
      </c>
      <c r="C1600">
        <v>12</v>
      </c>
      <c r="D1600" t="str">
        <f t="shared" si="24"/>
        <v>17/04/2025Maternity</v>
      </c>
    </row>
    <row r="1601" spans="1:4">
      <c r="A1601" s="1">
        <v>45764</v>
      </c>
      <c r="B1601" t="s">
        <v>50</v>
      </c>
      <c r="C1601">
        <v>19</v>
      </c>
      <c r="D1601" t="str">
        <f t="shared" si="24"/>
        <v>17/04/2025Renal Medicine</v>
      </c>
    </row>
    <row r="1602" spans="1:4">
      <c r="A1602" s="1">
        <v>45764</v>
      </c>
      <c r="B1602" t="s">
        <v>42</v>
      </c>
      <c r="C1602">
        <v>10</v>
      </c>
      <c r="D1602" t="str">
        <f t="shared" si="24"/>
        <v>17/04/2025Gastroenterology</v>
      </c>
    </row>
    <row r="1603" spans="1:4">
      <c r="A1603" s="1">
        <v>45764</v>
      </c>
      <c r="B1603" t="s">
        <v>98</v>
      </c>
      <c r="C1603">
        <v>8</v>
      </c>
      <c r="D1603" t="str">
        <f t="shared" ref="D1603:D1666" si="25">TEXT(A1603, "dd/mm/yyyy")&amp;B1603</f>
        <v>17/04/2025Endocrinology</v>
      </c>
    </row>
    <row r="1604" spans="1:4">
      <c r="A1604" s="1">
        <v>45764</v>
      </c>
      <c r="B1604" t="s">
        <v>100</v>
      </c>
      <c r="C1604">
        <v>10</v>
      </c>
      <c r="D1604" t="str">
        <f t="shared" si="25"/>
        <v>17/04/2025Urology</v>
      </c>
    </row>
    <row r="1605" spans="1:4">
      <c r="A1605" s="1">
        <v>45764</v>
      </c>
      <c r="B1605" t="s">
        <v>41</v>
      </c>
      <c r="C1605">
        <v>12</v>
      </c>
      <c r="D1605" t="str">
        <f t="shared" si="25"/>
        <v>17/04/2025ENT</v>
      </c>
    </row>
    <row r="1606" spans="1:4">
      <c r="A1606" s="1">
        <v>45764</v>
      </c>
      <c r="B1606" t="s">
        <v>44</v>
      </c>
      <c r="C1606">
        <v>14</v>
      </c>
      <c r="D1606" t="str">
        <f t="shared" si="25"/>
        <v>17/04/2025Geriatrics</v>
      </c>
    </row>
    <row r="1607" spans="1:4">
      <c r="A1607" s="1">
        <v>45765</v>
      </c>
      <c r="B1607" t="s">
        <v>39</v>
      </c>
      <c r="C1607">
        <v>22</v>
      </c>
      <c r="D1607" t="str">
        <f t="shared" si="25"/>
        <v>18/04/2025A&amp;E (Emergency)</v>
      </c>
    </row>
    <row r="1608" spans="1:4">
      <c r="A1608" s="1">
        <v>45765</v>
      </c>
      <c r="B1608" t="s">
        <v>40</v>
      </c>
      <c r="C1608">
        <v>15</v>
      </c>
      <c r="D1608" t="str">
        <f t="shared" si="25"/>
        <v>18/04/2025Cardiology</v>
      </c>
    </row>
    <row r="1609" spans="1:4">
      <c r="A1609" s="1">
        <v>45765</v>
      </c>
      <c r="B1609" t="s">
        <v>51</v>
      </c>
      <c r="C1609">
        <v>12</v>
      </c>
      <c r="D1609" t="str">
        <f t="shared" si="25"/>
        <v>18/04/2025Respiratory</v>
      </c>
    </row>
    <row r="1610" spans="1:4">
      <c r="A1610" s="1">
        <v>45765</v>
      </c>
      <c r="B1610" t="s">
        <v>43</v>
      </c>
      <c r="C1610">
        <v>18</v>
      </c>
      <c r="D1610" t="str">
        <f t="shared" si="25"/>
        <v>18/04/2025General Surgery</v>
      </c>
    </row>
    <row r="1611" spans="1:4">
      <c r="A1611" s="1">
        <v>45765</v>
      </c>
      <c r="B1611" t="s">
        <v>48</v>
      </c>
      <c r="C1611">
        <v>13</v>
      </c>
      <c r="D1611" t="str">
        <f t="shared" si="25"/>
        <v>18/04/2025Orthopaedics</v>
      </c>
    </row>
    <row r="1612" spans="1:4">
      <c r="A1612" s="1">
        <v>45765</v>
      </c>
      <c r="B1612" t="s">
        <v>46</v>
      </c>
      <c r="C1612">
        <v>11</v>
      </c>
      <c r="D1612" t="str">
        <f t="shared" si="25"/>
        <v>18/04/2025Neurology</v>
      </c>
    </row>
    <row r="1613" spans="1:4">
      <c r="A1613" s="1">
        <v>45765</v>
      </c>
      <c r="B1613" t="s">
        <v>47</v>
      </c>
      <c r="C1613">
        <v>15</v>
      </c>
      <c r="D1613" t="str">
        <f t="shared" si="25"/>
        <v>18/04/2025Oncology</v>
      </c>
    </row>
    <row r="1614" spans="1:4">
      <c r="A1614" s="1">
        <v>45765</v>
      </c>
      <c r="B1614" t="s">
        <v>49</v>
      </c>
      <c r="C1614">
        <v>10</v>
      </c>
      <c r="D1614" t="str">
        <f t="shared" si="25"/>
        <v>18/04/2025Paediatrics</v>
      </c>
    </row>
    <row r="1615" spans="1:4">
      <c r="A1615" s="1">
        <v>45765</v>
      </c>
      <c r="B1615" t="s">
        <v>45</v>
      </c>
      <c r="C1615">
        <v>11</v>
      </c>
      <c r="D1615" t="str">
        <f t="shared" si="25"/>
        <v>18/04/2025Maternity</v>
      </c>
    </row>
    <row r="1616" spans="1:4">
      <c r="A1616" s="1">
        <v>45765</v>
      </c>
      <c r="B1616" t="s">
        <v>50</v>
      </c>
      <c r="C1616">
        <v>18</v>
      </c>
      <c r="D1616" t="str">
        <f t="shared" si="25"/>
        <v>18/04/2025Renal Medicine</v>
      </c>
    </row>
    <row r="1617" spans="1:4">
      <c r="A1617" s="1">
        <v>45765</v>
      </c>
      <c r="B1617" t="s">
        <v>42</v>
      </c>
      <c r="C1617">
        <v>9</v>
      </c>
      <c r="D1617" t="str">
        <f t="shared" si="25"/>
        <v>18/04/2025Gastroenterology</v>
      </c>
    </row>
    <row r="1618" spans="1:4">
      <c r="A1618" s="1">
        <v>45765</v>
      </c>
      <c r="B1618" t="s">
        <v>98</v>
      </c>
      <c r="C1618">
        <v>7</v>
      </c>
      <c r="D1618" t="str">
        <f t="shared" si="25"/>
        <v>18/04/2025Endocrinology</v>
      </c>
    </row>
    <row r="1619" spans="1:4">
      <c r="A1619" s="1">
        <v>45765</v>
      </c>
      <c r="B1619" t="s">
        <v>100</v>
      </c>
      <c r="C1619">
        <v>9</v>
      </c>
      <c r="D1619" t="str">
        <f t="shared" si="25"/>
        <v>18/04/2025Urology</v>
      </c>
    </row>
    <row r="1620" spans="1:4">
      <c r="A1620" s="1">
        <v>45765</v>
      </c>
      <c r="B1620" t="s">
        <v>41</v>
      </c>
      <c r="C1620">
        <v>11</v>
      </c>
      <c r="D1620" t="str">
        <f t="shared" si="25"/>
        <v>18/04/2025ENT</v>
      </c>
    </row>
    <row r="1621" spans="1:4">
      <c r="A1621" s="1">
        <v>45765</v>
      </c>
      <c r="B1621" t="s">
        <v>44</v>
      </c>
      <c r="C1621">
        <v>13</v>
      </c>
      <c r="D1621" t="str">
        <f t="shared" si="25"/>
        <v>18/04/2025Geriatrics</v>
      </c>
    </row>
    <row r="1622" spans="1:4">
      <c r="A1622" s="1">
        <v>45766</v>
      </c>
      <c r="B1622" t="s">
        <v>39</v>
      </c>
      <c r="C1622">
        <v>20</v>
      </c>
      <c r="D1622" t="str">
        <f t="shared" si="25"/>
        <v>19/04/2025A&amp;E (Emergency)</v>
      </c>
    </row>
    <row r="1623" spans="1:4">
      <c r="A1623" s="1">
        <v>45766</v>
      </c>
      <c r="B1623" t="s">
        <v>40</v>
      </c>
      <c r="C1623">
        <v>12</v>
      </c>
      <c r="D1623" t="str">
        <f t="shared" si="25"/>
        <v>19/04/2025Cardiology</v>
      </c>
    </row>
    <row r="1624" spans="1:4">
      <c r="A1624" s="1">
        <v>45766</v>
      </c>
      <c r="B1624" t="s">
        <v>51</v>
      </c>
      <c r="C1624">
        <v>9</v>
      </c>
      <c r="D1624" t="str">
        <f t="shared" si="25"/>
        <v>19/04/2025Respiratory</v>
      </c>
    </row>
    <row r="1625" spans="1:4">
      <c r="A1625" s="1">
        <v>45766</v>
      </c>
      <c r="B1625" t="s">
        <v>43</v>
      </c>
      <c r="C1625">
        <v>15</v>
      </c>
      <c r="D1625" t="str">
        <f t="shared" si="25"/>
        <v>19/04/2025General Surgery</v>
      </c>
    </row>
    <row r="1626" spans="1:4">
      <c r="A1626" s="1">
        <v>45766</v>
      </c>
      <c r="B1626" t="s">
        <v>48</v>
      </c>
      <c r="C1626">
        <v>11</v>
      </c>
      <c r="D1626" t="str">
        <f t="shared" si="25"/>
        <v>19/04/2025Orthopaedics</v>
      </c>
    </row>
    <row r="1627" spans="1:4">
      <c r="A1627" s="1">
        <v>45766</v>
      </c>
      <c r="B1627" t="s">
        <v>46</v>
      </c>
      <c r="C1627">
        <v>9</v>
      </c>
      <c r="D1627" t="str">
        <f t="shared" si="25"/>
        <v>19/04/2025Neurology</v>
      </c>
    </row>
    <row r="1628" spans="1:4">
      <c r="A1628" s="1">
        <v>45766</v>
      </c>
      <c r="B1628" t="s">
        <v>47</v>
      </c>
      <c r="C1628">
        <v>13</v>
      </c>
      <c r="D1628" t="str">
        <f t="shared" si="25"/>
        <v>19/04/2025Oncology</v>
      </c>
    </row>
    <row r="1629" spans="1:4">
      <c r="A1629" s="1">
        <v>45766</v>
      </c>
      <c r="B1629" t="s">
        <v>49</v>
      </c>
      <c r="C1629">
        <v>9</v>
      </c>
      <c r="D1629" t="str">
        <f t="shared" si="25"/>
        <v>19/04/2025Paediatrics</v>
      </c>
    </row>
    <row r="1630" spans="1:4">
      <c r="A1630" s="1">
        <v>45766</v>
      </c>
      <c r="B1630" t="s">
        <v>45</v>
      </c>
      <c r="C1630">
        <v>10</v>
      </c>
      <c r="D1630" t="str">
        <f t="shared" si="25"/>
        <v>19/04/2025Maternity</v>
      </c>
    </row>
    <row r="1631" spans="1:4">
      <c r="A1631" s="1">
        <v>45766</v>
      </c>
      <c r="B1631" t="s">
        <v>50</v>
      </c>
      <c r="C1631">
        <v>17</v>
      </c>
      <c r="D1631" t="str">
        <f t="shared" si="25"/>
        <v>19/04/2025Renal Medicine</v>
      </c>
    </row>
    <row r="1632" spans="1:4">
      <c r="A1632" s="1">
        <v>45766</v>
      </c>
      <c r="B1632" t="s">
        <v>42</v>
      </c>
      <c r="C1632">
        <v>7</v>
      </c>
      <c r="D1632" t="str">
        <f t="shared" si="25"/>
        <v>19/04/2025Gastroenterology</v>
      </c>
    </row>
    <row r="1633" spans="1:4">
      <c r="A1633" s="1">
        <v>45766</v>
      </c>
      <c r="B1633" t="s">
        <v>98</v>
      </c>
      <c r="C1633">
        <v>6</v>
      </c>
      <c r="D1633" t="str">
        <f t="shared" si="25"/>
        <v>19/04/2025Endocrinology</v>
      </c>
    </row>
    <row r="1634" spans="1:4">
      <c r="A1634" s="1">
        <v>45766</v>
      </c>
      <c r="B1634" t="s">
        <v>100</v>
      </c>
      <c r="C1634">
        <v>8</v>
      </c>
      <c r="D1634" t="str">
        <f t="shared" si="25"/>
        <v>19/04/2025Urology</v>
      </c>
    </row>
    <row r="1635" spans="1:4">
      <c r="A1635" s="1">
        <v>45766</v>
      </c>
      <c r="B1635" t="s">
        <v>41</v>
      </c>
      <c r="C1635">
        <v>10</v>
      </c>
      <c r="D1635" t="str">
        <f t="shared" si="25"/>
        <v>19/04/2025ENT</v>
      </c>
    </row>
    <row r="1636" spans="1:4">
      <c r="A1636" s="1">
        <v>45766</v>
      </c>
      <c r="B1636" t="s">
        <v>44</v>
      </c>
      <c r="C1636">
        <v>12</v>
      </c>
      <c r="D1636" t="str">
        <f t="shared" si="25"/>
        <v>19/04/2025Geriatrics</v>
      </c>
    </row>
    <row r="1637" spans="1:4">
      <c r="A1637" s="1">
        <v>45767</v>
      </c>
      <c r="B1637" t="s">
        <v>39</v>
      </c>
      <c r="C1637">
        <v>19</v>
      </c>
      <c r="D1637" t="str">
        <f t="shared" si="25"/>
        <v>20/04/2025A&amp;E (Emergency)</v>
      </c>
    </row>
    <row r="1638" spans="1:4">
      <c r="A1638" s="1">
        <v>45767</v>
      </c>
      <c r="B1638" t="s">
        <v>40</v>
      </c>
      <c r="C1638">
        <v>11</v>
      </c>
      <c r="D1638" t="str">
        <f t="shared" si="25"/>
        <v>20/04/2025Cardiology</v>
      </c>
    </row>
    <row r="1639" spans="1:4">
      <c r="A1639" s="1">
        <v>45767</v>
      </c>
      <c r="B1639" t="s">
        <v>51</v>
      </c>
      <c r="C1639">
        <v>9</v>
      </c>
      <c r="D1639" t="str">
        <f t="shared" si="25"/>
        <v>20/04/2025Respiratory</v>
      </c>
    </row>
    <row r="1640" spans="1:4">
      <c r="A1640" s="1">
        <v>45767</v>
      </c>
      <c r="B1640" t="s">
        <v>43</v>
      </c>
      <c r="C1640">
        <v>14</v>
      </c>
      <c r="D1640" t="str">
        <f t="shared" si="25"/>
        <v>20/04/2025General Surgery</v>
      </c>
    </row>
    <row r="1641" spans="1:4">
      <c r="A1641" s="1">
        <v>45767</v>
      </c>
      <c r="B1641" t="s">
        <v>48</v>
      </c>
      <c r="C1641">
        <v>10</v>
      </c>
      <c r="D1641" t="str">
        <f t="shared" si="25"/>
        <v>20/04/2025Orthopaedics</v>
      </c>
    </row>
    <row r="1642" spans="1:4">
      <c r="A1642" s="1">
        <v>45767</v>
      </c>
      <c r="B1642" t="s">
        <v>46</v>
      </c>
      <c r="C1642">
        <v>9</v>
      </c>
      <c r="D1642" t="str">
        <f t="shared" si="25"/>
        <v>20/04/2025Neurology</v>
      </c>
    </row>
    <row r="1643" spans="1:4">
      <c r="A1643" s="1">
        <v>45767</v>
      </c>
      <c r="B1643" t="s">
        <v>47</v>
      </c>
      <c r="C1643">
        <v>12</v>
      </c>
      <c r="D1643" t="str">
        <f t="shared" si="25"/>
        <v>20/04/2025Oncology</v>
      </c>
    </row>
    <row r="1644" spans="1:4">
      <c r="A1644" s="1">
        <v>45767</v>
      </c>
      <c r="B1644" t="s">
        <v>49</v>
      </c>
      <c r="C1644">
        <v>8</v>
      </c>
      <c r="D1644" t="str">
        <f t="shared" si="25"/>
        <v>20/04/2025Paediatrics</v>
      </c>
    </row>
    <row r="1645" spans="1:4">
      <c r="A1645" s="1">
        <v>45767</v>
      </c>
      <c r="B1645" t="s">
        <v>45</v>
      </c>
      <c r="C1645">
        <v>9</v>
      </c>
      <c r="D1645" t="str">
        <f t="shared" si="25"/>
        <v>20/04/2025Maternity</v>
      </c>
    </row>
    <row r="1646" spans="1:4">
      <c r="A1646" s="1">
        <v>45767</v>
      </c>
      <c r="B1646" t="s">
        <v>50</v>
      </c>
      <c r="C1646">
        <v>17</v>
      </c>
      <c r="D1646" t="str">
        <f t="shared" si="25"/>
        <v>20/04/2025Renal Medicine</v>
      </c>
    </row>
    <row r="1647" spans="1:4">
      <c r="A1647" s="1">
        <v>45767</v>
      </c>
      <c r="B1647" t="s">
        <v>42</v>
      </c>
      <c r="C1647">
        <v>7</v>
      </c>
      <c r="D1647" t="str">
        <f t="shared" si="25"/>
        <v>20/04/2025Gastroenterology</v>
      </c>
    </row>
    <row r="1648" spans="1:4">
      <c r="A1648" s="1">
        <v>45767</v>
      </c>
      <c r="B1648" t="s">
        <v>98</v>
      </c>
      <c r="C1648">
        <v>6</v>
      </c>
      <c r="D1648" t="str">
        <f t="shared" si="25"/>
        <v>20/04/2025Endocrinology</v>
      </c>
    </row>
    <row r="1649" spans="1:4">
      <c r="A1649" s="1">
        <v>45767</v>
      </c>
      <c r="B1649" t="s">
        <v>100</v>
      </c>
      <c r="C1649">
        <v>8</v>
      </c>
      <c r="D1649" t="str">
        <f t="shared" si="25"/>
        <v>20/04/2025Urology</v>
      </c>
    </row>
    <row r="1650" spans="1:4">
      <c r="A1650" s="1">
        <v>45767</v>
      </c>
      <c r="B1650" t="s">
        <v>41</v>
      </c>
      <c r="C1650">
        <v>10</v>
      </c>
      <c r="D1650" t="str">
        <f t="shared" si="25"/>
        <v>20/04/2025ENT</v>
      </c>
    </row>
    <row r="1651" spans="1:4">
      <c r="A1651" s="1">
        <v>45767</v>
      </c>
      <c r="B1651" t="s">
        <v>44</v>
      </c>
      <c r="C1651">
        <v>12</v>
      </c>
      <c r="D1651" t="str">
        <f t="shared" si="25"/>
        <v>20/04/2025Geriatrics</v>
      </c>
    </row>
    <row r="1652" spans="1:4">
      <c r="A1652" s="1">
        <v>45768</v>
      </c>
      <c r="B1652" t="s">
        <v>39</v>
      </c>
      <c r="C1652">
        <v>28</v>
      </c>
      <c r="D1652" t="str">
        <f t="shared" si="25"/>
        <v>21/04/2025A&amp;E (Emergency)</v>
      </c>
    </row>
    <row r="1653" spans="1:4">
      <c r="A1653" s="1">
        <v>45768</v>
      </c>
      <c r="B1653" t="s">
        <v>40</v>
      </c>
      <c r="C1653">
        <v>18</v>
      </c>
      <c r="D1653" t="str">
        <f t="shared" si="25"/>
        <v>21/04/2025Cardiology</v>
      </c>
    </row>
    <row r="1654" spans="1:4">
      <c r="A1654" s="1">
        <v>45768</v>
      </c>
      <c r="B1654" t="s">
        <v>51</v>
      </c>
      <c r="C1654">
        <v>15</v>
      </c>
      <c r="D1654" t="str">
        <f t="shared" si="25"/>
        <v>21/04/2025Respiratory</v>
      </c>
    </row>
    <row r="1655" spans="1:4">
      <c r="A1655" s="1">
        <v>45768</v>
      </c>
      <c r="B1655" t="s">
        <v>43</v>
      </c>
      <c r="C1655">
        <v>22</v>
      </c>
      <c r="D1655" t="str">
        <f t="shared" si="25"/>
        <v>21/04/2025General Surgery</v>
      </c>
    </row>
    <row r="1656" spans="1:4">
      <c r="A1656" s="1">
        <v>45768</v>
      </c>
      <c r="B1656" t="s">
        <v>48</v>
      </c>
      <c r="C1656">
        <v>16</v>
      </c>
      <c r="D1656" t="str">
        <f t="shared" si="25"/>
        <v>21/04/2025Orthopaedics</v>
      </c>
    </row>
    <row r="1657" spans="1:4">
      <c r="A1657" s="1">
        <v>45768</v>
      </c>
      <c r="B1657" t="s">
        <v>46</v>
      </c>
      <c r="C1657">
        <v>14</v>
      </c>
      <c r="D1657" t="str">
        <f t="shared" si="25"/>
        <v>21/04/2025Neurology</v>
      </c>
    </row>
    <row r="1658" spans="1:4">
      <c r="A1658" s="1">
        <v>45768</v>
      </c>
      <c r="B1658" t="s">
        <v>47</v>
      </c>
      <c r="C1658">
        <v>18</v>
      </c>
      <c r="D1658" t="str">
        <f t="shared" si="25"/>
        <v>21/04/2025Oncology</v>
      </c>
    </row>
    <row r="1659" spans="1:4">
      <c r="A1659" s="1">
        <v>45768</v>
      </c>
      <c r="B1659" t="s">
        <v>49</v>
      </c>
      <c r="C1659">
        <v>13</v>
      </c>
      <c r="D1659" t="str">
        <f t="shared" si="25"/>
        <v>21/04/2025Paediatrics</v>
      </c>
    </row>
    <row r="1660" spans="1:4">
      <c r="A1660" s="1">
        <v>45768</v>
      </c>
      <c r="B1660" t="s">
        <v>45</v>
      </c>
      <c r="C1660">
        <v>13</v>
      </c>
      <c r="D1660" t="str">
        <f t="shared" si="25"/>
        <v>21/04/2025Maternity</v>
      </c>
    </row>
    <row r="1661" spans="1:4">
      <c r="A1661" s="1">
        <v>45768</v>
      </c>
      <c r="B1661" t="s">
        <v>50</v>
      </c>
      <c r="C1661">
        <v>21</v>
      </c>
      <c r="D1661" t="str">
        <f t="shared" si="25"/>
        <v>21/04/2025Renal Medicine</v>
      </c>
    </row>
    <row r="1662" spans="1:4">
      <c r="A1662" s="1">
        <v>45768</v>
      </c>
      <c r="B1662" t="s">
        <v>42</v>
      </c>
      <c r="C1662">
        <v>12</v>
      </c>
      <c r="D1662" t="str">
        <f t="shared" si="25"/>
        <v>21/04/2025Gastroenterology</v>
      </c>
    </row>
    <row r="1663" spans="1:4">
      <c r="A1663" s="1">
        <v>45768</v>
      </c>
      <c r="B1663" t="s">
        <v>98</v>
      </c>
      <c r="C1663">
        <v>10</v>
      </c>
      <c r="D1663" t="str">
        <f t="shared" si="25"/>
        <v>21/04/2025Endocrinology</v>
      </c>
    </row>
    <row r="1664" spans="1:4">
      <c r="A1664" s="1">
        <v>45768</v>
      </c>
      <c r="B1664" t="s">
        <v>100</v>
      </c>
      <c r="C1664">
        <v>11</v>
      </c>
      <c r="D1664" t="str">
        <f t="shared" si="25"/>
        <v>21/04/2025Urology</v>
      </c>
    </row>
    <row r="1665" spans="1:4">
      <c r="A1665" s="1">
        <v>45768</v>
      </c>
      <c r="B1665" t="s">
        <v>41</v>
      </c>
      <c r="C1665">
        <v>13</v>
      </c>
      <c r="D1665" t="str">
        <f t="shared" si="25"/>
        <v>21/04/2025ENT</v>
      </c>
    </row>
    <row r="1666" spans="1:4">
      <c r="A1666" s="1">
        <v>45768</v>
      </c>
      <c r="B1666" t="s">
        <v>44</v>
      </c>
      <c r="C1666">
        <v>16</v>
      </c>
      <c r="D1666" t="str">
        <f t="shared" si="25"/>
        <v>21/04/2025Geriatrics</v>
      </c>
    </row>
    <row r="1667" spans="1:4">
      <c r="A1667" s="1">
        <v>45769</v>
      </c>
      <c r="B1667" t="s">
        <v>39</v>
      </c>
      <c r="C1667">
        <v>25</v>
      </c>
      <c r="D1667" t="str">
        <f t="shared" ref="D1667:D1730" si="26">TEXT(A1667, "dd/mm/yyyy")&amp;B1667</f>
        <v>22/04/2025A&amp;E (Emergency)</v>
      </c>
    </row>
    <row r="1668" spans="1:4">
      <c r="A1668" s="1">
        <v>45769</v>
      </c>
      <c r="B1668" t="s">
        <v>40</v>
      </c>
      <c r="C1668">
        <v>17</v>
      </c>
      <c r="D1668" t="str">
        <f t="shared" si="26"/>
        <v>22/04/2025Cardiology</v>
      </c>
    </row>
    <row r="1669" spans="1:4">
      <c r="A1669" s="1">
        <v>45769</v>
      </c>
      <c r="B1669" t="s">
        <v>51</v>
      </c>
      <c r="C1669">
        <v>14</v>
      </c>
      <c r="D1669" t="str">
        <f t="shared" si="26"/>
        <v>22/04/2025Respiratory</v>
      </c>
    </row>
    <row r="1670" spans="1:4">
      <c r="A1670" s="1">
        <v>45769</v>
      </c>
      <c r="B1670" t="s">
        <v>43</v>
      </c>
      <c r="C1670">
        <v>20</v>
      </c>
      <c r="D1670" t="str">
        <f t="shared" si="26"/>
        <v>22/04/2025General Surgery</v>
      </c>
    </row>
    <row r="1671" spans="1:4">
      <c r="A1671" s="1">
        <v>45769</v>
      </c>
      <c r="B1671" t="s">
        <v>48</v>
      </c>
      <c r="C1671">
        <v>15</v>
      </c>
      <c r="D1671" t="str">
        <f t="shared" si="26"/>
        <v>22/04/2025Orthopaedics</v>
      </c>
    </row>
    <row r="1672" spans="1:4">
      <c r="A1672" s="1">
        <v>45769</v>
      </c>
      <c r="B1672" t="s">
        <v>46</v>
      </c>
      <c r="C1672">
        <v>13</v>
      </c>
      <c r="D1672" t="str">
        <f t="shared" si="26"/>
        <v>22/04/2025Neurology</v>
      </c>
    </row>
    <row r="1673" spans="1:4">
      <c r="A1673" s="1">
        <v>45769</v>
      </c>
      <c r="B1673" t="s">
        <v>47</v>
      </c>
      <c r="C1673">
        <v>17</v>
      </c>
      <c r="D1673" t="str">
        <f t="shared" si="26"/>
        <v>22/04/2025Oncology</v>
      </c>
    </row>
    <row r="1674" spans="1:4">
      <c r="A1674" s="1">
        <v>45769</v>
      </c>
      <c r="B1674" t="s">
        <v>49</v>
      </c>
      <c r="C1674">
        <v>12</v>
      </c>
      <c r="D1674" t="str">
        <f t="shared" si="26"/>
        <v>22/04/2025Paediatrics</v>
      </c>
    </row>
    <row r="1675" spans="1:4">
      <c r="A1675" s="1">
        <v>45769</v>
      </c>
      <c r="B1675" t="s">
        <v>45</v>
      </c>
      <c r="C1675">
        <v>12</v>
      </c>
      <c r="D1675" t="str">
        <f t="shared" si="26"/>
        <v>22/04/2025Maternity</v>
      </c>
    </row>
    <row r="1676" spans="1:4">
      <c r="A1676" s="1">
        <v>45769</v>
      </c>
      <c r="B1676" t="s">
        <v>50</v>
      </c>
      <c r="C1676">
        <v>20</v>
      </c>
      <c r="D1676" t="str">
        <f t="shared" si="26"/>
        <v>22/04/2025Renal Medicine</v>
      </c>
    </row>
    <row r="1677" spans="1:4">
      <c r="A1677" s="1">
        <v>45769</v>
      </c>
      <c r="B1677" t="s">
        <v>42</v>
      </c>
      <c r="C1677">
        <v>11</v>
      </c>
      <c r="D1677" t="str">
        <f t="shared" si="26"/>
        <v>22/04/2025Gastroenterology</v>
      </c>
    </row>
    <row r="1678" spans="1:4">
      <c r="A1678" s="1">
        <v>45769</v>
      </c>
      <c r="B1678" t="s">
        <v>98</v>
      </c>
      <c r="C1678">
        <v>9</v>
      </c>
      <c r="D1678" t="str">
        <f t="shared" si="26"/>
        <v>22/04/2025Endocrinology</v>
      </c>
    </row>
    <row r="1679" spans="1:4">
      <c r="A1679" s="1">
        <v>45769</v>
      </c>
      <c r="B1679" t="s">
        <v>100</v>
      </c>
      <c r="C1679">
        <v>10</v>
      </c>
      <c r="D1679" t="str">
        <f t="shared" si="26"/>
        <v>22/04/2025Urology</v>
      </c>
    </row>
    <row r="1680" spans="1:4">
      <c r="A1680" s="1">
        <v>45769</v>
      </c>
      <c r="B1680" t="s">
        <v>41</v>
      </c>
      <c r="C1680">
        <v>12</v>
      </c>
      <c r="D1680" t="str">
        <f t="shared" si="26"/>
        <v>22/04/2025ENT</v>
      </c>
    </row>
    <row r="1681" spans="1:4">
      <c r="A1681" s="1">
        <v>45769</v>
      </c>
      <c r="B1681" t="s">
        <v>44</v>
      </c>
      <c r="C1681">
        <v>15</v>
      </c>
      <c r="D1681" t="str">
        <f t="shared" si="26"/>
        <v>22/04/2025Geriatrics</v>
      </c>
    </row>
    <row r="1682" spans="1:4">
      <c r="A1682" s="1">
        <v>45770</v>
      </c>
      <c r="B1682" t="s">
        <v>39</v>
      </c>
      <c r="C1682">
        <v>24</v>
      </c>
      <c r="D1682" t="str">
        <f t="shared" si="26"/>
        <v>23/04/2025A&amp;E (Emergency)</v>
      </c>
    </row>
    <row r="1683" spans="1:4">
      <c r="A1683" s="1">
        <v>45770</v>
      </c>
      <c r="B1683" t="s">
        <v>40</v>
      </c>
      <c r="C1683">
        <v>16</v>
      </c>
      <c r="D1683" t="str">
        <f t="shared" si="26"/>
        <v>23/04/2025Cardiology</v>
      </c>
    </row>
    <row r="1684" spans="1:4">
      <c r="A1684" s="1">
        <v>45770</v>
      </c>
      <c r="B1684" t="s">
        <v>51</v>
      </c>
      <c r="C1684">
        <v>13</v>
      </c>
      <c r="D1684" t="str">
        <f t="shared" si="26"/>
        <v>23/04/2025Respiratory</v>
      </c>
    </row>
    <row r="1685" spans="1:4">
      <c r="A1685" s="1">
        <v>45770</v>
      </c>
      <c r="B1685" t="s">
        <v>43</v>
      </c>
      <c r="C1685">
        <v>19</v>
      </c>
      <c r="D1685" t="str">
        <f t="shared" si="26"/>
        <v>23/04/2025General Surgery</v>
      </c>
    </row>
    <row r="1686" spans="1:4">
      <c r="A1686" s="1">
        <v>45770</v>
      </c>
      <c r="B1686" t="s">
        <v>48</v>
      </c>
      <c r="C1686">
        <v>14</v>
      </c>
      <c r="D1686" t="str">
        <f t="shared" si="26"/>
        <v>23/04/2025Orthopaedics</v>
      </c>
    </row>
    <row r="1687" spans="1:4">
      <c r="A1687" s="1">
        <v>45770</v>
      </c>
      <c r="B1687" t="s">
        <v>46</v>
      </c>
      <c r="C1687">
        <v>12</v>
      </c>
      <c r="D1687" t="str">
        <f t="shared" si="26"/>
        <v>23/04/2025Neurology</v>
      </c>
    </row>
    <row r="1688" spans="1:4">
      <c r="A1688" s="1">
        <v>45770</v>
      </c>
      <c r="B1688" t="s">
        <v>47</v>
      </c>
      <c r="C1688">
        <v>16</v>
      </c>
      <c r="D1688" t="str">
        <f t="shared" si="26"/>
        <v>23/04/2025Oncology</v>
      </c>
    </row>
    <row r="1689" spans="1:4">
      <c r="A1689" s="1">
        <v>45770</v>
      </c>
      <c r="B1689" t="s">
        <v>49</v>
      </c>
      <c r="C1689">
        <v>11</v>
      </c>
      <c r="D1689" t="str">
        <f t="shared" si="26"/>
        <v>23/04/2025Paediatrics</v>
      </c>
    </row>
    <row r="1690" spans="1:4">
      <c r="A1690" s="1">
        <v>45770</v>
      </c>
      <c r="B1690" t="s">
        <v>45</v>
      </c>
      <c r="C1690">
        <v>12</v>
      </c>
      <c r="D1690" t="str">
        <f t="shared" si="26"/>
        <v>23/04/2025Maternity</v>
      </c>
    </row>
    <row r="1691" spans="1:4">
      <c r="A1691" s="1">
        <v>45770</v>
      </c>
      <c r="B1691" t="s">
        <v>50</v>
      </c>
      <c r="C1691">
        <v>19</v>
      </c>
      <c r="D1691" t="str">
        <f t="shared" si="26"/>
        <v>23/04/2025Renal Medicine</v>
      </c>
    </row>
    <row r="1692" spans="1:4">
      <c r="A1692" s="1">
        <v>45770</v>
      </c>
      <c r="B1692" t="s">
        <v>42</v>
      </c>
      <c r="C1692">
        <v>10</v>
      </c>
      <c r="D1692" t="str">
        <f t="shared" si="26"/>
        <v>23/04/2025Gastroenterology</v>
      </c>
    </row>
    <row r="1693" spans="1:4">
      <c r="A1693" s="1">
        <v>45770</v>
      </c>
      <c r="B1693" t="s">
        <v>98</v>
      </c>
      <c r="C1693">
        <v>8</v>
      </c>
      <c r="D1693" t="str">
        <f t="shared" si="26"/>
        <v>23/04/2025Endocrinology</v>
      </c>
    </row>
    <row r="1694" spans="1:4">
      <c r="A1694" s="1">
        <v>45770</v>
      </c>
      <c r="B1694" t="s">
        <v>100</v>
      </c>
      <c r="C1694">
        <v>10</v>
      </c>
      <c r="D1694" t="str">
        <f t="shared" si="26"/>
        <v>23/04/2025Urology</v>
      </c>
    </row>
    <row r="1695" spans="1:4">
      <c r="A1695" s="1">
        <v>45770</v>
      </c>
      <c r="B1695" t="s">
        <v>41</v>
      </c>
      <c r="C1695">
        <v>12</v>
      </c>
      <c r="D1695" t="str">
        <f t="shared" si="26"/>
        <v>23/04/2025ENT</v>
      </c>
    </row>
    <row r="1696" spans="1:4">
      <c r="A1696" s="1">
        <v>45770</v>
      </c>
      <c r="B1696" t="s">
        <v>44</v>
      </c>
      <c r="C1696">
        <v>14</v>
      </c>
      <c r="D1696" t="str">
        <f t="shared" si="26"/>
        <v>23/04/2025Geriatrics</v>
      </c>
    </row>
    <row r="1697" spans="1:4">
      <c r="A1697" s="1">
        <v>45771</v>
      </c>
      <c r="B1697" t="s">
        <v>39</v>
      </c>
      <c r="C1697">
        <v>23</v>
      </c>
      <c r="D1697" t="str">
        <f t="shared" si="26"/>
        <v>24/04/2025A&amp;E (Emergency)</v>
      </c>
    </row>
    <row r="1698" spans="1:4">
      <c r="A1698" s="1">
        <v>45771</v>
      </c>
      <c r="B1698" t="s">
        <v>40</v>
      </c>
      <c r="C1698">
        <v>16</v>
      </c>
      <c r="D1698" t="str">
        <f t="shared" si="26"/>
        <v>24/04/2025Cardiology</v>
      </c>
    </row>
    <row r="1699" spans="1:4">
      <c r="A1699" s="1">
        <v>45771</v>
      </c>
      <c r="B1699" t="s">
        <v>51</v>
      </c>
      <c r="C1699">
        <v>13</v>
      </c>
      <c r="D1699" t="str">
        <f t="shared" si="26"/>
        <v>24/04/2025Respiratory</v>
      </c>
    </row>
    <row r="1700" spans="1:4">
      <c r="A1700" s="1">
        <v>45771</v>
      </c>
      <c r="B1700" t="s">
        <v>43</v>
      </c>
      <c r="C1700">
        <v>19</v>
      </c>
      <c r="D1700" t="str">
        <f t="shared" si="26"/>
        <v>24/04/2025General Surgery</v>
      </c>
    </row>
    <row r="1701" spans="1:4">
      <c r="A1701" s="1">
        <v>45771</v>
      </c>
      <c r="B1701" t="s">
        <v>48</v>
      </c>
      <c r="C1701">
        <v>14</v>
      </c>
      <c r="D1701" t="str">
        <f t="shared" si="26"/>
        <v>24/04/2025Orthopaedics</v>
      </c>
    </row>
    <row r="1702" spans="1:4">
      <c r="A1702" s="1">
        <v>45771</v>
      </c>
      <c r="B1702" t="s">
        <v>46</v>
      </c>
      <c r="C1702">
        <v>12</v>
      </c>
      <c r="D1702" t="str">
        <f t="shared" si="26"/>
        <v>24/04/2025Neurology</v>
      </c>
    </row>
    <row r="1703" spans="1:4">
      <c r="A1703" s="1">
        <v>45771</v>
      </c>
      <c r="B1703" t="s">
        <v>47</v>
      </c>
      <c r="C1703">
        <v>16</v>
      </c>
      <c r="D1703" t="str">
        <f t="shared" si="26"/>
        <v>24/04/2025Oncology</v>
      </c>
    </row>
    <row r="1704" spans="1:4">
      <c r="A1704" s="1">
        <v>45771</v>
      </c>
      <c r="B1704" t="s">
        <v>49</v>
      </c>
      <c r="C1704">
        <v>11</v>
      </c>
      <c r="D1704" t="str">
        <f t="shared" si="26"/>
        <v>24/04/2025Paediatrics</v>
      </c>
    </row>
    <row r="1705" spans="1:4">
      <c r="A1705" s="1">
        <v>45771</v>
      </c>
      <c r="B1705" t="s">
        <v>45</v>
      </c>
      <c r="C1705">
        <v>12</v>
      </c>
      <c r="D1705" t="str">
        <f t="shared" si="26"/>
        <v>24/04/2025Maternity</v>
      </c>
    </row>
    <row r="1706" spans="1:4">
      <c r="A1706" s="1">
        <v>45771</v>
      </c>
      <c r="B1706" t="s">
        <v>50</v>
      </c>
      <c r="C1706">
        <v>19</v>
      </c>
      <c r="D1706" t="str">
        <f t="shared" si="26"/>
        <v>24/04/2025Renal Medicine</v>
      </c>
    </row>
    <row r="1707" spans="1:4">
      <c r="A1707" s="1">
        <v>45771</v>
      </c>
      <c r="B1707" t="s">
        <v>42</v>
      </c>
      <c r="C1707">
        <v>10</v>
      </c>
      <c r="D1707" t="str">
        <f t="shared" si="26"/>
        <v>24/04/2025Gastroenterology</v>
      </c>
    </row>
    <row r="1708" spans="1:4">
      <c r="A1708" s="1">
        <v>45771</v>
      </c>
      <c r="B1708" t="s">
        <v>98</v>
      </c>
      <c r="C1708">
        <v>8</v>
      </c>
      <c r="D1708" t="str">
        <f t="shared" si="26"/>
        <v>24/04/2025Endocrinology</v>
      </c>
    </row>
    <row r="1709" spans="1:4">
      <c r="A1709" s="1">
        <v>45771</v>
      </c>
      <c r="B1709" t="s">
        <v>100</v>
      </c>
      <c r="C1709">
        <v>10</v>
      </c>
      <c r="D1709" t="str">
        <f t="shared" si="26"/>
        <v>24/04/2025Urology</v>
      </c>
    </row>
    <row r="1710" spans="1:4">
      <c r="A1710" s="1">
        <v>45771</v>
      </c>
      <c r="B1710" t="s">
        <v>41</v>
      </c>
      <c r="C1710">
        <v>12</v>
      </c>
      <c r="D1710" t="str">
        <f t="shared" si="26"/>
        <v>24/04/2025ENT</v>
      </c>
    </row>
    <row r="1711" spans="1:4">
      <c r="A1711" s="1">
        <v>45771</v>
      </c>
      <c r="B1711" t="s">
        <v>44</v>
      </c>
      <c r="C1711">
        <v>14</v>
      </c>
      <c r="D1711" t="str">
        <f t="shared" si="26"/>
        <v>24/04/2025Geriatrics</v>
      </c>
    </row>
    <row r="1712" spans="1:4">
      <c r="A1712" s="1">
        <v>45772</v>
      </c>
      <c r="B1712" t="s">
        <v>39</v>
      </c>
      <c r="C1712">
        <v>22</v>
      </c>
      <c r="D1712" t="str">
        <f t="shared" si="26"/>
        <v>25/04/2025A&amp;E (Emergency)</v>
      </c>
    </row>
    <row r="1713" spans="1:4">
      <c r="A1713" s="1">
        <v>45772</v>
      </c>
      <c r="B1713" t="s">
        <v>40</v>
      </c>
      <c r="C1713">
        <v>15</v>
      </c>
      <c r="D1713" t="str">
        <f t="shared" si="26"/>
        <v>25/04/2025Cardiology</v>
      </c>
    </row>
    <row r="1714" spans="1:4">
      <c r="A1714" s="1">
        <v>45772</v>
      </c>
      <c r="B1714" t="s">
        <v>51</v>
      </c>
      <c r="C1714">
        <v>12</v>
      </c>
      <c r="D1714" t="str">
        <f t="shared" si="26"/>
        <v>25/04/2025Respiratory</v>
      </c>
    </row>
    <row r="1715" spans="1:4">
      <c r="A1715" s="1">
        <v>45772</v>
      </c>
      <c r="B1715" t="s">
        <v>43</v>
      </c>
      <c r="C1715">
        <v>18</v>
      </c>
      <c r="D1715" t="str">
        <f t="shared" si="26"/>
        <v>25/04/2025General Surgery</v>
      </c>
    </row>
    <row r="1716" spans="1:4">
      <c r="A1716" s="1">
        <v>45772</v>
      </c>
      <c r="B1716" t="s">
        <v>48</v>
      </c>
      <c r="C1716">
        <v>13</v>
      </c>
      <c r="D1716" t="str">
        <f t="shared" si="26"/>
        <v>25/04/2025Orthopaedics</v>
      </c>
    </row>
    <row r="1717" spans="1:4">
      <c r="A1717" s="1">
        <v>45772</v>
      </c>
      <c r="B1717" t="s">
        <v>46</v>
      </c>
      <c r="C1717">
        <v>11</v>
      </c>
      <c r="D1717" t="str">
        <f t="shared" si="26"/>
        <v>25/04/2025Neurology</v>
      </c>
    </row>
    <row r="1718" spans="1:4">
      <c r="A1718" s="1">
        <v>45772</v>
      </c>
      <c r="B1718" t="s">
        <v>47</v>
      </c>
      <c r="C1718">
        <v>15</v>
      </c>
      <c r="D1718" t="str">
        <f t="shared" si="26"/>
        <v>25/04/2025Oncology</v>
      </c>
    </row>
    <row r="1719" spans="1:4">
      <c r="A1719" s="1">
        <v>45772</v>
      </c>
      <c r="B1719" t="s">
        <v>49</v>
      </c>
      <c r="C1719">
        <v>10</v>
      </c>
      <c r="D1719" t="str">
        <f t="shared" si="26"/>
        <v>25/04/2025Paediatrics</v>
      </c>
    </row>
    <row r="1720" spans="1:4">
      <c r="A1720" s="1">
        <v>45772</v>
      </c>
      <c r="B1720" t="s">
        <v>45</v>
      </c>
      <c r="C1720">
        <v>11</v>
      </c>
      <c r="D1720" t="str">
        <f t="shared" si="26"/>
        <v>25/04/2025Maternity</v>
      </c>
    </row>
    <row r="1721" spans="1:4">
      <c r="A1721" s="1">
        <v>45772</v>
      </c>
      <c r="B1721" t="s">
        <v>50</v>
      </c>
      <c r="C1721">
        <v>18</v>
      </c>
      <c r="D1721" t="str">
        <f t="shared" si="26"/>
        <v>25/04/2025Renal Medicine</v>
      </c>
    </row>
    <row r="1722" spans="1:4">
      <c r="A1722" s="1">
        <v>45772</v>
      </c>
      <c r="B1722" t="s">
        <v>42</v>
      </c>
      <c r="C1722">
        <v>9</v>
      </c>
      <c r="D1722" t="str">
        <f t="shared" si="26"/>
        <v>25/04/2025Gastroenterology</v>
      </c>
    </row>
    <row r="1723" spans="1:4">
      <c r="A1723" s="1">
        <v>45772</v>
      </c>
      <c r="B1723" t="s">
        <v>98</v>
      </c>
      <c r="C1723">
        <v>7</v>
      </c>
      <c r="D1723" t="str">
        <f t="shared" si="26"/>
        <v>25/04/2025Endocrinology</v>
      </c>
    </row>
    <row r="1724" spans="1:4">
      <c r="A1724" s="1">
        <v>45772</v>
      </c>
      <c r="B1724" t="s">
        <v>100</v>
      </c>
      <c r="C1724">
        <v>9</v>
      </c>
      <c r="D1724" t="str">
        <f t="shared" si="26"/>
        <v>25/04/2025Urology</v>
      </c>
    </row>
    <row r="1725" spans="1:4">
      <c r="A1725" s="1">
        <v>45772</v>
      </c>
      <c r="B1725" t="s">
        <v>41</v>
      </c>
      <c r="C1725">
        <v>11</v>
      </c>
      <c r="D1725" t="str">
        <f t="shared" si="26"/>
        <v>25/04/2025ENT</v>
      </c>
    </row>
    <row r="1726" spans="1:4">
      <c r="A1726" s="1">
        <v>45772</v>
      </c>
      <c r="B1726" t="s">
        <v>44</v>
      </c>
      <c r="C1726">
        <v>13</v>
      </c>
      <c r="D1726" t="str">
        <f t="shared" si="26"/>
        <v>25/04/2025Geriatrics</v>
      </c>
    </row>
    <row r="1727" spans="1:4">
      <c r="A1727" s="1">
        <v>45773</v>
      </c>
      <c r="B1727" t="s">
        <v>39</v>
      </c>
      <c r="C1727">
        <v>20</v>
      </c>
      <c r="D1727" t="str">
        <f t="shared" si="26"/>
        <v>26/04/2025A&amp;E (Emergency)</v>
      </c>
    </row>
    <row r="1728" spans="1:4">
      <c r="A1728" s="1">
        <v>45773</v>
      </c>
      <c r="B1728" t="s">
        <v>40</v>
      </c>
      <c r="C1728">
        <v>12</v>
      </c>
      <c r="D1728" t="str">
        <f t="shared" si="26"/>
        <v>26/04/2025Cardiology</v>
      </c>
    </row>
    <row r="1729" spans="1:4">
      <c r="A1729" s="1">
        <v>45773</v>
      </c>
      <c r="B1729" t="s">
        <v>51</v>
      </c>
      <c r="C1729">
        <v>9</v>
      </c>
      <c r="D1729" t="str">
        <f t="shared" si="26"/>
        <v>26/04/2025Respiratory</v>
      </c>
    </row>
    <row r="1730" spans="1:4">
      <c r="A1730" s="1">
        <v>45773</v>
      </c>
      <c r="B1730" t="s">
        <v>43</v>
      </c>
      <c r="C1730">
        <v>15</v>
      </c>
      <c r="D1730" t="str">
        <f t="shared" si="26"/>
        <v>26/04/2025General Surgery</v>
      </c>
    </row>
    <row r="1731" spans="1:4">
      <c r="A1731" s="1">
        <v>45773</v>
      </c>
      <c r="B1731" t="s">
        <v>48</v>
      </c>
      <c r="C1731">
        <v>11</v>
      </c>
      <c r="D1731" t="str">
        <f t="shared" ref="D1731:D1794" si="27">TEXT(A1731, "dd/mm/yyyy")&amp;B1731</f>
        <v>26/04/2025Orthopaedics</v>
      </c>
    </row>
    <row r="1732" spans="1:4">
      <c r="A1732" s="1">
        <v>45773</v>
      </c>
      <c r="B1732" t="s">
        <v>46</v>
      </c>
      <c r="C1732">
        <v>9</v>
      </c>
      <c r="D1732" t="str">
        <f t="shared" si="27"/>
        <v>26/04/2025Neurology</v>
      </c>
    </row>
    <row r="1733" spans="1:4">
      <c r="A1733" s="1">
        <v>45773</v>
      </c>
      <c r="B1733" t="s">
        <v>47</v>
      </c>
      <c r="C1733">
        <v>13</v>
      </c>
      <c r="D1733" t="str">
        <f t="shared" si="27"/>
        <v>26/04/2025Oncology</v>
      </c>
    </row>
    <row r="1734" spans="1:4">
      <c r="A1734" s="1">
        <v>45773</v>
      </c>
      <c r="B1734" t="s">
        <v>49</v>
      </c>
      <c r="C1734">
        <v>9</v>
      </c>
      <c r="D1734" t="str">
        <f t="shared" si="27"/>
        <v>26/04/2025Paediatrics</v>
      </c>
    </row>
    <row r="1735" spans="1:4">
      <c r="A1735" s="1">
        <v>45773</v>
      </c>
      <c r="B1735" t="s">
        <v>45</v>
      </c>
      <c r="C1735">
        <v>10</v>
      </c>
      <c r="D1735" t="str">
        <f t="shared" si="27"/>
        <v>26/04/2025Maternity</v>
      </c>
    </row>
    <row r="1736" spans="1:4">
      <c r="A1736" s="1">
        <v>45773</v>
      </c>
      <c r="B1736" t="s">
        <v>50</v>
      </c>
      <c r="C1736">
        <v>17</v>
      </c>
      <c r="D1736" t="str">
        <f t="shared" si="27"/>
        <v>26/04/2025Renal Medicine</v>
      </c>
    </row>
    <row r="1737" spans="1:4">
      <c r="A1737" s="1">
        <v>45773</v>
      </c>
      <c r="B1737" t="s">
        <v>42</v>
      </c>
      <c r="C1737">
        <v>7</v>
      </c>
      <c r="D1737" t="str">
        <f t="shared" si="27"/>
        <v>26/04/2025Gastroenterology</v>
      </c>
    </row>
    <row r="1738" spans="1:4">
      <c r="A1738" s="1">
        <v>45773</v>
      </c>
      <c r="B1738" t="s">
        <v>98</v>
      </c>
      <c r="C1738">
        <v>6</v>
      </c>
      <c r="D1738" t="str">
        <f t="shared" si="27"/>
        <v>26/04/2025Endocrinology</v>
      </c>
    </row>
    <row r="1739" spans="1:4">
      <c r="A1739" s="1">
        <v>45773</v>
      </c>
      <c r="B1739" t="s">
        <v>100</v>
      </c>
      <c r="C1739">
        <v>8</v>
      </c>
      <c r="D1739" t="str">
        <f t="shared" si="27"/>
        <v>26/04/2025Urology</v>
      </c>
    </row>
    <row r="1740" spans="1:4">
      <c r="A1740" s="1">
        <v>45773</v>
      </c>
      <c r="B1740" t="s">
        <v>41</v>
      </c>
      <c r="C1740">
        <v>10</v>
      </c>
      <c r="D1740" t="str">
        <f t="shared" si="27"/>
        <v>26/04/2025ENT</v>
      </c>
    </row>
    <row r="1741" spans="1:4">
      <c r="A1741" s="1">
        <v>45773</v>
      </c>
      <c r="B1741" t="s">
        <v>44</v>
      </c>
      <c r="C1741">
        <v>12</v>
      </c>
      <c r="D1741" t="str">
        <f t="shared" si="27"/>
        <v>26/04/2025Geriatrics</v>
      </c>
    </row>
    <row r="1742" spans="1:4">
      <c r="A1742" s="1">
        <v>45774</v>
      </c>
      <c r="B1742" t="s">
        <v>39</v>
      </c>
      <c r="C1742">
        <v>19</v>
      </c>
      <c r="D1742" t="str">
        <f t="shared" si="27"/>
        <v>27/04/2025A&amp;E (Emergency)</v>
      </c>
    </row>
    <row r="1743" spans="1:4">
      <c r="A1743" s="1">
        <v>45774</v>
      </c>
      <c r="B1743" t="s">
        <v>40</v>
      </c>
      <c r="C1743">
        <v>11</v>
      </c>
      <c r="D1743" t="str">
        <f t="shared" si="27"/>
        <v>27/04/2025Cardiology</v>
      </c>
    </row>
    <row r="1744" spans="1:4">
      <c r="A1744" s="1">
        <v>45774</v>
      </c>
      <c r="B1744" t="s">
        <v>51</v>
      </c>
      <c r="C1744">
        <v>9</v>
      </c>
      <c r="D1744" t="str">
        <f t="shared" si="27"/>
        <v>27/04/2025Respiratory</v>
      </c>
    </row>
    <row r="1745" spans="1:4">
      <c r="A1745" s="1">
        <v>45774</v>
      </c>
      <c r="B1745" t="s">
        <v>43</v>
      </c>
      <c r="C1745">
        <v>14</v>
      </c>
      <c r="D1745" t="str">
        <f t="shared" si="27"/>
        <v>27/04/2025General Surgery</v>
      </c>
    </row>
    <row r="1746" spans="1:4">
      <c r="A1746" s="1">
        <v>45774</v>
      </c>
      <c r="B1746" t="s">
        <v>48</v>
      </c>
      <c r="C1746">
        <v>10</v>
      </c>
      <c r="D1746" t="str">
        <f t="shared" si="27"/>
        <v>27/04/2025Orthopaedics</v>
      </c>
    </row>
    <row r="1747" spans="1:4">
      <c r="A1747" s="1">
        <v>45774</v>
      </c>
      <c r="B1747" t="s">
        <v>46</v>
      </c>
      <c r="C1747">
        <v>9</v>
      </c>
      <c r="D1747" t="str">
        <f t="shared" si="27"/>
        <v>27/04/2025Neurology</v>
      </c>
    </row>
    <row r="1748" spans="1:4">
      <c r="A1748" s="1">
        <v>45774</v>
      </c>
      <c r="B1748" t="s">
        <v>47</v>
      </c>
      <c r="C1748">
        <v>12</v>
      </c>
      <c r="D1748" t="str">
        <f t="shared" si="27"/>
        <v>27/04/2025Oncology</v>
      </c>
    </row>
    <row r="1749" spans="1:4">
      <c r="A1749" s="1">
        <v>45774</v>
      </c>
      <c r="B1749" t="s">
        <v>49</v>
      </c>
      <c r="C1749">
        <v>8</v>
      </c>
      <c r="D1749" t="str">
        <f t="shared" si="27"/>
        <v>27/04/2025Paediatrics</v>
      </c>
    </row>
    <row r="1750" spans="1:4">
      <c r="A1750" s="1">
        <v>45774</v>
      </c>
      <c r="B1750" t="s">
        <v>45</v>
      </c>
      <c r="C1750">
        <v>9</v>
      </c>
      <c r="D1750" t="str">
        <f t="shared" si="27"/>
        <v>27/04/2025Maternity</v>
      </c>
    </row>
    <row r="1751" spans="1:4">
      <c r="A1751" s="1">
        <v>45774</v>
      </c>
      <c r="B1751" t="s">
        <v>50</v>
      </c>
      <c r="C1751">
        <v>17</v>
      </c>
      <c r="D1751" t="str">
        <f t="shared" si="27"/>
        <v>27/04/2025Renal Medicine</v>
      </c>
    </row>
    <row r="1752" spans="1:4">
      <c r="A1752" s="1">
        <v>45774</v>
      </c>
      <c r="B1752" t="s">
        <v>42</v>
      </c>
      <c r="C1752">
        <v>7</v>
      </c>
      <c r="D1752" t="str">
        <f t="shared" si="27"/>
        <v>27/04/2025Gastroenterology</v>
      </c>
    </row>
    <row r="1753" spans="1:4">
      <c r="A1753" s="1">
        <v>45774</v>
      </c>
      <c r="B1753" t="s">
        <v>98</v>
      </c>
      <c r="C1753">
        <v>6</v>
      </c>
      <c r="D1753" t="str">
        <f t="shared" si="27"/>
        <v>27/04/2025Endocrinology</v>
      </c>
    </row>
    <row r="1754" spans="1:4">
      <c r="A1754" s="1">
        <v>45774</v>
      </c>
      <c r="B1754" t="s">
        <v>100</v>
      </c>
      <c r="C1754">
        <v>8</v>
      </c>
      <c r="D1754" t="str">
        <f t="shared" si="27"/>
        <v>27/04/2025Urology</v>
      </c>
    </row>
    <row r="1755" spans="1:4">
      <c r="A1755" s="1">
        <v>45774</v>
      </c>
      <c r="B1755" t="s">
        <v>41</v>
      </c>
      <c r="C1755">
        <v>10</v>
      </c>
      <c r="D1755" t="str">
        <f t="shared" si="27"/>
        <v>27/04/2025ENT</v>
      </c>
    </row>
    <row r="1756" spans="1:4">
      <c r="A1756" s="1">
        <v>45774</v>
      </c>
      <c r="B1756" t="s">
        <v>44</v>
      </c>
      <c r="C1756">
        <v>12</v>
      </c>
      <c r="D1756" t="str">
        <f t="shared" si="27"/>
        <v>27/04/2025Geriatrics</v>
      </c>
    </row>
    <row r="1757" spans="1:4">
      <c r="A1757" s="1">
        <v>45775</v>
      </c>
      <c r="B1757" t="s">
        <v>39</v>
      </c>
      <c r="C1757">
        <v>28</v>
      </c>
      <c r="D1757" t="str">
        <f t="shared" si="27"/>
        <v>28/04/2025A&amp;E (Emergency)</v>
      </c>
    </row>
    <row r="1758" spans="1:4">
      <c r="A1758" s="1">
        <v>45775</v>
      </c>
      <c r="B1758" t="s">
        <v>40</v>
      </c>
      <c r="C1758">
        <v>18</v>
      </c>
      <c r="D1758" t="str">
        <f t="shared" si="27"/>
        <v>28/04/2025Cardiology</v>
      </c>
    </row>
    <row r="1759" spans="1:4">
      <c r="A1759" s="1">
        <v>45775</v>
      </c>
      <c r="B1759" t="s">
        <v>51</v>
      </c>
      <c r="C1759">
        <v>15</v>
      </c>
      <c r="D1759" t="str">
        <f t="shared" si="27"/>
        <v>28/04/2025Respiratory</v>
      </c>
    </row>
    <row r="1760" spans="1:4">
      <c r="A1760" s="1">
        <v>45775</v>
      </c>
      <c r="B1760" t="s">
        <v>43</v>
      </c>
      <c r="C1760">
        <v>22</v>
      </c>
      <c r="D1760" t="str">
        <f t="shared" si="27"/>
        <v>28/04/2025General Surgery</v>
      </c>
    </row>
    <row r="1761" spans="1:4">
      <c r="A1761" s="1">
        <v>45775</v>
      </c>
      <c r="B1761" t="s">
        <v>48</v>
      </c>
      <c r="C1761">
        <v>16</v>
      </c>
      <c r="D1761" t="str">
        <f t="shared" si="27"/>
        <v>28/04/2025Orthopaedics</v>
      </c>
    </row>
    <row r="1762" spans="1:4">
      <c r="A1762" s="1">
        <v>45775</v>
      </c>
      <c r="B1762" t="s">
        <v>46</v>
      </c>
      <c r="C1762">
        <v>14</v>
      </c>
      <c r="D1762" t="str">
        <f t="shared" si="27"/>
        <v>28/04/2025Neurology</v>
      </c>
    </row>
    <row r="1763" spans="1:4">
      <c r="A1763" s="1">
        <v>45775</v>
      </c>
      <c r="B1763" t="s">
        <v>47</v>
      </c>
      <c r="C1763">
        <v>18</v>
      </c>
      <c r="D1763" t="str">
        <f t="shared" si="27"/>
        <v>28/04/2025Oncology</v>
      </c>
    </row>
    <row r="1764" spans="1:4">
      <c r="A1764" s="1">
        <v>45775</v>
      </c>
      <c r="B1764" t="s">
        <v>49</v>
      </c>
      <c r="C1764">
        <v>13</v>
      </c>
      <c r="D1764" t="str">
        <f t="shared" si="27"/>
        <v>28/04/2025Paediatrics</v>
      </c>
    </row>
    <row r="1765" spans="1:4">
      <c r="A1765" s="1">
        <v>45775</v>
      </c>
      <c r="B1765" t="s">
        <v>45</v>
      </c>
      <c r="C1765">
        <v>13</v>
      </c>
      <c r="D1765" t="str">
        <f t="shared" si="27"/>
        <v>28/04/2025Maternity</v>
      </c>
    </row>
    <row r="1766" spans="1:4">
      <c r="A1766" s="1">
        <v>45775</v>
      </c>
      <c r="B1766" t="s">
        <v>50</v>
      </c>
      <c r="C1766">
        <v>21</v>
      </c>
      <c r="D1766" t="str">
        <f t="shared" si="27"/>
        <v>28/04/2025Renal Medicine</v>
      </c>
    </row>
    <row r="1767" spans="1:4">
      <c r="A1767" s="1">
        <v>45775</v>
      </c>
      <c r="B1767" t="s">
        <v>42</v>
      </c>
      <c r="C1767">
        <v>12</v>
      </c>
      <c r="D1767" t="str">
        <f t="shared" si="27"/>
        <v>28/04/2025Gastroenterology</v>
      </c>
    </row>
    <row r="1768" spans="1:4">
      <c r="A1768" s="1">
        <v>45775</v>
      </c>
      <c r="B1768" t="s">
        <v>98</v>
      </c>
      <c r="C1768">
        <v>10</v>
      </c>
      <c r="D1768" t="str">
        <f t="shared" si="27"/>
        <v>28/04/2025Endocrinology</v>
      </c>
    </row>
    <row r="1769" spans="1:4">
      <c r="A1769" s="1">
        <v>45775</v>
      </c>
      <c r="B1769" t="s">
        <v>100</v>
      </c>
      <c r="C1769">
        <v>11</v>
      </c>
      <c r="D1769" t="str">
        <f t="shared" si="27"/>
        <v>28/04/2025Urology</v>
      </c>
    </row>
    <row r="1770" spans="1:4">
      <c r="A1770" s="1">
        <v>45775</v>
      </c>
      <c r="B1770" t="s">
        <v>41</v>
      </c>
      <c r="C1770">
        <v>13</v>
      </c>
      <c r="D1770" t="str">
        <f t="shared" si="27"/>
        <v>28/04/2025ENT</v>
      </c>
    </row>
    <row r="1771" spans="1:4">
      <c r="A1771" s="1">
        <v>45775</v>
      </c>
      <c r="B1771" t="s">
        <v>44</v>
      </c>
      <c r="C1771">
        <v>16</v>
      </c>
      <c r="D1771" t="str">
        <f t="shared" si="27"/>
        <v>28/04/2025Geriatrics</v>
      </c>
    </row>
    <row r="1772" spans="1:4">
      <c r="A1772" s="1">
        <v>45776</v>
      </c>
      <c r="B1772" t="s">
        <v>39</v>
      </c>
      <c r="C1772">
        <v>25</v>
      </c>
      <c r="D1772" t="str">
        <f t="shared" si="27"/>
        <v>29/04/2025A&amp;E (Emergency)</v>
      </c>
    </row>
    <row r="1773" spans="1:4">
      <c r="A1773" s="1">
        <v>45776</v>
      </c>
      <c r="B1773" t="s">
        <v>40</v>
      </c>
      <c r="C1773">
        <v>17</v>
      </c>
      <c r="D1773" t="str">
        <f t="shared" si="27"/>
        <v>29/04/2025Cardiology</v>
      </c>
    </row>
    <row r="1774" spans="1:4">
      <c r="A1774" s="1">
        <v>45776</v>
      </c>
      <c r="B1774" t="s">
        <v>51</v>
      </c>
      <c r="C1774">
        <v>14</v>
      </c>
      <c r="D1774" t="str">
        <f t="shared" si="27"/>
        <v>29/04/2025Respiratory</v>
      </c>
    </row>
    <row r="1775" spans="1:4">
      <c r="A1775" s="1">
        <v>45776</v>
      </c>
      <c r="B1775" t="s">
        <v>43</v>
      </c>
      <c r="C1775">
        <v>20</v>
      </c>
      <c r="D1775" t="str">
        <f t="shared" si="27"/>
        <v>29/04/2025General Surgery</v>
      </c>
    </row>
    <row r="1776" spans="1:4">
      <c r="A1776" s="1">
        <v>45776</v>
      </c>
      <c r="B1776" t="s">
        <v>48</v>
      </c>
      <c r="C1776">
        <v>15</v>
      </c>
      <c r="D1776" t="str">
        <f t="shared" si="27"/>
        <v>29/04/2025Orthopaedics</v>
      </c>
    </row>
    <row r="1777" spans="1:4">
      <c r="A1777" s="1">
        <v>45776</v>
      </c>
      <c r="B1777" t="s">
        <v>46</v>
      </c>
      <c r="C1777">
        <v>13</v>
      </c>
      <c r="D1777" t="str">
        <f t="shared" si="27"/>
        <v>29/04/2025Neurology</v>
      </c>
    </row>
    <row r="1778" spans="1:4">
      <c r="A1778" s="1">
        <v>45776</v>
      </c>
      <c r="B1778" t="s">
        <v>47</v>
      </c>
      <c r="C1778">
        <v>17</v>
      </c>
      <c r="D1778" t="str">
        <f t="shared" si="27"/>
        <v>29/04/2025Oncology</v>
      </c>
    </row>
    <row r="1779" spans="1:4">
      <c r="A1779" s="1">
        <v>45776</v>
      </c>
      <c r="B1779" t="s">
        <v>49</v>
      </c>
      <c r="C1779">
        <v>12</v>
      </c>
      <c r="D1779" t="str">
        <f t="shared" si="27"/>
        <v>29/04/2025Paediatrics</v>
      </c>
    </row>
    <row r="1780" spans="1:4">
      <c r="A1780" s="1">
        <v>45776</v>
      </c>
      <c r="B1780" t="s">
        <v>45</v>
      </c>
      <c r="C1780">
        <v>12</v>
      </c>
      <c r="D1780" t="str">
        <f t="shared" si="27"/>
        <v>29/04/2025Maternity</v>
      </c>
    </row>
    <row r="1781" spans="1:4">
      <c r="A1781" s="1">
        <v>45776</v>
      </c>
      <c r="B1781" t="s">
        <v>50</v>
      </c>
      <c r="C1781">
        <v>20</v>
      </c>
      <c r="D1781" t="str">
        <f t="shared" si="27"/>
        <v>29/04/2025Renal Medicine</v>
      </c>
    </row>
    <row r="1782" spans="1:4">
      <c r="A1782" s="1">
        <v>45776</v>
      </c>
      <c r="B1782" t="s">
        <v>42</v>
      </c>
      <c r="C1782">
        <v>11</v>
      </c>
      <c r="D1782" t="str">
        <f t="shared" si="27"/>
        <v>29/04/2025Gastroenterology</v>
      </c>
    </row>
    <row r="1783" spans="1:4">
      <c r="A1783" s="1">
        <v>45776</v>
      </c>
      <c r="B1783" t="s">
        <v>98</v>
      </c>
      <c r="C1783">
        <v>9</v>
      </c>
      <c r="D1783" t="str">
        <f t="shared" si="27"/>
        <v>29/04/2025Endocrinology</v>
      </c>
    </row>
    <row r="1784" spans="1:4">
      <c r="A1784" s="1">
        <v>45776</v>
      </c>
      <c r="B1784" t="s">
        <v>100</v>
      </c>
      <c r="C1784">
        <v>10</v>
      </c>
      <c r="D1784" t="str">
        <f t="shared" si="27"/>
        <v>29/04/2025Urology</v>
      </c>
    </row>
    <row r="1785" spans="1:4">
      <c r="A1785" s="1">
        <v>45776</v>
      </c>
      <c r="B1785" t="s">
        <v>41</v>
      </c>
      <c r="C1785">
        <v>12</v>
      </c>
      <c r="D1785" t="str">
        <f t="shared" si="27"/>
        <v>29/04/2025ENT</v>
      </c>
    </row>
    <row r="1786" spans="1:4">
      <c r="A1786" s="1">
        <v>45776</v>
      </c>
      <c r="B1786" t="s">
        <v>44</v>
      </c>
      <c r="C1786">
        <v>15</v>
      </c>
      <c r="D1786" t="str">
        <f t="shared" si="27"/>
        <v>29/04/2025Geriatrics</v>
      </c>
    </row>
    <row r="1787" spans="1:4">
      <c r="A1787" s="1">
        <v>45777</v>
      </c>
      <c r="B1787" t="s">
        <v>39</v>
      </c>
      <c r="C1787">
        <v>24</v>
      </c>
      <c r="D1787" t="str">
        <f t="shared" si="27"/>
        <v>30/04/2025A&amp;E (Emergency)</v>
      </c>
    </row>
    <row r="1788" spans="1:4">
      <c r="A1788" s="1">
        <v>45777</v>
      </c>
      <c r="B1788" t="s">
        <v>40</v>
      </c>
      <c r="C1788">
        <v>16</v>
      </c>
      <c r="D1788" t="str">
        <f t="shared" si="27"/>
        <v>30/04/2025Cardiology</v>
      </c>
    </row>
    <row r="1789" spans="1:4">
      <c r="A1789" s="1">
        <v>45777</v>
      </c>
      <c r="B1789" t="s">
        <v>51</v>
      </c>
      <c r="C1789">
        <v>13</v>
      </c>
      <c r="D1789" t="str">
        <f t="shared" si="27"/>
        <v>30/04/2025Respiratory</v>
      </c>
    </row>
    <row r="1790" spans="1:4">
      <c r="A1790" s="1">
        <v>45777</v>
      </c>
      <c r="B1790" t="s">
        <v>43</v>
      </c>
      <c r="C1790">
        <v>19</v>
      </c>
      <c r="D1790" t="str">
        <f t="shared" si="27"/>
        <v>30/04/2025General Surgery</v>
      </c>
    </row>
    <row r="1791" spans="1:4">
      <c r="A1791" s="1">
        <v>45777</v>
      </c>
      <c r="B1791" t="s">
        <v>48</v>
      </c>
      <c r="C1791">
        <v>14</v>
      </c>
      <c r="D1791" t="str">
        <f t="shared" si="27"/>
        <v>30/04/2025Orthopaedics</v>
      </c>
    </row>
    <row r="1792" spans="1:4">
      <c r="A1792" s="1">
        <v>45777</v>
      </c>
      <c r="B1792" t="s">
        <v>46</v>
      </c>
      <c r="C1792">
        <v>12</v>
      </c>
      <c r="D1792" t="str">
        <f t="shared" si="27"/>
        <v>30/04/2025Neurology</v>
      </c>
    </row>
    <row r="1793" spans="1:4">
      <c r="A1793" s="1">
        <v>45777</v>
      </c>
      <c r="B1793" t="s">
        <v>47</v>
      </c>
      <c r="C1793">
        <v>16</v>
      </c>
      <c r="D1793" t="str">
        <f t="shared" si="27"/>
        <v>30/04/2025Oncology</v>
      </c>
    </row>
    <row r="1794" spans="1:4">
      <c r="A1794" s="1">
        <v>45777</v>
      </c>
      <c r="B1794" t="s">
        <v>49</v>
      </c>
      <c r="C1794">
        <v>11</v>
      </c>
      <c r="D1794" t="str">
        <f t="shared" si="27"/>
        <v>30/04/2025Paediatrics</v>
      </c>
    </row>
    <row r="1795" spans="1:4">
      <c r="A1795" s="1">
        <v>45777</v>
      </c>
      <c r="B1795" t="s">
        <v>45</v>
      </c>
      <c r="C1795">
        <v>12</v>
      </c>
      <c r="D1795" t="str">
        <f t="shared" ref="D1795:D1858" si="28">TEXT(A1795, "dd/mm/yyyy")&amp;B1795</f>
        <v>30/04/2025Maternity</v>
      </c>
    </row>
    <row r="1796" spans="1:4">
      <c r="A1796" s="1">
        <v>45777</v>
      </c>
      <c r="B1796" t="s">
        <v>50</v>
      </c>
      <c r="C1796">
        <v>19</v>
      </c>
      <c r="D1796" t="str">
        <f t="shared" si="28"/>
        <v>30/04/2025Renal Medicine</v>
      </c>
    </row>
    <row r="1797" spans="1:4">
      <c r="A1797" s="1">
        <v>45777</v>
      </c>
      <c r="B1797" t="s">
        <v>42</v>
      </c>
      <c r="C1797">
        <v>10</v>
      </c>
      <c r="D1797" t="str">
        <f t="shared" si="28"/>
        <v>30/04/2025Gastroenterology</v>
      </c>
    </row>
    <row r="1798" spans="1:4">
      <c r="A1798" s="1">
        <v>45777</v>
      </c>
      <c r="B1798" t="s">
        <v>98</v>
      </c>
      <c r="C1798">
        <v>8</v>
      </c>
      <c r="D1798" t="str">
        <f t="shared" si="28"/>
        <v>30/04/2025Endocrinology</v>
      </c>
    </row>
    <row r="1799" spans="1:4">
      <c r="A1799" s="1">
        <v>45777</v>
      </c>
      <c r="B1799" t="s">
        <v>100</v>
      </c>
      <c r="C1799">
        <v>10</v>
      </c>
      <c r="D1799" t="str">
        <f t="shared" si="28"/>
        <v>30/04/2025Urology</v>
      </c>
    </row>
    <row r="1800" spans="1:4">
      <c r="A1800" s="1">
        <v>45777</v>
      </c>
      <c r="B1800" t="s">
        <v>41</v>
      </c>
      <c r="C1800">
        <v>12</v>
      </c>
      <c r="D1800" t="str">
        <f t="shared" si="28"/>
        <v>30/04/2025ENT</v>
      </c>
    </row>
    <row r="1801" spans="1:4">
      <c r="A1801" s="1">
        <v>45777</v>
      </c>
      <c r="B1801" t="s">
        <v>44</v>
      </c>
      <c r="C1801">
        <v>14</v>
      </c>
      <c r="D1801" t="str">
        <f t="shared" si="28"/>
        <v>30/04/2025Geriatrics</v>
      </c>
    </row>
    <row r="1802" spans="1:4">
      <c r="A1802" s="1">
        <v>45778</v>
      </c>
      <c r="B1802" t="s">
        <v>39</v>
      </c>
      <c r="C1802">
        <v>23</v>
      </c>
      <c r="D1802" t="str">
        <f t="shared" si="28"/>
        <v>01/05/2025A&amp;E (Emergency)</v>
      </c>
    </row>
    <row r="1803" spans="1:4">
      <c r="A1803" s="1">
        <v>45778</v>
      </c>
      <c r="B1803" t="s">
        <v>40</v>
      </c>
      <c r="C1803">
        <v>16</v>
      </c>
      <c r="D1803" t="str">
        <f t="shared" si="28"/>
        <v>01/05/2025Cardiology</v>
      </c>
    </row>
    <row r="1804" spans="1:4">
      <c r="A1804" s="1">
        <v>45778</v>
      </c>
      <c r="B1804" t="s">
        <v>51</v>
      </c>
      <c r="C1804">
        <v>13</v>
      </c>
      <c r="D1804" t="str">
        <f t="shared" si="28"/>
        <v>01/05/2025Respiratory</v>
      </c>
    </row>
    <row r="1805" spans="1:4">
      <c r="A1805" s="1">
        <v>45778</v>
      </c>
      <c r="B1805" t="s">
        <v>43</v>
      </c>
      <c r="C1805">
        <v>19</v>
      </c>
      <c r="D1805" t="str">
        <f t="shared" si="28"/>
        <v>01/05/2025General Surgery</v>
      </c>
    </row>
    <row r="1806" spans="1:4">
      <c r="A1806" s="1">
        <v>45778</v>
      </c>
      <c r="B1806" t="s">
        <v>48</v>
      </c>
      <c r="C1806">
        <v>14</v>
      </c>
      <c r="D1806" t="str">
        <f t="shared" si="28"/>
        <v>01/05/2025Orthopaedics</v>
      </c>
    </row>
    <row r="1807" spans="1:4">
      <c r="A1807" s="1">
        <v>45778</v>
      </c>
      <c r="B1807" t="s">
        <v>46</v>
      </c>
      <c r="C1807">
        <v>12</v>
      </c>
      <c r="D1807" t="str">
        <f t="shared" si="28"/>
        <v>01/05/2025Neurology</v>
      </c>
    </row>
    <row r="1808" spans="1:4">
      <c r="A1808" s="1">
        <v>45778</v>
      </c>
      <c r="B1808" t="s">
        <v>47</v>
      </c>
      <c r="C1808">
        <v>16</v>
      </c>
      <c r="D1808" t="str">
        <f t="shared" si="28"/>
        <v>01/05/2025Oncology</v>
      </c>
    </row>
    <row r="1809" spans="1:4">
      <c r="A1809" s="1">
        <v>45778</v>
      </c>
      <c r="B1809" t="s">
        <v>49</v>
      </c>
      <c r="C1809">
        <v>11</v>
      </c>
      <c r="D1809" t="str">
        <f t="shared" si="28"/>
        <v>01/05/2025Paediatrics</v>
      </c>
    </row>
    <row r="1810" spans="1:4">
      <c r="A1810" s="1">
        <v>45778</v>
      </c>
      <c r="B1810" t="s">
        <v>45</v>
      </c>
      <c r="C1810">
        <v>12</v>
      </c>
      <c r="D1810" t="str">
        <f t="shared" si="28"/>
        <v>01/05/2025Maternity</v>
      </c>
    </row>
    <row r="1811" spans="1:4">
      <c r="A1811" s="1">
        <v>45778</v>
      </c>
      <c r="B1811" t="s">
        <v>50</v>
      </c>
      <c r="C1811">
        <v>19</v>
      </c>
      <c r="D1811" t="str">
        <f t="shared" si="28"/>
        <v>01/05/2025Renal Medicine</v>
      </c>
    </row>
    <row r="1812" spans="1:4">
      <c r="A1812" s="1">
        <v>45778</v>
      </c>
      <c r="B1812" t="s">
        <v>42</v>
      </c>
      <c r="C1812">
        <v>10</v>
      </c>
      <c r="D1812" t="str">
        <f t="shared" si="28"/>
        <v>01/05/2025Gastroenterology</v>
      </c>
    </row>
    <row r="1813" spans="1:4">
      <c r="A1813" s="1">
        <v>45778</v>
      </c>
      <c r="B1813" t="s">
        <v>98</v>
      </c>
      <c r="C1813">
        <v>8</v>
      </c>
      <c r="D1813" t="str">
        <f t="shared" si="28"/>
        <v>01/05/2025Endocrinology</v>
      </c>
    </row>
    <row r="1814" spans="1:4">
      <c r="A1814" s="1">
        <v>45778</v>
      </c>
      <c r="B1814" t="s">
        <v>100</v>
      </c>
      <c r="C1814">
        <v>10</v>
      </c>
      <c r="D1814" t="str">
        <f t="shared" si="28"/>
        <v>01/05/2025Urology</v>
      </c>
    </row>
    <row r="1815" spans="1:4">
      <c r="A1815" s="1">
        <v>45778</v>
      </c>
      <c r="B1815" t="s">
        <v>41</v>
      </c>
      <c r="C1815">
        <v>12</v>
      </c>
      <c r="D1815" t="str">
        <f t="shared" si="28"/>
        <v>01/05/2025ENT</v>
      </c>
    </row>
    <row r="1816" spans="1:4">
      <c r="A1816" s="1">
        <v>45778</v>
      </c>
      <c r="B1816" t="s">
        <v>44</v>
      </c>
      <c r="C1816">
        <v>14</v>
      </c>
      <c r="D1816" t="str">
        <f t="shared" si="28"/>
        <v>01/05/2025Geriatrics</v>
      </c>
    </row>
    <row r="1817" spans="1:4">
      <c r="A1817" s="1">
        <v>45779</v>
      </c>
      <c r="B1817" t="s">
        <v>39</v>
      </c>
      <c r="C1817">
        <v>22</v>
      </c>
      <c r="D1817" t="str">
        <f t="shared" si="28"/>
        <v>02/05/2025A&amp;E (Emergency)</v>
      </c>
    </row>
    <row r="1818" spans="1:4">
      <c r="A1818" s="1">
        <v>45779</v>
      </c>
      <c r="B1818" t="s">
        <v>40</v>
      </c>
      <c r="C1818">
        <v>15</v>
      </c>
      <c r="D1818" t="str">
        <f t="shared" si="28"/>
        <v>02/05/2025Cardiology</v>
      </c>
    </row>
    <row r="1819" spans="1:4">
      <c r="A1819" s="1">
        <v>45779</v>
      </c>
      <c r="B1819" t="s">
        <v>51</v>
      </c>
      <c r="C1819">
        <v>12</v>
      </c>
      <c r="D1819" t="str">
        <f t="shared" si="28"/>
        <v>02/05/2025Respiratory</v>
      </c>
    </row>
    <row r="1820" spans="1:4">
      <c r="A1820" s="1">
        <v>45779</v>
      </c>
      <c r="B1820" t="s">
        <v>43</v>
      </c>
      <c r="C1820">
        <v>18</v>
      </c>
      <c r="D1820" t="str">
        <f t="shared" si="28"/>
        <v>02/05/2025General Surgery</v>
      </c>
    </row>
    <row r="1821" spans="1:4">
      <c r="A1821" s="1">
        <v>45779</v>
      </c>
      <c r="B1821" t="s">
        <v>48</v>
      </c>
      <c r="C1821">
        <v>13</v>
      </c>
      <c r="D1821" t="str">
        <f t="shared" si="28"/>
        <v>02/05/2025Orthopaedics</v>
      </c>
    </row>
    <row r="1822" spans="1:4">
      <c r="A1822" s="1">
        <v>45779</v>
      </c>
      <c r="B1822" t="s">
        <v>46</v>
      </c>
      <c r="C1822">
        <v>11</v>
      </c>
      <c r="D1822" t="str">
        <f t="shared" si="28"/>
        <v>02/05/2025Neurology</v>
      </c>
    </row>
    <row r="1823" spans="1:4">
      <c r="A1823" s="1">
        <v>45779</v>
      </c>
      <c r="B1823" t="s">
        <v>47</v>
      </c>
      <c r="C1823">
        <v>15</v>
      </c>
      <c r="D1823" t="str">
        <f t="shared" si="28"/>
        <v>02/05/2025Oncology</v>
      </c>
    </row>
    <row r="1824" spans="1:4">
      <c r="A1824" s="1">
        <v>45779</v>
      </c>
      <c r="B1824" t="s">
        <v>49</v>
      </c>
      <c r="C1824">
        <v>10</v>
      </c>
      <c r="D1824" t="str">
        <f t="shared" si="28"/>
        <v>02/05/2025Paediatrics</v>
      </c>
    </row>
    <row r="1825" spans="1:4">
      <c r="A1825" s="1">
        <v>45779</v>
      </c>
      <c r="B1825" t="s">
        <v>45</v>
      </c>
      <c r="C1825">
        <v>11</v>
      </c>
      <c r="D1825" t="str">
        <f t="shared" si="28"/>
        <v>02/05/2025Maternity</v>
      </c>
    </row>
    <row r="1826" spans="1:4">
      <c r="A1826" s="1">
        <v>45779</v>
      </c>
      <c r="B1826" t="s">
        <v>50</v>
      </c>
      <c r="C1826">
        <v>18</v>
      </c>
      <c r="D1826" t="str">
        <f t="shared" si="28"/>
        <v>02/05/2025Renal Medicine</v>
      </c>
    </row>
    <row r="1827" spans="1:4">
      <c r="A1827" s="1">
        <v>45779</v>
      </c>
      <c r="B1827" t="s">
        <v>42</v>
      </c>
      <c r="C1827">
        <v>9</v>
      </c>
      <c r="D1827" t="str">
        <f t="shared" si="28"/>
        <v>02/05/2025Gastroenterology</v>
      </c>
    </row>
    <row r="1828" spans="1:4">
      <c r="A1828" s="1">
        <v>45779</v>
      </c>
      <c r="B1828" t="s">
        <v>98</v>
      </c>
      <c r="C1828">
        <v>7</v>
      </c>
      <c r="D1828" t="str">
        <f t="shared" si="28"/>
        <v>02/05/2025Endocrinology</v>
      </c>
    </row>
    <row r="1829" spans="1:4">
      <c r="A1829" s="1">
        <v>45779</v>
      </c>
      <c r="B1829" t="s">
        <v>100</v>
      </c>
      <c r="C1829">
        <v>9</v>
      </c>
      <c r="D1829" t="str">
        <f t="shared" si="28"/>
        <v>02/05/2025Urology</v>
      </c>
    </row>
    <row r="1830" spans="1:4">
      <c r="A1830" s="1">
        <v>45779</v>
      </c>
      <c r="B1830" t="s">
        <v>41</v>
      </c>
      <c r="C1830">
        <v>11</v>
      </c>
      <c r="D1830" t="str">
        <f t="shared" si="28"/>
        <v>02/05/2025ENT</v>
      </c>
    </row>
    <row r="1831" spans="1:4">
      <c r="A1831" s="1">
        <v>45779</v>
      </c>
      <c r="B1831" t="s">
        <v>44</v>
      </c>
      <c r="C1831">
        <v>13</v>
      </c>
      <c r="D1831" t="str">
        <f t="shared" si="28"/>
        <v>02/05/2025Geriatrics</v>
      </c>
    </row>
    <row r="1832" spans="1:4">
      <c r="A1832" s="1">
        <v>45780</v>
      </c>
      <c r="B1832" t="s">
        <v>39</v>
      </c>
      <c r="C1832">
        <v>20</v>
      </c>
      <c r="D1832" t="str">
        <f t="shared" si="28"/>
        <v>03/05/2025A&amp;E (Emergency)</v>
      </c>
    </row>
    <row r="1833" spans="1:4">
      <c r="A1833" s="1">
        <v>45780</v>
      </c>
      <c r="B1833" t="s">
        <v>40</v>
      </c>
      <c r="C1833">
        <v>12</v>
      </c>
      <c r="D1833" t="str">
        <f t="shared" si="28"/>
        <v>03/05/2025Cardiology</v>
      </c>
    </row>
    <row r="1834" spans="1:4">
      <c r="A1834" s="1">
        <v>45780</v>
      </c>
      <c r="B1834" t="s">
        <v>51</v>
      </c>
      <c r="C1834">
        <v>9</v>
      </c>
      <c r="D1834" t="str">
        <f t="shared" si="28"/>
        <v>03/05/2025Respiratory</v>
      </c>
    </row>
    <row r="1835" spans="1:4">
      <c r="A1835" s="1">
        <v>45780</v>
      </c>
      <c r="B1835" t="s">
        <v>43</v>
      </c>
      <c r="C1835">
        <v>15</v>
      </c>
      <c r="D1835" t="str">
        <f t="shared" si="28"/>
        <v>03/05/2025General Surgery</v>
      </c>
    </row>
    <row r="1836" spans="1:4">
      <c r="A1836" s="1">
        <v>45780</v>
      </c>
      <c r="B1836" t="s">
        <v>48</v>
      </c>
      <c r="C1836">
        <v>11</v>
      </c>
      <c r="D1836" t="str">
        <f t="shared" si="28"/>
        <v>03/05/2025Orthopaedics</v>
      </c>
    </row>
    <row r="1837" spans="1:4">
      <c r="A1837" s="1">
        <v>45780</v>
      </c>
      <c r="B1837" t="s">
        <v>46</v>
      </c>
      <c r="C1837">
        <v>9</v>
      </c>
      <c r="D1837" t="str">
        <f t="shared" si="28"/>
        <v>03/05/2025Neurology</v>
      </c>
    </row>
    <row r="1838" spans="1:4">
      <c r="A1838" s="1">
        <v>45780</v>
      </c>
      <c r="B1838" t="s">
        <v>47</v>
      </c>
      <c r="C1838">
        <v>13</v>
      </c>
      <c r="D1838" t="str">
        <f t="shared" si="28"/>
        <v>03/05/2025Oncology</v>
      </c>
    </row>
    <row r="1839" spans="1:4">
      <c r="A1839" s="1">
        <v>45780</v>
      </c>
      <c r="B1839" t="s">
        <v>49</v>
      </c>
      <c r="C1839">
        <v>9</v>
      </c>
      <c r="D1839" t="str">
        <f t="shared" si="28"/>
        <v>03/05/2025Paediatrics</v>
      </c>
    </row>
    <row r="1840" spans="1:4">
      <c r="A1840" s="1">
        <v>45780</v>
      </c>
      <c r="B1840" t="s">
        <v>45</v>
      </c>
      <c r="C1840">
        <v>10</v>
      </c>
      <c r="D1840" t="str">
        <f t="shared" si="28"/>
        <v>03/05/2025Maternity</v>
      </c>
    </row>
    <row r="1841" spans="1:4">
      <c r="A1841" s="1">
        <v>45780</v>
      </c>
      <c r="B1841" t="s">
        <v>50</v>
      </c>
      <c r="C1841">
        <v>17</v>
      </c>
      <c r="D1841" t="str">
        <f t="shared" si="28"/>
        <v>03/05/2025Renal Medicine</v>
      </c>
    </row>
    <row r="1842" spans="1:4">
      <c r="A1842" s="1">
        <v>45780</v>
      </c>
      <c r="B1842" t="s">
        <v>42</v>
      </c>
      <c r="C1842">
        <v>7</v>
      </c>
      <c r="D1842" t="str">
        <f t="shared" si="28"/>
        <v>03/05/2025Gastroenterology</v>
      </c>
    </row>
    <row r="1843" spans="1:4">
      <c r="A1843" s="1">
        <v>45780</v>
      </c>
      <c r="B1843" t="s">
        <v>98</v>
      </c>
      <c r="C1843">
        <v>6</v>
      </c>
      <c r="D1843" t="str">
        <f t="shared" si="28"/>
        <v>03/05/2025Endocrinology</v>
      </c>
    </row>
    <row r="1844" spans="1:4">
      <c r="A1844" s="1">
        <v>45780</v>
      </c>
      <c r="B1844" t="s">
        <v>100</v>
      </c>
      <c r="C1844">
        <v>8</v>
      </c>
      <c r="D1844" t="str">
        <f t="shared" si="28"/>
        <v>03/05/2025Urology</v>
      </c>
    </row>
    <row r="1845" spans="1:4">
      <c r="A1845" s="1">
        <v>45780</v>
      </c>
      <c r="B1845" t="s">
        <v>41</v>
      </c>
      <c r="C1845">
        <v>10</v>
      </c>
      <c r="D1845" t="str">
        <f t="shared" si="28"/>
        <v>03/05/2025ENT</v>
      </c>
    </row>
    <row r="1846" spans="1:4">
      <c r="A1846" s="1">
        <v>45780</v>
      </c>
      <c r="B1846" t="s">
        <v>44</v>
      </c>
      <c r="C1846">
        <v>12</v>
      </c>
      <c r="D1846" t="str">
        <f t="shared" si="28"/>
        <v>03/05/2025Geriatrics</v>
      </c>
    </row>
    <row r="1847" spans="1:4">
      <c r="A1847" s="1">
        <v>45781</v>
      </c>
      <c r="B1847" t="s">
        <v>39</v>
      </c>
      <c r="C1847">
        <v>19</v>
      </c>
      <c r="D1847" t="str">
        <f t="shared" si="28"/>
        <v>04/05/2025A&amp;E (Emergency)</v>
      </c>
    </row>
    <row r="1848" spans="1:4">
      <c r="A1848" s="1">
        <v>45781</v>
      </c>
      <c r="B1848" t="s">
        <v>40</v>
      </c>
      <c r="C1848">
        <v>11</v>
      </c>
      <c r="D1848" t="str">
        <f t="shared" si="28"/>
        <v>04/05/2025Cardiology</v>
      </c>
    </row>
    <row r="1849" spans="1:4">
      <c r="A1849" s="1">
        <v>45781</v>
      </c>
      <c r="B1849" t="s">
        <v>51</v>
      </c>
      <c r="C1849">
        <v>9</v>
      </c>
      <c r="D1849" t="str">
        <f t="shared" si="28"/>
        <v>04/05/2025Respiratory</v>
      </c>
    </row>
    <row r="1850" spans="1:4">
      <c r="A1850" s="1">
        <v>45781</v>
      </c>
      <c r="B1850" t="s">
        <v>43</v>
      </c>
      <c r="C1850">
        <v>14</v>
      </c>
      <c r="D1850" t="str">
        <f t="shared" si="28"/>
        <v>04/05/2025General Surgery</v>
      </c>
    </row>
    <row r="1851" spans="1:4">
      <c r="A1851" s="1">
        <v>45781</v>
      </c>
      <c r="B1851" t="s">
        <v>48</v>
      </c>
      <c r="C1851">
        <v>10</v>
      </c>
      <c r="D1851" t="str">
        <f t="shared" si="28"/>
        <v>04/05/2025Orthopaedics</v>
      </c>
    </row>
    <row r="1852" spans="1:4">
      <c r="A1852" s="1">
        <v>45781</v>
      </c>
      <c r="B1852" t="s">
        <v>46</v>
      </c>
      <c r="C1852">
        <v>9</v>
      </c>
      <c r="D1852" t="str">
        <f t="shared" si="28"/>
        <v>04/05/2025Neurology</v>
      </c>
    </row>
    <row r="1853" spans="1:4">
      <c r="A1853" s="1">
        <v>45781</v>
      </c>
      <c r="B1853" t="s">
        <v>47</v>
      </c>
      <c r="C1853">
        <v>12</v>
      </c>
      <c r="D1853" t="str">
        <f t="shared" si="28"/>
        <v>04/05/2025Oncology</v>
      </c>
    </row>
    <row r="1854" spans="1:4">
      <c r="A1854" s="1">
        <v>45781</v>
      </c>
      <c r="B1854" t="s">
        <v>49</v>
      </c>
      <c r="C1854">
        <v>8</v>
      </c>
      <c r="D1854" t="str">
        <f t="shared" si="28"/>
        <v>04/05/2025Paediatrics</v>
      </c>
    </row>
    <row r="1855" spans="1:4">
      <c r="A1855" s="1">
        <v>45781</v>
      </c>
      <c r="B1855" t="s">
        <v>45</v>
      </c>
      <c r="C1855">
        <v>9</v>
      </c>
      <c r="D1855" t="str">
        <f t="shared" si="28"/>
        <v>04/05/2025Maternity</v>
      </c>
    </row>
    <row r="1856" spans="1:4">
      <c r="A1856" s="1">
        <v>45781</v>
      </c>
      <c r="B1856" t="s">
        <v>50</v>
      </c>
      <c r="C1856">
        <v>17</v>
      </c>
      <c r="D1856" t="str">
        <f t="shared" si="28"/>
        <v>04/05/2025Renal Medicine</v>
      </c>
    </row>
    <row r="1857" spans="1:4">
      <c r="A1857" s="1">
        <v>45781</v>
      </c>
      <c r="B1857" t="s">
        <v>42</v>
      </c>
      <c r="C1857">
        <v>7</v>
      </c>
      <c r="D1857" t="str">
        <f t="shared" si="28"/>
        <v>04/05/2025Gastroenterology</v>
      </c>
    </row>
    <row r="1858" spans="1:4">
      <c r="A1858" s="1">
        <v>45781</v>
      </c>
      <c r="B1858" t="s">
        <v>98</v>
      </c>
      <c r="C1858">
        <v>6</v>
      </c>
      <c r="D1858" t="str">
        <f t="shared" si="28"/>
        <v>04/05/2025Endocrinology</v>
      </c>
    </row>
    <row r="1859" spans="1:4">
      <c r="A1859" s="1">
        <v>45781</v>
      </c>
      <c r="B1859" t="s">
        <v>100</v>
      </c>
      <c r="C1859">
        <v>8</v>
      </c>
      <c r="D1859" t="str">
        <f t="shared" ref="D1859:D1922" si="29">TEXT(A1859, "dd/mm/yyyy")&amp;B1859</f>
        <v>04/05/2025Urology</v>
      </c>
    </row>
    <row r="1860" spans="1:4">
      <c r="A1860" s="1">
        <v>45781</v>
      </c>
      <c r="B1860" t="s">
        <v>41</v>
      </c>
      <c r="C1860">
        <v>10</v>
      </c>
      <c r="D1860" t="str">
        <f t="shared" si="29"/>
        <v>04/05/2025ENT</v>
      </c>
    </row>
    <row r="1861" spans="1:4">
      <c r="A1861" s="1">
        <v>45781</v>
      </c>
      <c r="B1861" t="s">
        <v>44</v>
      </c>
      <c r="C1861">
        <v>12</v>
      </c>
      <c r="D1861" t="str">
        <f t="shared" si="29"/>
        <v>04/05/2025Geriatrics</v>
      </c>
    </row>
    <row r="1862" spans="1:4">
      <c r="A1862" s="1">
        <v>45782</v>
      </c>
      <c r="B1862" t="s">
        <v>39</v>
      </c>
      <c r="C1862">
        <v>28</v>
      </c>
      <c r="D1862" t="str">
        <f t="shared" si="29"/>
        <v>05/05/2025A&amp;E (Emergency)</v>
      </c>
    </row>
    <row r="1863" spans="1:4">
      <c r="A1863" s="1">
        <v>45782</v>
      </c>
      <c r="B1863" t="s">
        <v>40</v>
      </c>
      <c r="C1863">
        <v>18</v>
      </c>
      <c r="D1863" t="str">
        <f t="shared" si="29"/>
        <v>05/05/2025Cardiology</v>
      </c>
    </row>
    <row r="1864" spans="1:4">
      <c r="A1864" s="1">
        <v>45782</v>
      </c>
      <c r="B1864" t="s">
        <v>51</v>
      </c>
      <c r="C1864">
        <v>15</v>
      </c>
      <c r="D1864" t="str">
        <f t="shared" si="29"/>
        <v>05/05/2025Respiratory</v>
      </c>
    </row>
    <row r="1865" spans="1:4">
      <c r="A1865" s="1">
        <v>45782</v>
      </c>
      <c r="B1865" t="s">
        <v>43</v>
      </c>
      <c r="C1865">
        <v>22</v>
      </c>
      <c r="D1865" t="str">
        <f t="shared" si="29"/>
        <v>05/05/2025General Surgery</v>
      </c>
    </row>
    <row r="1866" spans="1:4">
      <c r="A1866" s="1">
        <v>45782</v>
      </c>
      <c r="B1866" t="s">
        <v>48</v>
      </c>
      <c r="C1866">
        <v>16</v>
      </c>
      <c r="D1866" t="str">
        <f t="shared" si="29"/>
        <v>05/05/2025Orthopaedics</v>
      </c>
    </row>
    <row r="1867" spans="1:4">
      <c r="A1867" s="1">
        <v>45782</v>
      </c>
      <c r="B1867" t="s">
        <v>46</v>
      </c>
      <c r="C1867">
        <v>14</v>
      </c>
      <c r="D1867" t="str">
        <f t="shared" si="29"/>
        <v>05/05/2025Neurology</v>
      </c>
    </row>
    <row r="1868" spans="1:4">
      <c r="A1868" s="1">
        <v>45782</v>
      </c>
      <c r="B1868" t="s">
        <v>47</v>
      </c>
      <c r="C1868">
        <v>18</v>
      </c>
      <c r="D1868" t="str">
        <f t="shared" si="29"/>
        <v>05/05/2025Oncology</v>
      </c>
    </row>
    <row r="1869" spans="1:4">
      <c r="A1869" s="1">
        <v>45782</v>
      </c>
      <c r="B1869" t="s">
        <v>49</v>
      </c>
      <c r="C1869">
        <v>13</v>
      </c>
      <c r="D1869" t="str">
        <f t="shared" si="29"/>
        <v>05/05/2025Paediatrics</v>
      </c>
    </row>
    <row r="1870" spans="1:4">
      <c r="A1870" s="1">
        <v>45782</v>
      </c>
      <c r="B1870" t="s">
        <v>45</v>
      </c>
      <c r="C1870">
        <v>13</v>
      </c>
      <c r="D1870" t="str">
        <f t="shared" si="29"/>
        <v>05/05/2025Maternity</v>
      </c>
    </row>
    <row r="1871" spans="1:4">
      <c r="A1871" s="1">
        <v>45782</v>
      </c>
      <c r="B1871" t="s">
        <v>50</v>
      </c>
      <c r="C1871">
        <v>21</v>
      </c>
      <c r="D1871" t="str">
        <f t="shared" si="29"/>
        <v>05/05/2025Renal Medicine</v>
      </c>
    </row>
    <row r="1872" spans="1:4">
      <c r="A1872" s="1">
        <v>45782</v>
      </c>
      <c r="B1872" t="s">
        <v>42</v>
      </c>
      <c r="C1872">
        <v>12</v>
      </c>
      <c r="D1872" t="str">
        <f t="shared" si="29"/>
        <v>05/05/2025Gastroenterology</v>
      </c>
    </row>
    <row r="1873" spans="1:4">
      <c r="A1873" s="1">
        <v>45782</v>
      </c>
      <c r="B1873" t="s">
        <v>98</v>
      </c>
      <c r="C1873">
        <v>10</v>
      </c>
      <c r="D1873" t="str">
        <f t="shared" si="29"/>
        <v>05/05/2025Endocrinology</v>
      </c>
    </row>
    <row r="1874" spans="1:4">
      <c r="A1874" s="1">
        <v>45782</v>
      </c>
      <c r="B1874" t="s">
        <v>100</v>
      </c>
      <c r="C1874">
        <v>11</v>
      </c>
      <c r="D1874" t="str">
        <f t="shared" si="29"/>
        <v>05/05/2025Urology</v>
      </c>
    </row>
    <row r="1875" spans="1:4">
      <c r="A1875" s="1">
        <v>45782</v>
      </c>
      <c r="B1875" t="s">
        <v>41</v>
      </c>
      <c r="C1875">
        <v>13</v>
      </c>
      <c r="D1875" t="str">
        <f t="shared" si="29"/>
        <v>05/05/2025ENT</v>
      </c>
    </row>
    <row r="1876" spans="1:4">
      <c r="A1876" s="1">
        <v>45782</v>
      </c>
      <c r="B1876" t="s">
        <v>44</v>
      </c>
      <c r="C1876">
        <v>16</v>
      </c>
      <c r="D1876" t="str">
        <f t="shared" si="29"/>
        <v>05/05/2025Geriatrics</v>
      </c>
    </row>
    <row r="1877" spans="1:4">
      <c r="A1877" s="1">
        <v>45769</v>
      </c>
      <c r="B1877" t="s">
        <v>39</v>
      </c>
      <c r="C1877">
        <v>25</v>
      </c>
      <c r="D1877" t="str">
        <f t="shared" si="29"/>
        <v>22/04/2025A&amp;E (Emergency)</v>
      </c>
    </row>
    <row r="1878" spans="1:4">
      <c r="A1878" s="1">
        <v>45769</v>
      </c>
      <c r="B1878" t="s">
        <v>40</v>
      </c>
      <c r="C1878">
        <v>17</v>
      </c>
      <c r="D1878" t="str">
        <f t="shared" si="29"/>
        <v>22/04/2025Cardiology</v>
      </c>
    </row>
    <row r="1879" spans="1:4">
      <c r="A1879" s="1">
        <v>45769</v>
      </c>
      <c r="B1879" t="s">
        <v>51</v>
      </c>
      <c r="C1879">
        <v>14</v>
      </c>
      <c r="D1879" t="str">
        <f t="shared" si="29"/>
        <v>22/04/2025Respiratory</v>
      </c>
    </row>
    <row r="1880" spans="1:4">
      <c r="A1880" s="1">
        <v>45769</v>
      </c>
      <c r="B1880" t="s">
        <v>43</v>
      </c>
      <c r="C1880">
        <v>20</v>
      </c>
      <c r="D1880" t="str">
        <f t="shared" si="29"/>
        <v>22/04/2025General Surgery</v>
      </c>
    </row>
    <row r="1881" spans="1:4">
      <c r="A1881" s="1">
        <v>45769</v>
      </c>
      <c r="B1881" t="s">
        <v>48</v>
      </c>
      <c r="C1881">
        <v>15</v>
      </c>
      <c r="D1881" t="str">
        <f t="shared" si="29"/>
        <v>22/04/2025Orthopaedics</v>
      </c>
    </row>
    <row r="1882" spans="1:4">
      <c r="A1882" s="1">
        <v>45769</v>
      </c>
      <c r="B1882" t="s">
        <v>46</v>
      </c>
      <c r="C1882">
        <v>13</v>
      </c>
      <c r="D1882" t="str">
        <f t="shared" si="29"/>
        <v>22/04/2025Neurology</v>
      </c>
    </row>
    <row r="1883" spans="1:4">
      <c r="A1883" s="1">
        <v>45769</v>
      </c>
      <c r="B1883" t="s">
        <v>47</v>
      </c>
      <c r="C1883">
        <v>17</v>
      </c>
      <c r="D1883" t="str">
        <f t="shared" si="29"/>
        <v>22/04/2025Oncology</v>
      </c>
    </row>
    <row r="1884" spans="1:4">
      <c r="A1884" s="1">
        <v>45769</v>
      </c>
      <c r="B1884" t="s">
        <v>49</v>
      </c>
      <c r="C1884">
        <v>12</v>
      </c>
      <c r="D1884" t="str">
        <f t="shared" si="29"/>
        <v>22/04/2025Paediatrics</v>
      </c>
    </row>
    <row r="1885" spans="1:4">
      <c r="A1885" s="1">
        <v>45769</v>
      </c>
      <c r="B1885" t="s">
        <v>45</v>
      </c>
      <c r="C1885">
        <v>12</v>
      </c>
      <c r="D1885" t="str">
        <f t="shared" si="29"/>
        <v>22/04/2025Maternity</v>
      </c>
    </row>
    <row r="1886" spans="1:4">
      <c r="A1886" s="1">
        <v>45769</v>
      </c>
      <c r="B1886" t="s">
        <v>50</v>
      </c>
      <c r="C1886">
        <v>20</v>
      </c>
      <c r="D1886" t="str">
        <f t="shared" si="29"/>
        <v>22/04/2025Renal Medicine</v>
      </c>
    </row>
    <row r="1887" spans="1:4">
      <c r="A1887" s="1">
        <v>45769</v>
      </c>
      <c r="B1887" t="s">
        <v>42</v>
      </c>
      <c r="C1887">
        <v>11</v>
      </c>
      <c r="D1887" t="str">
        <f t="shared" si="29"/>
        <v>22/04/2025Gastroenterology</v>
      </c>
    </row>
    <row r="1888" spans="1:4">
      <c r="A1888" s="1">
        <v>45769</v>
      </c>
      <c r="B1888" t="s">
        <v>98</v>
      </c>
      <c r="C1888">
        <v>9</v>
      </c>
      <c r="D1888" t="str">
        <f t="shared" si="29"/>
        <v>22/04/2025Endocrinology</v>
      </c>
    </row>
    <row r="1889" spans="1:4">
      <c r="A1889" s="1">
        <v>45769</v>
      </c>
      <c r="B1889" t="s">
        <v>100</v>
      </c>
      <c r="C1889">
        <v>10</v>
      </c>
      <c r="D1889" t="str">
        <f t="shared" si="29"/>
        <v>22/04/2025Urology</v>
      </c>
    </row>
    <row r="1890" spans="1:4">
      <c r="A1890" s="1">
        <v>45769</v>
      </c>
      <c r="B1890" t="s">
        <v>41</v>
      </c>
      <c r="C1890">
        <v>12</v>
      </c>
      <c r="D1890" t="str">
        <f t="shared" si="29"/>
        <v>22/04/2025ENT</v>
      </c>
    </row>
    <row r="1891" spans="1:4">
      <c r="A1891" s="1">
        <v>45769</v>
      </c>
      <c r="B1891" t="s">
        <v>44</v>
      </c>
      <c r="C1891">
        <v>15</v>
      </c>
      <c r="D1891" t="str">
        <f t="shared" si="29"/>
        <v>22/04/2025Geriatrics</v>
      </c>
    </row>
    <row r="1892" spans="1:4">
      <c r="A1892" s="1">
        <v>45770</v>
      </c>
      <c r="B1892" t="s">
        <v>39</v>
      </c>
      <c r="C1892">
        <v>24</v>
      </c>
      <c r="D1892" t="str">
        <f t="shared" si="29"/>
        <v>23/04/2025A&amp;E (Emergency)</v>
      </c>
    </row>
    <row r="1893" spans="1:4">
      <c r="A1893" s="1">
        <v>45770</v>
      </c>
      <c r="B1893" t="s">
        <v>40</v>
      </c>
      <c r="C1893">
        <v>16</v>
      </c>
      <c r="D1893" t="str">
        <f t="shared" si="29"/>
        <v>23/04/2025Cardiology</v>
      </c>
    </row>
    <row r="1894" spans="1:4">
      <c r="A1894" s="1">
        <v>45770</v>
      </c>
      <c r="B1894" t="s">
        <v>51</v>
      </c>
      <c r="C1894">
        <v>13</v>
      </c>
      <c r="D1894" t="str">
        <f t="shared" si="29"/>
        <v>23/04/2025Respiratory</v>
      </c>
    </row>
    <row r="1895" spans="1:4">
      <c r="A1895" s="1">
        <v>45770</v>
      </c>
      <c r="B1895" t="s">
        <v>43</v>
      </c>
      <c r="C1895">
        <v>19</v>
      </c>
      <c r="D1895" t="str">
        <f t="shared" si="29"/>
        <v>23/04/2025General Surgery</v>
      </c>
    </row>
    <row r="1896" spans="1:4">
      <c r="A1896" s="1">
        <v>45770</v>
      </c>
      <c r="B1896" t="s">
        <v>48</v>
      </c>
      <c r="C1896">
        <v>14</v>
      </c>
      <c r="D1896" t="str">
        <f t="shared" si="29"/>
        <v>23/04/2025Orthopaedics</v>
      </c>
    </row>
    <row r="1897" spans="1:4">
      <c r="A1897" s="1">
        <v>45770</v>
      </c>
      <c r="B1897" t="s">
        <v>46</v>
      </c>
      <c r="C1897">
        <v>12</v>
      </c>
      <c r="D1897" t="str">
        <f t="shared" si="29"/>
        <v>23/04/2025Neurology</v>
      </c>
    </row>
    <row r="1898" spans="1:4">
      <c r="A1898" s="1">
        <v>45770</v>
      </c>
      <c r="B1898" t="s">
        <v>47</v>
      </c>
      <c r="C1898">
        <v>16</v>
      </c>
      <c r="D1898" t="str">
        <f t="shared" si="29"/>
        <v>23/04/2025Oncology</v>
      </c>
    </row>
    <row r="1899" spans="1:4">
      <c r="A1899" s="1">
        <v>45770</v>
      </c>
      <c r="B1899" t="s">
        <v>49</v>
      </c>
      <c r="C1899">
        <v>11</v>
      </c>
      <c r="D1899" t="str">
        <f t="shared" si="29"/>
        <v>23/04/2025Paediatrics</v>
      </c>
    </row>
    <row r="1900" spans="1:4">
      <c r="A1900" s="1">
        <v>45770</v>
      </c>
      <c r="B1900" t="s">
        <v>45</v>
      </c>
      <c r="C1900">
        <v>12</v>
      </c>
      <c r="D1900" t="str">
        <f t="shared" si="29"/>
        <v>23/04/2025Maternity</v>
      </c>
    </row>
    <row r="1901" spans="1:4">
      <c r="A1901" s="1">
        <v>45770</v>
      </c>
      <c r="B1901" t="s">
        <v>50</v>
      </c>
      <c r="C1901">
        <v>19</v>
      </c>
      <c r="D1901" t="str">
        <f t="shared" si="29"/>
        <v>23/04/2025Renal Medicine</v>
      </c>
    </row>
    <row r="1902" spans="1:4">
      <c r="A1902" s="1">
        <v>45770</v>
      </c>
      <c r="B1902" t="s">
        <v>42</v>
      </c>
      <c r="C1902">
        <v>10</v>
      </c>
      <c r="D1902" t="str">
        <f t="shared" si="29"/>
        <v>23/04/2025Gastroenterology</v>
      </c>
    </row>
    <row r="1903" spans="1:4">
      <c r="A1903" s="1">
        <v>45770</v>
      </c>
      <c r="B1903" t="s">
        <v>98</v>
      </c>
      <c r="C1903">
        <v>8</v>
      </c>
      <c r="D1903" t="str">
        <f t="shared" si="29"/>
        <v>23/04/2025Endocrinology</v>
      </c>
    </row>
    <row r="1904" spans="1:4">
      <c r="A1904" s="1">
        <v>45770</v>
      </c>
      <c r="B1904" t="s">
        <v>100</v>
      </c>
      <c r="C1904">
        <v>10</v>
      </c>
      <c r="D1904" t="str">
        <f t="shared" si="29"/>
        <v>23/04/2025Urology</v>
      </c>
    </row>
    <row r="1905" spans="1:4">
      <c r="A1905" s="1">
        <v>45770</v>
      </c>
      <c r="B1905" t="s">
        <v>41</v>
      </c>
      <c r="C1905">
        <v>12</v>
      </c>
      <c r="D1905" t="str">
        <f t="shared" si="29"/>
        <v>23/04/2025ENT</v>
      </c>
    </row>
    <row r="1906" spans="1:4">
      <c r="A1906" s="1">
        <v>45770</v>
      </c>
      <c r="B1906" t="s">
        <v>44</v>
      </c>
      <c r="C1906">
        <v>14</v>
      </c>
      <c r="D1906" t="str">
        <f t="shared" si="29"/>
        <v>23/04/2025Geriatrics</v>
      </c>
    </row>
    <row r="1907" spans="1:4">
      <c r="A1907" s="1">
        <v>45771</v>
      </c>
      <c r="B1907" t="s">
        <v>39</v>
      </c>
      <c r="C1907">
        <v>23</v>
      </c>
      <c r="D1907" t="str">
        <f t="shared" si="29"/>
        <v>24/04/2025A&amp;E (Emergency)</v>
      </c>
    </row>
    <row r="1908" spans="1:4">
      <c r="A1908" s="1">
        <v>45771</v>
      </c>
      <c r="B1908" t="s">
        <v>40</v>
      </c>
      <c r="C1908">
        <v>16</v>
      </c>
      <c r="D1908" t="str">
        <f t="shared" si="29"/>
        <v>24/04/2025Cardiology</v>
      </c>
    </row>
    <row r="1909" spans="1:4">
      <c r="A1909" s="1">
        <v>45771</v>
      </c>
      <c r="B1909" t="s">
        <v>51</v>
      </c>
      <c r="C1909">
        <v>13</v>
      </c>
      <c r="D1909" t="str">
        <f t="shared" si="29"/>
        <v>24/04/2025Respiratory</v>
      </c>
    </row>
    <row r="1910" spans="1:4">
      <c r="A1910" s="1">
        <v>45771</v>
      </c>
      <c r="B1910" t="s">
        <v>43</v>
      </c>
      <c r="C1910">
        <v>19</v>
      </c>
      <c r="D1910" t="str">
        <f t="shared" si="29"/>
        <v>24/04/2025General Surgery</v>
      </c>
    </row>
    <row r="1911" spans="1:4">
      <c r="A1911" s="1">
        <v>45771</v>
      </c>
      <c r="B1911" t="s">
        <v>48</v>
      </c>
      <c r="C1911">
        <v>14</v>
      </c>
      <c r="D1911" t="str">
        <f t="shared" si="29"/>
        <v>24/04/2025Orthopaedics</v>
      </c>
    </row>
    <row r="1912" spans="1:4">
      <c r="A1912" s="1">
        <v>45771</v>
      </c>
      <c r="B1912" t="s">
        <v>46</v>
      </c>
      <c r="C1912">
        <v>12</v>
      </c>
      <c r="D1912" t="str">
        <f t="shared" si="29"/>
        <v>24/04/2025Neurology</v>
      </c>
    </row>
    <row r="1913" spans="1:4">
      <c r="A1913" s="1">
        <v>45771</v>
      </c>
      <c r="B1913" t="s">
        <v>47</v>
      </c>
      <c r="C1913">
        <v>16</v>
      </c>
      <c r="D1913" t="str">
        <f t="shared" si="29"/>
        <v>24/04/2025Oncology</v>
      </c>
    </row>
    <row r="1914" spans="1:4">
      <c r="A1914" s="1">
        <v>45771</v>
      </c>
      <c r="B1914" t="s">
        <v>49</v>
      </c>
      <c r="C1914">
        <v>11</v>
      </c>
      <c r="D1914" t="str">
        <f t="shared" si="29"/>
        <v>24/04/2025Paediatrics</v>
      </c>
    </row>
    <row r="1915" spans="1:4">
      <c r="A1915" s="1">
        <v>45771</v>
      </c>
      <c r="B1915" t="s">
        <v>45</v>
      </c>
      <c r="C1915">
        <v>12</v>
      </c>
      <c r="D1915" t="str">
        <f t="shared" si="29"/>
        <v>24/04/2025Maternity</v>
      </c>
    </row>
    <row r="1916" spans="1:4">
      <c r="A1916" s="1">
        <v>45771</v>
      </c>
      <c r="B1916" t="s">
        <v>50</v>
      </c>
      <c r="C1916">
        <v>19</v>
      </c>
      <c r="D1916" t="str">
        <f t="shared" si="29"/>
        <v>24/04/2025Renal Medicine</v>
      </c>
    </row>
    <row r="1917" spans="1:4">
      <c r="A1917" s="1">
        <v>45771</v>
      </c>
      <c r="B1917" t="s">
        <v>42</v>
      </c>
      <c r="C1917">
        <v>10</v>
      </c>
      <c r="D1917" t="str">
        <f t="shared" si="29"/>
        <v>24/04/2025Gastroenterology</v>
      </c>
    </row>
    <row r="1918" spans="1:4">
      <c r="A1918" s="1">
        <v>45771</v>
      </c>
      <c r="B1918" t="s">
        <v>98</v>
      </c>
      <c r="C1918">
        <v>8</v>
      </c>
      <c r="D1918" t="str">
        <f t="shared" si="29"/>
        <v>24/04/2025Endocrinology</v>
      </c>
    </row>
    <row r="1919" spans="1:4">
      <c r="A1919" s="1">
        <v>45771</v>
      </c>
      <c r="B1919" t="s">
        <v>100</v>
      </c>
      <c r="C1919">
        <v>10</v>
      </c>
      <c r="D1919" t="str">
        <f t="shared" si="29"/>
        <v>24/04/2025Urology</v>
      </c>
    </row>
    <row r="1920" spans="1:4">
      <c r="A1920" s="1">
        <v>45771</v>
      </c>
      <c r="B1920" t="s">
        <v>41</v>
      </c>
      <c r="C1920">
        <v>12</v>
      </c>
      <c r="D1920" t="str">
        <f t="shared" si="29"/>
        <v>24/04/2025ENT</v>
      </c>
    </row>
    <row r="1921" spans="1:4">
      <c r="A1921" s="1">
        <v>45771</v>
      </c>
      <c r="B1921" t="s">
        <v>44</v>
      </c>
      <c r="C1921">
        <v>14</v>
      </c>
      <c r="D1921" t="str">
        <f t="shared" si="29"/>
        <v>24/04/2025Geriatrics</v>
      </c>
    </row>
    <row r="1922" spans="1:4">
      <c r="A1922" s="1">
        <v>45772</v>
      </c>
      <c r="B1922" t="s">
        <v>39</v>
      </c>
      <c r="C1922">
        <v>22</v>
      </c>
      <c r="D1922" t="str">
        <f t="shared" si="29"/>
        <v>25/04/2025A&amp;E (Emergency)</v>
      </c>
    </row>
    <row r="1923" spans="1:4">
      <c r="A1923" s="1">
        <v>45772</v>
      </c>
      <c r="B1923" t="s">
        <v>40</v>
      </c>
      <c r="C1923">
        <v>15</v>
      </c>
      <c r="D1923" t="str">
        <f t="shared" ref="D1923:D1986" si="30">TEXT(A1923, "dd/mm/yyyy")&amp;B1923</f>
        <v>25/04/2025Cardiology</v>
      </c>
    </row>
    <row r="1924" spans="1:4">
      <c r="A1924" s="1">
        <v>45772</v>
      </c>
      <c r="B1924" t="s">
        <v>51</v>
      </c>
      <c r="C1924">
        <v>12</v>
      </c>
      <c r="D1924" t="str">
        <f t="shared" si="30"/>
        <v>25/04/2025Respiratory</v>
      </c>
    </row>
    <row r="1925" spans="1:4">
      <c r="A1925" s="1">
        <v>45772</v>
      </c>
      <c r="B1925" t="s">
        <v>43</v>
      </c>
      <c r="C1925">
        <v>18</v>
      </c>
      <c r="D1925" t="str">
        <f t="shared" si="30"/>
        <v>25/04/2025General Surgery</v>
      </c>
    </row>
    <row r="1926" spans="1:4">
      <c r="A1926" s="1">
        <v>45772</v>
      </c>
      <c r="B1926" t="s">
        <v>48</v>
      </c>
      <c r="C1926">
        <v>13</v>
      </c>
      <c r="D1926" t="str">
        <f t="shared" si="30"/>
        <v>25/04/2025Orthopaedics</v>
      </c>
    </row>
    <row r="1927" spans="1:4">
      <c r="A1927" s="1">
        <v>45772</v>
      </c>
      <c r="B1927" t="s">
        <v>46</v>
      </c>
      <c r="C1927">
        <v>11</v>
      </c>
      <c r="D1927" t="str">
        <f t="shared" si="30"/>
        <v>25/04/2025Neurology</v>
      </c>
    </row>
    <row r="1928" spans="1:4">
      <c r="A1928" s="1">
        <v>45772</v>
      </c>
      <c r="B1928" t="s">
        <v>47</v>
      </c>
      <c r="C1928">
        <v>15</v>
      </c>
      <c r="D1928" t="str">
        <f t="shared" si="30"/>
        <v>25/04/2025Oncology</v>
      </c>
    </row>
    <row r="1929" spans="1:4">
      <c r="A1929" s="1">
        <v>45772</v>
      </c>
      <c r="B1929" t="s">
        <v>49</v>
      </c>
      <c r="C1929">
        <v>10</v>
      </c>
      <c r="D1929" t="str">
        <f t="shared" si="30"/>
        <v>25/04/2025Paediatrics</v>
      </c>
    </row>
    <row r="1930" spans="1:4">
      <c r="A1930" s="1">
        <v>45772</v>
      </c>
      <c r="B1930" t="s">
        <v>45</v>
      </c>
      <c r="C1930">
        <v>11</v>
      </c>
      <c r="D1930" t="str">
        <f t="shared" si="30"/>
        <v>25/04/2025Maternity</v>
      </c>
    </row>
    <row r="1931" spans="1:4">
      <c r="A1931" s="1">
        <v>45772</v>
      </c>
      <c r="B1931" t="s">
        <v>50</v>
      </c>
      <c r="C1931">
        <v>18</v>
      </c>
      <c r="D1931" t="str">
        <f t="shared" si="30"/>
        <v>25/04/2025Renal Medicine</v>
      </c>
    </row>
    <row r="1932" spans="1:4">
      <c r="A1932" s="1">
        <v>45772</v>
      </c>
      <c r="B1932" t="s">
        <v>42</v>
      </c>
      <c r="C1932">
        <v>9</v>
      </c>
      <c r="D1932" t="str">
        <f t="shared" si="30"/>
        <v>25/04/2025Gastroenterology</v>
      </c>
    </row>
    <row r="1933" spans="1:4">
      <c r="A1933" s="1">
        <v>45772</v>
      </c>
      <c r="B1933" t="s">
        <v>98</v>
      </c>
      <c r="C1933">
        <v>7</v>
      </c>
      <c r="D1933" t="str">
        <f t="shared" si="30"/>
        <v>25/04/2025Endocrinology</v>
      </c>
    </row>
    <row r="1934" spans="1:4">
      <c r="A1934" s="1">
        <v>45772</v>
      </c>
      <c r="B1934" t="s">
        <v>100</v>
      </c>
      <c r="C1934">
        <v>9</v>
      </c>
      <c r="D1934" t="str">
        <f t="shared" si="30"/>
        <v>25/04/2025Urology</v>
      </c>
    </row>
    <row r="1935" spans="1:4">
      <c r="A1935" s="1">
        <v>45772</v>
      </c>
      <c r="B1935" t="s">
        <v>41</v>
      </c>
      <c r="C1935">
        <v>11</v>
      </c>
      <c r="D1935" t="str">
        <f t="shared" si="30"/>
        <v>25/04/2025ENT</v>
      </c>
    </row>
    <row r="1936" spans="1:4">
      <c r="A1936" s="1">
        <v>45772</v>
      </c>
      <c r="B1936" t="s">
        <v>44</v>
      </c>
      <c r="C1936">
        <v>13</v>
      </c>
      <c r="D1936" t="str">
        <f t="shared" si="30"/>
        <v>25/04/2025Geriatrics</v>
      </c>
    </row>
    <row r="1937" spans="1:4">
      <c r="A1937" s="1">
        <v>45773</v>
      </c>
      <c r="B1937" t="s">
        <v>39</v>
      </c>
      <c r="C1937">
        <v>20</v>
      </c>
      <c r="D1937" t="str">
        <f t="shared" si="30"/>
        <v>26/04/2025A&amp;E (Emergency)</v>
      </c>
    </row>
    <row r="1938" spans="1:4">
      <c r="A1938" s="1">
        <v>45773</v>
      </c>
      <c r="B1938" t="s">
        <v>40</v>
      </c>
      <c r="C1938">
        <v>12</v>
      </c>
      <c r="D1938" t="str">
        <f t="shared" si="30"/>
        <v>26/04/2025Cardiology</v>
      </c>
    </row>
    <row r="1939" spans="1:4">
      <c r="A1939" s="1">
        <v>45773</v>
      </c>
      <c r="B1939" t="s">
        <v>51</v>
      </c>
      <c r="C1939">
        <v>9</v>
      </c>
      <c r="D1939" t="str">
        <f t="shared" si="30"/>
        <v>26/04/2025Respiratory</v>
      </c>
    </row>
    <row r="1940" spans="1:4">
      <c r="A1940" s="1">
        <v>45773</v>
      </c>
      <c r="B1940" t="s">
        <v>43</v>
      </c>
      <c r="C1940">
        <v>15</v>
      </c>
      <c r="D1940" t="str">
        <f t="shared" si="30"/>
        <v>26/04/2025General Surgery</v>
      </c>
    </row>
    <row r="1941" spans="1:4">
      <c r="A1941" s="1">
        <v>45773</v>
      </c>
      <c r="B1941" t="s">
        <v>48</v>
      </c>
      <c r="C1941">
        <v>11</v>
      </c>
      <c r="D1941" t="str">
        <f t="shared" si="30"/>
        <v>26/04/2025Orthopaedics</v>
      </c>
    </row>
    <row r="1942" spans="1:4">
      <c r="A1942" s="1">
        <v>45773</v>
      </c>
      <c r="B1942" t="s">
        <v>46</v>
      </c>
      <c r="C1942">
        <v>9</v>
      </c>
      <c r="D1942" t="str">
        <f t="shared" si="30"/>
        <v>26/04/2025Neurology</v>
      </c>
    </row>
    <row r="1943" spans="1:4">
      <c r="A1943" s="1">
        <v>45773</v>
      </c>
      <c r="B1943" t="s">
        <v>47</v>
      </c>
      <c r="C1943">
        <v>13</v>
      </c>
      <c r="D1943" t="str">
        <f t="shared" si="30"/>
        <v>26/04/2025Oncology</v>
      </c>
    </row>
    <row r="1944" spans="1:4">
      <c r="A1944" s="1">
        <v>45773</v>
      </c>
      <c r="B1944" t="s">
        <v>49</v>
      </c>
      <c r="C1944">
        <v>9</v>
      </c>
      <c r="D1944" t="str">
        <f t="shared" si="30"/>
        <v>26/04/2025Paediatrics</v>
      </c>
    </row>
    <row r="1945" spans="1:4">
      <c r="A1945" s="1">
        <v>45773</v>
      </c>
      <c r="B1945" t="s">
        <v>45</v>
      </c>
      <c r="C1945">
        <v>10</v>
      </c>
      <c r="D1945" t="str">
        <f t="shared" si="30"/>
        <v>26/04/2025Maternity</v>
      </c>
    </row>
    <row r="1946" spans="1:4">
      <c r="A1946" s="1">
        <v>45773</v>
      </c>
      <c r="B1946" t="s">
        <v>50</v>
      </c>
      <c r="C1946">
        <v>17</v>
      </c>
      <c r="D1946" t="str">
        <f t="shared" si="30"/>
        <v>26/04/2025Renal Medicine</v>
      </c>
    </row>
    <row r="1947" spans="1:4">
      <c r="A1947" s="1">
        <v>45773</v>
      </c>
      <c r="B1947" t="s">
        <v>42</v>
      </c>
      <c r="C1947">
        <v>7</v>
      </c>
      <c r="D1947" t="str">
        <f t="shared" si="30"/>
        <v>26/04/2025Gastroenterology</v>
      </c>
    </row>
    <row r="1948" spans="1:4">
      <c r="A1948" s="1">
        <v>45773</v>
      </c>
      <c r="B1948" t="s">
        <v>98</v>
      </c>
      <c r="C1948">
        <v>6</v>
      </c>
      <c r="D1948" t="str">
        <f t="shared" si="30"/>
        <v>26/04/2025Endocrinology</v>
      </c>
    </row>
    <row r="1949" spans="1:4">
      <c r="A1949" s="1">
        <v>45773</v>
      </c>
      <c r="B1949" t="s">
        <v>100</v>
      </c>
      <c r="C1949">
        <v>8</v>
      </c>
      <c r="D1949" t="str">
        <f t="shared" si="30"/>
        <v>26/04/2025Urology</v>
      </c>
    </row>
    <row r="1950" spans="1:4">
      <c r="A1950" s="1">
        <v>45773</v>
      </c>
      <c r="B1950" t="s">
        <v>41</v>
      </c>
      <c r="C1950">
        <v>10</v>
      </c>
      <c r="D1950" t="str">
        <f t="shared" si="30"/>
        <v>26/04/2025ENT</v>
      </c>
    </row>
    <row r="1951" spans="1:4">
      <c r="A1951" s="1">
        <v>45773</v>
      </c>
      <c r="B1951" t="s">
        <v>44</v>
      </c>
      <c r="C1951">
        <v>12</v>
      </c>
      <c r="D1951" t="str">
        <f t="shared" si="30"/>
        <v>26/04/2025Geriatrics</v>
      </c>
    </row>
    <row r="1952" spans="1:4">
      <c r="A1952" s="1">
        <v>45774</v>
      </c>
      <c r="B1952" t="s">
        <v>39</v>
      </c>
      <c r="C1952">
        <v>19</v>
      </c>
      <c r="D1952" t="str">
        <f t="shared" si="30"/>
        <v>27/04/2025A&amp;E (Emergency)</v>
      </c>
    </row>
    <row r="1953" spans="1:4">
      <c r="A1953" s="1">
        <v>45774</v>
      </c>
      <c r="B1953" t="s">
        <v>40</v>
      </c>
      <c r="C1953">
        <v>11</v>
      </c>
      <c r="D1953" t="str">
        <f t="shared" si="30"/>
        <v>27/04/2025Cardiology</v>
      </c>
    </row>
    <row r="1954" spans="1:4">
      <c r="A1954" s="1">
        <v>45774</v>
      </c>
      <c r="B1954" t="s">
        <v>51</v>
      </c>
      <c r="C1954">
        <v>9</v>
      </c>
      <c r="D1954" t="str">
        <f t="shared" si="30"/>
        <v>27/04/2025Respiratory</v>
      </c>
    </row>
    <row r="1955" spans="1:4">
      <c r="A1955" s="1">
        <v>45774</v>
      </c>
      <c r="B1955" t="s">
        <v>43</v>
      </c>
      <c r="C1955">
        <v>14</v>
      </c>
      <c r="D1955" t="str">
        <f t="shared" si="30"/>
        <v>27/04/2025General Surgery</v>
      </c>
    </row>
    <row r="1956" spans="1:4">
      <c r="A1956" s="1">
        <v>45774</v>
      </c>
      <c r="B1956" t="s">
        <v>48</v>
      </c>
      <c r="C1956">
        <v>10</v>
      </c>
      <c r="D1956" t="str">
        <f t="shared" si="30"/>
        <v>27/04/2025Orthopaedics</v>
      </c>
    </row>
    <row r="1957" spans="1:4">
      <c r="A1957" s="1">
        <v>45774</v>
      </c>
      <c r="B1957" t="s">
        <v>46</v>
      </c>
      <c r="C1957">
        <v>9</v>
      </c>
      <c r="D1957" t="str">
        <f t="shared" si="30"/>
        <v>27/04/2025Neurology</v>
      </c>
    </row>
    <row r="1958" spans="1:4">
      <c r="A1958" s="1">
        <v>45774</v>
      </c>
      <c r="B1958" t="s">
        <v>47</v>
      </c>
      <c r="C1958">
        <v>12</v>
      </c>
      <c r="D1958" t="str">
        <f t="shared" si="30"/>
        <v>27/04/2025Oncology</v>
      </c>
    </row>
    <row r="1959" spans="1:4">
      <c r="A1959" s="1">
        <v>45774</v>
      </c>
      <c r="B1959" t="s">
        <v>49</v>
      </c>
      <c r="C1959">
        <v>8</v>
      </c>
      <c r="D1959" t="str">
        <f t="shared" si="30"/>
        <v>27/04/2025Paediatrics</v>
      </c>
    </row>
    <row r="1960" spans="1:4">
      <c r="A1960" s="1">
        <v>45774</v>
      </c>
      <c r="B1960" t="s">
        <v>45</v>
      </c>
      <c r="C1960">
        <v>9</v>
      </c>
      <c r="D1960" t="str">
        <f t="shared" si="30"/>
        <v>27/04/2025Maternity</v>
      </c>
    </row>
    <row r="1961" spans="1:4">
      <c r="A1961" s="1">
        <v>45774</v>
      </c>
      <c r="B1961" t="s">
        <v>50</v>
      </c>
      <c r="C1961">
        <v>17</v>
      </c>
      <c r="D1961" t="str">
        <f t="shared" si="30"/>
        <v>27/04/2025Renal Medicine</v>
      </c>
    </row>
    <row r="1962" spans="1:4">
      <c r="A1962" s="1">
        <v>45774</v>
      </c>
      <c r="B1962" t="s">
        <v>42</v>
      </c>
      <c r="C1962">
        <v>7</v>
      </c>
      <c r="D1962" t="str">
        <f t="shared" si="30"/>
        <v>27/04/2025Gastroenterology</v>
      </c>
    </row>
    <row r="1963" spans="1:4">
      <c r="A1963" s="1">
        <v>45774</v>
      </c>
      <c r="B1963" t="s">
        <v>98</v>
      </c>
      <c r="C1963">
        <v>6</v>
      </c>
      <c r="D1963" t="str">
        <f t="shared" si="30"/>
        <v>27/04/2025Endocrinology</v>
      </c>
    </row>
    <row r="1964" spans="1:4">
      <c r="A1964" s="1">
        <v>45774</v>
      </c>
      <c r="B1964" t="s">
        <v>100</v>
      </c>
      <c r="C1964">
        <v>8</v>
      </c>
      <c r="D1964" t="str">
        <f t="shared" si="30"/>
        <v>27/04/2025Urology</v>
      </c>
    </row>
    <row r="1965" spans="1:4">
      <c r="A1965" s="1">
        <v>45774</v>
      </c>
      <c r="B1965" t="s">
        <v>41</v>
      </c>
      <c r="C1965">
        <v>10</v>
      </c>
      <c r="D1965" t="str">
        <f t="shared" si="30"/>
        <v>27/04/2025ENT</v>
      </c>
    </row>
    <row r="1966" spans="1:4">
      <c r="A1966" s="1">
        <v>45774</v>
      </c>
      <c r="B1966" t="s">
        <v>44</v>
      </c>
      <c r="C1966">
        <v>12</v>
      </c>
      <c r="D1966" t="str">
        <f t="shared" si="30"/>
        <v>27/04/2025Geriatrics</v>
      </c>
    </row>
    <row r="1967" spans="1:4">
      <c r="A1967" s="1">
        <v>45775</v>
      </c>
      <c r="B1967" t="s">
        <v>39</v>
      </c>
      <c r="C1967">
        <v>28</v>
      </c>
      <c r="D1967" t="str">
        <f t="shared" si="30"/>
        <v>28/04/2025A&amp;E (Emergency)</v>
      </c>
    </row>
    <row r="1968" spans="1:4">
      <c r="A1968" s="1">
        <v>45775</v>
      </c>
      <c r="B1968" t="s">
        <v>40</v>
      </c>
      <c r="C1968">
        <v>18</v>
      </c>
      <c r="D1968" t="str">
        <f t="shared" si="30"/>
        <v>28/04/2025Cardiology</v>
      </c>
    </row>
    <row r="1969" spans="1:4">
      <c r="A1969" s="1">
        <v>45775</v>
      </c>
      <c r="B1969" t="s">
        <v>51</v>
      </c>
      <c r="C1969">
        <v>15</v>
      </c>
      <c r="D1969" t="str">
        <f t="shared" si="30"/>
        <v>28/04/2025Respiratory</v>
      </c>
    </row>
    <row r="1970" spans="1:4">
      <c r="A1970" s="1">
        <v>45775</v>
      </c>
      <c r="B1970" t="s">
        <v>43</v>
      </c>
      <c r="C1970">
        <v>22</v>
      </c>
      <c r="D1970" t="str">
        <f t="shared" si="30"/>
        <v>28/04/2025General Surgery</v>
      </c>
    </row>
    <row r="1971" spans="1:4">
      <c r="A1971" s="1">
        <v>45775</v>
      </c>
      <c r="B1971" t="s">
        <v>48</v>
      </c>
      <c r="C1971">
        <v>16</v>
      </c>
      <c r="D1971" t="str">
        <f t="shared" si="30"/>
        <v>28/04/2025Orthopaedics</v>
      </c>
    </row>
    <row r="1972" spans="1:4">
      <c r="A1972" s="1">
        <v>45775</v>
      </c>
      <c r="B1972" t="s">
        <v>46</v>
      </c>
      <c r="C1972">
        <v>14</v>
      </c>
      <c r="D1972" t="str">
        <f t="shared" si="30"/>
        <v>28/04/2025Neurology</v>
      </c>
    </row>
    <row r="1973" spans="1:4">
      <c r="A1973" s="1">
        <v>45775</v>
      </c>
      <c r="B1973" t="s">
        <v>47</v>
      </c>
      <c r="C1973">
        <v>18</v>
      </c>
      <c r="D1973" t="str">
        <f t="shared" si="30"/>
        <v>28/04/2025Oncology</v>
      </c>
    </row>
    <row r="1974" spans="1:4">
      <c r="A1974" s="1">
        <v>45775</v>
      </c>
      <c r="B1974" t="s">
        <v>49</v>
      </c>
      <c r="C1974">
        <v>13</v>
      </c>
      <c r="D1974" t="str">
        <f t="shared" si="30"/>
        <v>28/04/2025Paediatrics</v>
      </c>
    </row>
    <row r="1975" spans="1:4">
      <c r="A1975" s="1">
        <v>45775</v>
      </c>
      <c r="B1975" t="s">
        <v>45</v>
      </c>
      <c r="C1975">
        <v>13</v>
      </c>
      <c r="D1975" t="str">
        <f t="shared" si="30"/>
        <v>28/04/2025Maternity</v>
      </c>
    </row>
    <row r="1976" spans="1:4">
      <c r="A1976" s="1">
        <v>45775</v>
      </c>
      <c r="B1976" t="s">
        <v>50</v>
      </c>
      <c r="C1976">
        <v>21</v>
      </c>
      <c r="D1976" t="str">
        <f t="shared" si="30"/>
        <v>28/04/2025Renal Medicine</v>
      </c>
    </row>
    <row r="1977" spans="1:4">
      <c r="A1977" s="1">
        <v>45775</v>
      </c>
      <c r="B1977" t="s">
        <v>42</v>
      </c>
      <c r="C1977">
        <v>12</v>
      </c>
      <c r="D1977" t="str">
        <f t="shared" si="30"/>
        <v>28/04/2025Gastroenterology</v>
      </c>
    </row>
    <row r="1978" spans="1:4">
      <c r="A1978" s="1">
        <v>45775</v>
      </c>
      <c r="B1978" t="s">
        <v>98</v>
      </c>
      <c r="C1978">
        <v>10</v>
      </c>
      <c r="D1978" t="str">
        <f t="shared" si="30"/>
        <v>28/04/2025Endocrinology</v>
      </c>
    </row>
    <row r="1979" spans="1:4">
      <c r="A1979" s="1">
        <v>45775</v>
      </c>
      <c r="B1979" t="s">
        <v>100</v>
      </c>
      <c r="C1979">
        <v>11</v>
      </c>
      <c r="D1979" t="str">
        <f t="shared" si="30"/>
        <v>28/04/2025Urology</v>
      </c>
    </row>
    <row r="1980" spans="1:4">
      <c r="A1980" s="1">
        <v>45775</v>
      </c>
      <c r="B1980" t="s">
        <v>41</v>
      </c>
      <c r="C1980">
        <v>13</v>
      </c>
      <c r="D1980" t="str">
        <f t="shared" si="30"/>
        <v>28/04/2025ENT</v>
      </c>
    </row>
    <row r="1981" spans="1:4">
      <c r="A1981" s="1">
        <v>45775</v>
      </c>
      <c r="B1981" t="s">
        <v>44</v>
      </c>
      <c r="C1981">
        <v>16</v>
      </c>
      <c r="D1981" t="str">
        <f t="shared" si="30"/>
        <v>28/04/2025Geriatrics</v>
      </c>
    </row>
    <row r="1982" spans="1:4">
      <c r="A1982" s="1">
        <v>45776</v>
      </c>
      <c r="B1982" t="s">
        <v>39</v>
      </c>
      <c r="C1982">
        <v>25</v>
      </c>
      <c r="D1982" t="str">
        <f t="shared" si="30"/>
        <v>29/04/2025A&amp;E (Emergency)</v>
      </c>
    </row>
    <row r="1983" spans="1:4">
      <c r="A1983" s="1">
        <v>45776</v>
      </c>
      <c r="B1983" t="s">
        <v>40</v>
      </c>
      <c r="C1983">
        <v>17</v>
      </c>
      <c r="D1983" t="str">
        <f t="shared" si="30"/>
        <v>29/04/2025Cardiology</v>
      </c>
    </row>
    <row r="1984" spans="1:4">
      <c r="A1984" s="1">
        <v>45776</v>
      </c>
      <c r="B1984" t="s">
        <v>51</v>
      </c>
      <c r="C1984">
        <v>14</v>
      </c>
      <c r="D1984" t="str">
        <f t="shared" si="30"/>
        <v>29/04/2025Respiratory</v>
      </c>
    </row>
    <row r="1985" spans="1:4">
      <c r="A1985" s="1">
        <v>45776</v>
      </c>
      <c r="B1985" t="s">
        <v>43</v>
      </c>
      <c r="C1985">
        <v>20</v>
      </c>
      <c r="D1985" t="str">
        <f t="shared" si="30"/>
        <v>29/04/2025General Surgery</v>
      </c>
    </row>
    <row r="1986" spans="1:4">
      <c r="A1986" s="1">
        <v>45776</v>
      </c>
      <c r="B1986" t="s">
        <v>48</v>
      </c>
      <c r="C1986">
        <v>15</v>
      </c>
      <c r="D1986" t="str">
        <f t="shared" si="30"/>
        <v>29/04/2025Orthopaedics</v>
      </c>
    </row>
    <row r="1987" spans="1:4">
      <c r="A1987" s="1">
        <v>45776</v>
      </c>
      <c r="B1987" t="s">
        <v>46</v>
      </c>
      <c r="C1987">
        <v>13</v>
      </c>
      <c r="D1987" t="str">
        <f t="shared" ref="D1987:D2050" si="31">TEXT(A1987, "dd/mm/yyyy")&amp;B1987</f>
        <v>29/04/2025Neurology</v>
      </c>
    </row>
    <row r="1988" spans="1:4">
      <c r="A1988" s="1">
        <v>45776</v>
      </c>
      <c r="B1988" t="s">
        <v>47</v>
      </c>
      <c r="C1988">
        <v>17</v>
      </c>
      <c r="D1988" t="str">
        <f t="shared" si="31"/>
        <v>29/04/2025Oncology</v>
      </c>
    </row>
    <row r="1989" spans="1:4">
      <c r="A1989" s="1">
        <v>45776</v>
      </c>
      <c r="B1989" t="s">
        <v>49</v>
      </c>
      <c r="C1989">
        <v>12</v>
      </c>
      <c r="D1989" t="str">
        <f t="shared" si="31"/>
        <v>29/04/2025Paediatrics</v>
      </c>
    </row>
    <row r="1990" spans="1:4">
      <c r="A1990" s="1">
        <v>45776</v>
      </c>
      <c r="B1990" t="s">
        <v>45</v>
      </c>
      <c r="C1990">
        <v>12</v>
      </c>
      <c r="D1990" t="str">
        <f t="shared" si="31"/>
        <v>29/04/2025Maternity</v>
      </c>
    </row>
    <row r="1991" spans="1:4">
      <c r="A1991" s="1">
        <v>45776</v>
      </c>
      <c r="B1991" t="s">
        <v>50</v>
      </c>
      <c r="C1991">
        <v>20</v>
      </c>
      <c r="D1991" t="str">
        <f t="shared" si="31"/>
        <v>29/04/2025Renal Medicine</v>
      </c>
    </row>
    <row r="1992" spans="1:4">
      <c r="A1992" s="1">
        <v>45776</v>
      </c>
      <c r="B1992" t="s">
        <v>42</v>
      </c>
      <c r="C1992">
        <v>11</v>
      </c>
      <c r="D1992" t="str">
        <f t="shared" si="31"/>
        <v>29/04/2025Gastroenterology</v>
      </c>
    </row>
    <row r="1993" spans="1:4">
      <c r="A1993" s="1">
        <v>45776</v>
      </c>
      <c r="B1993" t="s">
        <v>98</v>
      </c>
      <c r="C1993">
        <v>9</v>
      </c>
      <c r="D1993" t="str">
        <f t="shared" si="31"/>
        <v>29/04/2025Endocrinology</v>
      </c>
    </row>
    <row r="1994" spans="1:4">
      <c r="A1994" s="1">
        <v>45776</v>
      </c>
      <c r="B1994" t="s">
        <v>100</v>
      </c>
      <c r="C1994">
        <v>10</v>
      </c>
      <c r="D1994" t="str">
        <f t="shared" si="31"/>
        <v>29/04/2025Urology</v>
      </c>
    </row>
    <row r="1995" spans="1:4">
      <c r="A1995" s="1">
        <v>45776</v>
      </c>
      <c r="B1995" t="s">
        <v>41</v>
      </c>
      <c r="C1995">
        <v>12</v>
      </c>
      <c r="D1995" t="str">
        <f t="shared" si="31"/>
        <v>29/04/2025ENT</v>
      </c>
    </row>
    <row r="1996" spans="1:4">
      <c r="A1996" s="1">
        <v>45776</v>
      </c>
      <c r="B1996" t="s">
        <v>44</v>
      </c>
      <c r="C1996">
        <v>15</v>
      </c>
      <c r="D1996" t="str">
        <f t="shared" si="31"/>
        <v>29/04/2025Geriatrics</v>
      </c>
    </row>
    <row r="1997" spans="1:4">
      <c r="A1997" s="1">
        <v>45777</v>
      </c>
      <c r="B1997" t="s">
        <v>39</v>
      </c>
      <c r="C1997">
        <v>24</v>
      </c>
      <c r="D1997" t="str">
        <f t="shared" si="31"/>
        <v>30/04/2025A&amp;E (Emergency)</v>
      </c>
    </row>
    <row r="1998" spans="1:4">
      <c r="A1998" s="1">
        <v>45777</v>
      </c>
      <c r="B1998" t="s">
        <v>40</v>
      </c>
      <c r="C1998">
        <v>16</v>
      </c>
      <c r="D1998" t="str">
        <f t="shared" si="31"/>
        <v>30/04/2025Cardiology</v>
      </c>
    </row>
    <row r="1999" spans="1:4">
      <c r="A1999" s="1">
        <v>45777</v>
      </c>
      <c r="B1999" t="s">
        <v>51</v>
      </c>
      <c r="C1999">
        <v>13</v>
      </c>
      <c r="D1999" t="str">
        <f t="shared" si="31"/>
        <v>30/04/2025Respiratory</v>
      </c>
    </row>
    <row r="2000" spans="1:4">
      <c r="A2000" s="1">
        <v>45777</v>
      </c>
      <c r="B2000" t="s">
        <v>43</v>
      </c>
      <c r="C2000">
        <v>19</v>
      </c>
      <c r="D2000" t="str">
        <f t="shared" si="31"/>
        <v>30/04/2025General Surgery</v>
      </c>
    </row>
    <row r="2001" spans="1:4">
      <c r="A2001" s="1">
        <v>45777</v>
      </c>
      <c r="B2001" t="s">
        <v>48</v>
      </c>
      <c r="C2001">
        <v>14</v>
      </c>
      <c r="D2001" t="str">
        <f t="shared" si="31"/>
        <v>30/04/2025Orthopaedics</v>
      </c>
    </row>
    <row r="2002" spans="1:4">
      <c r="A2002" s="1">
        <v>45777</v>
      </c>
      <c r="B2002" t="s">
        <v>46</v>
      </c>
      <c r="C2002">
        <v>12</v>
      </c>
      <c r="D2002" t="str">
        <f t="shared" si="31"/>
        <v>30/04/2025Neurology</v>
      </c>
    </row>
    <row r="2003" spans="1:4">
      <c r="A2003" s="1">
        <v>45777</v>
      </c>
      <c r="B2003" t="s">
        <v>47</v>
      </c>
      <c r="C2003">
        <v>16</v>
      </c>
      <c r="D2003" t="str">
        <f t="shared" si="31"/>
        <v>30/04/2025Oncology</v>
      </c>
    </row>
    <row r="2004" spans="1:4">
      <c r="A2004" s="1">
        <v>45777</v>
      </c>
      <c r="B2004" t="s">
        <v>49</v>
      </c>
      <c r="C2004">
        <v>11</v>
      </c>
      <c r="D2004" t="str">
        <f t="shared" si="31"/>
        <v>30/04/2025Paediatrics</v>
      </c>
    </row>
    <row r="2005" spans="1:4">
      <c r="A2005" s="1">
        <v>45777</v>
      </c>
      <c r="B2005" t="s">
        <v>45</v>
      </c>
      <c r="C2005">
        <v>12</v>
      </c>
      <c r="D2005" t="str">
        <f t="shared" si="31"/>
        <v>30/04/2025Maternity</v>
      </c>
    </row>
    <row r="2006" spans="1:4">
      <c r="A2006" s="1">
        <v>45777</v>
      </c>
      <c r="B2006" t="s">
        <v>50</v>
      </c>
      <c r="C2006">
        <v>19</v>
      </c>
      <c r="D2006" t="str">
        <f t="shared" si="31"/>
        <v>30/04/2025Renal Medicine</v>
      </c>
    </row>
    <row r="2007" spans="1:4">
      <c r="A2007" s="1">
        <v>45777</v>
      </c>
      <c r="B2007" t="s">
        <v>42</v>
      </c>
      <c r="C2007">
        <v>10</v>
      </c>
      <c r="D2007" t="str">
        <f t="shared" si="31"/>
        <v>30/04/2025Gastroenterology</v>
      </c>
    </row>
    <row r="2008" spans="1:4">
      <c r="A2008" s="1">
        <v>45777</v>
      </c>
      <c r="B2008" t="s">
        <v>98</v>
      </c>
      <c r="C2008">
        <v>8</v>
      </c>
      <c r="D2008" t="str">
        <f t="shared" si="31"/>
        <v>30/04/2025Endocrinology</v>
      </c>
    </row>
    <row r="2009" spans="1:4">
      <c r="A2009" s="1">
        <v>45777</v>
      </c>
      <c r="B2009" t="s">
        <v>100</v>
      </c>
      <c r="C2009">
        <v>10</v>
      </c>
      <c r="D2009" t="str">
        <f t="shared" si="31"/>
        <v>30/04/2025Urology</v>
      </c>
    </row>
    <row r="2010" spans="1:4">
      <c r="A2010" s="1">
        <v>45777</v>
      </c>
      <c r="B2010" t="s">
        <v>41</v>
      </c>
      <c r="C2010">
        <v>12</v>
      </c>
      <c r="D2010" t="str">
        <f t="shared" si="31"/>
        <v>30/04/2025ENT</v>
      </c>
    </row>
    <row r="2011" spans="1:4">
      <c r="A2011" s="1">
        <v>45777</v>
      </c>
      <c r="B2011" t="s">
        <v>44</v>
      </c>
      <c r="C2011">
        <v>14</v>
      </c>
      <c r="D2011" t="str">
        <f t="shared" si="31"/>
        <v>30/04/2025Geriatrics</v>
      </c>
    </row>
    <row r="2012" spans="1:4">
      <c r="A2012" s="1">
        <v>45778</v>
      </c>
      <c r="B2012" t="s">
        <v>39</v>
      </c>
      <c r="C2012">
        <v>23</v>
      </c>
      <c r="D2012" t="str">
        <f t="shared" si="31"/>
        <v>01/05/2025A&amp;E (Emergency)</v>
      </c>
    </row>
    <row r="2013" spans="1:4">
      <c r="A2013" s="1">
        <v>45778</v>
      </c>
      <c r="B2013" t="s">
        <v>40</v>
      </c>
      <c r="C2013">
        <v>16</v>
      </c>
      <c r="D2013" t="str">
        <f t="shared" si="31"/>
        <v>01/05/2025Cardiology</v>
      </c>
    </row>
    <row r="2014" spans="1:4">
      <c r="A2014" s="1">
        <v>45778</v>
      </c>
      <c r="B2014" t="s">
        <v>51</v>
      </c>
      <c r="C2014">
        <v>13</v>
      </c>
      <c r="D2014" t="str">
        <f t="shared" si="31"/>
        <v>01/05/2025Respiratory</v>
      </c>
    </row>
    <row r="2015" spans="1:4">
      <c r="A2015" s="1">
        <v>45778</v>
      </c>
      <c r="B2015" t="s">
        <v>43</v>
      </c>
      <c r="C2015">
        <v>19</v>
      </c>
      <c r="D2015" t="str">
        <f t="shared" si="31"/>
        <v>01/05/2025General Surgery</v>
      </c>
    </row>
    <row r="2016" spans="1:4">
      <c r="A2016" s="1">
        <v>45778</v>
      </c>
      <c r="B2016" t="s">
        <v>48</v>
      </c>
      <c r="C2016">
        <v>14</v>
      </c>
      <c r="D2016" t="str">
        <f t="shared" si="31"/>
        <v>01/05/2025Orthopaedics</v>
      </c>
    </row>
    <row r="2017" spans="1:4">
      <c r="A2017" s="1">
        <v>45778</v>
      </c>
      <c r="B2017" t="s">
        <v>46</v>
      </c>
      <c r="C2017">
        <v>12</v>
      </c>
      <c r="D2017" t="str">
        <f t="shared" si="31"/>
        <v>01/05/2025Neurology</v>
      </c>
    </row>
    <row r="2018" spans="1:4">
      <c r="A2018" s="1">
        <v>45778</v>
      </c>
      <c r="B2018" t="s">
        <v>47</v>
      </c>
      <c r="C2018">
        <v>16</v>
      </c>
      <c r="D2018" t="str">
        <f t="shared" si="31"/>
        <v>01/05/2025Oncology</v>
      </c>
    </row>
    <row r="2019" spans="1:4">
      <c r="A2019" s="1">
        <v>45778</v>
      </c>
      <c r="B2019" t="s">
        <v>49</v>
      </c>
      <c r="C2019">
        <v>11</v>
      </c>
      <c r="D2019" t="str">
        <f t="shared" si="31"/>
        <v>01/05/2025Paediatrics</v>
      </c>
    </row>
    <row r="2020" spans="1:4">
      <c r="A2020" s="1">
        <v>45778</v>
      </c>
      <c r="B2020" t="s">
        <v>45</v>
      </c>
      <c r="C2020">
        <v>12</v>
      </c>
      <c r="D2020" t="str">
        <f t="shared" si="31"/>
        <v>01/05/2025Maternity</v>
      </c>
    </row>
    <row r="2021" spans="1:4">
      <c r="A2021" s="1">
        <v>45778</v>
      </c>
      <c r="B2021" t="s">
        <v>50</v>
      </c>
      <c r="C2021">
        <v>19</v>
      </c>
      <c r="D2021" t="str">
        <f t="shared" si="31"/>
        <v>01/05/2025Renal Medicine</v>
      </c>
    </row>
    <row r="2022" spans="1:4">
      <c r="A2022" s="1">
        <v>45778</v>
      </c>
      <c r="B2022" t="s">
        <v>42</v>
      </c>
      <c r="C2022">
        <v>10</v>
      </c>
      <c r="D2022" t="str">
        <f t="shared" si="31"/>
        <v>01/05/2025Gastroenterology</v>
      </c>
    </row>
    <row r="2023" spans="1:4">
      <c r="A2023" s="1">
        <v>45778</v>
      </c>
      <c r="B2023" t="s">
        <v>98</v>
      </c>
      <c r="C2023">
        <v>8</v>
      </c>
      <c r="D2023" t="str">
        <f t="shared" si="31"/>
        <v>01/05/2025Endocrinology</v>
      </c>
    </row>
    <row r="2024" spans="1:4">
      <c r="A2024" s="1">
        <v>45778</v>
      </c>
      <c r="B2024" t="s">
        <v>100</v>
      </c>
      <c r="C2024">
        <v>10</v>
      </c>
      <c r="D2024" t="str">
        <f t="shared" si="31"/>
        <v>01/05/2025Urology</v>
      </c>
    </row>
    <row r="2025" spans="1:4">
      <c r="A2025" s="1">
        <v>45778</v>
      </c>
      <c r="B2025" t="s">
        <v>41</v>
      </c>
      <c r="C2025">
        <v>12</v>
      </c>
      <c r="D2025" t="str">
        <f t="shared" si="31"/>
        <v>01/05/2025ENT</v>
      </c>
    </row>
    <row r="2026" spans="1:4">
      <c r="A2026" s="1">
        <v>45778</v>
      </c>
      <c r="B2026" t="s">
        <v>44</v>
      </c>
      <c r="C2026">
        <v>14</v>
      </c>
      <c r="D2026" t="str">
        <f t="shared" si="31"/>
        <v>01/05/2025Geriatrics</v>
      </c>
    </row>
    <row r="2027" spans="1:4">
      <c r="A2027" s="1">
        <v>45779</v>
      </c>
      <c r="B2027" t="s">
        <v>39</v>
      </c>
      <c r="C2027">
        <v>22</v>
      </c>
      <c r="D2027" t="str">
        <f t="shared" si="31"/>
        <v>02/05/2025A&amp;E (Emergency)</v>
      </c>
    </row>
    <row r="2028" spans="1:4">
      <c r="A2028" s="1">
        <v>45779</v>
      </c>
      <c r="B2028" t="s">
        <v>40</v>
      </c>
      <c r="C2028">
        <v>15</v>
      </c>
      <c r="D2028" t="str">
        <f t="shared" si="31"/>
        <v>02/05/2025Cardiology</v>
      </c>
    </row>
    <row r="2029" spans="1:4">
      <c r="A2029" s="1">
        <v>45779</v>
      </c>
      <c r="B2029" t="s">
        <v>51</v>
      </c>
      <c r="C2029">
        <v>12</v>
      </c>
      <c r="D2029" t="str">
        <f t="shared" si="31"/>
        <v>02/05/2025Respiratory</v>
      </c>
    </row>
    <row r="2030" spans="1:4">
      <c r="A2030" s="1">
        <v>45779</v>
      </c>
      <c r="B2030" t="s">
        <v>43</v>
      </c>
      <c r="C2030">
        <v>18</v>
      </c>
      <c r="D2030" t="str">
        <f t="shared" si="31"/>
        <v>02/05/2025General Surgery</v>
      </c>
    </row>
    <row r="2031" spans="1:4">
      <c r="A2031" s="1">
        <v>45779</v>
      </c>
      <c r="B2031" t="s">
        <v>48</v>
      </c>
      <c r="C2031">
        <v>13</v>
      </c>
      <c r="D2031" t="str">
        <f t="shared" si="31"/>
        <v>02/05/2025Orthopaedics</v>
      </c>
    </row>
    <row r="2032" spans="1:4">
      <c r="A2032" s="1">
        <v>45779</v>
      </c>
      <c r="B2032" t="s">
        <v>46</v>
      </c>
      <c r="C2032">
        <v>11</v>
      </c>
      <c r="D2032" t="str">
        <f t="shared" si="31"/>
        <v>02/05/2025Neurology</v>
      </c>
    </row>
    <row r="2033" spans="1:4">
      <c r="A2033" s="1">
        <v>45779</v>
      </c>
      <c r="B2033" t="s">
        <v>47</v>
      </c>
      <c r="C2033">
        <v>15</v>
      </c>
      <c r="D2033" t="str">
        <f t="shared" si="31"/>
        <v>02/05/2025Oncology</v>
      </c>
    </row>
    <row r="2034" spans="1:4">
      <c r="A2034" s="1">
        <v>45779</v>
      </c>
      <c r="B2034" t="s">
        <v>49</v>
      </c>
      <c r="C2034">
        <v>10</v>
      </c>
      <c r="D2034" t="str">
        <f t="shared" si="31"/>
        <v>02/05/2025Paediatrics</v>
      </c>
    </row>
    <row r="2035" spans="1:4">
      <c r="A2035" s="1">
        <v>45779</v>
      </c>
      <c r="B2035" t="s">
        <v>45</v>
      </c>
      <c r="C2035">
        <v>11</v>
      </c>
      <c r="D2035" t="str">
        <f t="shared" si="31"/>
        <v>02/05/2025Maternity</v>
      </c>
    </row>
    <row r="2036" spans="1:4">
      <c r="A2036" s="1">
        <v>45779</v>
      </c>
      <c r="B2036" t="s">
        <v>50</v>
      </c>
      <c r="C2036">
        <v>18</v>
      </c>
      <c r="D2036" t="str">
        <f t="shared" si="31"/>
        <v>02/05/2025Renal Medicine</v>
      </c>
    </row>
    <row r="2037" spans="1:4">
      <c r="A2037" s="1">
        <v>45779</v>
      </c>
      <c r="B2037" t="s">
        <v>42</v>
      </c>
      <c r="C2037">
        <v>9</v>
      </c>
      <c r="D2037" t="str">
        <f t="shared" si="31"/>
        <v>02/05/2025Gastroenterology</v>
      </c>
    </row>
    <row r="2038" spans="1:4">
      <c r="A2038" s="1">
        <v>45779</v>
      </c>
      <c r="B2038" t="s">
        <v>98</v>
      </c>
      <c r="C2038">
        <v>7</v>
      </c>
      <c r="D2038" t="str">
        <f t="shared" si="31"/>
        <v>02/05/2025Endocrinology</v>
      </c>
    </row>
    <row r="2039" spans="1:4">
      <c r="A2039" s="1">
        <v>45779</v>
      </c>
      <c r="B2039" t="s">
        <v>100</v>
      </c>
      <c r="C2039">
        <v>9</v>
      </c>
      <c r="D2039" t="str">
        <f t="shared" si="31"/>
        <v>02/05/2025Urology</v>
      </c>
    </row>
    <row r="2040" spans="1:4">
      <c r="A2040" s="1">
        <v>45779</v>
      </c>
      <c r="B2040" t="s">
        <v>41</v>
      </c>
      <c r="C2040">
        <v>11</v>
      </c>
      <c r="D2040" t="str">
        <f t="shared" si="31"/>
        <v>02/05/2025ENT</v>
      </c>
    </row>
    <row r="2041" spans="1:4">
      <c r="A2041" s="1">
        <v>45779</v>
      </c>
      <c r="B2041" t="s">
        <v>44</v>
      </c>
      <c r="C2041">
        <v>13</v>
      </c>
      <c r="D2041" t="str">
        <f t="shared" si="31"/>
        <v>02/05/2025Geriatrics</v>
      </c>
    </row>
    <row r="2042" spans="1:4">
      <c r="A2042" s="1">
        <v>45780</v>
      </c>
      <c r="B2042" t="s">
        <v>39</v>
      </c>
      <c r="C2042">
        <v>20</v>
      </c>
      <c r="D2042" t="str">
        <f t="shared" si="31"/>
        <v>03/05/2025A&amp;E (Emergency)</v>
      </c>
    </row>
    <row r="2043" spans="1:4">
      <c r="A2043" s="1">
        <v>45780</v>
      </c>
      <c r="B2043" t="s">
        <v>40</v>
      </c>
      <c r="C2043">
        <v>12</v>
      </c>
      <c r="D2043" t="str">
        <f t="shared" si="31"/>
        <v>03/05/2025Cardiology</v>
      </c>
    </row>
    <row r="2044" spans="1:4">
      <c r="A2044" s="1">
        <v>45780</v>
      </c>
      <c r="B2044" t="s">
        <v>51</v>
      </c>
      <c r="C2044">
        <v>9</v>
      </c>
      <c r="D2044" t="str">
        <f t="shared" si="31"/>
        <v>03/05/2025Respiratory</v>
      </c>
    </row>
    <row r="2045" spans="1:4">
      <c r="A2045" s="1">
        <v>45780</v>
      </c>
      <c r="B2045" t="s">
        <v>43</v>
      </c>
      <c r="C2045">
        <v>15</v>
      </c>
      <c r="D2045" t="str">
        <f t="shared" si="31"/>
        <v>03/05/2025General Surgery</v>
      </c>
    </row>
    <row r="2046" spans="1:4">
      <c r="A2046" s="1">
        <v>45780</v>
      </c>
      <c r="B2046" t="s">
        <v>48</v>
      </c>
      <c r="C2046">
        <v>11</v>
      </c>
      <c r="D2046" t="str">
        <f t="shared" si="31"/>
        <v>03/05/2025Orthopaedics</v>
      </c>
    </row>
    <row r="2047" spans="1:4">
      <c r="A2047" s="1">
        <v>45780</v>
      </c>
      <c r="B2047" t="s">
        <v>46</v>
      </c>
      <c r="C2047">
        <v>9</v>
      </c>
      <c r="D2047" t="str">
        <f t="shared" si="31"/>
        <v>03/05/2025Neurology</v>
      </c>
    </row>
    <row r="2048" spans="1:4">
      <c r="A2048" s="1">
        <v>45780</v>
      </c>
      <c r="B2048" t="s">
        <v>47</v>
      </c>
      <c r="C2048">
        <v>13</v>
      </c>
      <c r="D2048" t="str">
        <f t="shared" si="31"/>
        <v>03/05/2025Oncology</v>
      </c>
    </row>
    <row r="2049" spans="1:4">
      <c r="A2049" s="1">
        <v>45780</v>
      </c>
      <c r="B2049" t="s">
        <v>49</v>
      </c>
      <c r="C2049">
        <v>9</v>
      </c>
      <c r="D2049" t="str">
        <f t="shared" si="31"/>
        <v>03/05/2025Paediatrics</v>
      </c>
    </row>
    <row r="2050" spans="1:4">
      <c r="A2050" s="1">
        <v>45780</v>
      </c>
      <c r="B2050" t="s">
        <v>45</v>
      </c>
      <c r="C2050">
        <v>10</v>
      </c>
      <c r="D2050" t="str">
        <f t="shared" si="31"/>
        <v>03/05/2025Maternity</v>
      </c>
    </row>
    <row r="2051" spans="1:4">
      <c r="A2051" s="1">
        <v>45780</v>
      </c>
      <c r="B2051" t="s">
        <v>50</v>
      </c>
      <c r="C2051">
        <v>17</v>
      </c>
      <c r="D2051" t="str">
        <f t="shared" ref="D2051:D2114" si="32">TEXT(A2051, "dd/mm/yyyy")&amp;B2051</f>
        <v>03/05/2025Renal Medicine</v>
      </c>
    </row>
    <row r="2052" spans="1:4">
      <c r="A2052" s="1">
        <v>45780</v>
      </c>
      <c r="B2052" t="s">
        <v>42</v>
      </c>
      <c r="C2052">
        <v>7</v>
      </c>
      <c r="D2052" t="str">
        <f t="shared" si="32"/>
        <v>03/05/2025Gastroenterology</v>
      </c>
    </row>
    <row r="2053" spans="1:4">
      <c r="A2053" s="1">
        <v>45780</v>
      </c>
      <c r="B2053" t="s">
        <v>98</v>
      </c>
      <c r="C2053">
        <v>6</v>
      </c>
      <c r="D2053" t="str">
        <f t="shared" si="32"/>
        <v>03/05/2025Endocrinology</v>
      </c>
    </row>
    <row r="2054" spans="1:4">
      <c r="A2054" s="1">
        <v>45780</v>
      </c>
      <c r="B2054" t="s">
        <v>100</v>
      </c>
      <c r="C2054">
        <v>8</v>
      </c>
      <c r="D2054" t="str">
        <f t="shared" si="32"/>
        <v>03/05/2025Urology</v>
      </c>
    </row>
    <row r="2055" spans="1:4">
      <c r="A2055" s="1">
        <v>45780</v>
      </c>
      <c r="B2055" t="s">
        <v>41</v>
      </c>
      <c r="C2055">
        <v>10</v>
      </c>
      <c r="D2055" t="str">
        <f t="shared" si="32"/>
        <v>03/05/2025ENT</v>
      </c>
    </row>
    <row r="2056" spans="1:4">
      <c r="A2056" s="1">
        <v>45780</v>
      </c>
      <c r="B2056" t="s">
        <v>44</v>
      </c>
      <c r="C2056">
        <v>12</v>
      </c>
      <c r="D2056" t="str">
        <f t="shared" si="32"/>
        <v>03/05/2025Geriatrics</v>
      </c>
    </row>
    <row r="2057" spans="1:4">
      <c r="A2057" s="1">
        <v>45781</v>
      </c>
      <c r="B2057" t="s">
        <v>39</v>
      </c>
      <c r="C2057">
        <v>19</v>
      </c>
      <c r="D2057" t="str">
        <f t="shared" si="32"/>
        <v>04/05/2025A&amp;E (Emergency)</v>
      </c>
    </row>
    <row r="2058" spans="1:4">
      <c r="A2058" s="1">
        <v>45781</v>
      </c>
      <c r="B2058" t="s">
        <v>40</v>
      </c>
      <c r="C2058">
        <v>11</v>
      </c>
      <c r="D2058" t="str">
        <f t="shared" si="32"/>
        <v>04/05/2025Cardiology</v>
      </c>
    </row>
    <row r="2059" spans="1:4">
      <c r="A2059" s="1">
        <v>45781</v>
      </c>
      <c r="B2059" t="s">
        <v>51</v>
      </c>
      <c r="C2059">
        <v>9</v>
      </c>
      <c r="D2059" t="str">
        <f t="shared" si="32"/>
        <v>04/05/2025Respiratory</v>
      </c>
    </row>
    <row r="2060" spans="1:4">
      <c r="A2060" s="1">
        <v>45781</v>
      </c>
      <c r="B2060" t="s">
        <v>43</v>
      </c>
      <c r="C2060">
        <v>14</v>
      </c>
      <c r="D2060" t="str">
        <f t="shared" si="32"/>
        <v>04/05/2025General Surgery</v>
      </c>
    </row>
    <row r="2061" spans="1:4">
      <c r="A2061" s="1">
        <v>45781</v>
      </c>
      <c r="B2061" t="s">
        <v>48</v>
      </c>
      <c r="C2061">
        <v>10</v>
      </c>
      <c r="D2061" t="str">
        <f t="shared" si="32"/>
        <v>04/05/2025Orthopaedics</v>
      </c>
    </row>
    <row r="2062" spans="1:4">
      <c r="A2062" s="1">
        <v>45781</v>
      </c>
      <c r="B2062" t="s">
        <v>46</v>
      </c>
      <c r="C2062">
        <v>9</v>
      </c>
      <c r="D2062" t="str">
        <f t="shared" si="32"/>
        <v>04/05/2025Neurology</v>
      </c>
    </row>
    <row r="2063" spans="1:4">
      <c r="A2063" s="1">
        <v>45781</v>
      </c>
      <c r="B2063" t="s">
        <v>47</v>
      </c>
      <c r="C2063">
        <v>12</v>
      </c>
      <c r="D2063" t="str">
        <f t="shared" si="32"/>
        <v>04/05/2025Oncology</v>
      </c>
    </row>
    <row r="2064" spans="1:4">
      <c r="A2064" s="1">
        <v>45781</v>
      </c>
      <c r="B2064" t="s">
        <v>49</v>
      </c>
      <c r="C2064">
        <v>8</v>
      </c>
      <c r="D2064" t="str">
        <f t="shared" si="32"/>
        <v>04/05/2025Paediatrics</v>
      </c>
    </row>
    <row r="2065" spans="1:4">
      <c r="A2065" s="1">
        <v>45781</v>
      </c>
      <c r="B2065" t="s">
        <v>45</v>
      </c>
      <c r="C2065">
        <v>9</v>
      </c>
      <c r="D2065" t="str">
        <f t="shared" si="32"/>
        <v>04/05/2025Maternity</v>
      </c>
    </row>
    <row r="2066" spans="1:4">
      <c r="A2066" s="1">
        <v>45781</v>
      </c>
      <c r="B2066" t="s">
        <v>50</v>
      </c>
      <c r="C2066">
        <v>17</v>
      </c>
      <c r="D2066" t="str">
        <f t="shared" si="32"/>
        <v>04/05/2025Renal Medicine</v>
      </c>
    </row>
    <row r="2067" spans="1:4">
      <c r="A2067" s="1">
        <v>45781</v>
      </c>
      <c r="B2067" t="s">
        <v>42</v>
      </c>
      <c r="C2067">
        <v>7</v>
      </c>
      <c r="D2067" t="str">
        <f t="shared" si="32"/>
        <v>04/05/2025Gastroenterology</v>
      </c>
    </row>
    <row r="2068" spans="1:4">
      <c r="A2068" s="1">
        <v>45781</v>
      </c>
      <c r="B2068" t="s">
        <v>98</v>
      </c>
      <c r="C2068">
        <v>6</v>
      </c>
      <c r="D2068" t="str">
        <f t="shared" si="32"/>
        <v>04/05/2025Endocrinology</v>
      </c>
    </row>
    <row r="2069" spans="1:4">
      <c r="A2069" s="1">
        <v>45781</v>
      </c>
      <c r="B2069" t="s">
        <v>100</v>
      </c>
      <c r="C2069">
        <v>8</v>
      </c>
      <c r="D2069" t="str">
        <f t="shared" si="32"/>
        <v>04/05/2025Urology</v>
      </c>
    </row>
    <row r="2070" spans="1:4">
      <c r="A2070" s="1">
        <v>45781</v>
      </c>
      <c r="B2070" t="s">
        <v>41</v>
      </c>
      <c r="C2070">
        <v>10</v>
      </c>
      <c r="D2070" t="str">
        <f t="shared" si="32"/>
        <v>04/05/2025ENT</v>
      </c>
    </row>
    <row r="2071" spans="1:4">
      <c r="A2071" s="1">
        <v>45781</v>
      </c>
      <c r="B2071" t="s">
        <v>44</v>
      </c>
      <c r="C2071">
        <v>12</v>
      </c>
      <c r="D2071" t="str">
        <f t="shared" si="32"/>
        <v>04/05/2025Geriatrics</v>
      </c>
    </row>
    <row r="2072" spans="1:4">
      <c r="A2072" s="1">
        <v>45782</v>
      </c>
      <c r="B2072" t="s">
        <v>39</v>
      </c>
      <c r="C2072">
        <v>28</v>
      </c>
      <c r="D2072" t="str">
        <f t="shared" si="32"/>
        <v>05/05/2025A&amp;E (Emergency)</v>
      </c>
    </row>
    <row r="2073" spans="1:4">
      <c r="A2073" s="1">
        <v>45782</v>
      </c>
      <c r="B2073" t="s">
        <v>40</v>
      </c>
      <c r="C2073">
        <v>18</v>
      </c>
      <c r="D2073" t="str">
        <f t="shared" si="32"/>
        <v>05/05/2025Cardiology</v>
      </c>
    </row>
    <row r="2074" spans="1:4">
      <c r="A2074" s="1">
        <v>45782</v>
      </c>
      <c r="B2074" t="s">
        <v>51</v>
      </c>
      <c r="C2074">
        <v>15</v>
      </c>
      <c r="D2074" t="str">
        <f t="shared" si="32"/>
        <v>05/05/2025Respiratory</v>
      </c>
    </row>
    <row r="2075" spans="1:4">
      <c r="A2075" s="1">
        <v>45782</v>
      </c>
      <c r="B2075" t="s">
        <v>43</v>
      </c>
      <c r="C2075">
        <v>22</v>
      </c>
      <c r="D2075" t="str">
        <f t="shared" si="32"/>
        <v>05/05/2025General Surgery</v>
      </c>
    </row>
    <row r="2076" spans="1:4">
      <c r="A2076" s="1">
        <v>45782</v>
      </c>
      <c r="B2076" t="s">
        <v>48</v>
      </c>
      <c r="C2076">
        <v>16</v>
      </c>
      <c r="D2076" t="str">
        <f t="shared" si="32"/>
        <v>05/05/2025Orthopaedics</v>
      </c>
    </row>
    <row r="2077" spans="1:4">
      <c r="A2077" s="1">
        <v>45782</v>
      </c>
      <c r="B2077" t="s">
        <v>46</v>
      </c>
      <c r="C2077">
        <v>14</v>
      </c>
      <c r="D2077" t="str">
        <f t="shared" si="32"/>
        <v>05/05/2025Neurology</v>
      </c>
    </row>
    <row r="2078" spans="1:4">
      <c r="A2078" s="1">
        <v>45782</v>
      </c>
      <c r="B2078" t="s">
        <v>47</v>
      </c>
      <c r="C2078">
        <v>18</v>
      </c>
      <c r="D2078" t="str">
        <f t="shared" si="32"/>
        <v>05/05/2025Oncology</v>
      </c>
    </row>
    <row r="2079" spans="1:4">
      <c r="A2079" s="1">
        <v>45782</v>
      </c>
      <c r="B2079" t="s">
        <v>49</v>
      </c>
      <c r="C2079">
        <v>13</v>
      </c>
      <c r="D2079" t="str">
        <f t="shared" si="32"/>
        <v>05/05/2025Paediatrics</v>
      </c>
    </row>
    <row r="2080" spans="1:4">
      <c r="A2080" s="1">
        <v>45782</v>
      </c>
      <c r="B2080" t="s">
        <v>45</v>
      </c>
      <c r="C2080">
        <v>13</v>
      </c>
      <c r="D2080" t="str">
        <f t="shared" si="32"/>
        <v>05/05/2025Maternity</v>
      </c>
    </row>
    <row r="2081" spans="1:4">
      <c r="A2081" s="1">
        <v>45782</v>
      </c>
      <c r="B2081" t="s">
        <v>50</v>
      </c>
      <c r="C2081">
        <v>21</v>
      </c>
      <c r="D2081" t="str">
        <f t="shared" si="32"/>
        <v>05/05/2025Renal Medicine</v>
      </c>
    </row>
    <row r="2082" spans="1:4">
      <c r="A2082" s="1">
        <v>45782</v>
      </c>
      <c r="B2082" t="s">
        <v>42</v>
      </c>
      <c r="C2082">
        <v>12</v>
      </c>
      <c r="D2082" t="str">
        <f t="shared" si="32"/>
        <v>05/05/2025Gastroenterology</v>
      </c>
    </row>
    <row r="2083" spans="1:4">
      <c r="A2083" s="1">
        <v>45782</v>
      </c>
      <c r="B2083" t="s">
        <v>98</v>
      </c>
      <c r="C2083">
        <v>10</v>
      </c>
      <c r="D2083" t="str">
        <f t="shared" si="32"/>
        <v>05/05/2025Endocrinology</v>
      </c>
    </row>
    <row r="2084" spans="1:4">
      <c r="A2084" s="1">
        <v>45782</v>
      </c>
      <c r="B2084" t="s">
        <v>100</v>
      </c>
      <c r="C2084">
        <v>11</v>
      </c>
      <c r="D2084" t="str">
        <f t="shared" si="32"/>
        <v>05/05/2025Urology</v>
      </c>
    </row>
    <row r="2085" spans="1:4">
      <c r="A2085" s="1">
        <v>45782</v>
      </c>
      <c r="B2085" t="s">
        <v>41</v>
      </c>
      <c r="C2085">
        <v>13</v>
      </c>
      <c r="D2085" t="str">
        <f t="shared" si="32"/>
        <v>05/05/2025ENT</v>
      </c>
    </row>
    <row r="2086" spans="1:4">
      <c r="A2086" s="1">
        <v>45782</v>
      </c>
      <c r="B2086" t="s">
        <v>44</v>
      </c>
      <c r="C2086">
        <v>16</v>
      </c>
      <c r="D2086" t="str">
        <f t="shared" si="32"/>
        <v>05/05/2025Geriatrics</v>
      </c>
    </row>
    <row r="2087" spans="1:4">
      <c r="A2087" s="1">
        <v>45783</v>
      </c>
      <c r="B2087" t="s">
        <v>39</v>
      </c>
      <c r="C2087">
        <v>25</v>
      </c>
      <c r="D2087" t="str">
        <f t="shared" si="32"/>
        <v>06/05/2025A&amp;E (Emergency)</v>
      </c>
    </row>
    <row r="2088" spans="1:4">
      <c r="A2088" s="1">
        <v>45783</v>
      </c>
      <c r="B2088" t="s">
        <v>40</v>
      </c>
      <c r="C2088">
        <v>17</v>
      </c>
      <c r="D2088" t="str">
        <f t="shared" si="32"/>
        <v>06/05/2025Cardiology</v>
      </c>
    </row>
    <row r="2089" spans="1:4">
      <c r="A2089" s="1">
        <v>45783</v>
      </c>
      <c r="B2089" t="s">
        <v>51</v>
      </c>
      <c r="C2089">
        <v>14</v>
      </c>
      <c r="D2089" t="str">
        <f t="shared" si="32"/>
        <v>06/05/2025Respiratory</v>
      </c>
    </row>
    <row r="2090" spans="1:4">
      <c r="A2090" s="1">
        <v>45783</v>
      </c>
      <c r="B2090" t="s">
        <v>43</v>
      </c>
      <c r="C2090">
        <v>20</v>
      </c>
      <c r="D2090" t="str">
        <f t="shared" si="32"/>
        <v>06/05/2025General Surgery</v>
      </c>
    </row>
    <row r="2091" spans="1:4">
      <c r="A2091" s="1">
        <v>45783</v>
      </c>
      <c r="B2091" t="s">
        <v>48</v>
      </c>
      <c r="C2091">
        <v>15</v>
      </c>
      <c r="D2091" t="str">
        <f t="shared" si="32"/>
        <v>06/05/2025Orthopaedics</v>
      </c>
    </row>
    <row r="2092" spans="1:4">
      <c r="A2092" s="1">
        <v>45783</v>
      </c>
      <c r="B2092" t="s">
        <v>46</v>
      </c>
      <c r="C2092">
        <v>13</v>
      </c>
      <c r="D2092" t="str">
        <f t="shared" si="32"/>
        <v>06/05/2025Neurology</v>
      </c>
    </row>
    <row r="2093" spans="1:4">
      <c r="A2093" s="1">
        <v>45783</v>
      </c>
      <c r="B2093" t="s">
        <v>47</v>
      </c>
      <c r="C2093">
        <v>17</v>
      </c>
      <c r="D2093" t="str">
        <f t="shared" si="32"/>
        <v>06/05/2025Oncology</v>
      </c>
    </row>
    <row r="2094" spans="1:4">
      <c r="A2094" s="1">
        <v>45783</v>
      </c>
      <c r="B2094" t="s">
        <v>49</v>
      </c>
      <c r="C2094">
        <v>12</v>
      </c>
      <c r="D2094" t="str">
        <f t="shared" si="32"/>
        <v>06/05/2025Paediatrics</v>
      </c>
    </row>
    <row r="2095" spans="1:4">
      <c r="A2095" s="1">
        <v>45783</v>
      </c>
      <c r="B2095" t="s">
        <v>45</v>
      </c>
      <c r="C2095">
        <v>12</v>
      </c>
      <c r="D2095" t="str">
        <f t="shared" si="32"/>
        <v>06/05/2025Maternity</v>
      </c>
    </row>
    <row r="2096" spans="1:4">
      <c r="A2096" s="1">
        <v>45783</v>
      </c>
      <c r="B2096" t="s">
        <v>50</v>
      </c>
      <c r="C2096">
        <v>20</v>
      </c>
      <c r="D2096" t="str">
        <f t="shared" si="32"/>
        <v>06/05/2025Renal Medicine</v>
      </c>
    </row>
    <row r="2097" spans="1:4">
      <c r="A2097" s="1">
        <v>45783</v>
      </c>
      <c r="B2097" t="s">
        <v>42</v>
      </c>
      <c r="C2097">
        <v>11</v>
      </c>
      <c r="D2097" t="str">
        <f t="shared" si="32"/>
        <v>06/05/2025Gastroenterology</v>
      </c>
    </row>
    <row r="2098" spans="1:4">
      <c r="A2098" s="1">
        <v>45783</v>
      </c>
      <c r="B2098" t="s">
        <v>98</v>
      </c>
      <c r="C2098">
        <v>9</v>
      </c>
      <c r="D2098" t="str">
        <f t="shared" si="32"/>
        <v>06/05/2025Endocrinology</v>
      </c>
    </row>
    <row r="2099" spans="1:4">
      <c r="A2099" s="1">
        <v>45783</v>
      </c>
      <c r="B2099" t="s">
        <v>100</v>
      </c>
      <c r="C2099">
        <v>10</v>
      </c>
      <c r="D2099" t="str">
        <f t="shared" si="32"/>
        <v>06/05/2025Urology</v>
      </c>
    </row>
    <row r="2100" spans="1:4">
      <c r="A2100" s="1">
        <v>45783</v>
      </c>
      <c r="B2100" t="s">
        <v>41</v>
      </c>
      <c r="C2100">
        <v>12</v>
      </c>
      <c r="D2100" t="str">
        <f t="shared" si="32"/>
        <v>06/05/2025ENT</v>
      </c>
    </row>
    <row r="2101" spans="1:4">
      <c r="A2101" s="1">
        <v>45783</v>
      </c>
      <c r="B2101" t="s">
        <v>44</v>
      </c>
      <c r="C2101">
        <v>15</v>
      </c>
      <c r="D2101" t="str">
        <f t="shared" si="32"/>
        <v>06/05/2025Geriatrics</v>
      </c>
    </row>
    <row r="2102" spans="1:4">
      <c r="A2102" s="1">
        <v>45784</v>
      </c>
      <c r="B2102" t="s">
        <v>39</v>
      </c>
      <c r="C2102">
        <v>24</v>
      </c>
      <c r="D2102" t="str">
        <f t="shared" si="32"/>
        <v>07/05/2025A&amp;E (Emergency)</v>
      </c>
    </row>
    <row r="2103" spans="1:4">
      <c r="A2103" s="1">
        <v>45784</v>
      </c>
      <c r="B2103" t="s">
        <v>40</v>
      </c>
      <c r="C2103">
        <v>16</v>
      </c>
      <c r="D2103" t="str">
        <f t="shared" si="32"/>
        <v>07/05/2025Cardiology</v>
      </c>
    </row>
    <row r="2104" spans="1:4">
      <c r="A2104" s="1">
        <v>45784</v>
      </c>
      <c r="B2104" t="s">
        <v>51</v>
      </c>
      <c r="C2104">
        <v>13</v>
      </c>
      <c r="D2104" t="str">
        <f t="shared" si="32"/>
        <v>07/05/2025Respiratory</v>
      </c>
    </row>
    <row r="2105" spans="1:4">
      <c r="A2105" s="1">
        <v>45784</v>
      </c>
      <c r="B2105" t="s">
        <v>43</v>
      </c>
      <c r="C2105">
        <v>19</v>
      </c>
      <c r="D2105" t="str">
        <f t="shared" si="32"/>
        <v>07/05/2025General Surgery</v>
      </c>
    </row>
    <row r="2106" spans="1:4">
      <c r="A2106" s="1">
        <v>45784</v>
      </c>
      <c r="B2106" t="s">
        <v>48</v>
      </c>
      <c r="C2106">
        <v>14</v>
      </c>
      <c r="D2106" t="str">
        <f t="shared" si="32"/>
        <v>07/05/2025Orthopaedics</v>
      </c>
    </row>
    <row r="2107" spans="1:4">
      <c r="A2107" s="1">
        <v>45784</v>
      </c>
      <c r="B2107" t="s">
        <v>46</v>
      </c>
      <c r="C2107">
        <v>12</v>
      </c>
      <c r="D2107" t="str">
        <f t="shared" si="32"/>
        <v>07/05/2025Neurology</v>
      </c>
    </row>
    <row r="2108" spans="1:4">
      <c r="A2108" s="1">
        <v>45784</v>
      </c>
      <c r="B2108" t="s">
        <v>47</v>
      </c>
      <c r="C2108">
        <v>16</v>
      </c>
      <c r="D2108" t="str">
        <f t="shared" si="32"/>
        <v>07/05/2025Oncology</v>
      </c>
    </row>
    <row r="2109" spans="1:4">
      <c r="A2109" s="1">
        <v>45784</v>
      </c>
      <c r="B2109" t="s">
        <v>49</v>
      </c>
      <c r="C2109">
        <v>11</v>
      </c>
      <c r="D2109" t="str">
        <f t="shared" si="32"/>
        <v>07/05/2025Paediatrics</v>
      </c>
    </row>
    <row r="2110" spans="1:4">
      <c r="A2110" s="1">
        <v>45784</v>
      </c>
      <c r="B2110" t="s">
        <v>45</v>
      </c>
      <c r="C2110">
        <v>12</v>
      </c>
      <c r="D2110" t="str">
        <f t="shared" si="32"/>
        <v>07/05/2025Maternity</v>
      </c>
    </row>
    <row r="2111" spans="1:4">
      <c r="A2111" s="1">
        <v>45784</v>
      </c>
      <c r="B2111" t="s">
        <v>50</v>
      </c>
      <c r="C2111">
        <v>19</v>
      </c>
      <c r="D2111" t="str">
        <f t="shared" si="32"/>
        <v>07/05/2025Renal Medicine</v>
      </c>
    </row>
    <row r="2112" spans="1:4">
      <c r="A2112" s="1">
        <v>45784</v>
      </c>
      <c r="B2112" t="s">
        <v>42</v>
      </c>
      <c r="C2112">
        <v>10</v>
      </c>
      <c r="D2112" t="str">
        <f t="shared" si="32"/>
        <v>07/05/2025Gastroenterology</v>
      </c>
    </row>
    <row r="2113" spans="1:4">
      <c r="A2113" s="1">
        <v>45784</v>
      </c>
      <c r="B2113" t="s">
        <v>98</v>
      </c>
      <c r="C2113">
        <v>8</v>
      </c>
      <c r="D2113" t="str">
        <f t="shared" si="32"/>
        <v>07/05/2025Endocrinology</v>
      </c>
    </row>
    <row r="2114" spans="1:4">
      <c r="A2114" s="1">
        <v>45784</v>
      </c>
      <c r="B2114" t="s">
        <v>100</v>
      </c>
      <c r="C2114">
        <v>10</v>
      </c>
      <c r="D2114" t="str">
        <f t="shared" si="32"/>
        <v>07/05/2025Urology</v>
      </c>
    </row>
    <row r="2115" spans="1:4">
      <c r="A2115" s="1">
        <v>45784</v>
      </c>
      <c r="B2115" t="s">
        <v>41</v>
      </c>
      <c r="C2115">
        <v>12</v>
      </c>
      <c r="D2115" t="str">
        <f t="shared" ref="D2115:D2178" si="33">TEXT(A2115, "dd/mm/yyyy")&amp;B2115</f>
        <v>07/05/2025ENT</v>
      </c>
    </row>
    <row r="2116" spans="1:4">
      <c r="A2116" s="1">
        <v>45784</v>
      </c>
      <c r="B2116" t="s">
        <v>44</v>
      </c>
      <c r="C2116">
        <v>14</v>
      </c>
      <c r="D2116" t="str">
        <f t="shared" si="33"/>
        <v>07/05/2025Geriatrics</v>
      </c>
    </row>
    <row r="2117" spans="1:4">
      <c r="A2117" s="1">
        <v>45785</v>
      </c>
      <c r="B2117" t="s">
        <v>39</v>
      </c>
      <c r="C2117">
        <v>23</v>
      </c>
      <c r="D2117" t="str">
        <f t="shared" si="33"/>
        <v>08/05/2025A&amp;E (Emergency)</v>
      </c>
    </row>
    <row r="2118" spans="1:4">
      <c r="A2118" s="1">
        <v>45785</v>
      </c>
      <c r="B2118" t="s">
        <v>40</v>
      </c>
      <c r="C2118">
        <v>16</v>
      </c>
      <c r="D2118" t="str">
        <f t="shared" si="33"/>
        <v>08/05/2025Cardiology</v>
      </c>
    </row>
    <row r="2119" spans="1:4">
      <c r="A2119" s="1">
        <v>45785</v>
      </c>
      <c r="B2119" t="s">
        <v>51</v>
      </c>
      <c r="C2119">
        <v>13</v>
      </c>
      <c r="D2119" t="str">
        <f t="shared" si="33"/>
        <v>08/05/2025Respiratory</v>
      </c>
    </row>
    <row r="2120" spans="1:4">
      <c r="A2120" s="1">
        <v>45785</v>
      </c>
      <c r="B2120" t="s">
        <v>43</v>
      </c>
      <c r="C2120">
        <v>19</v>
      </c>
      <c r="D2120" t="str">
        <f t="shared" si="33"/>
        <v>08/05/2025General Surgery</v>
      </c>
    </row>
    <row r="2121" spans="1:4">
      <c r="A2121" s="1">
        <v>45785</v>
      </c>
      <c r="B2121" t="s">
        <v>48</v>
      </c>
      <c r="C2121">
        <v>14</v>
      </c>
      <c r="D2121" t="str">
        <f t="shared" si="33"/>
        <v>08/05/2025Orthopaedics</v>
      </c>
    </row>
    <row r="2122" spans="1:4">
      <c r="A2122" s="1">
        <v>45785</v>
      </c>
      <c r="B2122" t="s">
        <v>46</v>
      </c>
      <c r="C2122">
        <v>12</v>
      </c>
      <c r="D2122" t="str">
        <f t="shared" si="33"/>
        <v>08/05/2025Neurology</v>
      </c>
    </row>
    <row r="2123" spans="1:4">
      <c r="A2123" s="1">
        <v>45785</v>
      </c>
      <c r="B2123" t="s">
        <v>47</v>
      </c>
      <c r="C2123">
        <v>16</v>
      </c>
      <c r="D2123" t="str">
        <f t="shared" si="33"/>
        <v>08/05/2025Oncology</v>
      </c>
    </row>
    <row r="2124" spans="1:4">
      <c r="A2124" s="1">
        <v>45785</v>
      </c>
      <c r="B2124" t="s">
        <v>49</v>
      </c>
      <c r="C2124">
        <v>11</v>
      </c>
      <c r="D2124" t="str">
        <f t="shared" si="33"/>
        <v>08/05/2025Paediatrics</v>
      </c>
    </row>
    <row r="2125" spans="1:4">
      <c r="A2125" s="1">
        <v>45785</v>
      </c>
      <c r="B2125" t="s">
        <v>45</v>
      </c>
      <c r="C2125">
        <v>12</v>
      </c>
      <c r="D2125" t="str">
        <f t="shared" si="33"/>
        <v>08/05/2025Maternity</v>
      </c>
    </row>
    <row r="2126" spans="1:4">
      <c r="A2126" s="1">
        <v>45785</v>
      </c>
      <c r="B2126" t="s">
        <v>50</v>
      </c>
      <c r="C2126">
        <v>19</v>
      </c>
      <c r="D2126" t="str">
        <f t="shared" si="33"/>
        <v>08/05/2025Renal Medicine</v>
      </c>
    </row>
    <row r="2127" spans="1:4">
      <c r="A2127" s="1">
        <v>45785</v>
      </c>
      <c r="B2127" t="s">
        <v>42</v>
      </c>
      <c r="C2127">
        <v>10</v>
      </c>
      <c r="D2127" t="str">
        <f t="shared" si="33"/>
        <v>08/05/2025Gastroenterology</v>
      </c>
    </row>
    <row r="2128" spans="1:4">
      <c r="A2128" s="1">
        <v>45785</v>
      </c>
      <c r="B2128" t="s">
        <v>98</v>
      </c>
      <c r="C2128">
        <v>8</v>
      </c>
      <c r="D2128" t="str">
        <f t="shared" si="33"/>
        <v>08/05/2025Endocrinology</v>
      </c>
    </row>
    <row r="2129" spans="1:4">
      <c r="A2129" s="1">
        <v>45785</v>
      </c>
      <c r="B2129" t="s">
        <v>100</v>
      </c>
      <c r="C2129">
        <v>10</v>
      </c>
      <c r="D2129" t="str">
        <f t="shared" si="33"/>
        <v>08/05/2025Urology</v>
      </c>
    </row>
    <row r="2130" spans="1:4">
      <c r="A2130" s="1">
        <v>45785</v>
      </c>
      <c r="B2130" t="s">
        <v>41</v>
      </c>
      <c r="C2130">
        <v>12</v>
      </c>
      <c r="D2130" t="str">
        <f t="shared" si="33"/>
        <v>08/05/2025ENT</v>
      </c>
    </row>
    <row r="2131" spans="1:4">
      <c r="A2131" s="1">
        <v>45785</v>
      </c>
      <c r="B2131" t="s">
        <v>44</v>
      </c>
      <c r="C2131">
        <v>14</v>
      </c>
      <c r="D2131" t="str">
        <f t="shared" si="33"/>
        <v>08/05/2025Geriatrics</v>
      </c>
    </row>
    <row r="2132" spans="1:4">
      <c r="A2132" s="1">
        <v>45786</v>
      </c>
      <c r="B2132" t="s">
        <v>39</v>
      </c>
      <c r="C2132">
        <v>22</v>
      </c>
      <c r="D2132" t="str">
        <f t="shared" si="33"/>
        <v>09/05/2025A&amp;E (Emergency)</v>
      </c>
    </row>
    <row r="2133" spans="1:4">
      <c r="A2133" s="1">
        <v>45786</v>
      </c>
      <c r="B2133" t="s">
        <v>40</v>
      </c>
      <c r="C2133">
        <v>15</v>
      </c>
      <c r="D2133" t="str">
        <f t="shared" si="33"/>
        <v>09/05/2025Cardiology</v>
      </c>
    </row>
    <row r="2134" spans="1:4">
      <c r="A2134" s="1">
        <v>45786</v>
      </c>
      <c r="B2134" t="s">
        <v>51</v>
      </c>
      <c r="C2134">
        <v>12</v>
      </c>
      <c r="D2134" t="str">
        <f t="shared" si="33"/>
        <v>09/05/2025Respiratory</v>
      </c>
    </row>
    <row r="2135" spans="1:4">
      <c r="A2135" s="1">
        <v>45786</v>
      </c>
      <c r="B2135" t="s">
        <v>43</v>
      </c>
      <c r="C2135">
        <v>18</v>
      </c>
      <c r="D2135" t="str">
        <f t="shared" si="33"/>
        <v>09/05/2025General Surgery</v>
      </c>
    </row>
    <row r="2136" spans="1:4">
      <c r="A2136" s="1">
        <v>45786</v>
      </c>
      <c r="B2136" t="s">
        <v>48</v>
      </c>
      <c r="C2136">
        <v>13</v>
      </c>
      <c r="D2136" t="str">
        <f t="shared" si="33"/>
        <v>09/05/2025Orthopaedics</v>
      </c>
    </row>
    <row r="2137" spans="1:4">
      <c r="A2137" s="1">
        <v>45786</v>
      </c>
      <c r="B2137" t="s">
        <v>46</v>
      </c>
      <c r="C2137">
        <v>11</v>
      </c>
      <c r="D2137" t="str">
        <f t="shared" si="33"/>
        <v>09/05/2025Neurology</v>
      </c>
    </row>
    <row r="2138" spans="1:4">
      <c r="A2138" s="1">
        <v>45786</v>
      </c>
      <c r="B2138" t="s">
        <v>47</v>
      </c>
      <c r="C2138">
        <v>15</v>
      </c>
      <c r="D2138" t="str">
        <f t="shared" si="33"/>
        <v>09/05/2025Oncology</v>
      </c>
    </row>
    <row r="2139" spans="1:4">
      <c r="A2139" s="1">
        <v>45786</v>
      </c>
      <c r="B2139" t="s">
        <v>49</v>
      </c>
      <c r="C2139">
        <v>10</v>
      </c>
      <c r="D2139" t="str">
        <f t="shared" si="33"/>
        <v>09/05/2025Paediatrics</v>
      </c>
    </row>
    <row r="2140" spans="1:4">
      <c r="A2140" s="1">
        <v>45786</v>
      </c>
      <c r="B2140" t="s">
        <v>45</v>
      </c>
      <c r="C2140">
        <v>11</v>
      </c>
      <c r="D2140" t="str">
        <f t="shared" si="33"/>
        <v>09/05/2025Maternity</v>
      </c>
    </row>
    <row r="2141" spans="1:4">
      <c r="A2141" s="1">
        <v>45786</v>
      </c>
      <c r="B2141" t="s">
        <v>50</v>
      </c>
      <c r="C2141">
        <v>18</v>
      </c>
      <c r="D2141" t="str">
        <f t="shared" si="33"/>
        <v>09/05/2025Renal Medicine</v>
      </c>
    </row>
    <row r="2142" spans="1:4">
      <c r="A2142" s="1">
        <v>45786</v>
      </c>
      <c r="B2142" t="s">
        <v>42</v>
      </c>
      <c r="C2142">
        <v>9</v>
      </c>
      <c r="D2142" t="str">
        <f t="shared" si="33"/>
        <v>09/05/2025Gastroenterology</v>
      </c>
    </row>
    <row r="2143" spans="1:4">
      <c r="A2143" s="1">
        <v>45786</v>
      </c>
      <c r="B2143" t="s">
        <v>98</v>
      </c>
      <c r="C2143">
        <v>7</v>
      </c>
      <c r="D2143" t="str">
        <f t="shared" si="33"/>
        <v>09/05/2025Endocrinology</v>
      </c>
    </row>
    <row r="2144" spans="1:4">
      <c r="A2144" s="1">
        <v>45786</v>
      </c>
      <c r="B2144" t="s">
        <v>100</v>
      </c>
      <c r="C2144">
        <v>9</v>
      </c>
      <c r="D2144" t="str">
        <f t="shared" si="33"/>
        <v>09/05/2025Urology</v>
      </c>
    </row>
    <row r="2145" spans="1:4">
      <c r="A2145" s="1">
        <v>45786</v>
      </c>
      <c r="B2145" t="s">
        <v>41</v>
      </c>
      <c r="C2145">
        <v>11</v>
      </c>
      <c r="D2145" t="str">
        <f t="shared" si="33"/>
        <v>09/05/2025ENT</v>
      </c>
    </row>
    <row r="2146" spans="1:4">
      <c r="A2146" s="1">
        <v>45786</v>
      </c>
      <c r="B2146" t="s">
        <v>44</v>
      </c>
      <c r="C2146">
        <v>13</v>
      </c>
      <c r="D2146" t="str">
        <f t="shared" si="33"/>
        <v>09/05/2025Geriatrics</v>
      </c>
    </row>
    <row r="2147" spans="1:4">
      <c r="A2147" s="1">
        <v>45787</v>
      </c>
      <c r="B2147" t="s">
        <v>39</v>
      </c>
      <c r="C2147">
        <v>20</v>
      </c>
      <c r="D2147" t="str">
        <f t="shared" si="33"/>
        <v>10/05/2025A&amp;E (Emergency)</v>
      </c>
    </row>
    <row r="2148" spans="1:4">
      <c r="A2148" s="1">
        <v>45787</v>
      </c>
      <c r="B2148" t="s">
        <v>40</v>
      </c>
      <c r="C2148">
        <v>12</v>
      </c>
      <c r="D2148" t="str">
        <f t="shared" si="33"/>
        <v>10/05/2025Cardiology</v>
      </c>
    </row>
    <row r="2149" spans="1:4">
      <c r="A2149" s="1">
        <v>45787</v>
      </c>
      <c r="B2149" t="s">
        <v>51</v>
      </c>
      <c r="C2149">
        <v>9</v>
      </c>
      <c r="D2149" t="str">
        <f t="shared" si="33"/>
        <v>10/05/2025Respiratory</v>
      </c>
    </row>
    <row r="2150" spans="1:4">
      <c r="A2150" s="1">
        <v>45787</v>
      </c>
      <c r="B2150" t="s">
        <v>43</v>
      </c>
      <c r="C2150">
        <v>15</v>
      </c>
      <c r="D2150" t="str">
        <f t="shared" si="33"/>
        <v>10/05/2025General Surgery</v>
      </c>
    </row>
    <row r="2151" spans="1:4">
      <c r="A2151" s="1">
        <v>45787</v>
      </c>
      <c r="B2151" t="s">
        <v>48</v>
      </c>
      <c r="C2151">
        <v>11</v>
      </c>
      <c r="D2151" t="str">
        <f t="shared" si="33"/>
        <v>10/05/2025Orthopaedics</v>
      </c>
    </row>
    <row r="2152" spans="1:4">
      <c r="A2152" s="1">
        <v>45787</v>
      </c>
      <c r="B2152" t="s">
        <v>46</v>
      </c>
      <c r="C2152">
        <v>9</v>
      </c>
      <c r="D2152" t="str">
        <f t="shared" si="33"/>
        <v>10/05/2025Neurology</v>
      </c>
    </row>
    <row r="2153" spans="1:4">
      <c r="A2153" s="1">
        <v>45787</v>
      </c>
      <c r="B2153" t="s">
        <v>47</v>
      </c>
      <c r="C2153">
        <v>13</v>
      </c>
      <c r="D2153" t="str">
        <f t="shared" si="33"/>
        <v>10/05/2025Oncology</v>
      </c>
    </row>
    <row r="2154" spans="1:4">
      <c r="A2154" s="1">
        <v>45787</v>
      </c>
      <c r="B2154" t="s">
        <v>49</v>
      </c>
      <c r="C2154">
        <v>9</v>
      </c>
      <c r="D2154" t="str">
        <f t="shared" si="33"/>
        <v>10/05/2025Paediatrics</v>
      </c>
    </row>
    <row r="2155" spans="1:4">
      <c r="A2155" s="1">
        <v>45787</v>
      </c>
      <c r="B2155" t="s">
        <v>45</v>
      </c>
      <c r="C2155">
        <v>10</v>
      </c>
      <c r="D2155" t="str">
        <f t="shared" si="33"/>
        <v>10/05/2025Maternity</v>
      </c>
    </row>
    <row r="2156" spans="1:4">
      <c r="A2156" s="1">
        <v>45787</v>
      </c>
      <c r="B2156" t="s">
        <v>50</v>
      </c>
      <c r="C2156">
        <v>17</v>
      </c>
      <c r="D2156" t="str">
        <f t="shared" si="33"/>
        <v>10/05/2025Renal Medicine</v>
      </c>
    </row>
    <row r="2157" spans="1:4">
      <c r="A2157" s="1">
        <v>45787</v>
      </c>
      <c r="B2157" t="s">
        <v>42</v>
      </c>
      <c r="C2157">
        <v>7</v>
      </c>
      <c r="D2157" t="str">
        <f t="shared" si="33"/>
        <v>10/05/2025Gastroenterology</v>
      </c>
    </row>
    <row r="2158" spans="1:4">
      <c r="A2158" s="1">
        <v>45787</v>
      </c>
      <c r="B2158" t="s">
        <v>98</v>
      </c>
      <c r="C2158">
        <v>6</v>
      </c>
      <c r="D2158" t="str">
        <f t="shared" si="33"/>
        <v>10/05/2025Endocrinology</v>
      </c>
    </row>
    <row r="2159" spans="1:4">
      <c r="A2159" s="1">
        <v>45787</v>
      </c>
      <c r="B2159" t="s">
        <v>100</v>
      </c>
      <c r="C2159">
        <v>8</v>
      </c>
      <c r="D2159" t="str">
        <f t="shared" si="33"/>
        <v>10/05/2025Urology</v>
      </c>
    </row>
    <row r="2160" spans="1:4">
      <c r="A2160" s="1">
        <v>45787</v>
      </c>
      <c r="B2160" t="s">
        <v>41</v>
      </c>
      <c r="C2160">
        <v>10</v>
      </c>
      <c r="D2160" t="str">
        <f t="shared" si="33"/>
        <v>10/05/2025ENT</v>
      </c>
    </row>
    <row r="2161" spans="1:4">
      <c r="A2161" s="1">
        <v>45787</v>
      </c>
      <c r="B2161" t="s">
        <v>44</v>
      </c>
      <c r="C2161">
        <v>12</v>
      </c>
      <c r="D2161" t="str">
        <f t="shared" si="33"/>
        <v>10/05/2025Geriatrics</v>
      </c>
    </row>
    <row r="2162" spans="1:4">
      <c r="A2162" s="1">
        <v>45788</v>
      </c>
      <c r="B2162" t="s">
        <v>39</v>
      </c>
      <c r="C2162">
        <v>19</v>
      </c>
      <c r="D2162" t="str">
        <f t="shared" si="33"/>
        <v>11/05/2025A&amp;E (Emergency)</v>
      </c>
    </row>
    <row r="2163" spans="1:4">
      <c r="A2163" s="1">
        <v>45788</v>
      </c>
      <c r="B2163" t="s">
        <v>40</v>
      </c>
      <c r="C2163">
        <v>11</v>
      </c>
      <c r="D2163" t="str">
        <f t="shared" si="33"/>
        <v>11/05/2025Cardiology</v>
      </c>
    </row>
    <row r="2164" spans="1:4">
      <c r="A2164" s="1">
        <v>45788</v>
      </c>
      <c r="B2164" t="s">
        <v>51</v>
      </c>
      <c r="C2164">
        <v>9</v>
      </c>
      <c r="D2164" t="str">
        <f t="shared" si="33"/>
        <v>11/05/2025Respiratory</v>
      </c>
    </row>
    <row r="2165" spans="1:4">
      <c r="A2165" s="1">
        <v>45788</v>
      </c>
      <c r="B2165" t="s">
        <v>43</v>
      </c>
      <c r="C2165">
        <v>14</v>
      </c>
      <c r="D2165" t="str">
        <f t="shared" si="33"/>
        <v>11/05/2025General Surgery</v>
      </c>
    </row>
    <row r="2166" spans="1:4">
      <c r="A2166" s="1">
        <v>45788</v>
      </c>
      <c r="B2166" t="s">
        <v>48</v>
      </c>
      <c r="C2166">
        <v>10</v>
      </c>
      <c r="D2166" t="str">
        <f t="shared" si="33"/>
        <v>11/05/2025Orthopaedics</v>
      </c>
    </row>
    <row r="2167" spans="1:4">
      <c r="A2167" s="1">
        <v>45788</v>
      </c>
      <c r="B2167" t="s">
        <v>46</v>
      </c>
      <c r="C2167">
        <v>9</v>
      </c>
      <c r="D2167" t="str">
        <f t="shared" si="33"/>
        <v>11/05/2025Neurology</v>
      </c>
    </row>
    <row r="2168" spans="1:4">
      <c r="A2168" s="1">
        <v>45788</v>
      </c>
      <c r="B2168" t="s">
        <v>47</v>
      </c>
      <c r="C2168">
        <v>12</v>
      </c>
      <c r="D2168" t="str">
        <f t="shared" si="33"/>
        <v>11/05/2025Oncology</v>
      </c>
    </row>
    <row r="2169" spans="1:4">
      <c r="A2169" s="1">
        <v>45788</v>
      </c>
      <c r="B2169" t="s">
        <v>49</v>
      </c>
      <c r="C2169">
        <v>8</v>
      </c>
      <c r="D2169" t="str">
        <f t="shared" si="33"/>
        <v>11/05/2025Paediatrics</v>
      </c>
    </row>
    <row r="2170" spans="1:4">
      <c r="A2170" s="1">
        <v>45788</v>
      </c>
      <c r="B2170" t="s">
        <v>45</v>
      </c>
      <c r="C2170">
        <v>9</v>
      </c>
      <c r="D2170" t="str">
        <f t="shared" si="33"/>
        <v>11/05/2025Maternity</v>
      </c>
    </row>
    <row r="2171" spans="1:4">
      <c r="A2171" s="1">
        <v>45788</v>
      </c>
      <c r="B2171" t="s">
        <v>50</v>
      </c>
      <c r="C2171">
        <v>17</v>
      </c>
      <c r="D2171" t="str">
        <f t="shared" si="33"/>
        <v>11/05/2025Renal Medicine</v>
      </c>
    </row>
    <row r="2172" spans="1:4">
      <c r="A2172" s="1">
        <v>45788</v>
      </c>
      <c r="B2172" t="s">
        <v>42</v>
      </c>
      <c r="C2172">
        <v>7</v>
      </c>
      <c r="D2172" t="str">
        <f t="shared" si="33"/>
        <v>11/05/2025Gastroenterology</v>
      </c>
    </row>
    <row r="2173" spans="1:4">
      <c r="A2173" s="1">
        <v>45788</v>
      </c>
      <c r="B2173" t="s">
        <v>98</v>
      </c>
      <c r="C2173">
        <v>6</v>
      </c>
      <c r="D2173" t="str">
        <f t="shared" si="33"/>
        <v>11/05/2025Endocrinology</v>
      </c>
    </row>
    <row r="2174" spans="1:4">
      <c r="A2174" s="1">
        <v>45788</v>
      </c>
      <c r="B2174" t="s">
        <v>100</v>
      </c>
      <c r="C2174">
        <v>8</v>
      </c>
      <c r="D2174" t="str">
        <f t="shared" si="33"/>
        <v>11/05/2025Urology</v>
      </c>
    </row>
    <row r="2175" spans="1:4">
      <c r="A2175" s="1">
        <v>45788</v>
      </c>
      <c r="B2175" t="s">
        <v>41</v>
      </c>
      <c r="C2175">
        <v>10</v>
      </c>
      <c r="D2175" t="str">
        <f t="shared" si="33"/>
        <v>11/05/2025ENT</v>
      </c>
    </row>
    <row r="2176" spans="1:4">
      <c r="A2176" s="1">
        <v>45788</v>
      </c>
      <c r="B2176" t="s">
        <v>44</v>
      </c>
      <c r="C2176">
        <v>12</v>
      </c>
      <c r="D2176" t="str">
        <f t="shared" si="33"/>
        <v>11/05/2025Geriatrics</v>
      </c>
    </row>
    <row r="2177" spans="1:4">
      <c r="A2177" s="1">
        <v>45789</v>
      </c>
      <c r="B2177" t="s">
        <v>39</v>
      </c>
      <c r="C2177">
        <v>28</v>
      </c>
      <c r="D2177" t="str">
        <f t="shared" si="33"/>
        <v>12/05/2025A&amp;E (Emergency)</v>
      </c>
    </row>
    <row r="2178" spans="1:4">
      <c r="A2178" s="1">
        <v>45789</v>
      </c>
      <c r="B2178" t="s">
        <v>40</v>
      </c>
      <c r="C2178">
        <v>18</v>
      </c>
      <c r="D2178" t="str">
        <f t="shared" si="33"/>
        <v>12/05/2025Cardiology</v>
      </c>
    </row>
    <row r="2179" spans="1:4">
      <c r="A2179" s="1">
        <v>45789</v>
      </c>
      <c r="B2179" t="s">
        <v>51</v>
      </c>
      <c r="C2179">
        <v>15</v>
      </c>
      <c r="D2179" t="str">
        <f t="shared" ref="D2179:D2242" si="34">TEXT(A2179, "dd/mm/yyyy")&amp;B2179</f>
        <v>12/05/2025Respiratory</v>
      </c>
    </row>
    <row r="2180" spans="1:4">
      <c r="A2180" s="1">
        <v>45789</v>
      </c>
      <c r="B2180" t="s">
        <v>43</v>
      </c>
      <c r="C2180">
        <v>22</v>
      </c>
      <c r="D2180" t="str">
        <f t="shared" si="34"/>
        <v>12/05/2025General Surgery</v>
      </c>
    </row>
    <row r="2181" spans="1:4">
      <c r="A2181" s="1">
        <v>45789</v>
      </c>
      <c r="B2181" t="s">
        <v>48</v>
      </c>
      <c r="C2181">
        <v>16</v>
      </c>
      <c r="D2181" t="str">
        <f t="shared" si="34"/>
        <v>12/05/2025Orthopaedics</v>
      </c>
    </row>
    <row r="2182" spans="1:4">
      <c r="A2182" s="1">
        <v>45789</v>
      </c>
      <c r="B2182" t="s">
        <v>46</v>
      </c>
      <c r="C2182">
        <v>14</v>
      </c>
      <c r="D2182" t="str">
        <f t="shared" si="34"/>
        <v>12/05/2025Neurology</v>
      </c>
    </row>
    <row r="2183" spans="1:4">
      <c r="A2183" s="1">
        <v>45789</v>
      </c>
      <c r="B2183" t="s">
        <v>47</v>
      </c>
      <c r="C2183">
        <v>18</v>
      </c>
      <c r="D2183" t="str">
        <f t="shared" si="34"/>
        <v>12/05/2025Oncology</v>
      </c>
    </row>
    <row r="2184" spans="1:4">
      <c r="A2184" s="1">
        <v>45789</v>
      </c>
      <c r="B2184" t="s">
        <v>49</v>
      </c>
      <c r="C2184">
        <v>13</v>
      </c>
      <c r="D2184" t="str">
        <f t="shared" si="34"/>
        <v>12/05/2025Paediatrics</v>
      </c>
    </row>
    <row r="2185" spans="1:4">
      <c r="A2185" s="1">
        <v>45789</v>
      </c>
      <c r="B2185" t="s">
        <v>45</v>
      </c>
      <c r="C2185">
        <v>13</v>
      </c>
      <c r="D2185" t="str">
        <f t="shared" si="34"/>
        <v>12/05/2025Maternity</v>
      </c>
    </row>
    <row r="2186" spans="1:4">
      <c r="A2186" s="1">
        <v>45789</v>
      </c>
      <c r="B2186" t="s">
        <v>50</v>
      </c>
      <c r="C2186">
        <v>21</v>
      </c>
      <c r="D2186" t="str">
        <f t="shared" si="34"/>
        <v>12/05/2025Renal Medicine</v>
      </c>
    </row>
    <row r="2187" spans="1:4">
      <c r="A2187" s="1">
        <v>45789</v>
      </c>
      <c r="B2187" t="s">
        <v>42</v>
      </c>
      <c r="C2187">
        <v>12</v>
      </c>
      <c r="D2187" t="str">
        <f t="shared" si="34"/>
        <v>12/05/2025Gastroenterology</v>
      </c>
    </row>
    <row r="2188" spans="1:4">
      <c r="A2188" s="1">
        <v>45789</v>
      </c>
      <c r="B2188" t="s">
        <v>98</v>
      </c>
      <c r="C2188">
        <v>10</v>
      </c>
      <c r="D2188" t="str">
        <f t="shared" si="34"/>
        <v>12/05/2025Endocrinology</v>
      </c>
    </row>
    <row r="2189" spans="1:4">
      <c r="A2189" s="1">
        <v>45789</v>
      </c>
      <c r="B2189" t="s">
        <v>100</v>
      </c>
      <c r="C2189">
        <v>11</v>
      </c>
      <c r="D2189" t="str">
        <f t="shared" si="34"/>
        <v>12/05/2025Urology</v>
      </c>
    </row>
    <row r="2190" spans="1:4">
      <c r="A2190" s="1">
        <v>45789</v>
      </c>
      <c r="B2190" t="s">
        <v>41</v>
      </c>
      <c r="C2190">
        <v>13</v>
      </c>
      <c r="D2190" t="str">
        <f t="shared" si="34"/>
        <v>12/05/2025ENT</v>
      </c>
    </row>
    <row r="2191" spans="1:4">
      <c r="A2191" s="1">
        <v>45789</v>
      </c>
      <c r="B2191" t="s">
        <v>44</v>
      </c>
      <c r="C2191">
        <v>16</v>
      </c>
      <c r="D2191" t="str">
        <f t="shared" si="34"/>
        <v>12/05/2025Geriatrics</v>
      </c>
    </row>
    <row r="2192" spans="1:4">
      <c r="A2192" s="1">
        <v>45790</v>
      </c>
      <c r="B2192" t="s">
        <v>39</v>
      </c>
      <c r="C2192">
        <v>25</v>
      </c>
      <c r="D2192" t="str">
        <f t="shared" si="34"/>
        <v>13/05/2025A&amp;E (Emergency)</v>
      </c>
    </row>
    <row r="2193" spans="1:4">
      <c r="A2193" s="1">
        <v>45790</v>
      </c>
      <c r="B2193" t="s">
        <v>40</v>
      </c>
      <c r="C2193">
        <v>17</v>
      </c>
      <c r="D2193" t="str">
        <f t="shared" si="34"/>
        <v>13/05/2025Cardiology</v>
      </c>
    </row>
    <row r="2194" spans="1:4">
      <c r="A2194" s="1">
        <v>45790</v>
      </c>
      <c r="B2194" t="s">
        <v>51</v>
      </c>
      <c r="C2194">
        <v>14</v>
      </c>
      <c r="D2194" t="str">
        <f t="shared" si="34"/>
        <v>13/05/2025Respiratory</v>
      </c>
    </row>
    <row r="2195" spans="1:4">
      <c r="A2195" s="1">
        <v>45790</v>
      </c>
      <c r="B2195" t="s">
        <v>43</v>
      </c>
      <c r="C2195">
        <v>20</v>
      </c>
      <c r="D2195" t="str">
        <f t="shared" si="34"/>
        <v>13/05/2025General Surgery</v>
      </c>
    </row>
    <row r="2196" spans="1:4">
      <c r="A2196" s="1">
        <v>45790</v>
      </c>
      <c r="B2196" t="s">
        <v>48</v>
      </c>
      <c r="C2196">
        <v>15</v>
      </c>
      <c r="D2196" t="str">
        <f t="shared" si="34"/>
        <v>13/05/2025Orthopaedics</v>
      </c>
    </row>
    <row r="2197" spans="1:4">
      <c r="A2197" s="1">
        <v>45790</v>
      </c>
      <c r="B2197" t="s">
        <v>46</v>
      </c>
      <c r="C2197">
        <v>13</v>
      </c>
      <c r="D2197" t="str">
        <f t="shared" si="34"/>
        <v>13/05/2025Neurology</v>
      </c>
    </row>
    <row r="2198" spans="1:4">
      <c r="A2198" s="1">
        <v>45790</v>
      </c>
      <c r="B2198" t="s">
        <v>47</v>
      </c>
      <c r="C2198">
        <v>17</v>
      </c>
      <c r="D2198" t="str">
        <f t="shared" si="34"/>
        <v>13/05/2025Oncology</v>
      </c>
    </row>
    <row r="2199" spans="1:4">
      <c r="A2199" s="1">
        <v>45790</v>
      </c>
      <c r="B2199" t="s">
        <v>49</v>
      </c>
      <c r="C2199">
        <v>12</v>
      </c>
      <c r="D2199" t="str">
        <f t="shared" si="34"/>
        <v>13/05/2025Paediatrics</v>
      </c>
    </row>
    <row r="2200" spans="1:4">
      <c r="A2200" s="1">
        <v>45790</v>
      </c>
      <c r="B2200" t="s">
        <v>45</v>
      </c>
      <c r="C2200">
        <v>12</v>
      </c>
      <c r="D2200" t="str">
        <f t="shared" si="34"/>
        <v>13/05/2025Maternity</v>
      </c>
    </row>
    <row r="2201" spans="1:4">
      <c r="A2201" s="1">
        <v>45790</v>
      </c>
      <c r="B2201" t="s">
        <v>50</v>
      </c>
      <c r="C2201">
        <v>20</v>
      </c>
      <c r="D2201" t="str">
        <f t="shared" si="34"/>
        <v>13/05/2025Renal Medicine</v>
      </c>
    </row>
    <row r="2202" spans="1:4">
      <c r="A2202" s="1">
        <v>45790</v>
      </c>
      <c r="B2202" t="s">
        <v>42</v>
      </c>
      <c r="C2202">
        <v>11</v>
      </c>
      <c r="D2202" t="str">
        <f t="shared" si="34"/>
        <v>13/05/2025Gastroenterology</v>
      </c>
    </row>
    <row r="2203" spans="1:4">
      <c r="A2203" s="1">
        <v>45790</v>
      </c>
      <c r="B2203" t="s">
        <v>98</v>
      </c>
      <c r="C2203">
        <v>9</v>
      </c>
      <c r="D2203" t="str">
        <f t="shared" si="34"/>
        <v>13/05/2025Endocrinology</v>
      </c>
    </row>
    <row r="2204" spans="1:4">
      <c r="A2204" s="1">
        <v>45790</v>
      </c>
      <c r="B2204" t="s">
        <v>100</v>
      </c>
      <c r="C2204">
        <v>10</v>
      </c>
      <c r="D2204" t="str">
        <f t="shared" si="34"/>
        <v>13/05/2025Urology</v>
      </c>
    </row>
    <row r="2205" spans="1:4">
      <c r="A2205" s="1">
        <v>45790</v>
      </c>
      <c r="B2205" t="s">
        <v>41</v>
      </c>
      <c r="C2205">
        <v>12</v>
      </c>
      <c r="D2205" t="str">
        <f t="shared" si="34"/>
        <v>13/05/2025ENT</v>
      </c>
    </row>
    <row r="2206" spans="1:4">
      <c r="A2206" s="1">
        <v>45790</v>
      </c>
      <c r="B2206" t="s">
        <v>44</v>
      </c>
      <c r="C2206">
        <v>15</v>
      </c>
      <c r="D2206" t="str">
        <f t="shared" si="34"/>
        <v>13/05/2025Geriatrics</v>
      </c>
    </row>
    <row r="2207" spans="1:4">
      <c r="A2207" s="1">
        <v>45791</v>
      </c>
      <c r="B2207" t="s">
        <v>39</v>
      </c>
      <c r="C2207">
        <v>24</v>
      </c>
      <c r="D2207" t="str">
        <f t="shared" si="34"/>
        <v>14/05/2025A&amp;E (Emergency)</v>
      </c>
    </row>
    <row r="2208" spans="1:4">
      <c r="A2208" s="1">
        <v>45791</v>
      </c>
      <c r="B2208" t="s">
        <v>40</v>
      </c>
      <c r="C2208">
        <v>16</v>
      </c>
      <c r="D2208" t="str">
        <f t="shared" si="34"/>
        <v>14/05/2025Cardiology</v>
      </c>
    </row>
    <row r="2209" spans="1:4">
      <c r="A2209" s="1">
        <v>45791</v>
      </c>
      <c r="B2209" t="s">
        <v>51</v>
      </c>
      <c r="C2209">
        <v>13</v>
      </c>
      <c r="D2209" t="str">
        <f t="shared" si="34"/>
        <v>14/05/2025Respiratory</v>
      </c>
    </row>
    <row r="2210" spans="1:4">
      <c r="A2210" s="1">
        <v>45791</v>
      </c>
      <c r="B2210" t="s">
        <v>43</v>
      </c>
      <c r="C2210">
        <v>19</v>
      </c>
      <c r="D2210" t="str">
        <f t="shared" si="34"/>
        <v>14/05/2025General Surgery</v>
      </c>
    </row>
    <row r="2211" spans="1:4">
      <c r="A2211" s="1">
        <v>45791</v>
      </c>
      <c r="B2211" t="s">
        <v>48</v>
      </c>
      <c r="C2211">
        <v>14</v>
      </c>
      <c r="D2211" t="str">
        <f t="shared" si="34"/>
        <v>14/05/2025Orthopaedics</v>
      </c>
    </row>
    <row r="2212" spans="1:4">
      <c r="A2212" s="1">
        <v>45791</v>
      </c>
      <c r="B2212" t="s">
        <v>46</v>
      </c>
      <c r="C2212">
        <v>12</v>
      </c>
      <c r="D2212" t="str">
        <f t="shared" si="34"/>
        <v>14/05/2025Neurology</v>
      </c>
    </row>
    <row r="2213" spans="1:4">
      <c r="A2213" s="1">
        <v>45791</v>
      </c>
      <c r="B2213" t="s">
        <v>47</v>
      </c>
      <c r="C2213">
        <v>16</v>
      </c>
      <c r="D2213" t="str">
        <f t="shared" si="34"/>
        <v>14/05/2025Oncology</v>
      </c>
    </row>
    <row r="2214" spans="1:4">
      <c r="A2214" s="1">
        <v>45791</v>
      </c>
      <c r="B2214" t="s">
        <v>49</v>
      </c>
      <c r="C2214">
        <v>11</v>
      </c>
      <c r="D2214" t="str">
        <f t="shared" si="34"/>
        <v>14/05/2025Paediatrics</v>
      </c>
    </row>
    <row r="2215" spans="1:4">
      <c r="A2215" s="1">
        <v>45791</v>
      </c>
      <c r="B2215" t="s">
        <v>45</v>
      </c>
      <c r="C2215">
        <v>12</v>
      </c>
      <c r="D2215" t="str">
        <f t="shared" si="34"/>
        <v>14/05/2025Maternity</v>
      </c>
    </row>
    <row r="2216" spans="1:4">
      <c r="A2216" s="1">
        <v>45791</v>
      </c>
      <c r="B2216" t="s">
        <v>50</v>
      </c>
      <c r="C2216">
        <v>19</v>
      </c>
      <c r="D2216" t="str">
        <f t="shared" si="34"/>
        <v>14/05/2025Renal Medicine</v>
      </c>
    </row>
    <row r="2217" spans="1:4">
      <c r="A2217" s="1">
        <v>45791</v>
      </c>
      <c r="B2217" t="s">
        <v>42</v>
      </c>
      <c r="C2217">
        <v>10</v>
      </c>
      <c r="D2217" t="str">
        <f t="shared" si="34"/>
        <v>14/05/2025Gastroenterology</v>
      </c>
    </row>
    <row r="2218" spans="1:4">
      <c r="A2218" s="1">
        <v>45791</v>
      </c>
      <c r="B2218" t="s">
        <v>98</v>
      </c>
      <c r="C2218">
        <v>8</v>
      </c>
      <c r="D2218" t="str">
        <f t="shared" si="34"/>
        <v>14/05/2025Endocrinology</v>
      </c>
    </row>
    <row r="2219" spans="1:4">
      <c r="A2219" s="1">
        <v>45791</v>
      </c>
      <c r="B2219" t="s">
        <v>100</v>
      </c>
      <c r="C2219">
        <v>10</v>
      </c>
      <c r="D2219" t="str">
        <f t="shared" si="34"/>
        <v>14/05/2025Urology</v>
      </c>
    </row>
    <row r="2220" spans="1:4">
      <c r="A2220" s="1">
        <v>45791</v>
      </c>
      <c r="B2220" t="s">
        <v>41</v>
      </c>
      <c r="C2220">
        <v>12</v>
      </c>
      <c r="D2220" t="str">
        <f t="shared" si="34"/>
        <v>14/05/2025ENT</v>
      </c>
    </row>
    <row r="2221" spans="1:4">
      <c r="A2221" s="1">
        <v>45791</v>
      </c>
      <c r="B2221" t="s">
        <v>44</v>
      </c>
      <c r="C2221">
        <v>14</v>
      </c>
      <c r="D2221" t="str">
        <f t="shared" si="34"/>
        <v>14/05/2025Geriatrics</v>
      </c>
    </row>
    <row r="2222" spans="1:4">
      <c r="A2222" s="1">
        <v>45792</v>
      </c>
      <c r="B2222" t="s">
        <v>39</v>
      </c>
      <c r="C2222">
        <v>23</v>
      </c>
      <c r="D2222" t="str">
        <f t="shared" si="34"/>
        <v>15/05/2025A&amp;E (Emergency)</v>
      </c>
    </row>
    <row r="2223" spans="1:4">
      <c r="A2223" s="1">
        <v>45792</v>
      </c>
      <c r="B2223" t="s">
        <v>40</v>
      </c>
      <c r="C2223">
        <v>16</v>
      </c>
      <c r="D2223" t="str">
        <f t="shared" si="34"/>
        <v>15/05/2025Cardiology</v>
      </c>
    </row>
    <row r="2224" spans="1:4">
      <c r="A2224" s="1">
        <v>45792</v>
      </c>
      <c r="B2224" t="s">
        <v>51</v>
      </c>
      <c r="C2224">
        <v>13</v>
      </c>
      <c r="D2224" t="str">
        <f t="shared" si="34"/>
        <v>15/05/2025Respiratory</v>
      </c>
    </row>
    <row r="2225" spans="1:4">
      <c r="A2225" s="1">
        <v>45792</v>
      </c>
      <c r="B2225" t="s">
        <v>43</v>
      </c>
      <c r="C2225">
        <v>19</v>
      </c>
      <c r="D2225" t="str">
        <f t="shared" si="34"/>
        <v>15/05/2025General Surgery</v>
      </c>
    </row>
    <row r="2226" spans="1:4">
      <c r="A2226" s="1">
        <v>45792</v>
      </c>
      <c r="B2226" t="s">
        <v>48</v>
      </c>
      <c r="C2226">
        <v>14</v>
      </c>
      <c r="D2226" t="str">
        <f t="shared" si="34"/>
        <v>15/05/2025Orthopaedics</v>
      </c>
    </row>
    <row r="2227" spans="1:4">
      <c r="A2227" s="1">
        <v>45792</v>
      </c>
      <c r="B2227" t="s">
        <v>46</v>
      </c>
      <c r="C2227">
        <v>12</v>
      </c>
      <c r="D2227" t="str">
        <f t="shared" si="34"/>
        <v>15/05/2025Neurology</v>
      </c>
    </row>
    <row r="2228" spans="1:4">
      <c r="A2228" s="1">
        <v>45792</v>
      </c>
      <c r="B2228" t="s">
        <v>47</v>
      </c>
      <c r="C2228">
        <v>16</v>
      </c>
      <c r="D2228" t="str">
        <f t="shared" si="34"/>
        <v>15/05/2025Oncology</v>
      </c>
    </row>
    <row r="2229" spans="1:4">
      <c r="A2229" s="1">
        <v>45792</v>
      </c>
      <c r="B2229" t="s">
        <v>49</v>
      </c>
      <c r="C2229">
        <v>11</v>
      </c>
      <c r="D2229" t="str">
        <f t="shared" si="34"/>
        <v>15/05/2025Paediatrics</v>
      </c>
    </row>
    <row r="2230" spans="1:4">
      <c r="A2230" s="1">
        <v>45792</v>
      </c>
      <c r="B2230" t="s">
        <v>45</v>
      </c>
      <c r="C2230">
        <v>12</v>
      </c>
      <c r="D2230" t="str">
        <f t="shared" si="34"/>
        <v>15/05/2025Maternity</v>
      </c>
    </row>
    <row r="2231" spans="1:4">
      <c r="A2231" s="1">
        <v>45792</v>
      </c>
      <c r="B2231" t="s">
        <v>50</v>
      </c>
      <c r="C2231">
        <v>19</v>
      </c>
      <c r="D2231" t="str">
        <f t="shared" si="34"/>
        <v>15/05/2025Renal Medicine</v>
      </c>
    </row>
    <row r="2232" spans="1:4">
      <c r="A2232" s="1">
        <v>45792</v>
      </c>
      <c r="B2232" t="s">
        <v>42</v>
      </c>
      <c r="C2232">
        <v>10</v>
      </c>
      <c r="D2232" t="str">
        <f t="shared" si="34"/>
        <v>15/05/2025Gastroenterology</v>
      </c>
    </row>
    <row r="2233" spans="1:4">
      <c r="A2233" s="1">
        <v>45792</v>
      </c>
      <c r="B2233" t="s">
        <v>98</v>
      </c>
      <c r="C2233">
        <v>8</v>
      </c>
      <c r="D2233" t="str">
        <f t="shared" si="34"/>
        <v>15/05/2025Endocrinology</v>
      </c>
    </row>
    <row r="2234" spans="1:4">
      <c r="A2234" s="1">
        <v>45792</v>
      </c>
      <c r="B2234" t="s">
        <v>100</v>
      </c>
      <c r="C2234">
        <v>10</v>
      </c>
      <c r="D2234" t="str">
        <f t="shared" si="34"/>
        <v>15/05/2025Urology</v>
      </c>
    </row>
    <row r="2235" spans="1:4">
      <c r="A2235" s="1">
        <v>45792</v>
      </c>
      <c r="B2235" t="s">
        <v>41</v>
      </c>
      <c r="C2235">
        <v>12</v>
      </c>
      <c r="D2235" t="str">
        <f t="shared" si="34"/>
        <v>15/05/2025ENT</v>
      </c>
    </row>
    <row r="2236" spans="1:4">
      <c r="A2236" s="1">
        <v>45792</v>
      </c>
      <c r="B2236" t="s">
        <v>44</v>
      </c>
      <c r="C2236">
        <v>14</v>
      </c>
      <c r="D2236" t="str">
        <f t="shared" si="34"/>
        <v>15/05/2025Geriatrics</v>
      </c>
    </row>
    <row r="2237" spans="1:4">
      <c r="A2237" s="1">
        <v>45793</v>
      </c>
      <c r="B2237" t="s">
        <v>39</v>
      </c>
      <c r="C2237">
        <v>22</v>
      </c>
      <c r="D2237" t="str">
        <f t="shared" si="34"/>
        <v>16/05/2025A&amp;E (Emergency)</v>
      </c>
    </row>
    <row r="2238" spans="1:4">
      <c r="A2238" s="1">
        <v>45793</v>
      </c>
      <c r="B2238" t="s">
        <v>40</v>
      </c>
      <c r="C2238">
        <v>15</v>
      </c>
      <c r="D2238" t="str">
        <f t="shared" si="34"/>
        <v>16/05/2025Cardiology</v>
      </c>
    </row>
    <row r="2239" spans="1:4">
      <c r="A2239" s="1">
        <v>45793</v>
      </c>
      <c r="B2239" t="s">
        <v>51</v>
      </c>
      <c r="C2239">
        <v>12</v>
      </c>
      <c r="D2239" t="str">
        <f t="shared" si="34"/>
        <v>16/05/2025Respiratory</v>
      </c>
    </row>
    <row r="2240" spans="1:4">
      <c r="A2240" s="1">
        <v>45793</v>
      </c>
      <c r="B2240" t="s">
        <v>43</v>
      </c>
      <c r="C2240">
        <v>18</v>
      </c>
      <c r="D2240" t="str">
        <f t="shared" si="34"/>
        <v>16/05/2025General Surgery</v>
      </c>
    </row>
    <row r="2241" spans="1:4">
      <c r="A2241" s="1">
        <v>45793</v>
      </c>
      <c r="B2241" t="s">
        <v>48</v>
      </c>
      <c r="C2241">
        <v>13</v>
      </c>
      <c r="D2241" t="str">
        <f t="shared" si="34"/>
        <v>16/05/2025Orthopaedics</v>
      </c>
    </row>
    <row r="2242" spans="1:4">
      <c r="A2242" s="1">
        <v>45793</v>
      </c>
      <c r="B2242" t="s">
        <v>46</v>
      </c>
      <c r="C2242">
        <v>11</v>
      </c>
      <c r="D2242" t="str">
        <f t="shared" si="34"/>
        <v>16/05/2025Neurology</v>
      </c>
    </row>
    <row r="2243" spans="1:4">
      <c r="A2243" s="1">
        <v>45793</v>
      </c>
      <c r="B2243" t="s">
        <v>47</v>
      </c>
      <c r="C2243">
        <v>15</v>
      </c>
      <c r="D2243" t="str">
        <f t="shared" ref="D2243:D2306" si="35">TEXT(A2243, "dd/mm/yyyy")&amp;B2243</f>
        <v>16/05/2025Oncology</v>
      </c>
    </row>
    <row r="2244" spans="1:4">
      <c r="A2244" s="1">
        <v>45793</v>
      </c>
      <c r="B2244" t="s">
        <v>49</v>
      </c>
      <c r="C2244">
        <v>10</v>
      </c>
      <c r="D2244" t="str">
        <f t="shared" si="35"/>
        <v>16/05/2025Paediatrics</v>
      </c>
    </row>
    <row r="2245" spans="1:4">
      <c r="A2245" s="1">
        <v>45793</v>
      </c>
      <c r="B2245" t="s">
        <v>45</v>
      </c>
      <c r="C2245">
        <v>11</v>
      </c>
      <c r="D2245" t="str">
        <f t="shared" si="35"/>
        <v>16/05/2025Maternity</v>
      </c>
    </row>
    <row r="2246" spans="1:4">
      <c r="A2246" s="1">
        <v>45793</v>
      </c>
      <c r="B2246" t="s">
        <v>50</v>
      </c>
      <c r="C2246">
        <v>18</v>
      </c>
      <c r="D2246" t="str">
        <f t="shared" si="35"/>
        <v>16/05/2025Renal Medicine</v>
      </c>
    </row>
    <row r="2247" spans="1:4">
      <c r="A2247" s="1">
        <v>45793</v>
      </c>
      <c r="B2247" t="s">
        <v>42</v>
      </c>
      <c r="C2247">
        <v>9</v>
      </c>
      <c r="D2247" t="str">
        <f t="shared" si="35"/>
        <v>16/05/2025Gastroenterology</v>
      </c>
    </row>
    <row r="2248" spans="1:4">
      <c r="A2248" s="1">
        <v>45793</v>
      </c>
      <c r="B2248" t="s">
        <v>98</v>
      </c>
      <c r="C2248">
        <v>7</v>
      </c>
      <c r="D2248" t="str">
        <f t="shared" si="35"/>
        <v>16/05/2025Endocrinology</v>
      </c>
    </row>
    <row r="2249" spans="1:4">
      <c r="A2249" s="1">
        <v>45793</v>
      </c>
      <c r="B2249" t="s">
        <v>100</v>
      </c>
      <c r="C2249">
        <v>9</v>
      </c>
      <c r="D2249" t="str">
        <f t="shared" si="35"/>
        <v>16/05/2025Urology</v>
      </c>
    </row>
    <row r="2250" spans="1:4">
      <c r="A2250" s="1">
        <v>45793</v>
      </c>
      <c r="B2250" t="s">
        <v>41</v>
      </c>
      <c r="C2250">
        <v>11</v>
      </c>
      <c r="D2250" t="str">
        <f t="shared" si="35"/>
        <v>16/05/2025ENT</v>
      </c>
    </row>
    <row r="2251" spans="1:4">
      <c r="A2251" s="1">
        <v>45793</v>
      </c>
      <c r="B2251" t="s">
        <v>44</v>
      </c>
      <c r="C2251">
        <v>13</v>
      </c>
      <c r="D2251" t="str">
        <f t="shared" si="35"/>
        <v>16/05/2025Geriatrics</v>
      </c>
    </row>
    <row r="2252" spans="1:4">
      <c r="A2252" s="1">
        <v>45794</v>
      </c>
      <c r="B2252" t="s">
        <v>39</v>
      </c>
      <c r="C2252">
        <v>20</v>
      </c>
      <c r="D2252" t="str">
        <f t="shared" si="35"/>
        <v>17/05/2025A&amp;E (Emergency)</v>
      </c>
    </row>
    <row r="2253" spans="1:4">
      <c r="A2253" s="1">
        <v>45794</v>
      </c>
      <c r="B2253" t="s">
        <v>40</v>
      </c>
      <c r="C2253">
        <v>12</v>
      </c>
      <c r="D2253" t="str">
        <f t="shared" si="35"/>
        <v>17/05/2025Cardiology</v>
      </c>
    </row>
    <row r="2254" spans="1:4">
      <c r="A2254" s="1">
        <v>45794</v>
      </c>
      <c r="B2254" t="s">
        <v>51</v>
      </c>
      <c r="C2254">
        <v>9</v>
      </c>
      <c r="D2254" t="str">
        <f t="shared" si="35"/>
        <v>17/05/2025Respiratory</v>
      </c>
    </row>
    <row r="2255" spans="1:4">
      <c r="A2255" s="1">
        <v>45794</v>
      </c>
      <c r="B2255" t="s">
        <v>43</v>
      </c>
      <c r="C2255">
        <v>15</v>
      </c>
      <c r="D2255" t="str">
        <f t="shared" si="35"/>
        <v>17/05/2025General Surgery</v>
      </c>
    </row>
    <row r="2256" spans="1:4">
      <c r="A2256" s="1">
        <v>45794</v>
      </c>
      <c r="B2256" t="s">
        <v>48</v>
      </c>
      <c r="C2256">
        <v>11</v>
      </c>
      <c r="D2256" t="str">
        <f t="shared" si="35"/>
        <v>17/05/2025Orthopaedics</v>
      </c>
    </row>
    <row r="2257" spans="1:4">
      <c r="A2257" s="1">
        <v>45794</v>
      </c>
      <c r="B2257" t="s">
        <v>46</v>
      </c>
      <c r="C2257">
        <v>9</v>
      </c>
      <c r="D2257" t="str">
        <f t="shared" si="35"/>
        <v>17/05/2025Neurology</v>
      </c>
    </row>
    <row r="2258" spans="1:4">
      <c r="A2258" s="1">
        <v>45794</v>
      </c>
      <c r="B2258" t="s">
        <v>47</v>
      </c>
      <c r="C2258">
        <v>13</v>
      </c>
      <c r="D2258" t="str">
        <f t="shared" si="35"/>
        <v>17/05/2025Oncology</v>
      </c>
    </row>
    <row r="2259" spans="1:4">
      <c r="A2259" s="1">
        <v>45794</v>
      </c>
      <c r="B2259" t="s">
        <v>49</v>
      </c>
      <c r="C2259">
        <v>9</v>
      </c>
      <c r="D2259" t="str">
        <f t="shared" si="35"/>
        <v>17/05/2025Paediatrics</v>
      </c>
    </row>
    <row r="2260" spans="1:4">
      <c r="A2260" s="1">
        <v>45794</v>
      </c>
      <c r="B2260" t="s">
        <v>45</v>
      </c>
      <c r="C2260">
        <v>10</v>
      </c>
      <c r="D2260" t="str">
        <f t="shared" si="35"/>
        <v>17/05/2025Maternity</v>
      </c>
    </row>
    <row r="2261" spans="1:4">
      <c r="A2261" s="1">
        <v>45794</v>
      </c>
      <c r="B2261" t="s">
        <v>50</v>
      </c>
      <c r="C2261">
        <v>17</v>
      </c>
      <c r="D2261" t="str">
        <f t="shared" si="35"/>
        <v>17/05/2025Renal Medicine</v>
      </c>
    </row>
    <row r="2262" spans="1:4">
      <c r="A2262" s="1">
        <v>45794</v>
      </c>
      <c r="B2262" t="s">
        <v>42</v>
      </c>
      <c r="C2262">
        <v>7</v>
      </c>
      <c r="D2262" t="str">
        <f t="shared" si="35"/>
        <v>17/05/2025Gastroenterology</v>
      </c>
    </row>
    <row r="2263" spans="1:4">
      <c r="A2263" s="1">
        <v>45794</v>
      </c>
      <c r="B2263" t="s">
        <v>98</v>
      </c>
      <c r="C2263">
        <v>6</v>
      </c>
      <c r="D2263" t="str">
        <f t="shared" si="35"/>
        <v>17/05/2025Endocrinology</v>
      </c>
    </row>
    <row r="2264" spans="1:4">
      <c r="A2264" s="1">
        <v>45794</v>
      </c>
      <c r="B2264" t="s">
        <v>100</v>
      </c>
      <c r="C2264">
        <v>8</v>
      </c>
      <c r="D2264" t="str">
        <f t="shared" si="35"/>
        <v>17/05/2025Urology</v>
      </c>
    </row>
    <row r="2265" spans="1:4">
      <c r="A2265" s="1">
        <v>45794</v>
      </c>
      <c r="B2265" t="s">
        <v>41</v>
      </c>
      <c r="C2265">
        <v>10</v>
      </c>
      <c r="D2265" t="str">
        <f t="shared" si="35"/>
        <v>17/05/2025ENT</v>
      </c>
    </row>
    <row r="2266" spans="1:4">
      <c r="A2266" s="1">
        <v>45794</v>
      </c>
      <c r="B2266" t="s">
        <v>44</v>
      </c>
      <c r="C2266">
        <v>12</v>
      </c>
      <c r="D2266" t="str">
        <f t="shared" si="35"/>
        <v>17/05/2025Geriatrics</v>
      </c>
    </row>
    <row r="2267" spans="1:4">
      <c r="A2267" s="1">
        <v>45795</v>
      </c>
      <c r="B2267" t="s">
        <v>39</v>
      </c>
      <c r="C2267">
        <v>19</v>
      </c>
      <c r="D2267" t="str">
        <f t="shared" si="35"/>
        <v>18/05/2025A&amp;E (Emergency)</v>
      </c>
    </row>
    <row r="2268" spans="1:4">
      <c r="A2268" s="1">
        <v>45795</v>
      </c>
      <c r="B2268" t="s">
        <v>40</v>
      </c>
      <c r="C2268">
        <v>11</v>
      </c>
      <c r="D2268" t="str">
        <f t="shared" si="35"/>
        <v>18/05/2025Cardiology</v>
      </c>
    </row>
    <row r="2269" spans="1:4">
      <c r="A2269" s="1">
        <v>45795</v>
      </c>
      <c r="B2269" t="s">
        <v>51</v>
      </c>
      <c r="C2269">
        <v>9</v>
      </c>
      <c r="D2269" t="str">
        <f t="shared" si="35"/>
        <v>18/05/2025Respiratory</v>
      </c>
    </row>
    <row r="2270" spans="1:4">
      <c r="A2270" s="1">
        <v>45795</v>
      </c>
      <c r="B2270" t="s">
        <v>43</v>
      </c>
      <c r="C2270">
        <v>14</v>
      </c>
      <c r="D2270" t="str">
        <f t="shared" si="35"/>
        <v>18/05/2025General Surgery</v>
      </c>
    </row>
    <row r="2271" spans="1:4">
      <c r="A2271" s="1">
        <v>45795</v>
      </c>
      <c r="B2271" t="s">
        <v>48</v>
      </c>
      <c r="C2271">
        <v>10</v>
      </c>
      <c r="D2271" t="str">
        <f t="shared" si="35"/>
        <v>18/05/2025Orthopaedics</v>
      </c>
    </row>
    <row r="2272" spans="1:4">
      <c r="A2272" s="1">
        <v>45795</v>
      </c>
      <c r="B2272" t="s">
        <v>46</v>
      </c>
      <c r="C2272">
        <v>9</v>
      </c>
      <c r="D2272" t="str">
        <f t="shared" si="35"/>
        <v>18/05/2025Neurology</v>
      </c>
    </row>
    <row r="2273" spans="1:4">
      <c r="A2273" s="1">
        <v>45795</v>
      </c>
      <c r="B2273" t="s">
        <v>47</v>
      </c>
      <c r="C2273">
        <v>12</v>
      </c>
      <c r="D2273" t="str">
        <f t="shared" si="35"/>
        <v>18/05/2025Oncology</v>
      </c>
    </row>
    <row r="2274" spans="1:4">
      <c r="A2274" s="1">
        <v>45795</v>
      </c>
      <c r="B2274" t="s">
        <v>49</v>
      </c>
      <c r="C2274">
        <v>8</v>
      </c>
      <c r="D2274" t="str">
        <f t="shared" si="35"/>
        <v>18/05/2025Paediatrics</v>
      </c>
    </row>
    <row r="2275" spans="1:4">
      <c r="A2275" s="1">
        <v>45795</v>
      </c>
      <c r="B2275" t="s">
        <v>45</v>
      </c>
      <c r="C2275">
        <v>9</v>
      </c>
      <c r="D2275" t="str">
        <f t="shared" si="35"/>
        <v>18/05/2025Maternity</v>
      </c>
    </row>
    <row r="2276" spans="1:4">
      <c r="A2276" s="1">
        <v>45795</v>
      </c>
      <c r="B2276" t="s">
        <v>50</v>
      </c>
      <c r="C2276">
        <v>17</v>
      </c>
      <c r="D2276" t="str">
        <f t="shared" si="35"/>
        <v>18/05/2025Renal Medicine</v>
      </c>
    </row>
    <row r="2277" spans="1:4">
      <c r="A2277" s="1">
        <v>45795</v>
      </c>
      <c r="B2277" t="s">
        <v>42</v>
      </c>
      <c r="C2277">
        <v>7</v>
      </c>
      <c r="D2277" t="str">
        <f t="shared" si="35"/>
        <v>18/05/2025Gastroenterology</v>
      </c>
    </row>
    <row r="2278" spans="1:4">
      <c r="A2278" s="1">
        <v>45795</v>
      </c>
      <c r="B2278" t="s">
        <v>98</v>
      </c>
      <c r="C2278">
        <v>6</v>
      </c>
      <c r="D2278" t="str">
        <f t="shared" si="35"/>
        <v>18/05/2025Endocrinology</v>
      </c>
    </row>
    <row r="2279" spans="1:4">
      <c r="A2279" s="1">
        <v>45795</v>
      </c>
      <c r="B2279" t="s">
        <v>100</v>
      </c>
      <c r="C2279">
        <v>8</v>
      </c>
      <c r="D2279" t="str">
        <f t="shared" si="35"/>
        <v>18/05/2025Urology</v>
      </c>
    </row>
    <row r="2280" spans="1:4">
      <c r="A2280" s="1">
        <v>45795</v>
      </c>
      <c r="B2280" t="s">
        <v>41</v>
      </c>
      <c r="C2280">
        <v>10</v>
      </c>
      <c r="D2280" t="str">
        <f t="shared" si="35"/>
        <v>18/05/2025ENT</v>
      </c>
    </row>
    <row r="2281" spans="1:4">
      <c r="A2281" s="1">
        <v>45795</v>
      </c>
      <c r="B2281" t="s">
        <v>44</v>
      </c>
      <c r="C2281">
        <v>12</v>
      </c>
      <c r="D2281" t="str">
        <f t="shared" si="35"/>
        <v>18/05/2025Geriatrics</v>
      </c>
    </row>
    <row r="2282" spans="1:4">
      <c r="A2282" s="1">
        <v>45796</v>
      </c>
      <c r="B2282" t="s">
        <v>39</v>
      </c>
      <c r="C2282">
        <v>28</v>
      </c>
      <c r="D2282" t="str">
        <f t="shared" si="35"/>
        <v>19/05/2025A&amp;E (Emergency)</v>
      </c>
    </row>
    <row r="2283" spans="1:4">
      <c r="A2283" s="1">
        <v>45796</v>
      </c>
      <c r="B2283" t="s">
        <v>40</v>
      </c>
      <c r="C2283">
        <v>18</v>
      </c>
      <c r="D2283" t="str">
        <f t="shared" si="35"/>
        <v>19/05/2025Cardiology</v>
      </c>
    </row>
    <row r="2284" spans="1:4">
      <c r="A2284" s="1">
        <v>45796</v>
      </c>
      <c r="B2284" t="s">
        <v>51</v>
      </c>
      <c r="C2284">
        <v>15</v>
      </c>
      <c r="D2284" t="str">
        <f t="shared" si="35"/>
        <v>19/05/2025Respiratory</v>
      </c>
    </row>
    <row r="2285" spans="1:4">
      <c r="A2285" s="1">
        <v>45796</v>
      </c>
      <c r="B2285" t="s">
        <v>43</v>
      </c>
      <c r="C2285">
        <v>22</v>
      </c>
      <c r="D2285" t="str">
        <f t="shared" si="35"/>
        <v>19/05/2025General Surgery</v>
      </c>
    </row>
    <row r="2286" spans="1:4">
      <c r="A2286" s="1">
        <v>45796</v>
      </c>
      <c r="B2286" t="s">
        <v>48</v>
      </c>
      <c r="C2286">
        <v>16</v>
      </c>
      <c r="D2286" t="str">
        <f t="shared" si="35"/>
        <v>19/05/2025Orthopaedics</v>
      </c>
    </row>
    <row r="2287" spans="1:4">
      <c r="A2287" s="1">
        <v>45796</v>
      </c>
      <c r="B2287" t="s">
        <v>46</v>
      </c>
      <c r="C2287">
        <v>14</v>
      </c>
      <c r="D2287" t="str">
        <f t="shared" si="35"/>
        <v>19/05/2025Neurology</v>
      </c>
    </row>
    <row r="2288" spans="1:4">
      <c r="A2288" s="1">
        <v>45796</v>
      </c>
      <c r="B2288" t="s">
        <v>47</v>
      </c>
      <c r="C2288">
        <v>18</v>
      </c>
      <c r="D2288" t="str">
        <f t="shared" si="35"/>
        <v>19/05/2025Oncology</v>
      </c>
    </row>
    <row r="2289" spans="1:4">
      <c r="A2289" s="1">
        <v>45796</v>
      </c>
      <c r="B2289" t="s">
        <v>49</v>
      </c>
      <c r="C2289">
        <v>13</v>
      </c>
      <c r="D2289" t="str">
        <f t="shared" si="35"/>
        <v>19/05/2025Paediatrics</v>
      </c>
    </row>
    <row r="2290" spans="1:4">
      <c r="A2290" s="1">
        <v>45796</v>
      </c>
      <c r="B2290" t="s">
        <v>45</v>
      </c>
      <c r="C2290">
        <v>13</v>
      </c>
      <c r="D2290" t="str">
        <f t="shared" si="35"/>
        <v>19/05/2025Maternity</v>
      </c>
    </row>
    <row r="2291" spans="1:4">
      <c r="A2291" s="1">
        <v>45796</v>
      </c>
      <c r="B2291" t="s">
        <v>50</v>
      </c>
      <c r="C2291">
        <v>21</v>
      </c>
      <c r="D2291" t="str">
        <f t="shared" si="35"/>
        <v>19/05/2025Renal Medicine</v>
      </c>
    </row>
    <row r="2292" spans="1:4">
      <c r="A2292" s="1">
        <v>45796</v>
      </c>
      <c r="B2292" t="s">
        <v>42</v>
      </c>
      <c r="C2292">
        <v>12</v>
      </c>
      <c r="D2292" t="str">
        <f t="shared" si="35"/>
        <v>19/05/2025Gastroenterology</v>
      </c>
    </row>
    <row r="2293" spans="1:4">
      <c r="A2293" s="1">
        <v>45796</v>
      </c>
      <c r="B2293" t="s">
        <v>98</v>
      </c>
      <c r="C2293">
        <v>10</v>
      </c>
      <c r="D2293" t="str">
        <f t="shared" si="35"/>
        <v>19/05/2025Endocrinology</v>
      </c>
    </row>
    <row r="2294" spans="1:4">
      <c r="A2294" s="1">
        <v>45796</v>
      </c>
      <c r="B2294" t="s">
        <v>100</v>
      </c>
      <c r="C2294">
        <v>11</v>
      </c>
      <c r="D2294" t="str">
        <f t="shared" si="35"/>
        <v>19/05/2025Urology</v>
      </c>
    </row>
    <row r="2295" spans="1:4">
      <c r="A2295" s="1">
        <v>45796</v>
      </c>
      <c r="B2295" t="s">
        <v>41</v>
      </c>
      <c r="C2295">
        <v>13</v>
      </c>
      <c r="D2295" t="str">
        <f t="shared" si="35"/>
        <v>19/05/2025ENT</v>
      </c>
    </row>
    <row r="2296" spans="1:4">
      <c r="A2296" s="1">
        <v>45796</v>
      </c>
      <c r="B2296" t="s">
        <v>44</v>
      </c>
      <c r="C2296">
        <v>16</v>
      </c>
      <c r="D2296" t="str">
        <f t="shared" si="35"/>
        <v>19/05/2025Geriatrics</v>
      </c>
    </row>
    <row r="2297" spans="1:4">
      <c r="A2297" s="1">
        <v>45797</v>
      </c>
      <c r="B2297" t="s">
        <v>39</v>
      </c>
      <c r="C2297">
        <v>25</v>
      </c>
      <c r="D2297" t="str">
        <f t="shared" si="35"/>
        <v>20/05/2025A&amp;E (Emergency)</v>
      </c>
    </row>
    <row r="2298" spans="1:4">
      <c r="A2298" s="1">
        <v>45797</v>
      </c>
      <c r="B2298" t="s">
        <v>40</v>
      </c>
      <c r="C2298">
        <v>17</v>
      </c>
      <c r="D2298" t="str">
        <f t="shared" si="35"/>
        <v>20/05/2025Cardiology</v>
      </c>
    </row>
    <row r="2299" spans="1:4">
      <c r="A2299" s="1">
        <v>45797</v>
      </c>
      <c r="B2299" t="s">
        <v>51</v>
      </c>
      <c r="C2299">
        <v>14</v>
      </c>
      <c r="D2299" t="str">
        <f t="shared" si="35"/>
        <v>20/05/2025Respiratory</v>
      </c>
    </row>
    <row r="2300" spans="1:4">
      <c r="A2300" s="1">
        <v>45797</v>
      </c>
      <c r="B2300" t="s">
        <v>43</v>
      </c>
      <c r="C2300">
        <v>20</v>
      </c>
      <c r="D2300" t="str">
        <f t="shared" si="35"/>
        <v>20/05/2025General Surgery</v>
      </c>
    </row>
    <row r="2301" spans="1:4">
      <c r="A2301" s="1">
        <v>45797</v>
      </c>
      <c r="B2301" t="s">
        <v>48</v>
      </c>
      <c r="C2301">
        <v>15</v>
      </c>
      <c r="D2301" t="str">
        <f t="shared" si="35"/>
        <v>20/05/2025Orthopaedics</v>
      </c>
    </row>
    <row r="2302" spans="1:4">
      <c r="A2302" s="1">
        <v>45797</v>
      </c>
      <c r="B2302" t="s">
        <v>46</v>
      </c>
      <c r="C2302">
        <v>13</v>
      </c>
      <c r="D2302" t="str">
        <f t="shared" si="35"/>
        <v>20/05/2025Neurology</v>
      </c>
    </row>
    <row r="2303" spans="1:4">
      <c r="A2303" s="1">
        <v>45797</v>
      </c>
      <c r="B2303" t="s">
        <v>47</v>
      </c>
      <c r="C2303">
        <v>17</v>
      </c>
      <c r="D2303" t="str">
        <f t="shared" si="35"/>
        <v>20/05/2025Oncology</v>
      </c>
    </row>
    <row r="2304" spans="1:4">
      <c r="A2304" s="1">
        <v>45797</v>
      </c>
      <c r="B2304" t="s">
        <v>49</v>
      </c>
      <c r="C2304">
        <v>12</v>
      </c>
      <c r="D2304" t="str">
        <f t="shared" si="35"/>
        <v>20/05/2025Paediatrics</v>
      </c>
    </row>
    <row r="2305" spans="1:4">
      <c r="A2305" s="1">
        <v>45797</v>
      </c>
      <c r="B2305" t="s">
        <v>45</v>
      </c>
      <c r="C2305">
        <v>12</v>
      </c>
      <c r="D2305" t="str">
        <f t="shared" si="35"/>
        <v>20/05/2025Maternity</v>
      </c>
    </row>
    <row r="2306" spans="1:4">
      <c r="A2306" s="1">
        <v>45797</v>
      </c>
      <c r="B2306" t="s">
        <v>50</v>
      </c>
      <c r="C2306">
        <v>20</v>
      </c>
      <c r="D2306" t="str">
        <f t="shared" si="35"/>
        <v>20/05/2025Renal Medicine</v>
      </c>
    </row>
    <row r="2307" spans="1:4">
      <c r="A2307" s="1">
        <v>45797</v>
      </c>
      <c r="B2307" t="s">
        <v>42</v>
      </c>
      <c r="C2307">
        <v>11</v>
      </c>
      <c r="D2307" t="str">
        <f t="shared" ref="D2307:D2370" si="36">TEXT(A2307, "dd/mm/yyyy")&amp;B2307</f>
        <v>20/05/2025Gastroenterology</v>
      </c>
    </row>
    <row r="2308" spans="1:4">
      <c r="A2308" s="1">
        <v>45797</v>
      </c>
      <c r="B2308" t="s">
        <v>98</v>
      </c>
      <c r="C2308">
        <v>9</v>
      </c>
      <c r="D2308" t="str">
        <f t="shared" si="36"/>
        <v>20/05/2025Endocrinology</v>
      </c>
    </row>
    <row r="2309" spans="1:4">
      <c r="A2309" s="1">
        <v>45797</v>
      </c>
      <c r="B2309" t="s">
        <v>100</v>
      </c>
      <c r="C2309">
        <v>10</v>
      </c>
      <c r="D2309" t="str">
        <f t="shared" si="36"/>
        <v>20/05/2025Urology</v>
      </c>
    </row>
    <row r="2310" spans="1:4">
      <c r="A2310" s="1">
        <v>45797</v>
      </c>
      <c r="B2310" t="s">
        <v>41</v>
      </c>
      <c r="C2310">
        <v>12</v>
      </c>
      <c r="D2310" t="str">
        <f t="shared" si="36"/>
        <v>20/05/2025ENT</v>
      </c>
    </row>
    <row r="2311" spans="1:4">
      <c r="A2311" s="1">
        <v>45797</v>
      </c>
      <c r="B2311" t="s">
        <v>44</v>
      </c>
      <c r="C2311">
        <v>15</v>
      </c>
      <c r="D2311" t="str">
        <f t="shared" si="36"/>
        <v>20/05/2025Geriatrics</v>
      </c>
    </row>
    <row r="2312" spans="1:4">
      <c r="A2312" s="1">
        <v>45798</v>
      </c>
      <c r="B2312" t="s">
        <v>39</v>
      </c>
      <c r="C2312">
        <v>24</v>
      </c>
      <c r="D2312" t="str">
        <f t="shared" si="36"/>
        <v>21/05/2025A&amp;E (Emergency)</v>
      </c>
    </row>
    <row r="2313" spans="1:4">
      <c r="A2313" s="1">
        <v>45798</v>
      </c>
      <c r="B2313" t="s">
        <v>40</v>
      </c>
      <c r="C2313">
        <v>16</v>
      </c>
      <c r="D2313" t="str">
        <f t="shared" si="36"/>
        <v>21/05/2025Cardiology</v>
      </c>
    </row>
    <row r="2314" spans="1:4">
      <c r="A2314" s="1">
        <v>45798</v>
      </c>
      <c r="B2314" t="s">
        <v>51</v>
      </c>
      <c r="C2314">
        <v>13</v>
      </c>
      <c r="D2314" t="str">
        <f t="shared" si="36"/>
        <v>21/05/2025Respiratory</v>
      </c>
    </row>
    <row r="2315" spans="1:4">
      <c r="A2315" s="1">
        <v>45798</v>
      </c>
      <c r="B2315" t="s">
        <v>43</v>
      </c>
      <c r="C2315">
        <v>19</v>
      </c>
      <c r="D2315" t="str">
        <f t="shared" si="36"/>
        <v>21/05/2025General Surgery</v>
      </c>
    </row>
    <row r="2316" spans="1:4">
      <c r="A2316" s="1">
        <v>45798</v>
      </c>
      <c r="B2316" t="s">
        <v>48</v>
      </c>
      <c r="C2316">
        <v>14</v>
      </c>
      <c r="D2316" t="str">
        <f t="shared" si="36"/>
        <v>21/05/2025Orthopaedics</v>
      </c>
    </row>
    <row r="2317" spans="1:4">
      <c r="A2317" s="1">
        <v>45798</v>
      </c>
      <c r="B2317" t="s">
        <v>46</v>
      </c>
      <c r="C2317">
        <v>12</v>
      </c>
      <c r="D2317" t="str">
        <f t="shared" si="36"/>
        <v>21/05/2025Neurology</v>
      </c>
    </row>
    <row r="2318" spans="1:4">
      <c r="A2318" s="1">
        <v>45798</v>
      </c>
      <c r="B2318" t="s">
        <v>47</v>
      </c>
      <c r="C2318">
        <v>16</v>
      </c>
      <c r="D2318" t="str">
        <f t="shared" si="36"/>
        <v>21/05/2025Oncology</v>
      </c>
    </row>
    <row r="2319" spans="1:4">
      <c r="A2319" s="1">
        <v>45798</v>
      </c>
      <c r="B2319" t="s">
        <v>49</v>
      </c>
      <c r="C2319">
        <v>11</v>
      </c>
      <c r="D2319" t="str">
        <f t="shared" si="36"/>
        <v>21/05/2025Paediatrics</v>
      </c>
    </row>
    <row r="2320" spans="1:4">
      <c r="A2320" s="1">
        <v>45798</v>
      </c>
      <c r="B2320" t="s">
        <v>45</v>
      </c>
      <c r="C2320">
        <v>12</v>
      </c>
      <c r="D2320" t="str">
        <f t="shared" si="36"/>
        <v>21/05/2025Maternity</v>
      </c>
    </row>
    <row r="2321" spans="1:4">
      <c r="A2321" s="1">
        <v>45798</v>
      </c>
      <c r="B2321" t="s">
        <v>50</v>
      </c>
      <c r="C2321">
        <v>19</v>
      </c>
      <c r="D2321" t="str">
        <f t="shared" si="36"/>
        <v>21/05/2025Renal Medicine</v>
      </c>
    </row>
    <row r="2322" spans="1:4">
      <c r="A2322" s="1">
        <v>45798</v>
      </c>
      <c r="B2322" t="s">
        <v>42</v>
      </c>
      <c r="C2322">
        <v>10</v>
      </c>
      <c r="D2322" t="str">
        <f t="shared" si="36"/>
        <v>21/05/2025Gastroenterology</v>
      </c>
    </row>
    <row r="2323" spans="1:4">
      <c r="A2323" s="1">
        <v>45798</v>
      </c>
      <c r="B2323" t="s">
        <v>98</v>
      </c>
      <c r="C2323">
        <v>8</v>
      </c>
      <c r="D2323" t="str">
        <f t="shared" si="36"/>
        <v>21/05/2025Endocrinology</v>
      </c>
    </row>
    <row r="2324" spans="1:4">
      <c r="A2324" s="1">
        <v>45798</v>
      </c>
      <c r="B2324" t="s">
        <v>100</v>
      </c>
      <c r="C2324">
        <v>10</v>
      </c>
      <c r="D2324" t="str">
        <f t="shared" si="36"/>
        <v>21/05/2025Urology</v>
      </c>
    </row>
    <row r="2325" spans="1:4">
      <c r="A2325" s="1">
        <v>45798</v>
      </c>
      <c r="B2325" t="s">
        <v>41</v>
      </c>
      <c r="C2325">
        <v>12</v>
      </c>
      <c r="D2325" t="str">
        <f t="shared" si="36"/>
        <v>21/05/2025ENT</v>
      </c>
    </row>
    <row r="2326" spans="1:4">
      <c r="A2326" s="1">
        <v>45798</v>
      </c>
      <c r="B2326" t="s">
        <v>44</v>
      </c>
      <c r="C2326">
        <v>14</v>
      </c>
      <c r="D2326" t="str">
        <f t="shared" si="36"/>
        <v>21/05/2025Geriatrics</v>
      </c>
    </row>
    <row r="2327" spans="1:4">
      <c r="A2327" s="1">
        <v>45799</v>
      </c>
      <c r="B2327" t="s">
        <v>39</v>
      </c>
      <c r="C2327">
        <v>23</v>
      </c>
      <c r="D2327" t="str">
        <f t="shared" si="36"/>
        <v>22/05/2025A&amp;E (Emergency)</v>
      </c>
    </row>
    <row r="2328" spans="1:4">
      <c r="A2328" s="1">
        <v>45799</v>
      </c>
      <c r="B2328" t="s">
        <v>40</v>
      </c>
      <c r="C2328">
        <v>16</v>
      </c>
      <c r="D2328" t="str">
        <f t="shared" si="36"/>
        <v>22/05/2025Cardiology</v>
      </c>
    </row>
    <row r="2329" spans="1:4">
      <c r="A2329" s="1">
        <v>45799</v>
      </c>
      <c r="B2329" t="s">
        <v>51</v>
      </c>
      <c r="C2329">
        <v>13</v>
      </c>
      <c r="D2329" t="str">
        <f t="shared" si="36"/>
        <v>22/05/2025Respiratory</v>
      </c>
    </row>
    <row r="2330" spans="1:4">
      <c r="A2330" s="1">
        <v>45799</v>
      </c>
      <c r="B2330" t="s">
        <v>43</v>
      </c>
      <c r="C2330">
        <v>19</v>
      </c>
      <c r="D2330" t="str">
        <f t="shared" si="36"/>
        <v>22/05/2025General Surgery</v>
      </c>
    </row>
    <row r="2331" spans="1:4">
      <c r="A2331" s="1">
        <v>45799</v>
      </c>
      <c r="B2331" t="s">
        <v>48</v>
      </c>
      <c r="C2331">
        <v>14</v>
      </c>
      <c r="D2331" t="str">
        <f t="shared" si="36"/>
        <v>22/05/2025Orthopaedics</v>
      </c>
    </row>
    <row r="2332" spans="1:4">
      <c r="A2332" s="1">
        <v>45799</v>
      </c>
      <c r="B2332" t="s">
        <v>46</v>
      </c>
      <c r="C2332">
        <v>12</v>
      </c>
      <c r="D2332" t="str">
        <f t="shared" si="36"/>
        <v>22/05/2025Neurology</v>
      </c>
    </row>
    <row r="2333" spans="1:4">
      <c r="A2333" s="1">
        <v>45799</v>
      </c>
      <c r="B2333" t="s">
        <v>47</v>
      </c>
      <c r="C2333">
        <v>16</v>
      </c>
      <c r="D2333" t="str">
        <f t="shared" si="36"/>
        <v>22/05/2025Oncology</v>
      </c>
    </row>
    <row r="2334" spans="1:4">
      <c r="A2334" s="1">
        <v>45799</v>
      </c>
      <c r="B2334" t="s">
        <v>49</v>
      </c>
      <c r="C2334">
        <v>11</v>
      </c>
      <c r="D2334" t="str">
        <f t="shared" si="36"/>
        <v>22/05/2025Paediatrics</v>
      </c>
    </row>
    <row r="2335" spans="1:4">
      <c r="A2335" s="1">
        <v>45799</v>
      </c>
      <c r="B2335" t="s">
        <v>45</v>
      </c>
      <c r="C2335">
        <v>12</v>
      </c>
      <c r="D2335" t="str">
        <f t="shared" si="36"/>
        <v>22/05/2025Maternity</v>
      </c>
    </row>
    <row r="2336" spans="1:4">
      <c r="A2336" s="1">
        <v>45799</v>
      </c>
      <c r="B2336" t="s">
        <v>50</v>
      </c>
      <c r="C2336">
        <v>19</v>
      </c>
      <c r="D2336" t="str">
        <f t="shared" si="36"/>
        <v>22/05/2025Renal Medicine</v>
      </c>
    </row>
    <row r="2337" spans="1:4">
      <c r="A2337" s="1">
        <v>45799</v>
      </c>
      <c r="B2337" t="s">
        <v>42</v>
      </c>
      <c r="C2337">
        <v>10</v>
      </c>
      <c r="D2337" t="str">
        <f t="shared" si="36"/>
        <v>22/05/2025Gastroenterology</v>
      </c>
    </row>
    <row r="2338" spans="1:4">
      <c r="A2338" s="1">
        <v>45799</v>
      </c>
      <c r="B2338" t="s">
        <v>98</v>
      </c>
      <c r="C2338">
        <v>8</v>
      </c>
      <c r="D2338" t="str">
        <f t="shared" si="36"/>
        <v>22/05/2025Endocrinology</v>
      </c>
    </row>
    <row r="2339" spans="1:4">
      <c r="A2339" s="1">
        <v>45799</v>
      </c>
      <c r="B2339" t="s">
        <v>100</v>
      </c>
      <c r="C2339">
        <v>10</v>
      </c>
      <c r="D2339" t="str">
        <f t="shared" si="36"/>
        <v>22/05/2025Urology</v>
      </c>
    </row>
    <row r="2340" spans="1:4">
      <c r="A2340" s="1">
        <v>45799</v>
      </c>
      <c r="B2340" t="s">
        <v>41</v>
      </c>
      <c r="C2340">
        <v>12</v>
      </c>
      <c r="D2340" t="str">
        <f t="shared" si="36"/>
        <v>22/05/2025ENT</v>
      </c>
    </row>
    <row r="2341" spans="1:4">
      <c r="A2341" s="1">
        <v>45799</v>
      </c>
      <c r="B2341" t="s">
        <v>44</v>
      </c>
      <c r="C2341">
        <v>14</v>
      </c>
      <c r="D2341" t="str">
        <f t="shared" si="36"/>
        <v>22/05/2025Geriatrics</v>
      </c>
    </row>
    <row r="2342" spans="1:4">
      <c r="A2342" s="1">
        <v>45800</v>
      </c>
      <c r="B2342" t="s">
        <v>39</v>
      </c>
      <c r="C2342">
        <v>22</v>
      </c>
      <c r="D2342" t="str">
        <f t="shared" si="36"/>
        <v>23/05/2025A&amp;E (Emergency)</v>
      </c>
    </row>
    <row r="2343" spans="1:4">
      <c r="A2343" s="1">
        <v>45800</v>
      </c>
      <c r="B2343" t="s">
        <v>40</v>
      </c>
      <c r="C2343">
        <v>15</v>
      </c>
      <c r="D2343" t="str">
        <f t="shared" si="36"/>
        <v>23/05/2025Cardiology</v>
      </c>
    </row>
    <row r="2344" spans="1:4">
      <c r="A2344" s="1">
        <v>45800</v>
      </c>
      <c r="B2344" t="s">
        <v>51</v>
      </c>
      <c r="C2344">
        <v>12</v>
      </c>
      <c r="D2344" t="str">
        <f t="shared" si="36"/>
        <v>23/05/2025Respiratory</v>
      </c>
    </row>
    <row r="2345" spans="1:4">
      <c r="A2345" s="1">
        <v>45800</v>
      </c>
      <c r="B2345" t="s">
        <v>43</v>
      </c>
      <c r="C2345">
        <v>18</v>
      </c>
      <c r="D2345" t="str">
        <f t="shared" si="36"/>
        <v>23/05/2025General Surgery</v>
      </c>
    </row>
    <row r="2346" spans="1:4">
      <c r="A2346" s="1">
        <v>45800</v>
      </c>
      <c r="B2346" t="s">
        <v>48</v>
      </c>
      <c r="C2346">
        <v>13</v>
      </c>
      <c r="D2346" t="str">
        <f t="shared" si="36"/>
        <v>23/05/2025Orthopaedics</v>
      </c>
    </row>
    <row r="2347" spans="1:4">
      <c r="A2347" s="1">
        <v>45800</v>
      </c>
      <c r="B2347" t="s">
        <v>46</v>
      </c>
      <c r="C2347">
        <v>11</v>
      </c>
      <c r="D2347" t="str">
        <f t="shared" si="36"/>
        <v>23/05/2025Neurology</v>
      </c>
    </row>
    <row r="2348" spans="1:4">
      <c r="A2348" s="1">
        <v>45800</v>
      </c>
      <c r="B2348" t="s">
        <v>47</v>
      </c>
      <c r="C2348">
        <v>15</v>
      </c>
      <c r="D2348" t="str">
        <f t="shared" si="36"/>
        <v>23/05/2025Oncology</v>
      </c>
    </row>
    <row r="2349" spans="1:4">
      <c r="A2349" s="1">
        <v>45800</v>
      </c>
      <c r="B2349" t="s">
        <v>49</v>
      </c>
      <c r="C2349">
        <v>10</v>
      </c>
      <c r="D2349" t="str">
        <f t="shared" si="36"/>
        <v>23/05/2025Paediatrics</v>
      </c>
    </row>
    <row r="2350" spans="1:4">
      <c r="A2350" s="1">
        <v>45800</v>
      </c>
      <c r="B2350" t="s">
        <v>45</v>
      </c>
      <c r="C2350">
        <v>11</v>
      </c>
      <c r="D2350" t="str">
        <f t="shared" si="36"/>
        <v>23/05/2025Maternity</v>
      </c>
    </row>
    <row r="2351" spans="1:4">
      <c r="A2351" s="1">
        <v>45800</v>
      </c>
      <c r="B2351" t="s">
        <v>50</v>
      </c>
      <c r="C2351">
        <v>18</v>
      </c>
      <c r="D2351" t="str">
        <f t="shared" si="36"/>
        <v>23/05/2025Renal Medicine</v>
      </c>
    </row>
    <row r="2352" spans="1:4">
      <c r="A2352" s="1">
        <v>45800</v>
      </c>
      <c r="B2352" t="s">
        <v>42</v>
      </c>
      <c r="C2352">
        <v>9</v>
      </c>
      <c r="D2352" t="str">
        <f t="shared" si="36"/>
        <v>23/05/2025Gastroenterology</v>
      </c>
    </row>
    <row r="2353" spans="1:4">
      <c r="A2353" s="1">
        <v>45800</v>
      </c>
      <c r="B2353" t="s">
        <v>98</v>
      </c>
      <c r="C2353">
        <v>7</v>
      </c>
      <c r="D2353" t="str">
        <f t="shared" si="36"/>
        <v>23/05/2025Endocrinology</v>
      </c>
    </row>
    <row r="2354" spans="1:4">
      <c r="A2354" s="1">
        <v>45800</v>
      </c>
      <c r="B2354" t="s">
        <v>100</v>
      </c>
      <c r="C2354">
        <v>9</v>
      </c>
      <c r="D2354" t="str">
        <f t="shared" si="36"/>
        <v>23/05/2025Urology</v>
      </c>
    </row>
    <row r="2355" spans="1:4">
      <c r="A2355" s="1">
        <v>45800</v>
      </c>
      <c r="B2355" t="s">
        <v>41</v>
      </c>
      <c r="C2355">
        <v>11</v>
      </c>
      <c r="D2355" t="str">
        <f t="shared" si="36"/>
        <v>23/05/2025ENT</v>
      </c>
    </row>
    <row r="2356" spans="1:4">
      <c r="A2356" s="1">
        <v>45800</v>
      </c>
      <c r="B2356" t="s">
        <v>44</v>
      </c>
      <c r="C2356">
        <v>13</v>
      </c>
      <c r="D2356" t="str">
        <f t="shared" si="36"/>
        <v>23/05/2025Geriatrics</v>
      </c>
    </row>
    <row r="2357" spans="1:4">
      <c r="A2357" s="1">
        <v>45801</v>
      </c>
      <c r="B2357" t="s">
        <v>39</v>
      </c>
      <c r="C2357">
        <v>20</v>
      </c>
      <c r="D2357" t="str">
        <f t="shared" si="36"/>
        <v>24/05/2025A&amp;E (Emergency)</v>
      </c>
    </row>
    <row r="2358" spans="1:4">
      <c r="A2358" s="1">
        <v>45801</v>
      </c>
      <c r="B2358" t="s">
        <v>40</v>
      </c>
      <c r="C2358">
        <v>12</v>
      </c>
      <c r="D2358" t="str">
        <f t="shared" si="36"/>
        <v>24/05/2025Cardiology</v>
      </c>
    </row>
    <row r="2359" spans="1:4">
      <c r="A2359" s="1">
        <v>45801</v>
      </c>
      <c r="B2359" t="s">
        <v>51</v>
      </c>
      <c r="C2359">
        <v>9</v>
      </c>
      <c r="D2359" t="str">
        <f t="shared" si="36"/>
        <v>24/05/2025Respiratory</v>
      </c>
    </row>
    <row r="2360" spans="1:4">
      <c r="A2360" s="1">
        <v>45801</v>
      </c>
      <c r="B2360" t="s">
        <v>43</v>
      </c>
      <c r="C2360">
        <v>15</v>
      </c>
      <c r="D2360" t="str">
        <f t="shared" si="36"/>
        <v>24/05/2025General Surgery</v>
      </c>
    </row>
    <row r="2361" spans="1:4">
      <c r="A2361" s="1">
        <v>45801</v>
      </c>
      <c r="B2361" t="s">
        <v>48</v>
      </c>
      <c r="C2361">
        <v>11</v>
      </c>
      <c r="D2361" t="str">
        <f t="shared" si="36"/>
        <v>24/05/2025Orthopaedics</v>
      </c>
    </row>
    <row r="2362" spans="1:4">
      <c r="A2362" s="1">
        <v>45801</v>
      </c>
      <c r="B2362" t="s">
        <v>46</v>
      </c>
      <c r="C2362">
        <v>9</v>
      </c>
      <c r="D2362" t="str">
        <f t="shared" si="36"/>
        <v>24/05/2025Neurology</v>
      </c>
    </row>
    <row r="2363" spans="1:4">
      <c r="A2363" s="1">
        <v>45801</v>
      </c>
      <c r="B2363" t="s">
        <v>47</v>
      </c>
      <c r="C2363">
        <v>13</v>
      </c>
      <c r="D2363" t="str">
        <f t="shared" si="36"/>
        <v>24/05/2025Oncology</v>
      </c>
    </row>
    <row r="2364" spans="1:4">
      <c r="A2364" s="1">
        <v>45801</v>
      </c>
      <c r="B2364" t="s">
        <v>49</v>
      </c>
      <c r="C2364">
        <v>9</v>
      </c>
      <c r="D2364" t="str">
        <f t="shared" si="36"/>
        <v>24/05/2025Paediatrics</v>
      </c>
    </row>
    <row r="2365" spans="1:4">
      <c r="A2365" s="1">
        <v>45801</v>
      </c>
      <c r="B2365" t="s">
        <v>45</v>
      </c>
      <c r="C2365">
        <v>10</v>
      </c>
      <c r="D2365" t="str">
        <f t="shared" si="36"/>
        <v>24/05/2025Maternity</v>
      </c>
    </row>
    <row r="2366" spans="1:4">
      <c r="A2366" s="1">
        <v>45801</v>
      </c>
      <c r="B2366" t="s">
        <v>50</v>
      </c>
      <c r="C2366">
        <v>17</v>
      </c>
      <c r="D2366" t="str">
        <f t="shared" si="36"/>
        <v>24/05/2025Renal Medicine</v>
      </c>
    </row>
    <row r="2367" spans="1:4">
      <c r="A2367" s="1">
        <v>45801</v>
      </c>
      <c r="B2367" t="s">
        <v>42</v>
      </c>
      <c r="C2367">
        <v>7</v>
      </c>
      <c r="D2367" t="str">
        <f t="shared" si="36"/>
        <v>24/05/2025Gastroenterology</v>
      </c>
    </row>
    <row r="2368" spans="1:4">
      <c r="A2368" s="1">
        <v>45801</v>
      </c>
      <c r="B2368" t="s">
        <v>98</v>
      </c>
      <c r="C2368">
        <v>6</v>
      </c>
      <c r="D2368" t="str">
        <f t="shared" si="36"/>
        <v>24/05/2025Endocrinology</v>
      </c>
    </row>
    <row r="2369" spans="1:4">
      <c r="A2369" s="1">
        <v>45801</v>
      </c>
      <c r="B2369" t="s">
        <v>100</v>
      </c>
      <c r="C2369">
        <v>8</v>
      </c>
      <c r="D2369" t="str">
        <f t="shared" si="36"/>
        <v>24/05/2025Urology</v>
      </c>
    </row>
    <row r="2370" spans="1:4">
      <c r="A2370" s="1">
        <v>45801</v>
      </c>
      <c r="B2370" t="s">
        <v>41</v>
      </c>
      <c r="C2370">
        <v>10</v>
      </c>
      <c r="D2370" t="str">
        <f t="shared" si="36"/>
        <v>24/05/2025ENT</v>
      </c>
    </row>
    <row r="2371" spans="1:4">
      <c r="A2371" s="1">
        <v>45801</v>
      </c>
      <c r="B2371" t="s">
        <v>44</v>
      </c>
      <c r="C2371">
        <v>12</v>
      </c>
      <c r="D2371" t="str">
        <f t="shared" ref="D2371:D2434" si="37">TEXT(A2371, "dd/mm/yyyy")&amp;B2371</f>
        <v>24/05/2025Geriatrics</v>
      </c>
    </row>
    <row r="2372" spans="1:4">
      <c r="A2372" s="1">
        <v>45802</v>
      </c>
      <c r="B2372" t="s">
        <v>39</v>
      </c>
      <c r="C2372">
        <v>19</v>
      </c>
      <c r="D2372" t="str">
        <f t="shared" si="37"/>
        <v>25/05/2025A&amp;E (Emergency)</v>
      </c>
    </row>
    <row r="2373" spans="1:4">
      <c r="A2373" s="1">
        <v>45802</v>
      </c>
      <c r="B2373" t="s">
        <v>40</v>
      </c>
      <c r="C2373">
        <v>11</v>
      </c>
      <c r="D2373" t="str">
        <f t="shared" si="37"/>
        <v>25/05/2025Cardiology</v>
      </c>
    </row>
    <row r="2374" spans="1:4">
      <c r="A2374" s="1">
        <v>45802</v>
      </c>
      <c r="B2374" t="s">
        <v>51</v>
      </c>
      <c r="C2374">
        <v>9</v>
      </c>
      <c r="D2374" t="str">
        <f t="shared" si="37"/>
        <v>25/05/2025Respiratory</v>
      </c>
    </row>
    <row r="2375" spans="1:4">
      <c r="A2375" s="1">
        <v>45802</v>
      </c>
      <c r="B2375" t="s">
        <v>43</v>
      </c>
      <c r="C2375">
        <v>14</v>
      </c>
      <c r="D2375" t="str">
        <f t="shared" si="37"/>
        <v>25/05/2025General Surgery</v>
      </c>
    </row>
    <row r="2376" spans="1:4">
      <c r="A2376" s="1">
        <v>45802</v>
      </c>
      <c r="B2376" t="s">
        <v>48</v>
      </c>
      <c r="C2376">
        <v>10</v>
      </c>
      <c r="D2376" t="str">
        <f t="shared" si="37"/>
        <v>25/05/2025Orthopaedics</v>
      </c>
    </row>
    <row r="2377" spans="1:4">
      <c r="A2377" s="1">
        <v>45802</v>
      </c>
      <c r="B2377" t="s">
        <v>46</v>
      </c>
      <c r="C2377">
        <v>9</v>
      </c>
      <c r="D2377" t="str">
        <f t="shared" si="37"/>
        <v>25/05/2025Neurology</v>
      </c>
    </row>
    <row r="2378" spans="1:4">
      <c r="A2378" s="1">
        <v>45802</v>
      </c>
      <c r="B2378" t="s">
        <v>47</v>
      </c>
      <c r="C2378">
        <v>12</v>
      </c>
      <c r="D2378" t="str">
        <f t="shared" si="37"/>
        <v>25/05/2025Oncology</v>
      </c>
    </row>
    <row r="2379" spans="1:4">
      <c r="A2379" s="1">
        <v>45802</v>
      </c>
      <c r="B2379" t="s">
        <v>49</v>
      </c>
      <c r="C2379">
        <v>8</v>
      </c>
      <c r="D2379" t="str">
        <f t="shared" si="37"/>
        <v>25/05/2025Paediatrics</v>
      </c>
    </row>
    <row r="2380" spans="1:4">
      <c r="A2380" s="1">
        <v>45802</v>
      </c>
      <c r="B2380" t="s">
        <v>45</v>
      </c>
      <c r="C2380">
        <v>9</v>
      </c>
      <c r="D2380" t="str">
        <f t="shared" si="37"/>
        <v>25/05/2025Maternity</v>
      </c>
    </row>
    <row r="2381" spans="1:4">
      <c r="A2381" s="1">
        <v>45802</v>
      </c>
      <c r="B2381" t="s">
        <v>50</v>
      </c>
      <c r="C2381">
        <v>17</v>
      </c>
      <c r="D2381" t="str">
        <f t="shared" si="37"/>
        <v>25/05/2025Renal Medicine</v>
      </c>
    </row>
    <row r="2382" spans="1:4">
      <c r="A2382" s="1">
        <v>45802</v>
      </c>
      <c r="B2382" t="s">
        <v>42</v>
      </c>
      <c r="C2382">
        <v>7</v>
      </c>
      <c r="D2382" t="str">
        <f t="shared" si="37"/>
        <v>25/05/2025Gastroenterology</v>
      </c>
    </row>
    <row r="2383" spans="1:4">
      <c r="A2383" s="1">
        <v>45802</v>
      </c>
      <c r="B2383" t="s">
        <v>98</v>
      </c>
      <c r="C2383">
        <v>6</v>
      </c>
      <c r="D2383" t="str">
        <f t="shared" si="37"/>
        <v>25/05/2025Endocrinology</v>
      </c>
    </row>
    <row r="2384" spans="1:4">
      <c r="A2384" s="1">
        <v>45802</v>
      </c>
      <c r="B2384" t="s">
        <v>100</v>
      </c>
      <c r="C2384">
        <v>8</v>
      </c>
      <c r="D2384" t="str">
        <f t="shared" si="37"/>
        <v>25/05/2025Urology</v>
      </c>
    </row>
    <row r="2385" spans="1:4">
      <c r="A2385" s="1">
        <v>45802</v>
      </c>
      <c r="B2385" t="s">
        <v>41</v>
      </c>
      <c r="C2385">
        <v>10</v>
      </c>
      <c r="D2385" t="str">
        <f t="shared" si="37"/>
        <v>25/05/2025ENT</v>
      </c>
    </row>
    <row r="2386" spans="1:4">
      <c r="A2386" s="1">
        <v>45802</v>
      </c>
      <c r="B2386" t="s">
        <v>44</v>
      </c>
      <c r="C2386">
        <v>12</v>
      </c>
      <c r="D2386" t="str">
        <f t="shared" si="37"/>
        <v>25/05/2025Geriatrics</v>
      </c>
    </row>
    <row r="2387" spans="1:4">
      <c r="A2387" s="1">
        <v>45803</v>
      </c>
      <c r="B2387" t="s">
        <v>39</v>
      </c>
      <c r="C2387">
        <v>28</v>
      </c>
      <c r="D2387" t="str">
        <f t="shared" si="37"/>
        <v>26/05/2025A&amp;E (Emergency)</v>
      </c>
    </row>
    <row r="2388" spans="1:4">
      <c r="A2388" s="1">
        <v>45803</v>
      </c>
      <c r="B2388" t="s">
        <v>40</v>
      </c>
      <c r="C2388">
        <v>18</v>
      </c>
      <c r="D2388" t="str">
        <f t="shared" si="37"/>
        <v>26/05/2025Cardiology</v>
      </c>
    </row>
    <row r="2389" spans="1:4">
      <c r="A2389" s="1">
        <v>45803</v>
      </c>
      <c r="B2389" t="s">
        <v>51</v>
      </c>
      <c r="C2389">
        <v>15</v>
      </c>
      <c r="D2389" t="str">
        <f t="shared" si="37"/>
        <v>26/05/2025Respiratory</v>
      </c>
    </row>
    <row r="2390" spans="1:4">
      <c r="A2390" s="1">
        <v>45803</v>
      </c>
      <c r="B2390" t="s">
        <v>43</v>
      </c>
      <c r="C2390">
        <v>22</v>
      </c>
      <c r="D2390" t="str">
        <f t="shared" si="37"/>
        <v>26/05/2025General Surgery</v>
      </c>
    </row>
    <row r="2391" spans="1:4">
      <c r="A2391" s="1">
        <v>45803</v>
      </c>
      <c r="B2391" t="s">
        <v>48</v>
      </c>
      <c r="C2391">
        <v>16</v>
      </c>
      <c r="D2391" t="str">
        <f t="shared" si="37"/>
        <v>26/05/2025Orthopaedics</v>
      </c>
    </row>
    <row r="2392" spans="1:4">
      <c r="A2392" s="1">
        <v>45803</v>
      </c>
      <c r="B2392" t="s">
        <v>46</v>
      </c>
      <c r="C2392">
        <v>14</v>
      </c>
      <c r="D2392" t="str">
        <f t="shared" si="37"/>
        <v>26/05/2025Neurology</v>
      </c>
    </row>
    <row r="2393" spans="1:4">
      <c r="A2393" s="1">
        <v>45803</v>
      </c>
      <c r="B2393" t="s">
        <v>47</v>
      </c>
      <c r="C2393">
        <v>18</v>
      </c>
      <c r="D2393" t="str">
        <f t="shared" si="37"/>
        <v>26/05/2025Oncology</v>
      </c>
    </row>
    <row r="2394" spans="1:4">
      <c r="A2394" s="1">
        <v>45803</v>
      </c>
      <c r="B2394" t="s">
        <v>49</v>
      </c>
      <c r="C2394">
        <v>13</v>
      </c>
      <c r="D2394" t="str">
        <f t="shared" si="37"/>
        <v>26/05/2025Paediatrics</v>
      </c>
    </row>
    <row r="2395" spans="1:4">
      <c r="A2395" s="1">
        <v>45803</v>
      </c>
      <c r="B2395" t="s">
        <v>45</v>
      </c>
      <c r="C2395">
        <v>13</v>
      </c>
      <c r="D2395" t="str">
        <f t="shared" si="37"/>
        <v>26/05/2025Maternity</v>
      </c>
    </row>
    <row r="2396" spans="1:4">
      <c r="A2396" s="1">
        <v>45803</v>
      </c>
      <c r="B2396" t="s">
        <v>50</v>
      </c>
      <c r="C2396">
        <v>21</v>
      </c>
      <c r="D2396" t="str">
        <f t="shared" si="37"/>
        <v>26/05/2025Renal Medicine</v>
      </c>
    </row>
    <row r="2397" spans="1:4">
      <c r="A2397" s="1">
        <v>45803</v>
      </c>
      <c r="B2397" t="s">
        <v>42</v>
      </c>
      <c r="C2397">
        <v>12</v>
      </c>
      <c r="D2397" t="str">
        <f t="shared" si="37"/>
        <v>26/05/2025Gastroenterology</v>
      </c>
    </row>
    <row r="2398" spans="1:4">
      <c r="A2398" s="1">
        <v>45803</v>
      </c>
      <c r="B2398" t="s">
        <v>98</v>
      </c>
      <c r="C2398">
        <v>10</v>
      </c>
      <c r="D2398" t="str">
        <f t="shared" si="37"/>
        <v>26/05/2025Endocrinology</v>
      </c>
    </row>
    <row r="2399" spans="1:4">
      <c r="A2399" s="1">
        <v>45803</v>
      </c>
      <c r="B2399" t="s">
        <v>100</v>
      </c>
      <c r="C2399">
        <v>11</v>
      </c>
      <c r="D2399" t="str">
        <f t="shared" si="37"/>
        <v>26/05/2025Urology</v>
      </c>
    </row>
    <row r="2400" spans="1:4">
      <c r="A2400" s="1">
        <v>45803</v>
      </c>
      <c r="B2400" t="s">
        <v>41</v>
      </c>
      <c r="C2400">
        <v>13</v>
      </c>
      <c r="D2400" t="str">
        <f t="shared" si="37"/>
        <v>26/05/2025ENT</v>
      </c>
    </row>
    <row r="2401" spans="1:4">
      <c r="A2401" s="1">
        <v>45803</v>
      </c>
      <c r="B2401" t="s">
        <v>44</v>
      </c>
      <c r="C2401">
        <v>16</v>
      </c>
      <c r="D2401" t="str">
        <f t="shared" si="37"/>
        <v>26/05/2025Geriatrics</v>
      </c>
    </row>
    <row r="2402" spans="1:4">
      <c r="A2402" s="1">
        <v>45804</v>
      </c>
      <c r="B2402" t="s">
        <v>39</v>
      </c>
      <c r="C2402">
        <v>25</v>
      </c>
      <c r="D2402" t="str">
        <f t="shared" si="37"/>
        <v>27/05/2025A&amp;E (Emergency)</v>
      </c>
    </row>
    <row r="2403" spans="1:4">
      <c r="A2403" s="1">
        <v>45804</v>
      </c>
      <c r="B2403" t="s">
        <v>40</v>
      </c>
      <c r="C2403">
        <v>17</v>
      </c>
      <c r="D2403" t="str">
        <f t="shared" si="37"/>
        <v>27/05/2025Cardiology</v>
      </c>
    </row>
    <row r="2404" spans="1:4">
      <c r="A2404" s="1">
        <v>45804</v>
      </c>
      <c r="B2404" t="s">
        <v>51</v>
      </c>
      <c r="C2404">
        <v>14</v>
      </c>
      <c r="D2404" t="str">
        <f t="shared" si="37"/>
        <v>27/05/2025Respiratory</v>
      </c>
    </row>
    <row r="2405" spans="1:4">
      <c r="A2405" s="1">
        <v>45804</v>
      </c>
      <c r="B2405" t="s">
        <v>43</v>
      </c>
      <c r="C2405">
        <v>20</v>
      </c>
      <c r="D2405" t="str">
        <f t="shared" si="37"/>
        <v>27/05/2025General Surgery</v>
      </c>
    </row>
    <row r="2406" spans="1:4">
      <c r="A2406" s="1">
        <v>45804</v>
      </c>
      <c r="B2406" t="s">
        <v>48</v>
      </c>
      <c r="C2406">
        <v>15</v>
      </c>
      <c r="D2406" t="str">
        <f t="shared" si="37"/>
        <v>27/05/2025Orthopaedics</v>
      </c>
    </row>
    <row r="2407" spans="1:4">
      <c r="A2407" s="1">
        <v>45804</v>
      </c>
      <c r="B2407" t="s">
        <v>46</v>
      </c>
      <c r="C2407">
        <v>13</v>
      </c>
      <c r="D2407" t="str">
        <f t="shared" si="37"/>
        <v>27/05/2025Neurology</v>
      </c>
    </row>
    <row r="2408" spans="1:4">
      <c r="A2408" s="1">
        <v>45804</v>
      </c>
      <c r="B2408" t="s">
        <v>47</v>
      </c>
      <c r="C2408">
        <v>17</v>
      </c>
      <c r="D2408" t="str">
        <f t="shared" si="37"/>
        <v>27/05/2025Oncology</v>
      </c>
    </row>
    <row r="2409" spans="1:4">
      <c r="A2409" s="1">
        <v>45804</v>
      </c>
      <c r="B2409" t="s">
        <v>49</v>
      </c>
      <c r="C2409">
        <v>12</v>
      </c>
      <c r="D2409" t="str">
        <f t="shared" si="37"/>
        <v>27/05/2025Paediatrics</v>
      </c>
    </row>
    <row r="2410" spans="1:4">
      <c r="A2410" s="1">
        <v>45804</v>
      </c>
      <c r="B2410" t="s">
        <v>45</v>
      </c>
      <c r="C2410">
        <v>12</v>
      </c>
      <c r="D2410" t="str">
        <f t="shared" si="37"/>
        <v>27/05/2025Maternity</v>
      </c>
    </row>
    <row r="2411" spans="1:4">
      <c r="A2411" s="1">
        <v>45804</v>
      </c>
      <c r="B2411" t="s">
        <v>50</v>
      </c>
      <c r="C2411">
        <v>20</v>
      </c>
      <c r="D2411" t="str">
        <f t="shared" si="37"/>
        <v>27/05/2025Renal Medicine</v>
      </c>
    </row>
    <row r="2412" spans="1:4">
      <c r="A2412" s="1">
        <v>45804</v>
      </c>
      <c r="B2412" t="s">
        <v>42</v>
      </c>
      <c r="C2412">
        <v>11</v>
      </c>
      <c r="D2412" t="str">
        <f t="shared" si="37"/>
        <v>27/05/2025Gastroenterology</v>
      </c>
    </row>
    <row r="2413" spans="1:4">
      <c r="A2413" s="1">
        <v>45804</v>
      </c>
      <c r="B2413" t="s">
        <v>98</v>
      </c>
      <c r="C2413">
        <v>9</v>
      </c>
      <c r="D2413" t="str">
        <f t="shared" si="37"/>
        <v>27/05/2025Endocrinology</v>
      </c>
    </row>
    <row r="2414" spans="1:4">
      <c r="A2414" s="1">
        <v>45804</v>
      </c>
      <c r="B2414" t="s">
        <v>100</v>
      </c>
      <c r="C2414">
        <v>10</v>
      </c>
      <c r="D2414" t="str">
        <f t="shared" si="37"/>
        <v>27/05/2025Urology</v>
      </c>
    </row>
    <row r="2415" spans="1:4">
      <c r="A2415" s="1">
        <v>45804</v>
      </c>
      <c r="B2415" t="s">
        <v>41</v>
      </c>
      <c r="C2415">
        <v>12</v>
      </c>
      <c r="D2415" t="str">
        <f t="shared" si="37"/>
        <v>27/05/2025ENT</v>
      </c>
    </row>
    <row r="2416" spans="1:4">
      <c r="A2416" s="1">
        <v>45804</v>
      </c>
      <c r="B2416" t="s">
        <v>44</v>
      </c>
      <c r="C2416">
        <v>15</v>
      </c>
      <c r="D2416" t="str">
        <f t="shared" si="37"/>
        <v>27/05/2025Geriatrics</v>
      </c>
    </row>
    <row r="2417" spans="1:4">
      <c r="A2417" s="1">
        <v>45805</v>
      </c>
      <c r="B2417" t="s">
        <v>39</v>
      </c>
      <c r="C2417">
        <v>24</v>
      </c>
      <c r="D2417" t="str">
        <f t="shared" si="37"/>
        <v>28/05/2025A&amp;E (Emergency)</v>
      </c>
    </row>
    <row r="2418" spans="1:4">
      <c r="A2418" s="1">
        <v>45805</v>
      </c>
      <c r="B2418" t="s">
        <v>40</v>
      </c>
      <c r="C2418">
        <v>16</v>
      </c>
      <c r="D2418" t="str">
        <f t="shared" si="37"/>
        <v>28/05/2025Cardiology</v>
      </c>
    </row>
    <row r="2419" spans="1:4">
      <c r="A2419" s="1">
        <v>45805</v>
      </c>
      <c r="B2419" t="s">
        <v>51</v>
      </c>
      <c r="C2419">
        <v>13</v>
      </c>
      <c r="D2419" t="str">
        <f t="shared" si="37"/>
        <v>28/05/2025Respiratory</v>
      </c>
    </row>
    <row r="2420" spans="1:4">
      <c r="A2420" s="1">
        <v>45805</v>
      </c>
      <c r="B2420" t="s">
        <v>43</v>
      </c>
      <c r="C2420">
        <v>19</v>
      </c>
      <c r="D2420" t="str">
        <f t="shared" si="37"/>
        <v>28/05/2025General Surgery</v>
      </c>
    </row>
    <row r="2421" spans="1:4">
      <c r="A2421" s="1">
        <v>45805</v>
      </c>
      <c r="B2421" t="s">
        <v>48</v>
      </c>
      <c r="C2421">
        <v>14</v>
      </c>
      <c r="D2421" t="str">
        <f t="shared" si="37"/>
        <v>28/05/2025Orthopaedics</v>
      </c>
    </row>
    <row r="2422" spans="1:4">
      <c r="A2422" s="1">
        <v>45805</v>
      </c>
      <c r="B2422" t="s">
        <v>46</v>
      </c>
      <c r="C2422">
        <v>12</v>
      </c>
      <c r="D2422" t="str">
        <f t="shared" si="37"/>
        <v>28/05/2025Neurology</v>
      </c>
    </row>
    <row r="2423" spans="1:4">
      <c r="A2423" s="1">
        <v>45805</v>
      </c>
      <c r="B2423" t="s">
        <v>47</v>
      </c>
      <c r="C2423">
        <v>16</v>
      </c>
      <c r="D2423" t="str">
        <f t="shared" si="37"/>
        <v>28/05/2025Oncology</v>
      </c>
    </row>
    <row r="2424" spans="1:4">
      <c r="A2424" s="1">
        <v>45805</v>
      </c>
      <c r="B2424" t="s">
        <v>49</v>
      </c>
      <c r="C2424">
        <v>11</v>
      </c>
      <c r="D2424" t="str">
        <f t="shared" si="37"/>
        <v>28/05/2025Paediatrics</v>
      </c>
    </row>
    <row r="2425" spans="1:4">
      <c r="A2425" s="1">
        <v>45805</v>
      </c>
      <c r="B2425" t="s">
        <v>45</v>
      </c>
      <c r="C2425">
        <v>12</v>
      </c>
      <c r="D2425" t="str">
        <f t="shared" si="37"/>
        <v>28/05/2025Maternity</v>
      </c>
    </row>
    <row r="2426" spans="1:4">
      <c r="A2426" s="1">
        <v>45805</v>
      </c>
      <c r="B2426" t="s">
        <v>50</v>
      </c>
      <c r="C2426">
        <v>19</v>
      </c>
      <c r="D2426" t="str">
        <f t="shared" si="37"/>
        <v>28/05/2025Renal Medicine</v>
      </c>
    </row>
    <row r="2427" spans="1:4">
      <c r="A2427" s="1">
        <v>45805</v>
      </c>
      <c r="B2427" t="s">
        <v>42</v>
      </c>
      <c r="C2427">
        <v>10</v>
      </c>
      <c r="D2427" t="str">
        <f t="shared" si="37"/>
        <v>28/05/2025Gastroenterology</v>
      </c>
    </row>
    <row r="2428" spans="1:4">
      <c r="A2428" s="1">
        <v>45805</v>
      </c>
      <c r="B2428" t="s">
        <v>98</v>
      </c>
      <c r="C2428">
        <v>8</v>
      </c>
      <c r="D2428" t="str">
        <f t="shared" si="37"/>
        <v>28/05/2025Endocrinology</v>
      </c>
    </row>
    <row r="2429" spans="1:4">
      <c r="A2429" s="1">
        <v>45805</v>
      </c>
      <c r="B2429" t="s">
        <v>100</v>
      </c>
      <c r="C2429">
        <v>10</v>
      </c>
      <c r="D2429" t="str">
        <f t="shared" si="37"/>
        <v>28/05/2025Urology</v>
      </c>
    </row>
    <row r="2430" spans="1:4">
      <c r="A2430" s="1">
        <v>45805</v>
      </c>
      <c r="B2430" t="s">
        <v>41</v>
      </c>
      <c r="C2430">
        <v>12</v>
      </c>
      <c r="D2430" t="str">
        <f t="shared" si="37"/>
        <v>28/05/2025ENT</v>
      </c>
    </row>
    <row r="2431" spans="1:4">
      <c r="A2431" s="1">
        <v>45805</v>
      </c>
      <c r="B2431" t="s">
        <v>44</v>
      </c>
      <c r="C2431">
        <v>14</v>
      </c>
      <c r="D2431" t="str">
        <f t="shared" si="37"/>
        <v>28/05/2025Geriatrics</v>
      </c>
    </row>
    <row r="2432" spans="1:4">
      <c r="A2432" s="1">
        <v>45806</v>
      </c>
      <c r="B2432" t="s">
        <v>39</v>
      </c>
      <c r="C2432">
        <v>23</v>
      </c>
      <c r="D2432" t="str">
        <f t="shared" si="37"/>
        <v>29/05/2025A&amp;E (Emergency)</v>
      </c>
    </row>
    <row r="2433" spans="1:4">
      <c r="A2433" s="1">
        <v>45806</v>
      </c>
      <c r="B2433" t="s">
        <v>40</v>
      </c>
      <c r="C2433">
        <v>16</v>
      </c>
      <c r="D2433" t="str">
        <f t="shared" si="37"/>
        <v>29/05/2025Cardiology</v>
      </c>
    </row>
    <row r="2434" spans="1:4">
      <c r="A2434" s="1">
        <v>45806</v>
      </c>
      <c r="B2434" t="s">
        <v>51</v>
      </c>
      <c r="C2434">
        <v>13</v>
      </c>
      <c r="D2434" t="str">
        <f t="shared" si="37"/>
        <v>29/05/2025Respiratory</v>
      </c>
    </row>
    <row r="2435" spans="1:4">
      <c r="A2435" s="1">
        <v>45806</v>
      </c>
      <c r="B2435" t="s">
        <v>43</v>
      </c>
      <c r="C2435">
        <v>19</v>
      </c>
      <c r="D2435" t="str">
        <f t="shared" ref="D2435:D2498" si="38">TEXT(A2435, "dd/mm/yyyy")&amp;B2435</f>
        <v>29/05/2025General Surgery</v>
      </c>
    </row>
    <row r="2436" spans="1:4">
      <c r="A2436" s="1">
        <v>45806</v>
      </c>
      <c r="B2436" t="s">
        <v>48</v>
      </c>
      <c r="C2436">
        <v>14</v>
      </c>
      <c r="D2436" t="str">
        <f t="shared" si="38"/>
        <v>29/05/2025Orthopaedics</v>
      </c>
    </row>
    <row r="2437" spans="1:4">
      <c r="A2437" s="1">
        <v>45806</v>
      </c>
      <c r="B2437" t="s">
        <v>46</v>
      </c>
      <c r="C2437">
        <v>12</v>
      </c>
      <c r="D2437" t="str">
        <f t="shared" si="38"/>
        <v>29/05/2025Neurology</v>
      </c>
    </row>
    <row r="2438" spans="1:4">
      <c r="A2438" s="1">
        <v>45806</v>
      </c>
      <c r="B2438" t="s">
        <v>47</v>
      </c>
      <c r="C2438">
        <v>16</v>
      </c>
      <c r="D2438" t="str">
        <f t="shared" si="38"/>
        <v>29/05/2025Oncology</v>
      </c>
    </row>
    <row r="2439" spans="1:4">
      <c r="A2439" s="1">
        <v>45806</v>
      </c>
      <c r="B2439" t="s">
        <v>49</v>
      </c>
      <c r="C2439">
        <v>11</v>
      </c>
      <c r="D2439" t="str">
        <f t="shared" si="38"/>
        <v>29/05/2025Paediatrics</v>
      </c>
    </row>
    <row r="2440" spans="1:4">
      <c r="A2440" s="1">
        <v>45806</v>
      </c>
      <c r="B2440" t="s">
        <v>45</v>
      </c>
      <c r="C2440">
        <v>12</v>
      </c>
      <c r="D2440" t="str">
        <f t="shared" si="38"/>
        <v>29/05/2025Maternity</v>
      </c>
    </row>
    <row r="2441" spans="1:4">
      <c r="A2441" s="1">
        <v>45806</v>
      </c>
      <c r="B2441" t="s">
        <v>50</v>
      </c>
      <c r="C2441">
        <v>19</v>
      </c>
      <c r="D2441" t="str">
        <f t="shared" si="38"/>
        <v>29/05/2025Renal Medicine</v>
      </c>
    </row>
    <row r="2442" spans="1:4">
      <c r="A2442" s="1">
        <v>45806</v>
      </c>
      <c r="B2442" t="s">
        <v>42</v>
      </c>
      <c r="C2442">
        <v>10</v>
      </c>
      <c r="D2442" t="str">
        <f t="shared" si="38"/>
        <v>29/05/2025Gastroenterology</v>
      </c>
    </row>
    <row r="2443" spans="1:4">
      <c r="A2443" s="1">
        <v>45806</v>
      </c>
      <c r="B2443" t="s">
        <v>98</v>
      </c>
      <c r="C2443">
        <v>8</v>
      </c>
      <c r="D2443" t="str">
        <f t="shared" si="38"/>
        <v>29/05/2025Endocrinology</v>
      </c>
    </row>
    <row r="2444" spans="1:4">
      <c r="A2444" s="1">
        <v>45806</v>
      </c>
      <c r="B2444" t="s">
        <v>100</v>
      </c>
      <c r="C2444">
        <v>10</v>
      </c>
      <c r="D2444" t="str">
        <f t="shared" si="38"/>
        <v>29/05/2025Urology</v>
      </c>
    </row>
    <row r="2445" spans="1:4">
      <c r="A2445" s="1">
        <v>45806</v>
      </c>
      <c r="B2445" t="s">
        <v>41</v>
      </c>
      <c r="C2445">
        <v>12</v>
      </c>
      <c r="D2445" t="str">
        <f t="shared" si="38"/>
        <v>29/05/2025ENT</v>
      </c>
    </row>
    <row r="2446" spans="1:4">
      <c r="A2446" s="1">
        <v>45806</v>
      </c>
      <c r="B2446" t="s">
        <v>44</v>
      </c>
      <c r="C2446">
        <v>14</v>
      </c>
      <c r="D2446" t="str">
        <f t="shared" si="38"/>
        <v>29/05/2025Geriatrics</v>
      </c>
    </row>
    <row r="2447" spans="1:4">
      <c r="A2447" s="1">
        <v>45807</v>
      </c>
      <c r="B2447" t="s">
        <v>39</v>
      </c>
      <c r="C2447">
        <v>22</v>
      </c>
      <c r="D2447" t="str">
        <f t="shared" si="38"/>
        <v>30/05/2025A&amp;E (Emergency)</v>
      </c>
    </row>
    <row r="2448" spans="1:4">
      <c r="A2448" s="1">
        <v>45807</v>
      </c>
      <c r="B2448" t="s">
        <v>40</v>
      </c>
      <c r="C2448">
        <v>15</v>
      </c>
      <c r="D2448" t="str">
        <f t="shared" si="38"/>
        <v>30/05/2025Cardiology</v>
      </c>
    </row>
    <row r="2449" spans="1:4">
      <c r="A2449" s="1">
        <v>45807</v>
      </c>
      <c r="B2449" t="s">
        <v>51</v>
      </c>
      <c r="C2449">
        <v>12</v>
      </c>
      <c r="D2449" t="str">
        <f t="shared" si="38"/>
        <v>30/05/2025Respiratory</v>
      </c>
    </row>
    <row r="2450" spans="1:4">
      <c r="A2450" s="1">
        <v>45807</v>
      </c>
      <c r="B2450" t="s">
        <v>43</v>
      </c>
      <c r="C2450">
        <v>18</v>
      </c>
      <c r="D2450" t="str">
        <f t="shared" si="38"/>
        <v>30/05/2025General Surgery</v>
      </c>
    </row>
    <row r="2451" spans="1:4">
      <c r="A2451" s="1">
        <v>45807</v>
      </c>
      <c r="B2451" t="s">
        <v>48</v>
      </c>
      <c r="C2451">
        <v>13</v>
      </c>
      <c r="D2451" t="str">
        <f t="shared" si="38"/>
        <v>30/05/2025Orthopaedics</v>
      </c>
    </row>
    <row r="2452" spans="1:4">
      <c r="A2452" s="1">
        <v>45807</v>
      </c>
      <c r="B2452" t="s">
        <v>46</v>
      </c>
      <c r="C2452">
        <v>11</v>
      </c>
      <c r="D2452" t="str">
        <f t="shared" si="38"/>
        <v>30/05/2025Neurology</v>
      </c>
    </row>
    <row r="2453" spans="1:4">
      <c r="A2453" s="1">
        <v>45807</v>
      </c>
      <c r="B2453" t="s">
        <v>47</v>
      </c>
      <c r="C2453">
        <v>15</v>
      </c>
      <c r="D2453" t="str">
        <f t="shared" si="38"/>
        <v>30/05/2025Oncology</v>
      </c>
    </row>
    <row r="2454" spans="1:4">
      <c r="A2454" s="1">
        <v>45807</v>
      </c>
      <c r="B2454" t="s">
        <v>49</v>
      </c>
      <c r="C2454">
        <v>10</v>
      </c>
      <c r="D2454" t="str">
        <f t="shared" si="38"/>
        <v>30/05/2025Paediatrics</v>
      </c>
    </row>
    <row r="2455" spans="1:4">
      <c r="A2455" s="1">
        <v>45807</v>
      </c>
      <c r="B2455" t="s">
        <v>45</v>
      </c>
      <c r="C2455">
        <v>11</v>
      </c>
      <c r="D2455" t="str">
        <f t="shared" si="38"/>
        <v>30/05/2025Maternity</v>
      </c>
    </row>
    <row r="2456" spans="1:4">
      <c r="A2456" s="1">
        <v>45807</v>
      </c>
      <c r="B2456" t="s">
        <v>50</v>
      </c>
      <c r="C2456">
        <v>18</v>
      </c>
      <c r="D2456" t="str">
        <f t="shared" si="38"/>
        <v>30/05/2025Renal Medicine</v>
      </c>
    </row>
    <row r="2457" spans="1:4">
      <c r="A2457" s="1">
        <v>45807</v>
      </c>
      <c r="B2457" t="s">
        <v>42</v>
      </c>
      <c r="C2457">
        <v>9</v>
      </c>
      <c r="D2457" t="str">
        <f t="shared" si="38"/>
        <v>30/05/2025Gastroenterology</v>
      </c>
    </row>
    <row r="2458" spans="1:4">
      <c r="A2458" s="1">
        <v>45807</v>
      </c>
      <c r="B2458" t="s">
        <v>98</v>
      </c>
      <c r="C2458">
        <v>7</v>
      </c>
      <c r="D2458" t="str">
        <f t="shared" si="38"/>
        <v>30/05/2025Endocrinology</v>
      </c>
    </row>
    <row r="2459" spans="1:4">
      <c r="A2459" s="1">
        <v>45807</v>
      </c>
      <c r="B2459" t="s">
        <v>100</v>
      </c>
      <c r="C2459">
        <v>9</v>
      </c>
      <c r="D2459" t="str">
        <f t="shared" si="38"/>
        <v>30/05/2025Urology</v>
      </c>
    </row>
    <row r="2460" spans="1:4">
      <c r="A2460" s="1">
        <v>45807</v>
      </c>
      <c r="B2460" t="s">
        <v>41</v>
      </c>
      <c r="C2460">
        <v>11</v>
      </c>
      <c r="D2460" t="str">
        <f t="shared" si="38"/>
        <v>30/05/2025ENT</v>
      </c>
    </row>
    <row r="2461" spans="1:4">
      <c r="A2461" s="1">
        <v>45807</v>
      </c>
      <c r="B2461" t="s">
        <v>44</v>
      </c>
      <c r="C2461">
        <v>13</v>
      </c>
      <c r="D2461" t="str">
        <f t="shared" si="38"/>
        <v>30/05/2025Geriatrics</v>
      </c>
    </row>
    <row r="2462" spans="1:4">
      <c r="A2462" s="1">
        <v>45808</v>
      </c>
      <c r="B2462" t="s">
        <v>39</v>
      </c>
      <c r="C2462">
        <v>20</v>
      </c>
      <c r="D2462" t="str">
        <f t="shared" si="38"/>
        <v>31/05/2025A&amp;E (Emergency)</v>
      </c>
    </row>
    <row r="2463" spans="1:4">
      <c r="A2463" s="1">
        <v>45808</v>
      </c>
      <c r="B2463" t="s">
        <v>40</v>
      </c>
      <c r="C2463">
        <v>12</v>
      </c>
      <c r="D2463" t="str">
        <f t="shared" si="38"/>
        <v>31/05/2025Cardiology</v>
      </c>
    </row>
    <row r="2464" spans="1:4">
      <c r="A2464" s="1">
        <v>45808</v>
      </c>
      <c r="B2464" t="s">
        <v>51</v>
      </c>
      <c r="C2464">
        <v>9</v>
      </c>
      <c r="D2464" t="str">
        <f t="shared" si="38"/>
        <v>31/05/2025Respiratory</v>
      </c>
    </row>
    <row r="2465" spans="1:4">
      <c r="A2465" s="1">
        <v>45808</v>
      </c>
      <c r="B2465" t="s">
        <v>43</v>
      </c>
      <c r="C2465">
        <v>15</v>
      </c>
      <c r="D2465" t="str">
        <f t="shared" si="38"/>
        <v>31/05/2025General Surgery</v>
      </c>
    </row>
    <row r="2466" spans="1:4">
      <c r="A2466" s="1">
        <v>45808</v>
      </c>
      <c r="B2466" t="s">
        <v>48</v>
      </c>
      <c r="C2466">
        <v>11</v>
      </c>
      <c r="D2466" t="str">
        <f t="shared" si="38"/>
        <v>31/05/2025Orthopaedics</v>
      </c>
    </row>
    <row r="2467" spans="1:4">
      <c r="A2467" s="1">
        <v>45808</v>
      </c>
      <c r="B2467" t="s">
        <v>46</v>
      </c>
      <c r="C2467">
        <v>9</v>
      </c>
      <c r="D2467" t="str">
        <f t="shared" si="38"/>
        <v>31/05/2025Neurology</v>
      </c>
    </row>
    <row r="2468" spans="1:4">
      <c r="A2468" s="1">
        <v>45808</v>
      </c>
      <c r="B2468" t="s">
        <v>47</v>
      </c>
      <c r="C2468">
        <v>13</v>
      </c>
      <c r="D2468" t="str">
        <f t="shared" si="38"/>
        <v>31/05/2025Oncology</v>
      </c>
    </row>
    <row r="2469" spans="1:4">
      <c r="A2469" s="1">
        <v>45808</v>
      </c>
      <c r="B2469" t="s">
        <v>49</v>
      </c>
      <c r="C2469">
        <v>9</v>
      </c>
      <c r="D2469" t="str">
        <f t="shared" si="38"/>
        <v>31/05/2025Paediatrics</v>
      </c>
    </row>
    <row r="2470" spans="1:4">
      <c r="A2470" s="1">
        <v>45808</v>
      </c>
      <c r="B2470" t="s">
        <v>45</v>
      </c>
      <c r="C2470">
        <v>10</v>
      </c>
      <c r="D2470" t="str">
        <f t="shared" si="38"/>
        <v>31/05/2025Maternity</v>
      </c>
    </row>
    <row r="2471" spans="1:4">
      <c r="A2471" s="1">
        <v>45808</v>
      </c>
      <c r="B2471" t="s">
        <v>50</v>
      </c>
      <c r="C2471">
        <v>17</v>
      </c>
      <c r="D2471" t="str">
        <f t="shared" si="38"/>
        <v>31/05/2025Renal Medicine</v>
      </c>
    </row>
    <row r="2472" spans="1:4">
      <c r="A2472" s="1">
        <v>45808</v>
      </c>
      <c r="B2472" t="s">
        <v>42</v>
      </c>
      <c r="C2472">
        <v>7</v>
      </c>
      <c r="D2472" t="str">
        <f t="shared" si="38"/>
        <v>31/05/2025Gastroenterology</v>
      </c>
    </row>
    <row r="2473" spans="1:4">
      <c r="A2473" s="1">
        <v>45808</v>
      </c>
      <c r="B2473" t="s">
        <v>98</v>
      </c>
      <c r="C2473">
        <v>6</v>
      </c>
      <c r="D2473" t="str">
        <f t="shared" si="38"/>
        <v>31/05/2025Endocrinology</v>
      </c>
    </row>
    <row r="2474" spans="1:4">
      <c r="A2474" s="1">
        <v>45808</v>
      </c>
      <c r="B2474" t="s">
        <v>100</v>
      </c>
      <c r="C2474">
        <v>8</v>
      </c>
      <c r="D2474" t="str">
        <f t="shared" si="38"/>
        <v>31/05/2025Urology</v>
      </c>
    </row>
    <row r="2475" spans="1:4">
      <c r="A2475" s="1">
        <v>45808</v>
      </c>
      <c r="B2475" t="s">
        <v>41</v>
      </c>
      <c r="C2475">
        <v>10</v>
      </c>
      <c r="D2475" t="str">
        <f t="shared" si="38"/>
        <v>31/05/2025ENT</v>
      </c>
    </row>
    <row r="2476" spans="1:4">
      <c r="A2476" s="1">
        <v>45808</v>
      </c>
      <c r="B2476" t="s">
        <v>44</v>
      </c>
      <c r="C2476">
        <v>12</v>
      </c>
      <c r="D2476" t="str">
        <f t="shared" si="38"/>
        <v>31/05/2025Geriatrics</v>
      </c>
    </row>
    <row r="2477" spans="1:4">
      <c r="A2477" s="1">
        <v>45809</v>
      </c>
      <c r="B2477" t="s">
        <v>39</v>
      </c>
      <c r="C2477">
        <v>19</v>
      </c>
      <c r="D2477" t="str">
        <f t="shared" si="38"/>
        <v>01/06/2025A&amp;E (Emergency)</v>
      </c>
    </row>
    <row r="2478" spans="1:4">
      <c r="A2478" s="1">
        <v>45809</v>
      </c>
      <c r="B2478" t="s">
        <v>40</v>
      </c>
      <c r="C2478">
        <v>11</v>
      </c>
      <c r="D2478" t="str">
        <f t="shared" si="38"/>
        <v>01/06/2025Cardiology</v>
      </c>
    </row>
    <row r="2479" spans="1:4">
      <c r="A2479" s="1">
        <v>45809</v>
      </c>
      <c r="B2479" t="s">
        <v>51</v>
      </c>
      <c r="C2479">
        <v>9</v>
      </c>
      <c r="D2479" t="str">
        <f t="shared" si="38"/>
        <v>01/06/2025Respiratory</v>
      </c>
    </row>
    <row r="2480" spans="1:4">
      <c r="A2480" s="1">
        <v>45809</v>
      </c>
      <c r="B2480" t="s">
        <v>43</v>
      </c>
      <c r="C2480">
        <v>14</v>
      </c>
      <c r="D2480" t="str">
        <f t="shared" si="38"/>
        <v>01/06/2025General Surgery</v>
      </c>
    </row>
    <row r="2481" spans="1:4">
      <c r="A2481" s="1">
        <v>45809</v>
      </c>
      <c r="B2481" t="s">
        <v>48</v>
      </c>
      <c r="C2481">
        <v>10</v>
      </c>
      <c r="D2481" t="str">
        <f t="shared" si="38"/>
        <v>01/06/2025Orthopaedics</v>
      </c>
    </row>
    <row r="2482" spans="1:4">
      <c r="A2482" s="1">
        <v>45809</v>
      </c>
      <c r="B2482" t="s">
        <v>46</v>
      </c>
      <c r="C2482">
        <v>9</v>
      </c>
      <c r="D2482" t="str">
        <f t="shared" si="38"/>
        <v>01/06/2025Neurology</v>
      </c>
    </row>
    <row r="2483" spans="1:4">
      <c r="A2483" s="1">
        <v>45809</v>
      </c>
      <c r="B2483" t="s">
        <v>47</v>
      </c>
      <c r="C2483">
        <v>12</v>
      </c>
      <c r="D2483" t="str">
        <f t="shared" si="38"/>
        <v>01/06/2025Oncology</v>
      </c>
    </row>
    <row r="2484" spans="1:4">
      <c r="A2484" s="1">
        <v>45809</v>
      </c>
      <c r="B2484" t="s">
        <v>49</v>
      </c>
      <c r="C2484">
        <v>8</v>
      </c>
      <c r="D2484" t="str">
        <f t="shared" si="38"/>
        <v>01/06/2025Paediatrics</v>
      </c>
    </row>
    <row r="2485" spans="1:4">
      <c r="A2485" s="1">
        <v>45809</v>
      </c>
      <c r="B2485" t="s">
        <v>45</v>
      </c>
      <c r="C2485">
        <v>9</v>
      </c>
      <c r="D2485" t="str">
        <f t="shared" si="38"/>
        <v>01/06/2025Maternity</v>
      </c>
    </row>
    <row r="2486" spans="1:4">
      <c r="A2486" s="1">
        <v>45809</v>
      </c>
      <c r="B2486" t="s">
        <v>50</v>
      </c>
      <c r="C2486">
        <v>17</v>
      </c>
      <c r="D2486" t="str">
        <f t="shared" si="38"/>
        <v>01/06/2025Renal Medicine</v>
      </c>
    </row>
    <row r="2487" spans="1:4">
      <c r="A2487" s="1">
        <v>45809</v>
      </c>
      <c r="B2487" t="s">
        <v>42</v>
      </c>
      <c r="C2487">
        <v>7</v>
      </c>
      <c r="D2487" t="str">
        <f t="shared" si="38"/>
        <v>01/06/2025Gastroenterology</v>
      </c>
    </row>
    <row r="2488" spans="1:4">
      <c r="A2488" s="1">
        <v>45809</v>
      </c>
      <c r="B2488" t="s">
        <v>98</v>
      </c>
      <c r="C2488">
        <v>6</v>
      </c>
      <c r="D2488" t="str">
        <f t="shared" si="38"/>
        <v>01/06/2025Endocrinology</v>
      </c>
    </row>
    <row r="2489" spans="1:4">
      <c r="A2489" s="1">
        <v>45809</v>
      </c>
      <c r="B2489" t="s">
        <v>100</v>
      </c>
      <c r="C2489">
        <v>8</v>
      </c>
      <c r="D2489" t="str">
        <f t="shared" si="38"/>
        <v>01/06/2025Urology</v>
      </c>
    </row>
    <row r="2490" spans="1:4">
      <c r="A2490" s="1">
        <v>45809</v>
      </c>
      <c r="B2490" t="s">
        <v>41</v>
      </c>
      <c r="C2490">
        <v>10</v>
      </c>
      <c r="D2490" t="str">
        <f t="shared" si="38"/>
        <v>01/06/2025ENT</v>
      </c>
    </row>
    <row r="2491" spans="1:4">
      <c r="A2491" s="1">
        <v>45809</v>
      </c>
      <c r="B2491" t="s">
        <v>44</v>
      </c>
      <c r="C2491">
        <v>12</v>
      </c>
      <c r="D2491" t="str">
        <f t="shared" si="38"/>
        <v>01/06/2025Geriatrics</v>
      </c>
    </row>
    <row r="2492" spans="1:4">
      <c r="A2492" s="1">
        <v>45810</v>
      </c>
      <c r="B2492" t="s">
        <v>39</v>
      </c>
      <c r="C2492">
        <v>28</v>
      </c>
      <c r="D2492" t="str">
        <f t="shared" si="38"/>
        <v>02/06/2025A&amp;E (Emergency)</v>
      </c>
    </row>
    <row r="2493" spans="1:4">
      <c r="A2493" s="1">
        <v>45810</v>
      </c>
      <c r="B2493" t="s">
        <v>40</v>
      </c>
      <c r="C2493">
        <v>18</v>
      </c>
      <c r="D2493" t="str">
        <f t="shared" si="38"/>
        <v>02/06/2025Cardiology</v>
      </c>
    </row>
    <row r="2494" spans="1:4">
      <c r="A2494" s="1">
        <v>45810</v>
      </c>
      <c r="B2494" t="s">
        <v>51</v>
      </c>
      <c r="C2494">
        <v>15</v>
      </c>
      <c r="D2494" t="str">
        <f t="shared" si="38"/>
        <v>02/06/2025Respiratory</v>
      </c>
    </row>
    <row r="2495" spans="1:4">
      <c r="A2495" s="1">
        <v>45810</v>
      </c>
      <c r="B2495" t="s">
        <v>43</v>
      </c>
      <c r="C2495">
        <v>22</v>
      </c>
      <c r="D2495" t="str">
        <f t="shared" si="38"/>
        <v>02/06/2025General Surgery</v>
      </c>
    </row>
    <row r="2496" spans="1:4">
      <c r="A2496" s="1">
        <v>45810</v>
      </c>
      <c r="B2496" t="s">
        <v>48</v>
      </c>
      <c r="C2496">
        <v>16</v>
      </c>
      <c r="D2496" t="str">
        <f t="shared" si="38"/>
        <v>02/06/2025Orthopaedics</v>
      </c>
    </row>
    <row r="2497" spans="1:4">
      <c r="A2497" s="1">
        <v>45810</v>
      </c>
      <c r="B2497" t="s">
        <v>46</v>
      </c>
      <c r="C2497">
        <v>14</v>
      </c>
      <c r="D2497" t="str">
        <f t="shared" si="38"/>
        <v>02/06/2025Neurology</v>
      </c>
    </row>
    <row r="2498" spans="1:4">
      <c r="A2498" s="1">
        <v>45810</v>
      </c>
      <c r="B2498" t="s">
        <v>47</v>
      </c>
      <c r="C2498">
        <v>18</v>
      </c>
      <c r="D2498" t="str">
        <f t="shared" si="38"/>
        <v>02/06/2025Oncology</v>
      </c>
    </row>
    <row r="2499" spans="1:4">
      <c r="A2499" s="1">
        <v>45810</v>
      </c>
      <c r="B2499" t="s">
        <v>49</v>
      </c>
      <c r="C2499">
        <v>13</v>
      </c>
      <c r="D2499" t="str">
        <f t="shared" ref="D2499:D2562" si="39">TEXT(A2499, "dd/mm/yyyy")&amp;B2499</f>
        <v>02/06/2025Paediatrics</v>
      </c>
    </row>
    <row r="2500" spans="1:4">
      <c r="A2500" s="1">
        <v>45810</v>
      </c>
      <c r="B2500" t="s">
        <v>45</v>
      </c>
      <c r="C2500">
        <v>13</v>
      </c>
      <c r="D2500" t="str">
        <f t="shared" si="39"/>
        <v>02/06/2025Maternity</v>
      </c>
    </row>
    <row r="2501" spans="1:4">
      <c r="A2501" s="1">
        <v>45810</v>
      </c>
      <c r="B2501" t="s">
        <v>50</v>
      </c>
      <c r="C2501">
        <v>21</v>
      </c>
      <c r="D2501" t="str">
        <f t="shared" si="39"/>
        <v>02/06/2025Renal Medicine</v>
      </c>
    </row>
    <row r="2502" spans="1:4">
      <c r="A2502" s="1">
        <v>45810</v>
      </c>
      <c r="B2502" t="s">
        <v>42</v>
      </c>
      <c r="C2502">
        <v>12</v>
      </c>
      <c r="D2502" t="str">
        <f t="shared" si="39"/>
        <v>02/06/2025Gastroenterology</v>
      </c>
    </row>
    <row r="2503" spans="1:4">
      <c r="A2503" s="1">
        <v>45810</v>
      </c>
      <c r="B2503" t="s">
        <v>98</v>
      </c>
      <c r="C2503">
        <v>10</v>
      </c>
      <c r="D2503" t="str">
        <f t="shared" si="39"/>
        <v>02/06/2025Endocrinology</v>
      </c>
    </row>
    <row r="2504" spans="1:4">
      <c r="A2504" s="1">
        <v>45810</v>
      </c>
      <c r="B2504" t="s">
        <v>100</v>
      </c>
      <c r="C2504">
        <v>11</v>
      </c>
      <c r="D2504" t="str">
        <f t="shared" si="39"/>
        <v>02/06/2025Urology</v>
      </c>
    </row>
    <row r="2505" spans="1:4">
      <c r="A2505" s="1">
        <v>45810</v>
      </c>
      <c r="B2505" t="s">
        <v>41</v>
      </c>
      <c r="C2505">
        <v>13</v>
      </c>
      <c r="D2505" t="str">
        <f t="shared" si="39"/>
        <v>02/06/2025ENT</v>
      </c>
    </row>
    <row r="2506" spans="1:4">
      <c r="A2506" s="1">
        <v>45810</v>
      </c>
      <c r="B2506" t="s">
        <v>44</v>
      </c>
      <c r="C2506">
        <v>16</v>
      </c>
      <c r="D2506" t="str">
        <f t="shared" si="39"/>
        <v>02/06/2025Geriatrics</v>
      </c>
    </row>
    <row r="2507" spans="1:4">
      <c r="A2507" s="1">
        <v>45811</v>
      </c>
      <c r="B2507" t="s">
        <v>39</v>
      </c>
      <c r="C2507">
        <v>25</v>
      </c>
      <c r="D2507" t="str">
        <f t="shared" si="39"/>
        <v>03/06/2025A&amp;E (Emergency)</v>
      </c>
    </row>
    <row r="2508" spans="1:4">
      <c r="A2508" s="1">
        <v>45811</v>
      </c>
      <c r="B2508" t="s">
        <v>40</v>
      </c>
      <c r="C2508">
        <v>17</v>
      </c>
      <c r="D2508" t="str">
        <f t="shared" si="39"/>
        <v>03/06/2025Cardiology</v>
      </c>
    </row>
    <row r="2509" spans="1:4">
      <c r="A2509" s="1">
        <v>45811</v>
      </c>
      <c r="B2509" t="s">
        <v>51</v>
      </c>
      <c r="C2509">
        <v>14</v>
      </c>
      <c r="D2509" t="str">
        <f t="shared" si="39"/>
        <v>03/06/2025Respiratory</v>
      </c>
    </row>
    <row r="2510" spans="1:4">
      <c r="A2510" s="1">
        <v>45811</v>
      </c>
      <c r="B2510" t="s">
        <v>43</v>
      </c>
      <c r="C2510">
        <v>20</v>
      </c>
      <c r="D2510" t="str">
        <f t="shared" si="39"/>
        <v>03/06/2025General Surgery</v>
      </c>
    </row>
    <row r="2511" spans="1:4">
      <c r="A2511" s="1">
        <v>45811</v>
      </c>
      <c r="B2511" t="s">
        <v>48</v>
      </c>
      <c r="C2511">
        <v>15</v>
      </c>
      <c r="D2511" t="str">
        <f t="shared" si="39"/>
        <v>03/06/2025Orthopaedics</v>
      </c>
    </row>
    <row r="2512" spans="1:4">
      <c r="A2512" s="1">
        <v>45811</v>
      </c>
      <c r="B2512" t="s">
        <v>46</v>
      </c>
      <c r="C2512">
        <v>13</v>
      </c>
      <c r="D2512" t="str">
        <f t="shared" si="39"/>
        <v>03/06/2025Neurology</v>
      </c>
    </row>
    <row r="2513" spans="1:4">
      <c r="A2513" s="1">
        <v>45811</v>
      </c>
      <c r="B2513" t="s">
        <v>47</v>
      </c>
      <c r="C2513">
        <v>17</v>
      </c>
      <c r="D2513" t="str">
        <f t="shared" si="39"/>
        <v>03/06/2025Oncology</v>
      </c>
    </row>
    <row r="2514" spans="1:4">
      <c r="A2514" s="1">
        <v>45811</v>
      </c>
      <c r="B2514" t="s">
        <v>49</v>
      </c>
      <c r="C2514">
        <v>12</v>
      </c>
      <c r="D2514" t="str">
        <f t="shared" si="39"/>
        <v>03/06/2025Paediatrics</v>
      </c>
    </row>
    <row r="2515" spans="1:4">
      <c r="A2515" s="1">
        <v>45811</v>
      </c>
      <c r="B2515" t="s">
        <v>45</v>
      </c>
      <c r="C2515">
        <v>12</v>
      </c>
      <c r="D2515" t="str">
        <f t="shared" si="39"/>
        <v>03/06/2025Maternity</v>
      </c>
    </row>
    <row r="2516" spans="1:4">
      <c r="A2516" s="1">
        <v>45811</v>
      </c>
      <c r="B2516" t="s">
        <v>50</v>
      </c>
      <c r="C2516">
        <v>20</v>
      </c>
      <c r="D2516" t="str">
        <f t="shared" si="39"/>
        <v>03/06/2025Renal Medicine</v>
      </c>
    </row>
    <row r="2517" spans="1:4">
      <c r="A2517" s="1">
        <v>45811</v>
      </c>
      <c r="B2517" t="s">
        <v>42</v>
      </c>
      <c r="C2517">
        <v>11</v>
      </c>
      <c r="D2517" t="str">
        <f t="shared" si="39"/>
        <v>03/06/2025Gastroenterology</v>
      </c>
    </row>
    <row r="2518" spans="1:4">
      <c r="A2518" s="1">
        <v>45811</v>
      </c>
      <c r="B2518" t="s">
        <v>98</v>
      </c>
      <c r="C2518">
        <v>9</v>
      </c>
      <c r="D2518" t="str">
        <f t="shared" si="39"/>
        <v>03/06/2025Endocrinology</v>
      </c>
    </row>
    <row r="2519" spans="1:4">
      <c r="A2519" s="1">
        <v>45811</v>
      </c>
      <c r="B2519" t="s">
        <v>100</v>
      </c>
      <c r="C2519">
        <v>10</v>
      </c>
      <c r="D2519" t="str">
        <f t="shared" si="39"/>
        <v>03/06/2025Urology</v>
      </c>
    </row>
    <row r="2520" spans="1:4">
      <c r="A2520" s="1">
        <v>45811</v>
      </c>
      <c r="B2520" t="s">
        <v>41</v>
      </c>
      <c r="C2520">
        <v>12</v>
      </c>
      <c r="D2520" t="str">
        <f t="shared" si="39"/>
        <v>03/06/2025ENT</v>
      </c>
    </row>
    <row r="2521" spans="1:4">
      <c r="A2521" s="1">
        <v>45811</v>
      </c>
      <c r="B2521" t="s">
        <v>44</v>
      </c>
      <c r="C2521">
        <v>15</v>
      </c>
      <c r="D2521" t="str">
        <f t="shared" si="39"/>
        <v>03/06/2025Geriatrics</v>
      </c>
    </row>
    <row r="2522" spans="1:4">
      <c r="A2522" s="1">
        <v>45812</v>
      </c>
      <c r="B2522" t="s">
        <v>39</v>
      </c>
      <c r="C2522">
        <v>24</v>
      </c>
      <c r="D2522" t="str">
        <f t="shared" si="39"/>
        <v>04/06/2025A&amp;E (Emergency)</v>
      </c>
    </row>
    <row r="2523" spans="1:4">
      <c r="A2523" s="1">
        <v>45812</v>
      </c>
      <c r="B2523" t="s">
        <v>40</v>
      </c>
      <c r="C2523">
        <v>16</v>
      </c>
      <c r="D2523" t="str">
        <f t="shared" si="39"/>
        <v>04/06/2025Cardiology</v>
      </c>
    </row>
    <row r="2524" spans="1:4">
      <c r="A2524" s="1">
        <v>45812</v>
      </c>
      <c r="B2524" t="s">
        <v>51</v>
      </c>
      <c r="C2524">
        <v>13</v>
      </c>
      <c r="D2524" t="str">
        <f t="shared" si="39"/>
        <v>04/06/2025Respiratory</v>
      </c>
    </row>
    <row r="2525" spans="1:4">
      <c r="A2525" s="1">
        <v>45812</v>
      </c>
      <c r="B2525" t="s">
        <v>43</v>
      </c>
      <c r="C2525">
        <v>19</v>
      </c>
      <c r="D2525" t="str">
        <f t="shared" si="39"/>
        <v>04/06/2025General Surgery</v>
      </c>
    </row>
    <row r="2526" spans="1:4">
      <c r="A2526" s="1">
        <v>45812</v>
      </c>
      <c r="B2526" t="s">
        <v>48</v>
      </c>
      <c r="C2526">
        <v>14</v>
      </c>
      <c r="D2526" t="str">
        <f t="shared" si="39"/>
        <v>04/06/2025Orthopaedics</v>
      </c>
    </row>
    <row r="2527" spans="1:4">
      <c r="A2527" s="1">
        <v>45812</v>
      </c>
      <c r="B2527" t="s">
        <v>46</v>
      </c>
      <c r="C2527">
        <v>12</v>
      </c>
      <c r="D2527" t="str">
        <f t="shared" si="39"/>
        <v>04/06/2025Neurology</v>
      </c>
    </row>
    <row r="2528" spans="1:4">
      <c r="A2528" s="1">
        <v>45812</v>
      </c>
      <c r="B2528" t="s">
        <v>47</v>
      </c>
      <c r="C2528">
        <v>16</v>
      </c>
      <c r="D2528" t="str">
        <f t="shared" si="39"/>
        <v>04/06/2025Oncology</v>
      </c>
    </row>
    <row r="2529" spans="1:4">
      <c r="A2529" s="1">
        <v>45812</v>
      </c>
      <c r="B2529" t="s">
        <v>49</v>
      </c>
      <c r="C2529">
        <v>11</v>
      </c>
      <c r="D2529" t="str">
        <f t="shared" si="39"/>
        <v>04/06/2025Paediatrics</v>
      </c>
    </row>
    <row r="2530" spans="1:4">
      <c r="A2530" s="1">
        <v>45812</v>
      </c>
      <c r="B2530" t="s">
        <v>45</v>
      </c>
      <c r="C2530">
        <v>12</v>
      </c>
      <c r="D2530" t="str">
        <f t="shared" si="39"/>
        <v>04/06/2025Maternity</v>
      </c>
    </row>
    <row r="2531" spans="1:4">
      <c r="A2531" s="1">
        <v>45812</v>
      </c>
      <c r="B2531" t="s">
        <v>50</v>
      </c>
      <c r="C2531">
        <v>19</v>
      </c>
      <c r="D2531" t="str">
        <f t="shared" si="39"/>
        <v>04/06/2025Renal Medicine</v>
      </c>
    </row>
    <row r="2532" spans="1:4">
      <c r="A2532" s="1">
        <v>45812</v>
      </c>
      <c r="B2532" t="s">
        <v>42</v>
      </c>
      <c r="C2532">
        <v>10</v>
      </c>
      <c r="D2532" t="str">
        <f t="shared" si="39"/>
        <v>04/06/2025Gastroenterology</v>
      </c>
    </row>
    <row r="2533" spans="1:4">
      <c r="A2533" s="1">
        <v>45812</v>
      </c>
      <c r="B2533" t="s">
        <v>98</v>
      </c>
      <c r="C2533">
        <v>8</v>
      </c>
      <c r="D2533" t="str">
        <f t="shared" si="39"/>
        <v>04/06/2025Endocrinology</v>
      </c>
    </row>
    <row r="2534" spans="1:4">
      <c r="A2534" s="1">
        <v>45812</v>
      </c>
      <c r="B2534" t="s">
        <v>100</v>
      </c>
      <c r="C2534">
        <v>10</v>
      </c>
      <c r="D2534" t="str">
        <f t="shared" si="39"/>
        <v>04/06/2025Urology</v>
      </c>
    </row>
    <row r="2535" spans="1:4">
      <c r="A2535" s="1">
        <v>45812</v>
      </c>
      <c r="B2535" t="s">
        <v>41</v>
      </c>
      <c r="C2535">
        <v>12</v>
      </c>
      <c r="D2535" t="str">
        <f t="shared" si="39"/>
        <v>04/06/2025ENT</v>
      </c>
    </row>
    <row r="2536" spans="1:4">
      <c r="A2536" s="1">
        <v>45812</v>
      </c>
      <c r="B2536" t="s">
        <v>44</v>
      </c>
      <c r="C2536">
        <v>14</v>
      </c>
      <c r="D2536" t="str">
        <f t="shared" si="39"/>
        <v>04/06/2025Geriatrics</v>
      </c>
    </row>
    <row r="2537" spans="1:4">
      <c r="A2537" s="1">
        <v>45813</v>
      </c>
      <c r="B2537" t="s">
        <v>39</v>
      </c>
      <c r="C2537">
        <v>23</v>
      </c>
      <c r="D2537" t="str">
        <f t="shared" si="39"/>
        <v>05/06/2025A&amp;E (Emergency)</v>
      </c>
    </row>
    <row r="2538" spans="1:4">
      <c r="A2538" s="1">
        <v>45813</v>
      </c>
      <c r="B2538" t="s">
        <v>40</v>
      </c>
      <c r="C2538">
        <v>16</v>
      </c>
      <c r="D2538" t="str">
        <f t="shared" si="39"/>
        <v>05/06/2025Cardiology</v>
      </c>
    </row>
    <row r="2539" spans="1:4">
      <c r="A2539" s="1">
        <v>45813</v>
      </c>
      <c r="B2539" t="s">
        <v>51</v>
      </c>
      <c r="C2539">
        <v>13</v>
      </c>
      <c r="D2539" t="str">
        <f t="shared" si="39"/>
        <v>05/06/2025Respiratory</v>
      </c>
    </row>
    <row r="2540" spans="1:4">
      <c r="A2540" s="1">
        <v>45813</v>
      </c>
      <c r="B2540" t="s">
        <v>43</v>
      </c>
      <c r="C2540">
        <v>19</v>
      </c>
      <c r="D2540" t="str">
        <f t="shared" si="39"/>
        <v>05/06/2025General Surgery</v>
      </c>
    </row>
    <row r="2541" spans="1:4">
      <c r="A2541" s="1">
        <v>45813</v>
      </c>
      <c r="B2541" t="s">
        <v>48</v>
      </c>
      <c r="C2541">
        <v>14</v>
      </c>
      <c r="D2541" t="str">
        <f t="shared" si="39"/>
        <v>05/06/2025Orthopaedics</v>
      </c>
    </row>
    <row r="2542" spans="1:4">
      <c r="A2542" s="1">
        <v>45813</v>
      </c>
      <c r="B2542" t="s">
        <v>46</v>
      </c>
      <c r="C2542">
        <v>12</v>
      </c>
      <c r="D2542" t="str">
        <f t="shared" si="39"/>
        <v>05/06/2025Neurology</v>
      </c>
    </row>
    <row r="2543" spans="1:4">
      <c r="A2543" s="1">
        <v>45813</v>
      </c>
      <c r="B2543" t="s">
        <v>47</v>
      </c>
      <c r="C2543">
        <v>16</v>
      </c>
      <c r="D2543" t="str">
        <f t="shared" si="39"/>
        <v>05/06/2025Oncology</v>
      </c>
    </row>
    <row r="2544" spans="1:4">
      <c r="A2544" s="1">
        <v>45813</v>
      </c>
      <c r="B2544" t="s">
        <v>49</v>
      </c>
      <c r="C2544">
        <v>11</v>
      </c>
      <c r="D2544" t="str">
        <f t="shared" si="39"/>
        <v>05/06/2025Paediatrics</v>
      </c>
    </row>
    <row r="2545" spans="1:4">
      <c r="A2545" s="1">
        <v>45813</v>
      </c>
      <c r="B2545" t="s">
        <v>45</v>
      </c>
      <c r="C2545">
        <v>12</v>
      </c>
      <c r="D2545" t="str">
        <f t="shared" si="39"/>
        <v>05/06/2025Maternity</v>
      </c>
    </row>
    <row r="2546" spans="1:4">
      <c r="A2546" s="1">
        <v>45813</v>
      </c>
      <c r="B2546" t="s">
        <v>50</v>
      </c>
      <c r="C2546">
        <v>19</v>
      </c>
      <c r="D2546" t="str">
        <f t="shared" si="39"/>
        <v>05/06/2025Renal Medicine</v>
      </c>
    </row>
    <row r="2547" spans="1:4">
      <c r="A2547" s="1">
        <v>45813</v>
      </c>
      <c r="B2547" t="s">
        <v>42</v>
      </c>
      <c r="C2547">
        <v>10</v>
      </c>
      <c r="D2547" t="str">
        <f t="shared" si="39"/>
        <v>05/06/2025Gastroenterology</v>
      </c>
    </row>
    <row r="2548" spans="1:4">
      <c r="A2548" s="1">
        <v>45813</v>
      </c>
      <c r="B2548" t="s">
        <v>98</v>
      </c>
      <c r="C2548">
        <v>8</v>
      </c>
      <c r="D2548" t="str">
        <f t="shared" si="39"/>
        <v>05/06/2025Endocrinology</v>
      </c>
    </row>
    <row r="2549" spans="1:4">
      <c r="A2549" s="1">
        <v>45813</v>
      </c>
      <c r="B2549" t="s">
        <v>100</v>
      </c>
      <c r="C2549">
        <v>10</v>
      </c>
      <c r="D2549" t="str">
        <f t="shared" si="39"/>
        <v>05/06/2025Urology</v>
      </c>
    </row>
    <row r="2550" spans="1:4">
      <c r="A2550" s="1">
        <v>45813</v>
      </c>
      <c r="B2550" t="s">
        <v>41</v>
      </c>
      <c r="C2550">
        <v>12</v>
      </c>
      <c r="D2550" t="str">
        <f t="shared" si="39"/>
        <v>05/06/2025ENT</v>
      </c>
    </row>
    <row r="2551" spans="1:4">
      <c r="A2551" s="1">
        <v>45813</v>
      </c>
      <c r="B2551" t="s">
        <v>44</v>
      </c>
      <c r="C2551">
        <v>14</v>
      </c>
      <c r="D2551" t="str">
        <f t="shared" si="39"/>
        <v>05/06/2025Geriatrics</v>
      </c>
    </row>
    <row r="2552" spans="1:4">
      <c r="A2552" s="1">
        <v>45814</v>
      </c>
      <c r="B2552" t="s">
        <v>39</v>
      </c>
      <c r="C2552">
        <v>22</v>
      </c>
      <c r="D2552" t="str">
        <f t="shared" si="39"/>
        <v>06/06/2025A&amp;E (Emergency)</v>
      </c>
    </row>
    <row r="2553" spans="1:4">
      <c r="A2553" s="1">
        <v>45814</v>
      </c>
      <c r="B2553" t="s">
        <v>40</v>
      </c>
      <c r="C2553">
        <v>15</v>
      </c>
      <c r="D2553" t="str">
        <f t="shared" si="39"/>
        <v>06/06/2025Cardiology</v>
      </c>
    </row>
    <row r="2554" spans="1:4">
      <c r="A2554" s="1">
        <v>45814</v>
      </c>
      <c r="B2554" t="s">
        <v>51</v>
      </c>
      <c r="C2554">
        <v>12</v>
      </c>
      <c r="D2554" t="str">
        <f t="shared" si="39"/>
        <v>06/06/2025Respiratory</v>
      </c>
    </row>
    <row r="2555" spans="1:4">
      <c r="A2555" s="1">
        <v>45814</v>
      </c>
      <c r="B2555" t="s">
        <v>43</v>
      </c>
      <c r="C2555">
        <v>18</v>
      </c>
      <c r="D2555" t="str">
        <f t="shared" si="39"/>
        <v>06/06/2025General Surgery</v>
      </c>
    </row>
    <row r="2556" spans="1:4">
      <c r="A2556" s="1">
        <v>45814</v>
      </c>
      <c r="B2556" t="s">
        <v>48</v>
      </c>
      <c r="C2556">
        <v>13</v>
      </c>
      <c r="D2556" t="str">
        <f t="shared" si="39"/>
        <v>06/06/2025Orthopaedics</v>
      </c>
    </row>
    <row r="2557" spans="1:4">
      <c r="A2557" s="1">
        <v>45814</v>
      </c>
      <c r="B2557" t="s">
        <v>46</v>
      </c>
      <c r="C2557">
        <v>11</v>
      </c>
      <c r="D2557" t="str">
        <f t="shared" si="39"/>
        <v>06/06/2025Neurology</v>
      </c>
    </row>
    <row r="2558" spans="1:4">
      <c r="A2558" s="1">
        <v>45814</v>
      </c>
      <c r="B2558" t="s">
        <v>47</v>
      </c>
      <c r="C2558">
        <v>15</v>
      </c>
      <c r="D2558" t="str">
        <f t="shared" si="39"/>
        <v>06/06/2025Oncology</v>
      </c>
    </row>
    <row r="2559" spans="1:4">
      <c r="A2559" s="1">
        <v>45814</v>
      </c>
      <c r="B2559" t="s">
        <v>49</v>
      </c>
      <c r="C2559">
        <v>10</v>
      </c>
      <c r="D2559" t="str">
        <f t="shared" si="39"/>
        <v>06/06/2025Paediatrics</v>
      </c>
    </row>
    <row r="2560" spans="1:4">
      <c r="A2560" s="1">
        <v>45814</v>
      </c>
      <c r="B2560" t="s">
        <v>45</v>
      </c>
      <c r="C2560">
        <v>11</v>
      </c>
      <c r="D2560" t="str">
        <f t="shared" si="39"/>
        <v>06/06/2025Maternity</v>
      </c>
    </row>
    <row r="2561" spans="1:4">
      <c r="A2561" s="1">
        <v>45814</v>
      </c>
      <c r="B2561" t="s">
        <v>50</v>
      </c>
      <c r="C2561">
        <v>18</v>
      </c>
      <c r="D2561" t="str">
        <f t="shared" si="39"/>
        <v>06/06/2025Renal Medicine</v>
      </c>
    </row>
    <row r="2562" spans="1:4">
      <c r="A2562" s="1">
        <v>45814</v>
      </c>
      <c r="B2562" t="s">
        <v>42</v>
      </c>
      <c r="C2562">
        <v>9</v>
      </c>
      <c r="D2562" t="str">
        <f t="shared" si="39"/>
        <v>06/06/2025Gastroenterology</v>
      </c>
    </row>
    <row r="2563" spans="1:4">
      <c r="A2563" s="1">
        <v>45814</v>
      </c>
      <c r="B2563" t="s">
        <v>98</v>
      </c>
      <c r="C2563">
        <v>7</v>
      </c>
      <c r="D2563" t="str">
        <f t="shared" ref="D2563:D2626" si="40">TEXT(A2563, "dd/mm/yyyy")&amp;B2563</f>
        <v>06/06/2025Endocrinology</v>
      </c>
    </row>
    <row r="2564" spans="1:4">
      <c r="A2564" s="1">
        <v>45814</v>
      </c>
      <c r="B2564" t="s">
        <v>100</v>
      </c>
      <c r="C2564">
        <v>9</v>
      </c>
      <c r="D2564" t="str">
        <f t="shared" si="40"/>
        <v>06/06/2025Urology</v>
      </c>
    </row>
    <row r="2565" spans="1:4">
      <c r="A2565" s="1">
        <v>45814</v>
      </c>
      <c r="B2565" t="s">
        <v>41</v>
      </c>
      <c r="C2565">
        <v>11</v>
      </c>
      <c r="D2565" t="str">
        <f t="shared" si="40"/>
        <v>06/06/2025ENT</v>
      </c>
    </row>
    <row r="2566" spans="1:4">
      <c r="A2566" s="1">
        <v>45814</v>
      </c>
      <c r="B2566" t="s">
        <v>44</v>
      </c>
      <c r="C2566">
        <v>13</v>
      </c>
      <c r="D2566" t="str">
        <f t="shared" si="40"/>
        <v>06/06/2025Geriatrics</v>
      </c>
    </row>
    <row r="2567" spans="1:4">
      <c r="A2567" s="1">
        <v>45815</v>
      </c>
      <c r="B2567" t="s">
        <v>39</v>
      </c>
      <c r="C2567">
        <v>20</v>
      </c>
      <c r="D2567" t="str">
        <f t="shared" si="40"/>
        <v>07/06/2025A&amp;E (Emergency)</v>
      </c>
    </row>
    <row r="2568" spans="1:4">
      <c r="A2568" s="1">
        <v>45815</v>
      </c>
      <c r="B2568" t="s">
        <v>40</v>
      </c>
      <c r="C2568">
        <v>12</v>
      </c>
      <c r="D2568" t="str">
        <f t="shared" si="40"/>
        <v>07/06/2025Cardiology</v>
      </c>
    </row>
    <row r="2569" spans="1:4">
      <c r="A2569" s="1">
        <v>45815</v>
      </c>
      <c r="B2569" t="s">
        <v>51</v>
      </c>
      <c r="C2569">
        <v>9</v>
      </c>
      <c r="D2569" t="str">
        <f t="shared" si="40"/>
        <v>07/06/2025Respiratory</v>
      </c>
    </row>
    <row r="2570" spans="1:4">
      <c r="A2570" s="1">
        <v>45815</v>
      </c>
      <c r="B2570" t="s">
        <v>43</v>
      </c>
      <c r="C2570">
        <v>15</v>
      </c>
      <c r="D2570" t="str">
        <f t="shared" si="40"/>
        <v>07/06/2025General Surgery</v>
      </c>
    </row>
    <row r="2571" spans="1:4">
      <c r="A2571" s="1">
        <v>45815</v>
      </c>
      <c r="B2571" t="s">
        <v>48</v>
      </c>
      <c r="C2571">
        <v>11</v>
      </c>
      <c r="D2571" t="str">
        <f t="shared" si="40"/>
        <v>07/06/2025Orthopaedics</v>
      </c>
    </row>
    <row r="2572" spans="1:4">
      <c r="A2572" s="1">
        <v>45815</v>
      </c>
      <c r="B2572" t="s">
        <v>46</v>
      </c>
      <c r="C2572">
        <v>9</v>
      </c>
      <c r="D2572" t="str">
        <f t="shared" si="40"/>
        <v>07/06/2025Neurology</v>
      </c>
    </row>
    <row r="2573" spans="1:4">
      <c r="A2573" s="1">
        <v>45815</v>
      </c>
      <c r="B2573" t="s">
        <v>47</v>
      </c>
      <c r="C2573">
        <v>13</v>
      </c>
      <c r="D2573" t="str">
        <f t="shared" si="40"/>
        <v>07/06/2025Oncology</v>
      </c>
    </row>
    <row r="2574" spans="1:4">
      <c r="A2574" s="1">
        <v>45815</v>
      </c>
      <c r="B2574" t="s">
        <v>49</v>
      </c>
      <c r="C2574">
        <v>9</v>
      </c>
      <c r="D2574" t="str">
        <f t="shared" si="40"/>
        <v>07/06/2025Paediatrics</v>
      </c>
    </row>
    <row r="2575" spans="1:4">
      <c r="A2575" s="1">
        <v>45815</v>
      </c>
      <c r="B2575" t="s">
        <v>45</v>
      </c>
      <c r="C2575">
        <v>10</v>
      </c>
      <c r="D2575" t="str">
        <f t="shared" si="40"/>
        <v>07/06/2025Maternity</v>
      </c>
    </row>
    <row r="2576" spans="1:4">
      <c r="A2576" s="1">
        <v>45815</v>
      </c>
      <c r="B2576" t="s">
        <v>50</v>
      </c>
      <c r="C2576">
        <v>17</v>
      </c>
      <c r="D2576" t="str">
        <f t="shared" si="40"/>
        <v>07/06/2025Renal Medicine</v>
      </c>
    </row>
    <row r="2577" spans="1:4">
      <c r="A2577" s="1">
        <v>45815</v>
      </c>
      <c r="B2577" t="s">
        <v>42</v>
      </c>
      <c r="C2577">
        <v>7</v>
      </c>
      <c r="D2577" t="str">
        <f t="shared" si="40"/>
        <v>07/06/2025Gastroenterology</v>
      </c>
    </row>
    <row r="2578" spans="1:4">
      <c r="A2578" s="1">
        <v>45815</v>
      </c>
      <c r="B2578" t="s">
        <v>98</v>
      </c>
      <c r="C2578">
        <v>6</v>
      </c>
      <c r="D2578" t="str">
        <f t="shared" si="40"/>
        <v>07/06/2025Endocrinology</v>
      </c>
    </row>
    <row r="2579" spans="1:4">
      <c r="A2579" s="1">
        <v>45815</v>
      </c>
      <c r="B2579" t="s">
        <v>100</v>
      </c>
      <c r="C2579">
        <v>8</v>
      </c>
      <c r="D2579" t="str">
        <f t="shared" si="40"/>
        <v>07/06/2025Urology</v>
      </c>
    </row>
    <row r="2580" spans="1:4">
      <c r="A2580" s="1">
        <v>45815</v>
      </c>
      <c r="B2580" t="s">
        <v>41</v>
      </c>
      <c r="C2580">
        <v>10</v>
      </c>
      <c r="D2580" t="str">
        <f t="shared" si="40"/>
        <v>07/06/2025ENT</v>
      </c>
    </row>
    <row r="2581" spans="1:4">
      <c r="A2581" s="1">
        <v>45815</v>
      </c>
      <c r="B2581" t="s">
        <v>44</v>
      </c>
      <c r="C2581">
        <v>12</v>
      </c>
      <c r="D2581" t="str">
        <f t="shared" si="40"/>
        <v>07/06/2025Geriatrics</v>
      </c>
    </row>
    <row r="2582" spans="1:4">
      <c r="A2582" s="1">
        <v>45816</v>
      </c>
      <c r="B2582" t="s">
        <v>39</v>
      </c>
      <c r="C2582">
        <v>19</v>
      </c>
      <c r="D2582" t="str">
        <f t="shared" si="40"/>
        <v>08/06/2025A&amp;E (Emergency)</v>
      </c>
    </row>
    <row r="2583" spans="1:4">
      <c r="A2583" s="1">
        <v>45816</v>
      </c>
      <c r="B2583" t="s">
        <v>40</v>
      </c>
      <c r="C2583">
        <v>11</v>
      </c>
      <c r="D2583" t="str">
        <f t="shared" si="40"/>
        <v>08/06/2025Cardiology</v>
      </c>
    </row>
    <row r="2584" spans="1:4">
      <c r="A2584" s="1">
        <v>45816</v>
      </c>
      <c r="B2584" t="s">
        <v>51</v>
      </c>
      <c r="C2584">
        <v>9</v>
      </c>
      <c r="D2584" t="str">
        <f t="shared" si="40"/>
        <v>08/06/2025Respiratory</v>
      </c>
    </row>
    <row r="2585" spans="1:4">
      <c r="A2585" s="1">
        <v>45816</v>
      </c>
      <c r="B2585" t="s">
        <v>43</v>
      </c>
      <c r="C2585">
        <v>14</v>
      </c>
      <c r="D2585" t="str">
        <f t="shared" si="40"/>
        <v>08/06/2025General Surgery</v>
      </c>
    </row>
    <row r="2586" spans="1:4">
      <c r="A2586" s="1">
        <v>45816</v>
      </c>
      <c r="B2586" t="s">
        <v>48</v>
      </c>
      <c r="C2586">
        <v>10</v>
      </c>
      <c r="D2586" t="str">
        <f t="shared" si="40"/>
        <v>08/06/2025Orthopaedics</v>
      </c>
    </row>
    <row r="2587" spans="1:4">
      <c r="A2587" s="1">
        <v>45816</v>
      </c>
      <c r="B2587" t="s">
        <v>46</v>
      </c>
      <c r="C2587">
        <v>9</v>
      </c>
      <c r="D2587" t="str">
        <f t="shared" si="40"/>
        <v>08/06/2025Neurology</v>
      </c>
    </row>
    <row r="2588" spans="1:4">
      <c r="A2588" s="1">
        <v>45816</v>
      </c>
      <c r="B2588" t="s">
        <v>47</v>
      </c>
      <c r="C2588">
        <v>12</v>
      </c>
      <c r="D2588" t="str">
        <f t="shared" si="40"/>
        <v>08/06/2025Oncology</v>
      </c>
    </row>
    <row r="2589" spans="1:4">
      <c r="A2589" s="1">
        <v>45816</v>
      </c>
      <c r="B2589" t="s">
        <v>49</v>
      </c>
      <c r="C2589">
        <v>8</v>
      </c>
      <c r="D2589" t="str">
        <f t="shared" si="40"/>
        <v>08/06/2025Paediatrics</v>
      </c>
    </row>
    <row r="2590" spans="1:4">
      <c r="A2590" s="1">
        <v>45816</v>
      </c>
      <c r="B2590" t="s">
        <v>45</v>
      </c>
      <c r="C2590">
        <v>9</v>
      </c>
      <c r="D2590" t="str">
        <f t="shared" si="40"/>
        <v>08/06/2025Maternity</v>
      </c>
    </row>
    <row r="2591" spans="1:4">
      <c r="A2591" s="1">
        <v>45816</v>
      </c>
      <c r="B2591" t="s">
        <v>50</v>
      </c>
      <c r="C2591">
        <v>17</v>
      </c>
      <c r="D2591" t="str">
        <f t="shared" si="40"/>
        <v>08/06/2025Renal Medicine</v>
      </c>
    </row>
    <row r="2592" spans="1:4">
      <c r="A2592" s="1">
        <v>45816</v>
      </c>
      <c r="B2592" t="s">
        <v>42</v>
      </c>
      <c r="C2592">
        <v>7</v>
      </c>
      <c r="D2592" t="str">
        <f t="shared" si="40"/>
        <v>08/06/2025Gastroenterology</v>
      </c>
    </row>
    <row r="2593" spans="1:4">
      <c r="A2593" s="1">
        <v>45816</v>
      </c>
      <c r="B2593" t="s">
        <v>98</v>
      </c>
      <c r="C2593">
        <v>6</v>
      </c>
      <c r="D2593" t="str">
        <f t="shared" si="40"/>
        <v>08/06/2025Endocrinology</v>
      </c>
    </row>
    <row r="2594" spans="1:4">
      <c r="A2594" s="1">
        <v>45816</v>
      </c>
      <c r="B2594" t="s">
        <v>100</v>
      </c>
      <c r="C2594">
        <v>8</v>
      </c>
      <c r="D2594" t="str">
        <f t="shared" si="40"/>
        <v>08/06/2025Urology</v>
      </c>
    </row>
    <row r="2595" spans="1:4">
      <c r="A2595" s="1">
        <v>45816</v>
      </c>
      <c r="B2595" t="s">
        <v>41</v>
      </c>
      <c r="C2595">
        <v>10</v>
      </c>
      <c r="D2595" t="str">
        <f t="shared" si="40"/>
        <v>08/06/2025ENT</v>
      </c>
    </row>
    <row r="2596" spans="1:4">
      <c r="A2596" s="1">
        <v>45816</v>
      </c>
      <c r="B2596" t="s">
        <v>44</v>
      </c>
      <c r="C2596">
        <v>12</v>
      </c>
      <c r="D2596" t="str">
        <f t="shared" si="40"/>
        <v>08/06/2025Geriatrics</v>
      </c>
    </row>
    <row r="2597" spans="1:4">
      <c r="A2597" s="1">
        <v>45817</v>
      </c>
      <c r="B2597" t="s">
        <v>39</v>
      </c>
      <c r="C2597">
        <v>28</v>
      </c>
      <c r="D2597" t="str">
        <f t="shared" si="40"/>
        <v>09/06/2025A&amp;E (Emergency)</v>
      </c>
    </row>
    <row r="2598" spans="1:4">
      <c r="A2598" s="1">
        <v>45817</v>
      </c>
      <c r="B2598" t="s">
        <v>40</v>
      </c>
      <c r="C2598">
        <v>18</v>
      </c>
      <c r="D2598" t="str">
        <f t="shared" si="40"/>
        <v>09/06/2025Cardiology</v>
      </c>
    </row>
    <row r="2599" spans="1:4">
      <c r="A2599" s="1">
        <v>45817</v>
      </c>
      <c r="B2599" t="s">
        <v>51</v>
      </c>
      <c r="C2599">
        <v>15</v>
      </c>
      <c r="D2599" t="str">
        <f t="shared" si="40"/>
        <v>09/06/2025Respiratory</v>
      </c>
    </row>
    <row r="2600" spans="1:4">
      <c r="A2600" s="1">
        <v>45817</v>
      </c>
      <c r="B2600" t="s">
        <v>43</v>
      </c>
      <c r="C2600">
        <v>22</v>
      </c>
      <c r="D2600" t="str">
        <f t="shared" si="40"/>
        <v>09/06/2025General Surgery</v>
      </c>
    </row>
    <row r="2601" spans="1:4">
      <c r="A2601" s="1">
        <v>45817</v>
      </c>
      <c r="B2601" t="s">
        <v>48</v>
      </c>
      <c r="C2601">
        <v>16</v>
      </c>
      <c r="D2601" t="str">
        <f t="shared" si="40"/>
        <v>09/06/2025Orthopaedics</v>
      </c>
    </row>
    <row r="2602" spans="1:4">
      <c r="A2602" s="1">
        <v>45817</v>
      </c>
      <c r="B2602" t="s">
        <v>46</v>
      </c>
      <c r="C2602">
        <v>14</v>
      </c>
      <c r="D2602" t="str">
        <f t="shared" si="40"/>
        <v>09/06/2025Neurology</v>
      </c>
    </row>
    <row r="2603" spans="1:4">
      <c r="A2603" s="1">
        <v>45817</v>
      </c>
      <c r="B2603" t="s">
        <v>47</v>
      </c>
      <c r="C2603">
        <v>18</v>
      </c>
      <c r="D2603" t="str">
        <f t="shared" si="40"/>
        <v>09/06/2025Oncology</v>
      </c>
    </row>
    <row r="2604" spans="1:4">
      <c r="A2604" s="1">
        <v>45817</v>
      </c>
      <c r="B2604" t="s">
        <v>49</v>
      </c>
      <c r="C2604">
        <v>13</v>
      </c>
      <c r="D2604" t="str">
        <f t="shared" si="40"/>
        <v>09/06/2025Paediatrics</v>
      </c>
    </row>
    <row r="2605" spans="1:4">
      <c r="A2605" s="1">
        <v>45817</v>
      </c>
      <c r="B2605" t="s">
        <v>45</v>
      </c>
      <c r="C2605">
        <v>13</v>
      </c>
      <c r="D2605" t="str">
        <f t="shared" si="40"/>
        <v>09/06/2025Maternity</v>
      </c>
    </row>
    <row r="2606" spans="1:4">
      <c r="A2606" s="1">
        <v>45817</v>
      </c>
      <c r="B2606" t="s">
        <v>50</v>
      </c>
      <c r="C2606">
        <v>21</v>
      </c>
      <c r="D2606" t="str">
        <f t="shared" si="40"/>
        <v>09/06/2025Renal Medicine</v>
      </c>
    </row>
    <row r="2607" spans="1:4">
      <c r="A2607" s="1">
        <v>45817</v>
      </c>
      <c r="B2607" t="s">
        <v>42</v>
      </c>
      <c r="C2607">
        <v>12</v>
      </c>
      <c r="D2607" t="str">
        <f t="shared" si="40"/>
        <v>09/06/2025Gastroenterology</v>
      </c>
    </row>
    <row r="2608" spans="1:4">
      <c r="A2608" s="1">
        <v>45817</v>
      </c>
      <c r="B2608" t="s">
        <v>98</v>
      </c>
      <c r="C2608">
        <v>10</v>
      </c>
      <c r="D2608" t="str">
        <f t="shared" si="40"/>
        <v>09/06/2025Endocrinology</v>
      </c>
    </row>
    <row r="2609" spans="1:4">
      <c r="A2609" s="1">
        <v>45817</v>
      </c>
      <c r="B2609" t="s">
        <v>100</v>
      </c>
      <c r="C2609">
        <v>11</v>
      </c>
      <c r="D2609" t="str">
        <f t="shared" si="40"/>
        <v>09/06/2025Urology</v>
      </c>
    </row>
    <row r="2610" spans="1:4">
      <c r="A2610" s="1">
        <v>45817</v>
      </c>
      <c r="B2610" t="s">
        <v>41</v>
      </c>
      <c r="C2610">
        <v>13</v>
      </c>
      <c r="D2610" t="str">
        <f t="shared" si="40"/>
        <v>09/06/2025ENT</v>
      </c>
    </row>
    <row r="2611" spans="1:4">
      <c r="A2611" s="1">
        <v>45817</v>
      </c>
      <c r="B2611" t="s">
        <v>44</v>
      </c>
      <c r="C2611">
        <v>16</v>
      </c>
      <c r="D2611" t="str">
        <f t="shared" si="40"/>
        <v>09/06/2025Geriatrics</v>
      </c>
    </row>
    <row r="2612" spans="1:4">
      <c r="A2612" s="1">
        <v>45818</v>
      </c>
      <c r="B2612" t="s">
        <v>39</v>
      </c>
      <c r="C2612">
        <v>25</v>
      </c>
      <c r="D2612" t="str">
        <f t="shared" si="40"/>
        <v>10/06/2025A&amp;E (Emergency)</v>
      </c>
    </row>
    <row r="2613" spans="1:4">
      <c r="A2613" s="1">
        <v>45818</v>
      </c>
      <c r="B2613" t="s">
        <v>40</v>
      </c>
      <c r="C2613">
        <v>17</v>
      </c>
      <c r="D2613" t="str">
        <f t="shared" si="40"/>
        <v>10/06/2025Cardiology</v>
      </c>
    </row>
    <row r="2614" spans="1:4">
      <c r="A2614" s="1">
        <v>45818</v>
      </c>
      <c r="B2614" t="s">
        <v>51</v>
      </c>
      <c r="C2614">
        <v>14</v>
      </c>
      <c r="D2614" t="str">
        <f t="shared" si="40"/>
        <v>10/06/2025Respiratory</v>
      </c>
    </row>
    <row r="2615" spans="1:4">
      <c r="A2615" s="1">
        <v>45818</v>
      </c>
      <c r="B2615" t="s">
        <v>43</v>
      </c>
      <c r="C2615">
        <v>20</v>
      </c>
      <c r="D2615" t="str">
        <f t="shared" si="40"/>
        <v>10/06/2025General Surgery</v>
      </c>
    </row>
    <row r="2616" spans="1:4">
      <c r="A2616" s="1">
        <v>45818</v>
      </c>
      <c r="B2616" t="s">
        <v>48</v>
      </c>
      <c r="C2616">
        <v>15</v>
      </c>
      <c r="D2616" t="str">
        <f t="shared" si="40"/>
        <v>10/06/2025Orthopaedics</v>
      </c>
    </row>
    <row r="2617" spans="1:4">
      <c r="A2617" s="1">
        <v>45818</v>
      </c>
      <c r="B2617" t="s">
        <v>46</v>
      </c>
      <c r="C2617">
        <v>13</v>
      </c>
      <c r="D2617" t="str">
        <f t="shared" si="40"/>
        <v>10/06/2025Neurology</v>
      </c>
    </row>
    <row r="2618" spans="1:4">
      <c r="A2618" s="1">
        <v>45818</v>
      </c>
      <c r="B2618" t="s">
        <v>47</v>
      </c>
      <c r="C2618">
        <v>17</v>
      </c>
      <c r="D2618" t="str">
        <f t="shared" si="40"/>
        <v>10/06/2025Oncology</v>
      </c>
    </row>
    <row r="2619" spans="1:4">
      <c r="A2619" s="1">
        <v>45818</v>
      </c>
      <c r="B2619" t="s">
        <v>49</v>
      </c>
      <c r="C2619">
        <v>12</v>
      </c>
      <c r="D2619" t="str">
        <f t="shared" si="40"/>
        <v>10/06/2025Paediatrics</v>
      </c>
    </row>
    <row r="2620" spans="1:4">
      <c r="A2620" s="1">
        <v>45818</v>
      </c>
      <c r="B2620" t="s">
        <v>45</v>
      </c>
      <c r="C2620">
        <v>12</v>
      </c>
      <c r="D2620" t="str">
        <f t="shared" si="40"/>
        <v>10/06/2025Maternity</v>
      </c>
    </row>
    <row r="2621" spans="1:4">
      <c r="A2621" s="1">
        <v>45818</v>
      </c>
      <c r="B2621" t="s">
        <v>50</v>
      </c>
      <c r="C2621">
        <v>20</v>
      </c>
      <c r="D2621" t="str">
        <f t="shared" si="40"/>
        <v>10/06/2025Renal Medicine</v>
      </c>
    </row>
    <row r="2622" spans="1:4">
      <c r="A2622" s="1">
        <v>45818</v>
      </c>
      <c r="B2622" t="s">
        <v>42</v>
      </c>
      <c r="C2622">
        <v>11</v>
      </c>
      <c r="D2622" t="str">
        <f t="shared" si="40"/>
        <v>10/06/2025Gastroenterology</v>
      </c>
    </row>
    <row r="2623" spans="1:4">
      <c r="A2623" s="1">
        <v>45818</v>
      </c>
      <c r="B2623" t="s">
        <v>98</v>
      </c>
      <c r="C2623">
        <v>9</v>
      </c>
      <c r="D2623" t="str">
        <f t="shared" si="40"/>
        <v>10/06/2025Endocrinology</v>
      </c>
    </row>
    <row r="2624" spans="1:4">
      <c r="A2624" s="1">
        <v>45818</v>
      </c>
      <c r="B2624" t="s">
        <v>100</v>
      </c>
      <c r="C2624">
        <v>10</v>
      </c>
      <c r="D2624" t="str">
        <f t="shared" si="40"/>
        <v>10/06/2025Urology</v>
      </c>
    </row>
    <row r="2625" spans="1:4">
      <c r="A2625" s="1">
        <v>45818</v>
      </c>
      <c r="B2625" t="s">
        <v>41</v>
      </c>
      <c r="C2625">
        <v>12</v>
      </c>
      <c r="D2625" t="str">
        <f t="shared" si="40"/>
        <v>10/06/2025ENT</v>
      </c>
    </row>
    <row r="2626" spans="1:4">
      <c r="A2626" s="1">
        <v>45818</v>
      </c>
      <c r="B2626" t="s">
        <v>44</v>
      </c>
      <c r="C2626">
        <v>15</v>
      </c>
      <c r="D2626" t="str">
        <f t="shared" si="40"/>
        <v>10/06/2025Geriatrics</v>
      </c>
    </row>
    <row r="2627" spans="1:4">
      <c r="A2627" s="1">
        <v>45819</v>
      </c>
      <c r="B2627" t="s">
        <v>39</v>
      </c>
      <c r="C2627">
        <v>24</v>
      </c>
      <c r="D2627" t="str">
        <f t="shared" ref="D2627:D2690" si="41">TEXT(A2627, "dd/mm/yyyy")&amp;B2627</f>
        <v>11/06/2025A&amp;E (Emergency)</v>
      </c>
    </row>
    <row r="2628" spans="1:4">
      <c r="A2628" s="1">
        <v>45819</v>
      </c>
      <c r="B2628" t="s">
        <v>40</v>
      </c>
      <c r="C2628">
        <v>16</v>
      </c>
      <c r="D2628" t="str">
        <f t="shared" si="41"/>
        <v>11/06/2025Cardiology</v>
      </c>
    </row>
    <row r="2629" spans="1:4">
      <c r="A2629" s="1">
        <v>45819</v>
      </c>
      <c r="B2629" t="s">
        <v>51</v>
      </c>
      <c r="C2629">
        <v>13</v>
      </c>
      <c r="D2629" t="str">
        <f t="shared" si="41"/>
        <v>11/06/2025Respiratory</v>
      </c>
    </row>
    <row r="2630" spans="1:4">
      <c r="A2630" s="1">
        <v>45819</v>
      </c>
      <c r="B2630" t="s">
        <v>43</v>
      </c>
      <c r="C2630">
        <v>19</v>
      </c>
      <c r="D2630" t="str">
        <f t="shared" si="41"/>
        <v>11/06/2025General Surgery</v>
      </c>
    </row>
    <row r="2631" spans="1:4">
      <c r="A2631" s="1">
        <v>45819</v>
      </c>
      <c r="B2631" t="s">
        <v>48</v>
      </c>
      <c r="C2631">
        <v>14</v>
      </c>
      <c r="D2631" t="str">
        <f t="shared" si="41"/>
        <v>11/06/2025Orthopaedics</v>
      </c>
    </row>
    <row r="2632" spans="1:4">
      <c r="A2632" s="1">
        <v>45819</v>
      </c>
      <c r="B2632" t="s">
        <v>46</v>
      </c>
      <c r="C2632">
        <v>12</v>
      </c>
      <c r="D2632" t="str">
        <f t="shared" si="41"/>
        <v>11/06/2025Neurology</v>
      </c>
    </row>
    <row r="2633" spans="1:4">
      <c r="A2633" s="1">
        <v>45819</v>
      </c>
      <c r="B2633" t="s">
        <v>47</v>
      </c>
      <c r="C2633">
        <v>16</v>
      </c>
      <c r="D2633" t="str">
        <f t="shared" si="41"/>
        <v>11/06/2025Oncology</v>
      </c>
    </row>
    <row r="2634" spans="1:4">
      <c r="A2634" s="1">
        <v>45819</v>
      </c>
      <c r="B2634" t="s">
        <v>49</v>
      </c>
      <c r="C2634">
        <v>11</v>
      </c>
      <c r="D2634" t="str">
        <f t="shared" si="41"/>
        <v>11/06/2025Paediatrics</v>
      </c>
    </row>
    <row r="2635" spans="1:4">
      <c r="A2635" s="1">
        <v>45819</v>
      </c>
      <c r="B2635" t="s">
        <v>45</v>
      </c>
      <c r="C2635">
        <v>12</v>
      </c>
      <c r="D2635" t="str">
        <f t="shared" si="41"/>
        <v>11/06/2025Maternity</v>
      </c>
    </row>
    <row r="2636" spans="1:4">
      <c r="A2636" s="1">
        <v>45819</v>
      </c>
      <c r="B2636" t="s">
        <v>50</v>
      </c>
      <c r="C2636">
        <v>19</v>
      </c>
      <c r="D2636" t="str">
        <f t="shared" si="41"/>
        <v>11/06/2025Renal Medicine</v>
      </c>
    </row>
    <row r="2637" spans="1:4">
      <c r="A2637" s="1">
        <v>45819</v>
      </c>
      <c r="B2637" t="s">
        <v>42</v>
      </c>
      <c r="C2637">
        <v>10</v>
      </c>
      <c r="D2637" t="str">
        <f t="shared" si="41"/>
        <v>11/06/2025Gastroenterology</v>
      </c>
    </row>
    <row r="2638" spans="1:4">
      <c r="A2638" s="1">
        <v>45819</v>
      </c>
      <c r="B2638" t="s">
        <v>98</v>
      </c>
      <c r="C2638">
        <v>8</v>
      </c>
      <c r="D2638" t="str">
        <f t="shared" si="41"/>
        <v>11/06/2025Endocrinology</v>
      </c>
    </row>
    <row r="2639" spans="1:4">
      <c r="A2639" s="1">
        <v>45819</v>
      </c>
      <c r="B2639" t="s">
        <v>100</v>
      </c>
      <c r="C2639">
        <v>10</v>
      </c>
      <c r="D2639" t="str">
        <f t="shared" si="41"/>
        <v>11/06/2025Urology</v>
      </c>
    </row>
    <row r="2640" spans="1:4">
      <c r="A2640" s="1">
        <v>45819</v>
      </c>
      <c r="B2640" t="s">
        <v>41</v>
      </c>
      <c r="C2640">
        <v>12</v>
      </c>
      <c r="D2640" t="str">
        <f t="shared" si="41"/>
        <v>11/06/2025ENT</v>
      </c>
    </row>
    <row r="2641" spans="1:4">
      <c r="A2641" s="1">
        <v>45819</v>
      </c>
      <c r="B2641" t="s">
        <v>44</v>
      </c>
      <c r="C2641">
        <v>14</v>
      </c>
      <c r="D2641" t="str">
        <f t="shared" si="41"/>
        <v>11/06/2025Geriatrics</v>
      </c>
    </row>
    <row r="2642" spans="1:4">
      <c r="A2642" s="1">
        <v>45820</v>
      </c>
      <c r="B2642" t="s">
        <v>39</v>
      </c>
      <c r="C2642">
        <v>23</v>
      </c>
      <c r="D2642" t="str">
        <f t="shared" si="41"/>
        <v>12/06/2025A&amp;E (Emergency)</v>
      </c>
    </row>
    <row r="2643" spans="1:4">
      <c r="A2643" s="1">
        <v>45820</v>
      </c>
      <c r="B2643" t="s">
        <v>40</v>
      </c>
      <c r="C2643">
        <v>16</v>
      </c>
      <c r="D2643" t="str">
        <f t="shared" si="41"/>
        <v>12/06/2025Cardiology</v>
      </c>
    </row>
    <row r="2644" spans="1:4">
      <c r="A2644" s="1">
        <v>45820</v>
      </c>
      <c r="B2644" t="s">
        <v>51</v>
      </c>
      <c r="C2644">
        <v>13</v>
      </c>
      <c r="D2644" t="str">
        <f t="shared" si="41"/>
        <v>12/06/2025Respiratory</v>
      </c>
    </row>
    <row r="2645" spans="1:4">
      <c r="A2645" s="1">
        <v>45820</v>
      </c>
      <c r="B2645" t="s">
        <v>43</v>
      </c>
      <c r="C2645">
        <v>19</v>
      </c>
      <c r="D2645" t="str">
        <f t="shared" si="41"/>
        <v>12/06/2025General Surgery</v>
      </c>
    </row>
    <row r="2646" spans="1:4">
      <c r="A2646" s="1">
        <v>45820</v>
      </c>
      <c r="B2646" t="s">
        <v>48</v>
      </c>
      <c r="C2646">
        <v>14</v>
      </c>
      <c r="D2646" t="str">
        <f t="shared" si="41"/>
        <v>12/06/2025Orthopaedics</v>
      </c>
    </row>
    <row r="2647" spans="1:4">
      <c r="A2647" s="1">
        <v>45820</v>
      </c>
      <c r="B2647" t="s">
        <v>46</v>
      </c>
      <c r="C2647">
        <v>12</v>
      </c>
      <c r="D2647" t="str">
        <f t="shared" si="41"/>
        <v>12/06/2025Neurology</v>
      </c>
    </row>
    <row r="2648" spans="1:4">
      <c r="A2648" s="1">
        <v>45820</v>
      </c>
      <c r="B2648" t="s">
        <v>47</v>
      </c>
      <c r="C2648">
        <v>16</v>
      </c>
      <c r="D2648" t="str">
        <f t="shared" si="41"/>
        <v>12/06/2025Oncology</v>
      </c>
    </row>
    <row r="2649" spans="1:4">
      <c r="A2649" s="1">
        <v>45820</v>
      </c>
      <c r="B2649" t="s">
        <v>49</v>
      </c>
      <c r="C2649">
        <v>11</v>
      </c>
      <c r="D2649" t="str">
        <f t="shared" si="41"/>
        <v>12/06/2025Paediatrics</v>
      </c>
    </row>
    <row r="2650" spans="1:4">
      <c r="A2650" s="1">
        <v>45820</v>
      </c>
      <c r="B2650" t="s">
        <v>45</v>
      </c>
      <c r="C2650">
        <v>12</v>
      </c>
      <c r="D2650" t="str">
        <f t="shared" si="41"/>
        <v>12/06/2025Maternity</v>
      </c>
    </row>
    <row r="2651" spans="1:4">
      <c r="A2651" s="1">
        <v>45820</v>
      </c>
      <c r="B2651" t="s">
        <v>50</v>
      </c>
      <c r="C2651">
        <v>19</v>
      </c>
      <c r="D2651" t="str">
        <f t="shared" si="41"/>
        <v>12/06/2025Renal Medicine</v>
      </c>
    </row>
    <row r="2652" spans="1:4">
      <c r="A2652" s="1">
        <v>45820</v>
      </c>
      <c r="B2652" t="s">
        <v>42</v>
      </c>
      <c r="C2652">
        <v>10</v>
      </c>
      <c r="D2652" t="str">
        <f t="shared" si="41"/>
        <v>12/06/2025Gastroenterology</v>
      </c>
    </row>
    <row r="2653" spans="1:4">
      <c r="A2653" s="1">
        <v>45820</v>
      </c>
      <c r="B2653" t="s">
        <v>98</v>
      </c>
      <c r="C2653">
        <v>8</v>
      </c>
      <c r="D2653" t="str">
        <f t="shared" si="41"/>
        <v>12/06/2025Endocrinology</v>
      </c>
    </row>
    <row r="2654" spans="1:4">
      <c r="A2654" s="1">
        <v>45820</v>
      </c>
      <c r="B2654" t="s">
        <v>100</v>
      </c>
      <c r="C2654">
        <v>10</v>
      </c>
      <c r="D2654" t="str">
        <f t="shared" si="41"/>
        <v>12/06/2025Urology</v>
      </c>
    </row>
    <row r="2655" spans="1:4">
      <c r="A2655" s="1">
        <v>45820</v>
      </c>
      <c r="B2655" t="s">
        <v>41</v>
      </c>
      <c r="C2655">
        <v>12</v>
      </c>
      <c r="D2655" t="str">
        <f t="shared" si="41"/>
        <v>12/06/2025ENT</v>
      </c>
    </row>
    <row r="2656" spans="1:4">
      <c r="A2656" s="1">
        <v>45820</v>
      </c>
      <c r="B2656" t="s">
        <v>44</v>
      </c>
      <c r="C2656">
        <v>14</v>
      </c>
      <c r="D2656" t="str">
        <f t="shared" si="41"/>
        <v>12/06/2025Geriatrics</v>
      </c>
    </row>
    <row r="2657" spans="1:4">
      <c r="A2657" s="1">
        <v>45821</v>
      </c>
      <c r="B2657" t="s">
        <v>39</v>
      </c>
      <c r="C2657">
        <v>22</v>
      </c>
      <c r="D2657" t="str">
        <f t="shared" si="41"/>
        <v>13/06/2025A&amp;E (Emergency)</v>
      </c>
    </row>
    <row r="2658" spans="1:4">
      <c r="A2658" s="1">
        <v>45821</v>
      </c>
      <c r="B2658" t="s">
        <v>40</v>
      </c>
      <c r="C2658">
        <v>15</v>
      </c>
      <c r="D2658" t="str">
        <f t="shared" si="41"/>
        <v>13/06/2025Cardiology</v>
      </c>
    </row>
    <row r="2659" spans="1:4">
      <c r="A2659" s="1">
        <v>45821</v>
      </c>
      <c r="B2659" t="s">
        <v>51</v>
      </c>
      <c r="C2659">
        <v>12</v>
      </c>
      <c r="D2659" t="str">
        <f t="shared" si="41"/>
        <v>13/06/2025Respiratory</v>
      </c>
    </row>
    <row r="2660" spans="1:4">
      <c r="A2660" s="1">
        <v>45821</v>
      </c>
      <c r="B2660" t="s">
        <v>43</v>
      </c>
      <c r="C2660">
        <v>18</v>
      </c>
      <c r="D2660" t="str">
        <f t="shared" si="41"/>
        <v>13/06/2025General Surgery</v>
      </c>
    </row>
    <row r="2661" spans="1:4">
      <c r="A2661" s="1">
        <v>45821</v>
      </c>
      <c r="B2661" t="s">
        <v>48</v>
      </c>
      <c r="C2661">
        <v>13</v>
      </c>
      <c r="D2661" t="str">
        <f t="shared" si="41"/>
        <v>13/06/2025Orthopaedics</v>
      </c>
    </row>
    <row r="2662" spans="1:4">
      <c r="A2662" s="1">
        <v>45821</v>
      </c>
      <c r="B2662" t="s">
        <v>46</v>
      </c>
      <c r="C2662">
        <v>11</v>
      </c>
      <c r="D2662" t="str">
        <f t="shared" si="41"/>
        <v>13/06/2025Neurology</v>
      </c>
    </row>
    <row r="2663" spans="1:4">
      <c r="A2663" s="1">
        <v>45821</v>
      </c>
      <c r="B2663" t="s">
        <v>47</v>
      </c>
      <c r="C2663">
        <v>15</v>
      </c>
      <c r="D2663" t="str">
        <f t="shared" si="41"/>
        <v>13/06/2025Oncology</v>
      </c>
    </row>
    <row r="2664" spans="1:4">
      <c r="A2664" s="1">
        <v>45821</v>
      </c>
      <c r="B2664" t="s">
        <v>49</v>
      </c>
      <c r="C2664">
        <v>10</v>
      </c>
      <c r="D2664" t="str">
        <f t="shared" si="41"/>
        <v>13/06/2025Paediatrics</v>
      </c>
    </row>
    <row r="2665" spans="1:4">
      <c r="A2665" s="1">
        <v>45821</v>
      </c>
      <c r="B2665" t="s">
        <v>45</v>
      </c>
      <c r="C2665">
        <v>11</v>
      </c>
      <c r="D2665" t="str">
        <f t="shared" si="41"/>
        <v>13/06/2025Maternity</v>
      </c>
    </row>
    <row r="2666" spans="1:4">
      <c r="A2666" s="1">
        <v>45821</v>
      </c>
      <c r="B2666" t="s">
        <v>50</v>
      </c>
      <c r="C2666">
        <v>18</v>
      </c>
      <c r="D2666" t="str">
        <f t="shared" si="41"/>
        <v>13/06/2025Renal Medicine</v>
      </c>
    </row>
    <row r="2667" spans="1:4">
      <c r="A2667" s="1">
        <v>45821</v>
      </c>
      <c r="B2667" t="s">
        <v>42</v>
      </c>
      <c r="C2667">
        <v>9</v>
      </c>
      <c r="D2667" t="str">
        <f t="shared" si="41"/>
        <v>13/06/2025Gastroenterology</v>
      </c>
    </row>
    <row r="2668" spans="1:4">
      <c r="A2668" s="1">
        <v>45821</v>
      </c>
      <c r="B2668" t="s">
        <v>98</v>
      </c>
      <c r="C2668">
        <v>7</v>
      </c>
      <c r="D2668" t="str">
        <f t="shared" si="41"/>
        <v>13/06/2025Endocrinology</v>
      </c>
    </row>
    <row r="2669" spans="1:4">
      <c r="A2669" s="1">
        <v>45821</v>
      </c>
      <c r="B2669" t="s">
        <v>100</v>
      </c>
      <c r="C2669">
        <v>9</v>
      </c>
      <c r="D2669" t="str">
        <f t="shared" si="41"/>
        <v>13/06/2025Urology</v>
      </c>
    </row>
    <row r="2670" spans="1:4">
      <c r="A2670" s="1">
        <v>45821</v>
      </c>
      <c r="B2670" t="s">
        <v>41</v>
      </c>
      <c r="C2670">
        <v>11</v>
      </c>
      <c r="D2670" t="str">
        <f t="shared" si="41"/>
        <v>13/06/2025ENT</v>
      </c>
    </row>
    <row r="2671" spans="1:4">
      <c r="A2671" s="1">
        <v>45821</v>
      </c>
      <c r="B2671" t="s">
        <v>44</v>
      </c>
      <c r="C2671">
        <v>13</v>
      </c>
      <c r="D2671" t="str">
        <f t="shared" si="41"/>
        <v>13/06/2025Geriatrics</v>
      </c>
    </row>
    <row r="2672" spans="1:4">
      <c r="A2672" s="1">
        <v>45822</v>
      </c>
      <c r="B2672" t="s">
        <v>39</v>
      </c>
      <c r="C2672">
        <v>20</v>
      </c>
      <c r="D2672" t="str">
        <f t="shared" si="41"/>
        <v>14/06/2025A&amp;E (Emergency)</v>
      </c>
    </row>
    <row r="2673" spans="1:4">
      <c r="A2673" s="1">
        <v>45822</v>
      </c>
      <c r="B2673" t="s">
        <v>40</v>
      </c>
      <c r="C2673">
        <v>12</v>
      </c>
      <c r="D2673" t="str">
        <f t="shared" si="41"/>
        <v>14/06/2025Cardiology</v>
      </c>
    </row>
    <row r="2674" spans="1:4">
      <c r="A2674" s="1">
        <v>45822</v>
      </c>
      <c r="B2674" t="s">
        <v>51</v>
      </c>
      <c r="C2674">
        <v>9</v>
      </c>
      <c r="D2674" t="str">
        <f t="shared" si="41"/>
        <v>14/06/2025Respiratory</v>
      </c>
    </row>
    <row r="2675" spans="1:4">
      <c r="A2675" s="1">
        <v>45822</v>
      </c>
      <c r="B2675" t="s">
        <v>43</v>
      </c>
      <c r="C2675">
        <v>15</v>
      </c>
      <c r="D2675" t="str">
        <f t="shared" si="41"/>
        <v>14/06/2025General Surgery</v>
      </c>
    </row>
    <row r="2676" spans="1:4">
      <c r="A2676" s="1">
        <v>45822</v>
      </c>
      <c r="B2676" t="s">
        <v>48</v>
      </c>
      <c r="C2676">
        <v>11</v>
      </c>
      <c r="D2676" t="str">
        <f t="shared" si="41"/>
        <v>14/06/2025Orthopaedics</v>
      </c>
    </row>
    <row r="2677" spans="1:4">
      <c r="A2677" s="1">
        <v>45822</v>
      </c>
      <c r="B2677" t="s">
        <v>46</v>
      </c>
      <c r="C2677">
        <v>9</v>
      </c>
      <c r="D2677" t="str">
        <f t="shared" si="41"/>
        <v>14/06/2025Neurology</v>
      </c>
    </row>
    <row r="2678" spans="1:4">
      <c r="A2678" s="1">
        <v>45822</v>
      </c>
      <c r="B2678" t="s">
        <v>47</v>
      </c>
      <c r="C2678">
        <v>13</v>
      </c>
      <c r="D2678" t="str">
        <f t="shared" si="41"/>
        <v>14/06/2025Oncology</v>
      </c>
    </row>
    <row r="2679" spans="1:4">
      <c r="A2679" s="1">
        <v>45822</v>
      </c>
      <c r="B2679" t="s">
        <v>49</v>
      </c>
      <c r="C2679">
        <v>9</v>
      </c>
      <c r="D2679" t="str">
        <f t="shared" si="41"/>
        <v>14/06/2025Paediatrics</v>
      </c>
    </row>
    <row r="2680" spans="1:4">
      <c r="A2680" s="1">
        <v>45822</v>
      </c>
      <c r="B2680" t="s">
        <v>45</v>
      </c>
      <c r="C2680">
        <v>10</v>
      </c>
      <c r="D2680" t="str">
        <f t="shared" si="41"/>
        <v>14/06/2025Maternity</v>
      </c>
    </row>
    <row r="2681" spans="1:4">
      <c r="A2681" s="1">
        <v>45822</v>
      </c>
      <c r="B2681" t="s">
        <v>50</v>
      </c>
      <c r="C2681">
        <v>17</v>
      </c>
      <c r="D2681" t="str">
        <f t="shared" si="41"/>
        <v>14/06/2025Renal Medicine</v>
      </c>
    </row>
    <row r="2682" spans="1:4">
      <c r="A2682" s="1">
        <v>45822</v>
      </c>
      <c r="B2682" t="s">
        <v>42</v>
      </c>
      <c r="C2682">
        <v>7</v>
      </c>
      <c r="D2682" t="str">
        <f t="shared" si="41"/>
        <v>14/06/2025Gastroenterology</v>
      </c>
    </row>
    <row r="2683" spans="1:4">
      <c r="A2683" s="1">
        <v>45822</v>
      </c>
      <c r="B2683" t="s">
        <v>98</v>
      </c>
      <c r="C2683">
        <v>6</v>
      </c>
      <c r="D2683" t="str">
        <f t="shared" si="41"/>
        <v>14/06/2025Endocrinology</v>
      </c>
    </row>
    <row r="2684" spans="1:4">
      <c r="A2684" s="1">
        <v>45822</v>
      </c>
      <c r="B2684" t="s">
        <v>100</v>
      </c>
      <c r="C2684">
        <v>8</v>
      </c>
      <c r="D2684" t="str">
        <f t="shared" si="41"/>
        <v>14/06/2025Urology</v>
      </c>
    </row>
    <row r="2685" spans="1:4">
      <c r="A2685" s="1">
        <v>45822</v>
      </c>
      <c r="B2685" t="s">
        <v>41</v>
      </c>
      <c r="C2685">
        <v>10</v>
      </c>
      <c r="D2685" t="str">
        <f t="shared" si="41"/>
        <v>14/06/2025ENT</v>
      </c>
    </row>
    <row r="2686" spans="1:4">
      <c r="A2686" s="1">
        <v>45822</v>
      </c>
      <c r="B2686" t="s">
        <v>44</v>
      </c>
      <c r="C2686">
        <v>12</v>
      </c>
      <c r="D2686" t="str">
        <f t="shared" si="41"/>
        <v>14/06/2025Geriatrics</v>
      </c>
    </row>
    <row r="2687" spans="1:4">
      <c r="A2687" s="1">
        <v>45823</v>
      </c>
      <c r="B2687" t="s">
        <v>39</v>
      </c>
      <c r="C2687">
        <v>19</v>
      </c>
      <c r="D2687" t="str">
        <f t="shared" si="41"/>
        <v>15/06/2025A&amp;E (Emergency)</v>
      </c>
    </row>
    <row r="2688" spans="1:4">
      <c r="A2688" s="1">
        <v>45823</v>
      </c>
      <c r="B2688" t="s">
        <v>40</v>
      </c>
      <c r="C2688">
        <v>11</v>
      </c>
      <c r="D2688" t="str">
        <f t="shared" si="41"/>
        <v>15/06/2025Cardiology</v>
      </c>
    </row>
    <row r="2689" spans="1:4">
      <c r="A2689" s="1">
        <v>45823</v>
      </c>
      <c r="B2689" t="s">
        <v>51</v>
      </c>
      <c r="C2689">
        <v>9</v>
      </c>
      <c r="D2689" t="str">
        <f t="shared" si="41"/>
        <v>15/06/2025Respiratory</v>
      </c>
    </row>
    <row r="2690" spans="1:4">
      <c r="A2690" s="1">
        <v>45823</v>
      </c>
      <c r="B2690" t="s">
        <v>43</v>
      </c>
      <c r="C2690">
        <v>14</v>
      </c>
      <c r="D2690" t="str">
        <f t="shared" si="41"/>
        <v>15/06/2025General Surgery</v>
      </c>
    </row>
    <row r="2691" spans="1:4">
      <c r="A2691" s="1">
        <v>45823</v>
      </c>
      <c r="B2691" t="s">
        <v>48</v>
      </c>
      <c r="C2691">
        <v>10</v>
      </c>
      <c r="D2691" t="str">
        <f t="shared" ref="D2691:D2754" si="42">TEXT(A2691, "dd/mm/yyyy")&amp;B2691</f>
        <v>15/06/2025Orthopaedics</v>
      </c>
    </row>
    <row r="2692" spans="1:4">
      <c r="A2692" s="1">
        <v>45823</v>
      </c>
      <c r="B2692" t="s">
        <v>46</v>
      </c>
      <c r="C2692">
        <v>9</v>
      </c>
      <c r="D2692" t="str">
        <f t="shared" si="42"/>
        <v>15/06/2025Neurology</v>
      </c>
    </row>
    <row r="2693" spans="1:4">
      <c r="A2693" s="1">
        <v>45823</v>
      </c>
      <c r="B2693" t="s">
        <v>47</v>
      </c>
      <c r="C2693">
        <v>12</v>
      </c>
      <c r="D2693" t="str">
        <f t="shared" si="42"/>
        <v>15/06/2025Oncology</v>
      </c>
    </row>
    <row r="2694" spans="1:4">
      <c r="A2694" s="1">
        <v>45823</v>
      </c>
      <c r="B2694" t="s">
        <v>49</v>
      </c>
      <c r="C2694">
        <v>8</v>
      </c>
      <c r="D2694" t="str">
        <f t="shared" si="42"/>
        <v>15/06/2025Paediatrics</v>
      </c>
    </row>
    <row r="2695" spans="1:4">
      <c r="A2695" s="1">
        <v>45823</v>
      </c>
      <c r="B2695" t="s">
        <v>45</v>
      </c>
      <c r="C2695">
        <v>9</v>
      </c>
      <c r="D2695" t="str">
        <f t="shared" si="42"/>
        <v>15/06/2025Maternity</v>
      </c>
    </row>
    <row r="2696" spans="1:4">
      <c r="A2696" s="1">
        <v>45823</v>
      </c>
      <c r="B2696" t="s">
        <v>50</v>
      </c>
      <c r="C2696">
        <v>17</v>
      </c>
      <c r="D2696" t="str">
        <f t="shared" si="42"/>
        <v>15/06/2025Renal Medicine</v>
      </c>
    </row>
    <row r="2697" spans="1:4">
      <c r="A2697" s="1">
        <v>45823</v>
      </c>
      <c r="B2697" t="s">
        <v>42</v>
      </c>
      <c r="C2697">
        <v>7</v>
      </c>
      <c r="D2697" t="str">
        <f t="shared" si="42"/>
        <v>15/06/2025Gastroenterology</v>
      </c>
    </row>
    <row r="2698" spans="1:4">
      <c r="A2698" s="1">
        <v>45823</v>
      </c>
      <c r="B2698" t="s">
        <v>98</v>
      </c>
      <c r="C2698">
        <v>6</v>
      </c>
      <c r="D2698" t="str">
        <f t="shared" si="42"/>
        <v>15/06/2025Endocrinology</v>
      </c>
    </row>
    <row r="2699" spans="1:4">
      <c r="A2699" s="1">
        <v>45823</v>
      </c>
      <c r="B2699" t="s">
        <v>100</v>
      </c>
      <c r="C2699">
        <v>8</v>
      </c>
      <c r="D2699" t="str">
        <f t="shared" si="42"/>
        <v>15/06/2025Urology</v>
      </c>
    </row>
    <row r="2700" spans="1:4">
      <c r="A2700" s="1">
        <v>45823</v>
      </c>
      <c r="B2700" t="s">
        <v>41</v>
      </c>
      <c r="C2700">
        <v>10</v>
      </c>
      <c r="D2700" t="str">
        <f t="shared" si="42"/>
        <v>15/06/2025ENT</v>
      </c>
    </row>
    <row r="2701" spans="1:4">
      <c r="A2701" s="1">
        <v>45823</v>
      </c>
      <c r="B2701" t="s">
        <v>44</v>
      </c>
      <c r="C2701">
        <v>12</v>
      </c>
      <c r="D2701" t="str">
        <f t="shared" si="42"/>
        <v>15/06/2025Geriatrics</v>
      </c>
    </row>
    <row r="2702" spans="1:4">
      <c r="A2702" s="1">
        <v>45824</v>
      </c>
      <c r="B2702" t="s">
        <v>39</v>
      </c>
      <c r="C2702">
        <v>28</v>
      </c>
      <c r="D2702" t="str">
        <f t="shared" si="42"/>
        <v>16/06/2025A&amp;E (Emergency)</v>
      </c>
    </row>
    <row r="2703" spans="1:4">
      <c r="A2703" s="1">
        <v>45824</v>
      </c>
      <c r="B2703" t="s">
        <v>40</v>
      </c>
      <c r="C2703">
        <v>18</v>
      </c>
      <c r="D2703" t="str">
        <f t="shared" si="42"/>
        <v>16/06/2025Cardiology</v>
      </c>
    </row>
    <row r="2704" spans="1:4">
      <c r="A2704" s="1">
        <v>45824</v>
      </c>
      <c r="B2704" t="s">
        <v>51</v>
      </c>
      <c r="C2704">
        <v>15</v>
      </c>
      <c r="D2704" t="str">
        <f t="shared" si="42"/>
        <v>16/06/2025Respiratory</v>
      </c>
    </row>
    <row r="2705" spans="1:4">
      <c r="A2705" s="1">
        <v>45824</v>
      </c>
      <c r="B2705" t="s">
        <v>43</v>
      </c>
      <c r="C2705">
        <v>22</v>
      </c>
      <c r="D2705" t="str">
        <f t="shared" si="42"/>
        <v>16/06/2025General Surgery</v>
      </c>
    </row>
    <row r="2706" spans="1:4">
      <c r="A2706" s="1">
        <v>45824</v>
      </c>
      <c r="B2706" t="s">
        <v>48</v>
      </c>
      <c r="C2706">
        <v>16</v>
      </c>
      <c r="D2706" t="str">
        <f t="shared" si="42"/>
        <v>16/06/2025Orthopaedics</v>
      </c>
    </row>
    <row r="2707" spans="1:4">
      <c r="A2707" s="1">
        <v>45824</v>
      </c>
      <c r="B2707" t="s">
        <v>46</v>
      </c>
      <c r="C2707">
        <v>14</v>
      </c>
      <c r="D2707" t="str">
        <f t="shared" si="42"/>
        <v>16/06/2025Neurology</v>
      </c>
    </row>
    <row r="2708" spans="1:4">
      <c r="A2708" s="1">
        <v>45824</v>
      </c>
      <c r="B2708" t="s">
        <v>47</v>
      </c>
      <c r="C2708">
        <v>18</v>
      </c>
      <c r="D2708" t="str">
        <f t="shared" si="42"/>
        <v>16/06/2025Oncology</v>
      </c>
    </row>
    <row r="2709" spans="1:4">
      <c r="A2709" s="1">
        <v>45824</v>
      </c>
      <c r="B2709" t="s">
        <v>49</v>
      </c>
      <c r="C2709">
        <v>13</v>
      </c>
      <c r="D2709" t="str">
        <f t="shared" si="42"/>
        <v>16/06/2025Paediatrics</v>
      </c>
    </row>
    <row r="2710" spans="1:4">
      <c r="A2710" s="1">
        <v>45824</v>
      </c>
      <c r="B2710" t="s">
        <v>45</v>
      </c>
      <c r="C2710">
        <v>13</v>
      </c>
      <c r="D2710" t="str">
        <f t="shared" si="42"/>
        <v>16/06/2025Maternity</v>
      </c>
    </row>
    <row r="2711" spans="1:4">
      <c r="A2711" s="1">
        <v>45824</v>
      </c>
      <c r="B2711" t="s">
        <v>50</v>
      </c>
      <c r="C2711">
        <v>21</v>
      </c>
      <c r="D2711" t="str">
        <f t="shared" si="42"/>
        <v>16/06/2025Renal Medicine</v>
      </c>
    </row>
    <row r="2712" spans="1:4">
      <c r="A2712" s="1">
        <v>45824</v>
      </c>
      <c r="B2712" t="s">
        <v>42</v>
      </c>
      <c r="C2712">
        <v>12</v>
      </c>
      <c r="D2712" t="str">
        <f t="shared" si="42"/>
        <v>16/06/2025Gastroenterology</v>
      </c>
    </row>
    <row r="2713" spans="1:4">
      <c r="A2713" s="1">
        <v>45824</v>
      </c>
      <c r="B2713" t="s">
        <v>98</v>
      </c>
      <c r="C2713">
        <v>10</v>
      </c>
      <c r="D2713" t="str">
        <f t="shared" si="42"/>
        <v>16/06/2025Endocrinology</v>
      </c>
    </row>
    <row r="2714" spans="1:4">
      <c r="A2714" s="1">
        <v>45824</v>
      </c>
      <c r="B2714" t="s">
        <v>100</v>
      </c>
      <c r="C2714">
        <v>11</v>
      </c>
      <c r="D2714" t="str">
        <f t="shared" si="42"/>
        <v>16/06/2025Urology</v>
      </c>
    </row>
    <row r="2715" spans="1:4">
      <c r="A2715" s="1">
        <v>45824</v>
      </c>
      <c r="B2715" t="s">
        <v>41</v>
      </c>
      <c r="C2715">
        <v>13</v>
      </c>
      <c r="D2715" t="str">
        <f t="shared" si="42"/>
        <v>16/06/2025ENT</v>
      </c>
    </row>
    <row r="2716" spans="1:4">
      <c r="A2716" s="1">
        <v>45824</v>
      </c>
      <c r="B2716" t="s">
        <v>44</v>
      </c>
      <c r="C2716">
        <v>16</v>
      </c>
      <c r="D2716" t="str">
        <f t="shared" si="42"/>
        <v>16/06/2025Geriatrics</v>
      </c>
    </row>
    <row r="2717" spans="1:4">
      <c r="A2717" s="1">
        <v>45825</v>
      </c>
      <c r="B2717" t="s">
        <v>39</v>
      </c>
      <c r="C2717">
        <v>25</v>
      </c>
      <c r="D2717" t="str">
        <f t="shared" si="42"/>
        <v>17/06/2025A&amp;E (Emergency)</v>
      </c>
    </row>
    <row r="2718" spans="1:4">
      <c r="A2718" s="1">
        <v>45825</v>
      </c>
      <c r="B2718" t="s">
        <v>40</v>
      </c>
      <c r="C2718">
        <v>17</v>
      </c>
      <c r="D2718" t="str">
        <f t="shared" si="42"/>
        <v>17/06/2025Cardiology</v>
      </c>
    </row>
    <row r="2719" spans="1:4">
      <c r="A2719" s="1">
        <v>45825</v>
      </c>
      <c r="B2719" t="s">
        <v>51</v>
      </c>
      <c r="C2719">
        <v>14</v>
      </c>
      <c r="D2719" t="str">
        <f t="shared" si="42"/>
        <v>17/06/2025Respiratory</v>
      </c>
    </row>
    <row r="2720" spans="1:4">
      <c r="A2720" s="1">
        <v>45825</v>
      </c>
      <c r="B2720" t="s">
        <v>43</v>
      </c>
      <c r="C2720">
        <v>20</v>
      </c>
      <c r="D2720" t="str">
        <f t="shared" si="42"/>
        <v>17/06/2025General Surgery</v>
      </c>
    </row>
    <row r="2721" spans="1:4">
      <c r="A2721" s="1">
        <v>45825</v>
      </c>
      <c r="B2721" t="s">
        <v>48</v>
      </c>
      <c r="C2721">
        <v>15</v>
      </c>
      <c r="D2721" t="str">
        <f t="shared" si="42"/>
        <v>17/06/2025Orthopaedics</v>
      </c>
    </row>
    <row r="2722" spans="1:4">
      <c r="A2722" s="1">
        <v>45825</v>
      </c>
      <c r="B2722" t="s">
        <v>46</v>
      </c>
      <c r="C2722">
        <v>13</v>
      </c>
      <c r="D2722" t="str">
        <f t="shared" si="42"/>
        <v>17/06/2025Neurology</v>
      </c>
    </row>
    <row r="2723" spans="1:4">
      <c r="A2723" s="1">
        <v>45825</v>
      </c>
      <c r="B2723" t="s">
        <v>47</v>
      </c>
      <c r="C2723">
        <v>17</v>
      </c>
      <c r="D2723" t="str">
        <f t="shared" si="42"/>
        <v>17/06/2025Oncology</v>
      </c>
    </row>
    <row r="2724" spans="1:4">
      <c r="A2724" s="1">
        <v>45825</v>
      </c>
      <c r="B2724" t="s">
        <v>49</v>
      </c>
      <c r="C2724">
        <v>12</v>
      </c>
      <c r="D2724" t="str">
        <f t="shared" si="42"/>
        <v>17/06/2025Paediatrics</v>
      </c>
    </row>
    <row r="2725" spans="1:4">
      <c r="A2725" s="1">
        <v>45825</v>
      </c>
      <c r="B2725" t="s">
        <v>45</v>
      </c>
      <c r="C2725">
        <v>12</v>
      </c>
      <c r="D2725" t="str">
        <f t="shared" si="42"/>
        <v>17/06/2025Maternity</v>
      </c>
    </row>
    <row r="2726" spans="1:4">
      <c r="A2726" s="1">
        <v>45825</v>
      </c>
      <c r="B2726" t="s">
        <v>50</v>
      </c>
      <c r="C2726">
        <v>20</v>
      </c>
      <c r="D2726" t="str">
        <f t="shared" si="42"/>
        <v>17/06/2025Renal Medicine</v>
      </c>
    </row>
    <row r="2727" spans="1:4">
      <c r="A2727" s="1">
        <v>45825</v>
      </c>
      <c r="B2727" t="s">
        <v>42</v>
      </c>
      <c r="C2727">
        <v>11</v>
      </c>
      <c r="D2727" t="str">
        <f t="shared" si="42"/>
        <v>17/06/2025Gastroenterology</v>
      </c>
    </row>
    <row r="2728" spans="1:4">
      <c r="A2728" s="1">
        <v>45825</v>
      </c>
      <c r="B2728" t="s">
        <v>98</v>
      </c>
      <c r="C2728">
        <v>9</v>
      </c>
      <c r="D2728" t="str">
        <f t="shared" si="42"/>
        <v>17/06/2025Endocrinology</v>
      </c>
    </row>
    <row r="2729" spans="1:4">
      <c r="A2729" s="1">
        <v>45825</v>
      </c>
      <c r="B2729" t="s">
        <v>100</v>
      </c>
      <c r="C2729">
        <v>10</v>
      </c>
      <c r="D2729" t="str">
        <f t="shared" si="42"/>
        <v>17/06/2025Urology</v>
      </c>
    </row>
    <row r="2730" spans="1:4">
      <c r="A2730" s="1">
        <v>45825</v>
      </c>
      <c r="B2730" t="s">
        <v>41</v>
      </c>
      <c r="C2730">
        <v>12</v>
      </c>
      <c r="D2730" t="str">
        <f t="shared" si="42"/>
        <v>17/06/2025ENT</v>
      </c>
    </row>
    <row r="2731" spans="1:4">
      <c r="A2731" s="1">
        <v>45825</v>
      </c>
      <c r="B2731" t="s">
        <v>44</v>
      </c>
      <c r="C2731">
        <v>15</v>
      </c>
      <c r="D2731" t="str">
        <f t="shared" si="42"/>
        <v>17/06/2025Geriatrics</v>
      </c>
    </row>
    <row r="2732" spans="1:4">
      <c r="A2732" s="1">
        <v>45826</v>
      </c>
      <c r="B2732" t="s">
        <v>39</v>
      </c>
      <c r="C2732">
        <v>24</v>
      </c>
      <c r="D2732" t="str">
        <f t="shared" si="42"/>
        <v>18/06/2025A&amp;E (Emergency)</v>
      </c>
    </row>
    <row r="2733" spans="1:4">
      <c r="A2733" s="1">
        <v>45826</v>
      </c>
      <c r="B2733" t="s">
        <v>40</v>
      </c>
      <c r="C2733">
        <v>16</v>
      </c>
      <c r="D2733" t="str">
        <f t="shared" si="42"/>
        <v>18/06/2025Cardiology</v>
      </c>
    </row>
    <row r="2734" spans="1:4">
      <c r="A2734" s="1">
        <v>45826</v>
      </c>
      <c r="B2734" t="s">
        <v>51</v>
      </c>
      <c r="C2734">
        <v>13</v>
      </c>
      <c r="D2734" t="str">
        <f t="shared" si="42"/>
        <v>18/06/2025Respiratory</v>
      </c>
    </row>
    <row r="2735" spans="1:4">
      <c r="A2735" s="1">
        <v>45826</v>
      </c>
      <c r="B2735" t="s">
        <v>43</v>
      </c>
      <c r="C2735">
        <v>19</v>
      </c>
      <c r="D2735" t="str">
        <f t="shared" si="42"/>
        <v>18/06/2025General Surgery</v>
      </c>
    </row>
    <row r="2736" spans="1:4">
      <c r="A2736" s="1">
        <v>45826</v>
      </c>
      <c r="B2736" t="s">
        <v>48</v>
      </c>
      <c r="C2736">
        <v>14</v>
      </c>
      <c r="D2736" t="str">
        <f t="shared" si="42"/>
        <v>18/06/2025Orthopaedics</v>
      </c>
    </row>
    <row r="2737" spans="1:4">
      <c r="A2737" s="1">
        <v>45826</v>
      </c>
      <c r="B2737" t="s">
        <v>46</v>
      </c>
      <c r="C2737">
        <v>12</v>
      </c>
      <c r="D2737" t="str">
        <f t="shared" si="42"/>
        <v>18/06/2025Neurology</v>
      </c>
    </row>
    <row r="2738" spans="1:4">
      <c r="A2738" s="1">
        <v>45826</v>
      </c>
      <c r="B2738" t="s">
        <v>47</v>
      </c>
      <c r="C2738">
        <v>16</v>
      </c>
      <c r="D2738" t="str">
        <f t="shared" si="42"/>
        <v>18/06/2025Oncology</v>
      </c>
    </row>
    <row r="2739" spans="1:4">
      <c r="A2739" s="1">
        <v>45826</v>
      </c>
      <c r="B2739" t="s">
        <v>49</v>
      </c>
      <c r="C2739">
        <v>11</v>
      </c>
      <c r="D2739" t="str">
        <f t="shared" si="42"/>
        <v>18/06/2025Paediatrics</v>
      </c>
    </row>
    <row r="2740" spans="1:4">
      <c r="A2740" s="1">
        <v>45826</v>
      </c>
      <c r="B2740" t="s">
        <v>45</v>
      </c>
      <c r="C2740">
        <v>12</v>
      </c>
      <c r="D2740" t="str">
        <f t="shared" si="42"/>
        <v>18/06/2025Maternity</v>
      </c>
    </row>
    <row r="2741" spans="1:4">
      <c r="A2741" s="1">
        <v>45826</v>
      </c>
      <c r="B2741" t="s">
        <v>50</v>
      </c>
      <c r="C2741">
        <v>19</v>
      </c>
      <c r="D2741" t="str">
        <f t="shared" si="42"/>
        <v>18/06/2025Renal Medicine</v>
      </c>
    </row>
    <row r="2742" spans="1:4">
      <c r="A2742" s="1">
        <v>45826</v>
      </c>
      <c r="B2742" t="s">
        <v>42</v>
      </c>
      <c r="C2742">
        <v>10</v>
      </c>
      <c r="D2742" t="str">
        <f t="shared" si="42"/>
        <v>18/06/2025Gastroenterology</v>
      </c>
    </row>
    <row r="2743" spans="1:4">
      <c r="A2743" s="1">
        <v>45826</v>
      </c>
      <c r="B2743" t="s">
        <v>98</v>
      </c>
      <c r="C2743">
        <v>8</v>
      </c>
      <c r="D2743" t="str">
        <f t="shared" si="42"/>
        <v>18/06/2025Endocrinology</v>
      </c>
    </row>
    <row r="2744" spans="1:4">
      <c r="A2744" s="1">
        <v>45826</v>
      </c>
      <c r="B2744" t="s">
        <v>100</v>
      </c>
      <c r="C2744">
        <v>10</v>
      </c>
      <c r="D2744" t="str">
        <f t="shared" si="42"/>
        <v>18/06/2025Urology</v>
      </c>
    </row>
    <row r="2745" spans="1:4">
      <c r="A2745" s="1">
        <v>45826</v>
      </c>
      <c r="B2745" t="s">
        <v>41</v>
      </c>
      <c r="C2745">
        <v>12</v>
      </c>
      <c r="D2745" t="str">
        <f t="shared" si="42"/>
        <v>18/06/2025ENT</v>
      </c>
    </row>
    <row r="2746" spans="1:4">
      <c r="A2746" s="1">
        <v>45826</v>
      </c>
      <c r="B2746" t="s">
        <v>44</v>
      </c>
      <c r="C2746">
        <v>14</v>
      </c>
      <c r="D2746" t="str">
        <f t="shared" si="42"/>
        <v>18/06/2025Geriatrics</v>
      </c>
    </row>
    <row r="2747" spans="1:4">
      <c r="A2747" s="1">
        <v>45827</v>
      </c>
      <c r="B2747" t="s">
        <v>39</v>
      </c>
      <c r="C2747">
        <v>23</v>
      </c>
      <c r="D2747" t="str">
        <f t="shared" si="42"/>
        <v>19/06/2025A&amp;E (Emergency)</v>
      </c>
    </row>
    <row r="2748" spans="1:4">
      <c r="A2748" s="1">
        <v>45827</v>
      </c>
      <c r="B2748" t="s">
        <v>40</v>
      </c>
      <c r="C2748">
        <v>16</v>
      </c>
      <c r="D2748" t="str">
        <f t="shared" si="42"/>
        <v>19/06/2025Cardiology</v>
      </c>
    </row>
    <row r="2749" spans="1:4">
      <c r="A2749" s="1">
        <v>45827</v>
      </c>
      <c r="B2749" t="s">
        <v>51</v>
      </c>
      <c r="C2749">
        <v>13</v>
      </c>
      <c r="D2749" t="str">
        <f t="shared" si="42"/>
        <v>19/06/2025Respiratory</v>
      </c>
    </row>
    <row r="2750" spans="1:4">
      <c r="A2750" s="1">
        <v>45827</v>
      </c>
      <c r="B2750" t="s">
        <v>43</v>
      </c>
      <c r="C2750">
        <v>19</v>
      </c>
      <c r="D2750" t="str">
        <f t="shared" si="42"/>
        <v>19/06/2025General Surgery</v>
      </c>
    </row>
    <row r="2751" spans="1:4">
      <c r="A2751" s="1">
        <v>45827</v>
      </c>
      <c r="B2751" t="s">
        <v>48</v>
      </c>
      <c r="C2751">
        <v>14</v>
      </c>
      <c r="D2751" t="str">
        <f t="shared" si="42"/>
        <v>19/06/2025Orthopaedics</v>
      </c>
    </row>
    <row r="2752" spans="1:4">
      <c r="A2752" s="1">
        <v>45827</v>
      </c>
      <c r="B2752" t="s">
        <v>46</v>
      </c>
      <c r="C2752">
        <v>12</v>
      </c>
      <c r="D2752" t="str">
        <f t="shared" si="42"/>
        <v>19/06/2025Neurology</v>
      </c>
    </row>
    <row r="2753" spans="1:4">
      <c r="A2753" s="1">
        <v>45827</v>
      </c>
      <c r="B2753" t="s">
        <v>47</v>
      </c>
      <c r="C2753">
        <v>16</v>
      </c>
      <c r="D2753" t="str">
        <f t="shared" si="42"/>
        <v>19/06/2025Oncology</v>
      </c>
    </row>
    <row r="2754" spans="1:4">
      <c r="A2754" s="1">
        <v>45827</v>
      </c>
      <c r="B2754" t="s">
        <v>49</v>
      </c>
      <c r="C2754">
        <v>11</v>
      </c>
      <c r="D2754" t="str">
        <f t="shared" si="42"/>
        <v>19/06/2025Paediatrics</v>
      </c>
    </row>
    <row r="2755" spans="1:4">
      <c r="A2755" s="1">
        <v>45827</v>
      </c>
      <c r="B2755" t="s">
        <v>45</v>
      </c>
      <c r="C2755">
        <v>12</v>
      </c>
      <c r="D2755" t="str">
        <f t="shared" ref="D2755:D2818" si="43">TEXT(A2755, "dd/mm/yyyy")&amp;B2755</f>
        <v>19/06/2025Maternity</v>
      </c>
    </row>
    <row r="2756" spans="1:4">
      <c r="A2756" s="1">
        <v>45827</v>
      </c>
      <c r="B2756" t="s">
        <v>50</v>
      </c>
      <c r="C2756">
        <v>19</v>
      </c>
      <c r="D2756" t="str">
        <f t="shared" si="43"/>
        <v>19/06/2025Renal Medicine</v>
      </c>
    </row>
    <row r="2757" spans="1:4">
      <c r="A2757" s="1">
        <v>45827</v>
      </c>
      <c r="B2757" t="s">
        <v>42</v>
      </c>
      <c r="C2757">
        <v>10</v>
      </c>
      <c r="D2757" t="str">
        <f t="shared" si="43"/>
        <v>19/06/2025Gastroenterology</v>
      </c>
    </row>
    <row r="2758" spans="1:4">
      <c r="A2758" s="1">
        <v>45827</v>
      </c>
      <c r="B2758" t="s">
        <v>98</v>
      </c>
      <c r="C2758">
        <v>8</v>
      </c>
      <c r="D2758" t="str">
        <f t="shared" si="43"/>
        <v>19/06/2025Endocrinology</v>
      </c>
    </row>
    <row r="2759" spans="1:4">
      <c r="A2759" s="1">
        <v>45827</v>
      </c>
      <c r="B2759" t="s">
        <v>100</v>
      </c>
      <c r="C2759">
        <v>10</v>
      </c>
      <c r="D2759" t="str">
        <f t="shared" si="43"/>
        <v>19/06/2025Urology</v>
      </c>
    </row>
    <row r="2760" spans="1:4">
      <c r="A2760" s="1">
        <v>45827</v>
      </c>
      <c r="B2760" t="s">
        <v>41</v>
      </c>
      <c r="C2760">
        <v>12</v>
      </c>
      <c r="D2760" t="str">
        <f t="shared" si="43"/>
        <v>19/06/2025ENT</v>
      </c>
    </row>
    <row r="2761" spans="1:4">
      <c r="A2761" s="1">
        <v>45827</v>
      </c>
      <c r="B2761" t="s">
        <v>44</v>
      </c>
      <c r="C2761">
        <v>14</v>
      </c>
      <c r="D2761" t="str">
        <f t="shared" si="43"/>
        <v>19/06/2025Geriatrics</v>
      </c>
    </row>
    <row r="2762" spans="1:4">
      <c r="A2762" s="1">
        <v>45828</v>
      </c>
      <c r="B2762" t="s">
        <v>39</v>
      </c>
      <c r="C2762">
        <v>22</v>
      </c>
      <c r="D2762" t="str">
        <f t="shared" si="43"/>
        <v>20/06/2025A&amp;E (Emergency)</v>
      </c>
    </row>
    <row r="2763" spans="1:4">
      <c r="A2763" s="1">
        <v>45828</v>
      </c>
      <c r="B2763" t="s">
        <v>40</v>
      </c>
      <c r="C2763">
        <v>15</v>
      </c>
      <c r="D2763" t="str">
        <f t="shared" si="43"/>
        <v>20/06/2025Cardiology</v>
      </c>
    </row>
    <row r="2764" spans="1:4">
      <c r="A2764" s="1">
        <v>45828</v>
      </c>
      <c r="B2764" t="s">
        <v>51</v>
      </c>
      <c r="C2764">
        <v>12</v>
      </c>
      <c r="D2764" t="str">
        <f t="shared" si="43"/>
        <v>20/06/2025Respiratory</v>
      </c>
    </row>
    <row r="2765" spans="1:4">
      <c r="A2765" s="1">
        <v>45828</v>
      </c>
      <c r="B2765" t="s">
        <v>43</v>
      </c>
      <c r="C2765">
        <v>18</v>
      </c>
      <c r="D2765" t="str">
        <f t="shared" si="43"/>
        <v>20/06/2025General Surgery</v>
      </c>
    </row>
    <row r="2766" spans="1:4">
      <c r="A2766" s="1">
        <v>45828</v>
      </c>
      <c r="B2766" t="s">
        <v>48</v>
      </c>
      <c r="C2766">
        <v>13</v>
      </c>
      <c r="D2766" t="str">
        <f t="shared" si="43"/>
        <v>20/06/2025Orthopaedics</v>
      </c>
    </row>
    <row r="2767" spans="1:4">
      <c r="A2767" s="1">
        <v>45828</v>
      </c>
      <c r="B2767" t="s">
        <v>46</v>
      </c>
      <c r="C2767">
        <v>11</v>
      </c>
      <c r="D2767" t="str">
        <f t="shared" si="43"/>
        <v>20/06/2025Neurology</v>
      </c>
    </row>
    <row r="2768" spans="1:4">
      <c r="A2768" s="1">
        <v>45828</v>
      </c>
      <c r="B2768" t="s">
        <v>47</v>
      </c>
      <c r="C2768">
        <v>15</v>
      </c>
      <c r="D2768" t="str">
        <f t="shared" si="43"/>
        <v>20/06/2025Oncology</v>
      </c>
    </row>
    <row r="2769" spans="1:4">
      <c r="A2769" s="1">
        <v>45828</v>
      </c>
      <c r="B2769" t="s">
        <v>49</v>
      </c>
      <c r="C2769">
        <v>10</v>
      </c>
      <c r="D2769" t="str">
        <f t="shared" si="43"/>
        <v>20/06/2025Paediatrics</v>
      </c>
    </row>
    <row r="2770" spans="1:4">
      <c r="A2770" s="1">
        <v>45828</v>
      </c>
      <c r="B2770" t="s">
        <v>45</v>
      </c>
      <c r="C2770">
        <v>11</v>
      </c>
      <c r="D2770" t="str">
        <f t="shared" si="43"/>
        <v>20/06/2025Maternity</v>
      </c>
    </row>
    <row r="2771" spans="1:4">
      <c r="A2771" s="1">
        <v>45828</v>
      </c>
      <c r="B2771" t="s">
        <v>50</v>
      </c>
      <c r="C2771">
        <v>18</v>
      </c>
      <c r="D2771" t="str">
        <f t="shared" si="43"/>
        <v>20/06/2025Renal Medicine</v>
      </c>
    </row>
    <row r="2772" spans="1:4">
      <c r="A2772" s="1">
        <v>45828</v>
      </c>
      <c r="B2772" t="s">
        <v>42</v>
      </c>
      <c r="C2772">
        <v>9</v>
      </c>
      <c r="D2772" t="str">
        <f t="shared" si="43"/>
        <v>20/06/2025Gastroenterology</v>
      </c>
    </row>
    <row r="2773" spans="1:4">
      <c r="A2773" s="1">
        <v>45828</v>
      </c>
      <c r="B2773" t="s">
        <v>98</v>
      </c>
      <c r="C2773">
        <v>7</v>
      </c>
      <c r="D2773" t="str">
        <f t="shared" si="43"/>
        <v>20/06/2025Endocrinology</v>
      </c>
    </row>
    <row r="2774" spans="1:4">
      <c r="A2774" s="1">
        <v>45828</v>
      </c>
      <c r="B2774" t="s">
        <v>100</v>
      </c>
      <c r="C2774">
        <v>9</v>
      </c>
      <c r="D2774" t="str">
        <f t="shared" si="43"/>
        <v>20/06/2025Urology</v>
      </c>
    </row>
    <row r="2775" spans="1:4">
      <c r="A2775" s="1">
        <v>45828</v>
      </c>
      <c r="B2775" t="s">
        <v>41</v>
      </c>
      <c r="C2775">
        <v>11</v>
      </c>
      <c r="D2775" t="str">
        <f t="shared" si="43"/>
        <v>20/06/2025ENT</v>
      </c>
    </row>
    <row r="2776" spans="1:4">
      <c r="A2776" s="1">
        <v>45828</v>
      </c>
      <c r="B2776" t="s">
        <v>44</v>
      </c>
      <c r="C2776">
        <v>13</v>
      </c>
      <c r="D2776" t="str">
        <f t="shared" si="43"/>
        <v>20/06/2025Geriatrics</v>
      </c>
    </row>
    <row r="2777" spans="1:4">
      <c r="A2777" s="1">
        <v>45829</v>
      </c>
      <c r="B2777" t="s">
        <v>39</v>
      </c>
      <c r="C2777">
        <v>20</v>
      </c>
      <c r="D2777" t="str">
        <f t="shared" si="43"/>
        <v>21/06/2025A&amp;E (Emergency)</v>
      </c>
    </row>
    <row r="2778" spans="1:4">
      <c r="A2778" s="1">
        <v>45829</v>
      </c>
      <c r="B2778" t="s">
        <v>40</v>
      </c>
      <c r="C2778">
        <v>12</v>
      </c>
      <c r="D2778" t="str">
        <f t="shared" si="43"/>
        <v>21/06/2025Cardiology</v>
      </c>
    </row>
    <row r="2779" spans="1:4">
      <c r="A2779" s="1">
        <v>45829</v>
      </c>
      <c r="B2779" t="s">
        <v>51</v>
      </c>
      <c r="C2779">
        <v>9</v>
      </c>
      <c r="D2779" t="str">
        <f t="shared" si="43"/>
        <v>21/06/2025Respiratory</v>
      </c>
    </row>
    <row r="2780" spans="1:4">
      <c r="A2780" s="1">
        <v>45829</v>
      </c>
      <c r="B2780" t="s">
        <v>43</v>
      </c>
      <c r="C2780">
        <v>15</v>
      </c>
      <c r="D2780" t="str">
        <f t="shared" si="43"/>
        <v>21/06/2025General Surgery</v>
      </c>
    </row>
    <row r="2781" spans="1:4">
      <c r="A2781" s="1">
        <v>45829</v>
      </c>
      <c r="B2781" t="s">
        <v>48</v>
      </c>
      <c r="C2781">
        <v>11</v>
      </c>
      <c r="D2781" t="str">
        <f t="shared" si="43"/>
        <v>21/06/2025Orthopaedics</v>
      </c>
    </row>
    <row r="2782" spans="1:4">
      <c r="A2782" s="1">
        <v>45829</v>
      </c>
      <c r="B2782" t="s">
        <v>46</v>
      </c>
      <c r="C2782">
        <v>9</v>
      </c>
      <c r="D2782" t="str">
        <f t="shared" si="43"/>
        <v>21/06/2025Neurology</v>
      </c>
    </row>
    <row r="2783" spans="1:4">
      <c r="A2783" s="1">
        <v>45829</v>
      </c>
      <c r="B2783" t="s">
        <v>47</v>
      </c>
      <c r="C2783">
        <v>13</v>
      </c>
      <c r="D2783" t="str">
        <f t="shared" si="43"/>
        <v>21/06/2025Oncology</v>
      </c>
    </row>
    <row r="2784" spans="1:4">
      <c r="A2784" s="1">
        <v>45829</v>
      </c>
      <c r="B2784" t="s">
        <v>49</v>
      </c>
      <c r="C2784">
        <v>9</v>
      </c>
      <c r="D2784" t="str">
        <f t="shared" si="43"/>
        <v>21/06/2025Paediatrics</v>
      </c>
    </row>
    <row r="2785" spans="1:4">
      <c r="A2785" s="1">
        <v>45829</v>
      </c>
      <c r="B2785" t="s">
        <v>45</v>
      </c>
      <c r="C2785">
        <v>10</v>
      </c>
      <c r="D2785" t="str">
        <f t="shared" si="43"/>
        <v>21/06/2025Maternity</v>
      </c>
    </row>
    <row r="2786" spans="1:4">
      <c r="A2786" s="1">
        <v>45829</v>
      </c>
      <c r="B2786" t="s">
        <v>50</v>
      </c>
      <c r="C2786">
        <v>17</v>
      </c>
      <c r="D2786" t="str">
        <f t="shared" si="43"/>
        <v>21/06/2025Renal Medicine</v>
      </c>
    </row>
    <row r="2787" spans="1:4">
      <c r="A2787" s="1">
        <v>45829</v>
      </c>
      <c r="B2787" t="s">
        <v>42</v>
      </c>
      <c r="C2787">
        <v>7</v>
      </c>
      <c r="D2787" t="str">
        <f t="shared" si="43"/>
        <v>21/06/2025Gastroenterology</v>
      </c>
    </row>
    <row r="2788" spans="1:4">
      <c r="A2788" s="1">
        <v>45829</v>
      </c>
      <c r="B2788" t="s">
        <v>98</v>
      </c>
      <c r="C2788">
        <v>6</v>
      </c>
      <c r="D2788" t="str">
        <f t="shared" si="43"/>
        <v>21/06/2025Endocrinology</v>
      </c>
    </row>
    <row r="2789" spans="1:4">
      <c r="A2789" s="1">
        <v>45829</v>
      </c>
      <c r="B2789" t="s">
        <v>100</v>
      </c>
      <c r="C2789">
        <v>8</v>
      </c>
      <c r="D2789" t="str">
        <f t="shared" si="43"/>
        <v>21/06/2025Urology</v>
      </c>
    </row>
    <row r="2790" spans="1:4">
      <c r="A2790" s="1">
        <v>45829</v>
      </c>
      <c r="B2790" t="s">
        <v>41</v>
      </c>
      <c r="C2790">
        <v>10</v>
      </c>
      <c r="D2790" t="str">
        <f t="shared" si="43"/>
        <v>21/06/2025ENT</v>
      </c>
    </row>
    <row r="2791" spans="1:4">
      <c r="A2791" s="1">
        <v>45829</v>
      </c>
      <c r="B2791" t="s">
        <v>44</v>
      </c>
      <c r="C2791">
        <v>12</v>
      </c>
      <c r="D2791" t="str">
        <f t="shared" si="43"/>
        <v>21/06/2025Geriatrics</v>
      </c>
    </row>
    <row r="2792" spans="1:4">
      <c r="A2792" s="1">
        <v>45830</v>
      </c>
      <c r="B2792" t="s">
        <v>39</v>
      </c>
      <c r="C2792">
        <v>19</v>
      </c>
      <c r="D2792" t="str">
        <f t="shared" si="43"/>
        <v>22/06/2025A&amp;E (Emergency)</v>
      </c>
    </row>
    <row r="2793" spans="1:4">
      <c r="A2793" s="1">
        <v>45830</v>
      </c>
      <c r="B2793" t="s">
        <v>40</v>
      </c>
      <c r="C2793">
        <v>11</v>
      </c>
      <c r="D2793" t="str">
        <f t="shared" si="43"/>
        <v>22/06/2025Cardiology</v>
      </c>
    </row>
    <row r="2794" spans="1:4">
      <c r="A2794" s="1">
        <v>45830</v>
      </c>
      <c r="B2794" t="s">
        <v>51</v>
      </c>
      <c r="C2794">
        <v>9</v>
      </c>
      <c r="D2794" t="str">
        <f t="shared" si="43"/>
        <v>22/06/2025Respiratory</v>
      </c>
    </row>
    <row r="2795" spans="1:4">
      <c r="A2795" s="1">
        <v>45830</v>
      </c>
      <c r="B2795" t="s">
        <v>43</v>
      </c>
      <c r="C2795">
        <v>14</v>
      </c>
      <c r="D2795" t="str">
        <f t="shared" si="43"/>
        <v>22/06/2025General Surgery</v>
      </c>
    </row>
    <row r="2796" spans="1:4">
      <c r="A2796" s="1">
        <v>45830</v>
      </c>
      <c r="B2796" t="s">
        <v>48</v>
      </c>
      <c r="C2796">
        <v>10</v>
      </c>
      <c r="D2796" t="str">
        <f t="shared" si="43"/>
        <v>22/06/2025Orthopaedics</v>
      </c>
    </row>
    <row r="2797" spans="1:4">
      <c r="A2797" s="1">
        <v>45830</v>
      </c>
      <c r="B2797" t="s">
        <v>46</v>
      </c>
      <c r="C2797">
        <v>9</v>
      </c>
      <c r="D2797" t="str">
        <f t="shared" si="43"/>
        <v>22/06/2025Neurology</v>
      </c>
    </row>
    <row r="2798" spans="1:4">
      <c r="A2798" s="1">
        <v>45830</v>
      </c>
      <c r="B2798" t="s">
        <v>47</v>
      </c>
      <c r="C2798">
        <v>12</v>
      </c>
      <c r="D2798" t="str">
        <f t="shared" si="43"/>
        <v>22/06/2025Oncology</v>
      </c>
    </row>
    <row r="2799" spans="1:4">
      <c r="A2799" s="1">
        <v>45830</v>
      </c>
      <c r="B2799" t="s">
        <v>49</v>
      </c>
      <c r="C2799">
        <v>8</v>
      </c>
      <c r="D2799" t="str">
        <f t="shared" si="43"/>
        <v>22/06/2025Paediatrics</v>
      </c>
    </row>
    <row r="2800" spans="1:4">
      <c r="A2800" s="1">
        <v>45830</v>
      </c>
      <c r="B2800" t="s">
        <v>45</v>
      </c>
      <c r="C2800">
        <v>9</v>
      </c>
      <c r="D2800" t="str">
        <f t="shared" si="43"/>
        <v>22/06/2025Maternity</v>
      </c>
    </row>
    <row r="2801" spans="1:4">
      <c r="A2801" s="1">
        <v>45830</v>
      </c>
      <c r="B2801" t="s">
        <v>50</v>
      </c>
      <c r="C2801">
        <v>17</v>
      </c>
      <c r="D2801" t="str">
        <f t="shared" si="43"/>
        <v>22/06/2025Renal Medicine</v>
      </c>
    </row>
    <row r="2802" spans="1:4">
      <c r="A2802" s="1">
        <v>45830</v>
      </c>
      <c r="B2802" t="s">
        <v>42</v>
      </c>
      <c r="C2802">
        <v>7</v>
      </c>
      <c r="D2802" t="str">
        <f t="shared" si="43"/>
        <v>22/06/2025Gastroenterology</v>
      </c>
    </row>
    <row r="2803" spans="1:4">
      <c r="A2803" s="1">
        <v>45830</v>
      </c>
      <c r="B2803" t="s">
        <v>98</v>
      </c>
      <c r="C2803">
        <v>6</v>
      </c>
      <c r="D2803" t="str">
        <f t="shared" si="43"/>
        <v>22/06/2025Endocrinology</v>
      </c>
    </row>
    <row r="2804" spans="1:4">
      <c r="A2804" s="1">
        <v>45830</v>
      </c>
      <c r="B2804" t="s">
        <v>100</v>
      </c>
      <c r="C2804">
        <v>8</v>
      </c>
      <c r="D2804" t="str">
        <f t="shared" si="43"/>
        <v>22/06/2025Urology</v>
      </c>
    </row>
    <row r="2805" spans="1:4">
      <c r="A2805" s="1">
        <v>45830</v>
      </c>
      <c r="B2805" t="s">
        <v>41</v>
      </c>
      <c r="C2805">
        <v>10</v>
      </c>
      <c r="D2805" t="str">
        <f t="shared" si="43"/>
        <v>22/06/2025ENT</v>
      </c>
    </row>
    <row r="2806" spans="1:4">
      <c r="A2806" s="1">
        <v>45830</v>
      </c>
      <c r="B2806" t="s">
        <v>44</v>
      </c>
      <c r="C2806">
        <v>12</v>
      </c>
      <c r="D2806" t="str">
        <f t="shared" si="43"/>
        <v>22/06/2025Geriatrics</v>
      </c>
    </row>
    <row r="2807" spans="1:4">
      <c r="A2807" s="1">
        <v>45831</v>
      </c>
      <c r="B2807" t="s">
        <v>39</v>
      </c>
      <c r="C2807">
        <v>28</v>
      </c>
      <c r="D2807" t="str">
        <f t="shared" si="43"/>
        <v>23/06/2025A&amp;E (Emergency)</v>
      </c>
    </row>
    <row r="2808" spans="1:4">
      <c r="A2808" s="1">
        <v>45831</v>
      </c>
      <c r="B2808" t="s">
        <v>40</v>
      </c>
      <c r="C2808">
        <v>18</v>
      </c>
      <c r="D2808" t="str">
        <f t="shared" si="43"/>
        <v>23/06/2025Cardiology</v>
      </c>
    </row>
    <row r="2809" spans="1:4">
      <c r="A2809" s="1">
        <v>45831</v>
      </c>
      <c r="B2809" t="s">
        <v>51</v>
      </c>
      <c r="C2809">
        <v>15</v>
      </c>
      <c r="D2809" t="str">
        <f t="shared" si="43"/>
        <v>23/06/2025Respiratory</v>
      </c>
    </row>
    <row r="2810" spans="1:4">
      <c r="A2810" s="1">
        <v>45831</v>
      </c>
      <c r="B2810" t="s">
        <v>43</v>
      </c>
      <c r="C2810">
        <v>22</v>
      </c>
      <c r="D2810" t="str">
        <f t="shared" si="43"/>
        <v>23/06/2025General Surgery</v>
      </c>
    </row>
    <row r="2811" spans="1:4">
      <c r="A2811" s="1">
        <v>45831</v>
      </c>
      <c r="B2811" t="s">
        <v>48</v>
      </c>
      <c r="C2811">
        <v>16</v>
      </c>
      <c r="D2811" t="str">
        <f t="shared" si="43"/>
        <v>23/06/2025Orthopaedics</v>
      </c>
    </row>
    <row r="2812" spans="1:4">
      <c r="A2812" s="1">
        <v>45831</v>
      </c>
      <c r="B2812" t="s">
        <v>46</v>
      </c>
      <c r="C2812">
        <v>14</v>
      </c>
      <c r="D2812" t="str">
        <f t="shared" si="43"/>
        <v>23/06/2025Neurology</v>
      </c>
    </row>
    <row r="2813" spans="1:4">
      <c r="A2813" s="1">
        <v>45831</v>
      </c>
      <c r="B2813" t="s">
        <v>47</v>
      </c>
      <c r="C2813">
        <v>18</v>
      </c>
      <c r="D2813" t="str">
        <f t="shared" si="43"/>
        <v>23/06/2025Oncology</v>
      </c>
    </row>
    <row r="2814" spans="1:4">
      <c r="A2814" s="1">
        <v>45831</v>
      </c>
      <c r="B2814" t="s">
        <v>49</v>
      </c>
      <c r="C2814">
        <v>13</v>
      </c>
      <c r="D2814" t="str">
        <f t="shared" si="43"/>
        <v>23/06/2025Paediatrics</v>
      </c>
    </row>
    <row r="2815" spans="1:4">
      <c r="A2815" s="1">
        <v>45831</v>
      </c>
      <c r="B2815" t="s">
        <v>45</v>
      </c>
      <c r="C2815">
        <v>13</v>
      </c>
      <c r="D2815" t="str">
        <f t="shared" si="43"/>
        <v>23/06/2025Maternity</v>
      </c>
    </row>
    <row r="2816" spans="1:4">
      <c r="A2816" s="1">
        <v>45831</v>
      </c>
      <c r="B2816" t="s">
        <v>50</v>
      </c>
      <c r="C2816">
        <v>21</v>
      </c>
      <c r="D2816" t="str">
        <f t="shared" si="43"/>
        <v>23/06/2025Renal Medicine</v>
      </c>
    </row>
    <row r="2817" spans="1:4">
      <c r="A2817" s="1">
        <v>45831</v>
      </c>
      <c r="B2817" t="s">
        <v>42</v>
      </c>
      <c r="C2817">
        <v>12</v>
      </c>
      <c r="D2817" t="str">
        <f t="shared" si="43"/>
        <v>23/06/2025Gastroenterology</v>
      </c>
    </row>
    <row r="2818" spans="1:4">
      <c r="A2818" s="1">
        <v>45831</v>
      </c>
      <c r="B2818" t="s">
        <v>98</v>
      </c>
      <c r="C2818">
        <v>10</v>
      </c>
      <c r="D2818" t="str">
        <f t="shared" si="43"/>
        <v>23/06/2025Endocrinology</v>
      </c>
    </row>
    <row r="2819" spans="1:4">
      <c r="A2819" s="1">
        <v>45831</v>
      </c>
      <c r="B2819" t="s">
        <v>100</v>
      </c>
      <c r="C2819">
        <v>11</v>
      </c>
      <c r="D2819" t="str">
        <f t="shared" ref="D2819:D2882" si="44">TEXT(A2819, "dd/mm/yyyy")&amp;B2819</f>
        <v>23/06/2025Urology</v>
      </c>
    </row>
    <row r="2820" spans="1:4">
      <c r="A2820" s="1">
        <v>45831</v>
      </c>
      <c r="B2820" t="s">
        <v>41</v>
      </c>
      <c r="C2820">
        <v>13</v>
      </c>
      <c r="D2820" t="str">
        <f t="shared" si="44"/>
        <v>23/06/2025ENT</v>
      </c>
    </row>
    <row r="2821" spans="1:4">
      <c r="A2821" s="1">
        <v>45831</v>
      </c>
      <c r="B2821" t="s">
        <v>44</v>
      </c>
      <c r="C2821">
        <v>16</v>
      </c>
      <c r="D2821" t="str">
        <f t="shared" si="44"/>
        <v>23/06/2025Geriatrics</v>
      </c>
    </row>
    <row r="2822" spans="1:4">
      <c r="A2822" s="1">
        <v>45832</v>
      </c>
      <c r="B2822" t="s">
        <v>39</v>
      </c>
      <c r="C2822">
        <v>25</v>
      </c>
      <c r="D2822" t="str">
        <f t="shared" si="44"/>
        <v>24/06/2025A&amp;E (Emergency)</v>
      </c>
    </row>
    <row r="2823" spans="1:4">
      <c r="A2823" s="1">
        <v>45832</v>
      </c>
      <c r="B2823" t="s">
        <v>40</v>
      </c>
      <c r="C2823">
        <v>17</v>
      </c>
      <c r="D2823" t="str">
        <f t="shared" si="44"/>
        <v>24/06/2025Cardiology</v>
      </c>
    </row>
    <row r="2824" spans="1:4">
      <c r="A2824" s="1">
        <v>45832</v>
      </c>
      <c r="B2824" t="s">
        <v>51</v>
      </c>
      <c r="C2824">
        <v>14</v>
      </c>
      <c r="D2824" t="str">
        <f t="shared" si="44"/>
        <v>24/06/2025Respiratory</v>
      </c>
    </row>
    <row r="2825" spans="1:4">
      <c r="A2825" s="1">
        <v>45832</v>
      </c>
      <c r="B2825" t="s">
        <v>43</v>
      </c>
      <c r="C2825">
        <v>20</v>
      </c>
      <c r="D2825" t="str">
        <f t="shared" si="44"/>
        <v>24/06/2025General Surgery</v>
      </c>
    </row>
    <row r="2826" spans="1:4">
      <c r="A2826" s="1">
        <v>45832</v>
      </c>
      <c r="B2826" t="s">
        <v>48</v>
      </c>
      <c r="C2826">
        <v>15</v>
      </c>
      <c r="D2826" t="str">
        <f t="shared" si="44"/>
        <v>24/06/2025Orthopaedics</v>
      </c>
    </row>
    <row r="2827" spans="1:4">
      <c r="A2827" s="1">
        <v>45832</v>
      </c>
      <c r="B2827" t="s">
        <v>46</v>
      </c>
      <c r="C2827">
        <v>13</v>
      </c>
      <c r="D2827" t="str">
        <f t="shared" si="44"/>
        <v>24/06/2025Neurology</v>
      </c>
    </row>
    <row r="2828" spans="1:4">
      <c r="A2828" s="1">
        <v>45832</v>
      </c>
      <c r="B2828" t="s">
        <v>47</v>
      </c>
      <c r="C2828">
        <v>17</v>
      </c>
      <c r="D2828" t="str">
        <f t="shared" si="44"/>
        <v>24/06/2025Oncology</v>
      </c>
    </row>
    <row r="2829" spans="1:4">
      <c r="A2829" s="1">
        <v>45832</v>
      </c>
      <c r="B2829" t="s">
        <v>49</v>
      </c>
      <c r="C2829">
        <v>12</v>
      </c>
      <c r="D2829" t="str">
        <f t="shared" si="44"/>
        <v>24/06/2025Paediatrics</v>
      </c>
    </row>
    <row r="2830" spans="1:4">
      <c r="A2830" s="1">
        <v>45832</v>
      </c>
      <c r="B2830" t="s">
        <v>45</v>
      </c>
      <c r="C2830">
        <v>12</v>
      </c>
      <c r="D2830" t="str">
        <f t="shared" si="44"/>
        <v>24/06/2025Maternity</v>
      </c>
    </row>
    <row r="2831" spans="1:4">
      <c r="A2831" s="1">
        <v>45832</v>
      </c>
      <c r="B2831" t="s">
        <v>50</v>
      </c>
      <c r="C2831">
        <v>20</v>
      </c>
      <c r="D2831" t="str">
        <f t="shared" si="44"/>
        <v>24/06/2025Renal Medicine</v>
      </c>
    </row>
    <row r="2832" spans="1:4">
      <c r="A2832" s="1">
        <v>45832</v>
      </c>
      <c r="B2832" t="s">
        <v>42</v>
      </c>
      <c r="C2832">
        <v>11</v>
      </c>
      <c r="D2832" t="str">
        <f t="shared" si="44"/>
        <v>24/06/2025Gastroenterology</v>
      </c>
    </row>
    <row r="2833" spans="1:4">
      <c r="A2833" s="1">
        <v>45832</v>
      </c>
      <c r="B2833" t="s">
        <v>98</v>
      </c>
      <c r="C2833">
        <v>9</v>
      </c>
      <c r="D2833" t="str">
        <f t="shared" si="44"/>
        <v>24/06/2025Endocrinology</v>
      </c>
    </row>
    <row r="2834" spans="1:4">
      <c r="A2834" s="1">
        <v>45832</v>
      </c>
      <c r="B2834" t="s">
        <v>100</v>
      </c>
      <c r="C2834">
        <v>10</v>
      </c>
      <c r="D2834" t="str">
        <f t="shared" si="44"/>
        <v>24/06/2025Urology</v>
      </c>
    </row>
    <row r="2835" spans="1:4">
      <c r="A2835" s="1">
        <v>45832</v>
      </c>
      <c r="B2835" t="s">
        <v>41</v>
      </c>
      <c r="C2835">
        <v>12</v>
      </c>
      <c r="D2835" t="str">
        <f t="shared" si="44"/>
        <v>24/06/2025ENT</v>
      </c>
    </row>
    <row r="2836" spans="1:4">
      <c r="A2836" s="1">
        <v>45832</v>
      </c>
      <c r="B2836" t="s">
        <v>44</v>
      </c>
      <c r="C2836">
        <v>15</v>
      </c>
      <c r="D2836" t="str">
        <f t="shared" si="44"/>
        <v>24/06/2025Geriatrics</v>
      </c>
    </row>
    <row r="2837" spans="1:4">
      <c r="A2837" s="1">
        <v>45833</v>
      </c>
      <c r="B2837" t="s">
        <v>39</v>
      </c>
      <c r="C2837">
        <v>24</v>
      </c>
      <c r="D2837" t="str">
        <f t="shared" si="44"/>
        <v>25/06/2025A&amp;E (Emergency)</v>
      </c>
    </row>
    <row r="2838" spans="1:4">
      <c r="A2838" s="1">
        <v>45833</v>
      </c>
      <c r="B2838" t="s">
        <v>40</v>
      </c>
      <c r="C2838">
        <v>16</v>
      </c>
      <c r="D2838" t="str">
        <f t="shared" si="44"/>
        <v>25/06/2025Cardiology</v>
      </c>
    </row>
    <row r="2839" spans="1:4">
      <c r="A2839" s="1">
        <v>45833</v>
      </c>
      <c r="B2839" t="s">
        <v>51</v>
      </c>
      <c r="C2839">
        <v>13</v>
      </c>
      <c r="D2839" t="str">
        <f t="shared" si="44"/>
        <v>25/06/2025Respiratory</v>
      </c>
    </row>
    <row r="2840" spans="1:4">
      <c r="A2840" s="1">
        <v>45833</v>
      </c>
      <c r="B2840" t="s">
        <v>43</v>
      </c>
      <c r="C2840">
        <v>19</v>
      </c>
      <c r="D2840" t="str">
        <f t="shared" si="44"/>
        <v>25/06/2025General Surgery</v>
      </c>
    </row>
    <row r="2841" spans="1:4">
      <c r="A2841" s="1">
        <v>45833</v>
      </c>
      <c r="B2841" t="s">
        <v>48</v>
      </c>
      <c r="C2841">
        <v>14</v>
      </c>
      <c r="D2841" t="str">
        <f t="shared" si="44"/>
        <v>25/06/2025Orthopaedics</v>
      </c>
    </row>
    <row r="2842" spans="1:4">
      <c r="A2842" s="1">
        <v>45833</v>
      </c>
      <c r="B2842" t="s">
        <v>46</v>
      </c>
      <c r="C2842">
        <v>12</v>
      </c>
      <c r="D2842" t="str">
        <f t="shared" si="44"/>
        <v>25/06/2025Neurology</v>
      </c>
    </row>
    <row r="2843" spans="1:4">
      <c r="A2843" s="1">
        <v>45833</v>
      </c>
      <c r="B2843" t="s">
        <v>47</v>
      </c>
      <c r="C2843">
        <v>16</v>
      </c>
      <c r="D2843" t="str">
        <f t="shared" si="44"/>
        <v>25/06/2025Oncology</v>
      </c>
    </row>
    <row r="2844" spans="1:4">
      <c r="A2844" s="1">
        <v>45833</v>
      </c>
      <c r="B2844" t="s">
        <v>49</v>
      </c>
      <c r="C2844">
        <v>11</v>
      </c>
      <c r="D2844" t="str">
        <f t="shared" si="44"/>
        <v>25/06/2025Paediatrics</v>
      </c>
    </row>
    <row r="2845" spans="1:4">
      <c r="A2845" s="1">
        <v>45833</v>
      </c>
      <c r="B2845" t="s">
        <v>45</v>
      </c>
      <c r="C2845">
        <v>12</v>
      </c>
      <c r="D2845" t="str">
        <f t="shared" si="44"/>
        <v>25/06/2025Maternity</v>
      </c>
    </row>
    <row r="2846" spans="1:4">
      <c r="A2846" s="1">
        <v>45833</v>
      </c>
      <c r="B2846" t="s">
        <v>50</v>
      </c>
      <c r="C2846">
        <v>19</v>
      </c>
      <c r="D2846" t="str">
        <f t="shared" si="44"/>
        <v>25/06/2025Renal Medicine</v>
      </c>
    </row>
    <row r="2847" spans="1:4">
      <c r="A2847" s="1">
        <v>45833</v>
      </c>
      <c r="B2847" t="s">
        <v>42</v>
      </c>
      <c r="C2847">
        <v>10</v>
      </c>
      <c r="D2847" t="str">
        <f t="shared" si="44"/>
        <v>25/06/2025Gastroenterology</v>
      </c>
    </row>
    <row r="2848" spans="1:4">
      <c r="A2848" s="1">
        <v>45833</v>
      </c>
      <c r="B2848" t="s">
        <v>98</v>
      </c>
      <c r="C2848">
        <v>8</v>
      </c>
      <c r="D2848" t="str">
        <f t="shared" si="44"/>
        <v>25/06/2025Endocrinology</v>
      </c>
    </row>
    <row r="2849" spans="1:4">
      <c r="A2849" s="1">
        <v>45833</v>
      </c>
      <c r="B2849" t="s">
        <v>100</v>
      </c>
      <c r="C2849">
        <v>10</v>
      </c>
      <c r="D2849" t="str">
        <f t="shared" si="44"/>
        <v>25/06/2025Urology</v>
      </c>
    </row>
    <row r="2850" spans="1:4">
      <c r="A2850" s="1">
        <v>45833</v>
      </c>
      <c r="B2850" t="s">
        <v>41</v>
      </c>
      <c r="C2850">
        <v>12</v>
      </c>
      <c r="D2850" t="str">
        <f t="shared" si="44"/>
        <v>25/06/2025ENT</v>
      </c>
    </row>
    <row r="2851" spans="1:4">
      <c r="A2851" s="1">
        <v>45833</v>
      </c>
      <c r="B2851" t="s">
        <v>44</v>
      </c>
      <c r="C2851">
        <v>14</v>
      </c>
      <c r="D2851" t="str">
        <f t="shared" si="44"/>
        <v>25/06/2025Geriatrics</v>
      </c>
    </row>
    <row r="2852" spans="1:4">
      <c r="A2852" s="1">
        <v>45834</v>
      </c>
      <c r="B2852" t="s">
        <v>39</v>
      </c>
      <c r="C2852">
        <v>23</v>
      </c>
      <c r="D2852" t="str">
        <f t="shared" si="44"/>
        <v>26/06/2025A&amp;E (Emergency)</v>
      </c>
    </row>
    <row r="2853" spans="1:4">
      <c r="A2853" s="1">
        <v>45834</v>
      </c>
      <c r="B2853" t="s">
        <v>40</v>
      </c>
      <c r="C2853">
        <v>16</v>
      </c>
      <c r="D2853" t="str">
        <f t="shared" si="44"/>
        <v>26/06/2025Cardiology</v>
      </c>
    </row>
    <row r="2854" spans="1:4">
      <c r="A2854" s="1">
        <v>45834</v>
      </c>
      <c r="B2854" t="s">
        <v>51</v>
      </c>
      <c r="C2854">
        <v>13</v>
      </c>
      <c r="D2854" t="str">
        <f t="shared" si="44"/>
        <v>26/06/2025Respiratory</v>
      </c>
    </row>
    <row r="2855" spans="1:4">
      <c r="A2855" s="1">
        <v>45834</v>
      </c>
      <c r="B2855" t="s">
        <v>43</v>
      </c>
      <c r="C2855">
        <v>19</v>
      </c>
      <c r="D2855" t="str">
        <f t="shared" si="44"/>
        <v>26/06/2025General Surgery</v>
      </c>
    </row>
    <row r="2856" spans="1:4">
      <c r="A2856" s="1">
        <v>45834</v>
      </c>
      <c r="B2856" t="s">
        <v>48</v>
      </c>
      <c r="C2856">
        <v>14</v>
      </c>
      <c r="D2856" t="str">
        <f t="shared" si="44"/>
        <v>26/06/2025Orthopaedics</v>
      </c>
    </row>
    <row r="2857" spans="1:4">
      <c r="A2857" s="1">
        <v>45834</v>
      </c>
      <c r="B2857" t="s">
        <v>46</v>
      </c>
      <c r="C2857">
        <v>12</v>
      </c>
      <c r="D2857" t="str">
        <f t="shared" si="44"/>
        <v>26/06/2025Neurology</v>
      </c>
    </row>
    <row r="2858" spans="1:4">
      <c r="A2858" s="1">
        <v>45834</v>
      </c>
      <c r="B2858" t="s">
        <v>47</v>
      </c>
      <c r="C2858">
        <v>16</v>
      </c>
      <c r="D2858" t="str">
        <f t="shared" si="44"/>
        <v>26/06/2025Oncology</v>
      </c>
    </row>
    <row r="2859" spans="1:4">
      <c r="A2859" s="1">
        <v>45834</v>
      </c>
      <c r="B2859" t="s">
        <v>49</v>
      </c>
      <c r="C2859">
        <v>11</v>
      </c>
      <c r="D2859" t="str">
        <f t="shared" si="44"/>
        <v>26/06/2025Paediatrics</v>
      </c>
    </row>
    <row r="2860" spans="1:4">
      <c r="A2860" s="1">
        <v>45834</v>
      </c>
      <c r="B2860" t="s">
        <v>45</v>
      </c>
      <c r="C2860">
        <v>12</v>
      </c>
      <c r="D2860" t="str">
        <f t="shared" si="44"/>
        <v>26/06/2025Maternity</v>
      </c>
    </row>
    <row r="2861" spans="1:4">
      <c r="A2861" s="1">
        <v>45834</v>
      </c>
      <c r="B2861" t="s">
        <v>50</v>
      </c>
      <c r="C2861">
        <v>19</v>
      </c>
      <c r="D2861" t="str">
        <f t="shared" si="44"/>
        <v>26/06/2025Renal Medicine</v>
      </c>
    </row>
    <row r="2862" spans="1:4">
      <c r="A2862" s="1">
        <v>45834</v>
      </c>
      <c r="B2862" t="s">
        <v>42</v>
      </c>
      <c r="C2862">
        <v>10</v>
      </c>
      <c r="D2862" t="str">
        <f t="shared" si="44"/>
        <v>26/06/2025Gastroenterology</v>
      </c>
    </row>
    <row r="2863" spans="1:4">
      <c r="A2863" s="1">
        <v>45834</v>
      </c>
      <c r="B2863" t="s">
        <v>98</v>
      </c>
      <c r="C2863">
        <v>8</v>
      </c>
      <c r="D2863" t="str">
        <f t="shared" si="44"/>
        <v>26/06/2025Endocrinology</v>
      </c>
    </row>
    <row r="2864" spans="1:4">
      <c r="A2864" s="1">
        <v>45834</v>
      </c>
      <c r="B2864" t="s">
        <v>100</v>
      </c>
      <c r="C2864">
        <v>10</v>
      </c>
      <c r="D2864" t="str">
        <f t="shared" si="44"/>
        <v>26/06/2025Urology</v>
      </c>
    </row>
    <row r="2865" spans="1:4">
      <c r="A2865" s="1">
        <v>45834</v>
      </c>
      <c r="B2865" t="s">
        <v>41</v>
      </c>
      <c r="C2865">
        <v>12</v>
      </c>
      <c r="D2865" t="str">
        <f t="shared" si="44"/>
        <v>26/06/2025ENT</v>
      </c>
    </row>
    <row r="2866" spans="1:4">
      <c r="A2866" s="1">
        <v>45834</v>
      </c>
      <c r="B2866" t="s">
        <v>44</v>
      </c>
      <c r="C2866">
        <v>14</v>
      </c>
      <c r="D2866" t="str">
        <f t="shared" si="44"/>
        <v>26/06/2025Geriatrics</v>
      </c>
    </row>
    <row r="2867" spans="1:4">
      <c r="A2867" s="1">
        <v>45835</v>
      </c>
      <c r="B2867" t="s">
        <v>39</v>
      </c>
      <c r="C2867">
        <v>22</v>
      </c>
      <c r="D2867" t="str">
        <f t="shared" si="44"/>
        <v>27/06/2025A&amp;E (Emergency)</v>
      </c>
    </row>
    <row r="2868" spans="1:4">
      <c r="A2868" s="1">
        <v>45835</v>
      </c>
      <c r="B2868" t="s">
        <v>40</v>
      </c>
      <c r="C2868">
        <v>15</v>
      </c>
      <c r="D2868" t="str">
        <f t="shared" si="44"/>
        <v>27/06/2025Cardiology</v>
      </c>
    </row>
    <row r="2869" spans="1:4">
      <c r="A2869" s="1">
        <v>45835</v>
      </c>
      <c r="B2869" t="s">
        <v>51</v>
      </c>
      <c r="C2869">
        <v>12</v>
      </c>
      <c r="D2869" t="str">
        <f t="shared" si="44"/>
        <v>27/06/2025Respiratory</v>
      </c>
    </row>
    <row r="2870" spans="1:4">
      <c r="A2870" s="1">
        <v>45835</v>
      </c>
      <c r="B2870" t="s">
        <v>43</v>
      </c>
      <c r="C2870">
        <v>18</v>
      </c>
      <c r="D2870" t="str">
        <f t="shared" si="44"/>
        <v>27/06/2025General Surgery</v>
      </c>
    </row>
    <row r="2871" spans="1:4">
      <c r="A2871" s="1">
        <v>45835</v>
      </c>
      <c r="B2871" t="s">
        <v>48</v>
      </c>
      <c r="C2871">
        <v>13</v>
      </c>
      <c r="D2871" t="str">
        <f t="shared" si="44"/>
        <v>27/06/2025Orthopaedics</v>
      </c>
    </row>
    <row r="2872" spans="1:4">
      <c r="A2872" s="1">
        <v>45835</v>
      </c>
      <c r="B2872" t="s">
        <v>46</v>
      </c>
      <c r="C2872">
        <v>11</v>
      </c>
      <c r="D2872" t="str">
        <f t="shared" si="44"/>
        <v>27/06/2025Neurology</v>
      </c>
    </row>
    <row r="2873" spans="1:4">
      <c r="A2873" s="1">
        <v>45835</v>
      </c>
      <c r="B2873" t="s">
        <v>47</v>
      </c>
      <c r="C2873">
        <v>15</v>
      </c>
      <c r="D2873" t="str">
        <f t="shared" si="44"/>
        <v>27/06/2025Oncology</v>
      </c>
    </row>
    <row r="2874" spans="1:4">
      <c r="A2874" s="1">
        <v>45835</v>
      </c>
      <c r="B2874" t="s">
        <v>49</v>
      </c>
      <c r="C2874">
        <v>10</v>
      </c>
      <c r="D2874" t="str">
        <f t="shared" si="44"/>
        <v>27/06/2025Paediatrics</v>
      </c>
    </row>
    <row r="2875" spans="1:4">
      <c r="A2875" s="1">
        <v>45835</v>
      </c>
      <c r="B2875" t="s">
        <v>45</v>
      </c>
      <c r="C2875">
        <v>11</v>
      </c>
      <c r="D2875" t="str">
        <f t="shared" si="44"/>
        <v>27/06/2025Maternity</v>
      </c>
    </row>
    <row r="2876" spans="1:4">
      <c r="A2876" s="1">
        <v>45835</v>
      </c>
      <c r="B2876" t="s">
        <v>50</v>
      </c>
      <c r="C2876">
        <v>18</v>
      </c>
      <c r="D2876" t="str">
        <f t="shared" si="44"/>
        <v>27/06/2025Renal Medicine</v>
      </c>
    </row>
    <row r="2877" spans="1:4">
      <c r="A2877" s="1">
        <v>45835</v>
      </c>
      <c r="B2877" t="s">
        <v>42</v>
      </c>
      <c r="C2877">
        <v>9</v>
      </c>
      <c r="D2877" t="str">
        <f t="shared" si="44"/>
        <v>27/06/2025Gastroenterology</v>
      </c>
    </row>
    <row r="2878" spans="1:4">
      <c r="A2878" s="1">
        <v>45835</v>
      </c>
      <c r="B2878" t="s">
        <v>98</v>
      </c>
      <c r="C2878">
        <v>7</v>
      </c>
      <c r="D2878" t="str">
        <f t="shared" si="44"/>
        <v>27/06/2025Endocrinology</v>
      </c>
    </row>
    <row r="2879" spans="1:4">
      <c r="A2879" s="1">
        <v>45835</v>
      </c>
      <c r="B2879" t="s">
        <v>100</v>
      </c>
      <c r="C2879">
        <v>9</v>
      </c>
      <c r="D2879" t="str">
        <f t="shared" si="44"/>
        <v>27/06/2025Urology</v>
      </c>
    </row>
    <row r="2880" spans="1:4">
      <c r="A2880" s="1">
        <v>45835</v>
      </c>
      <c r="B2880" t="s">
        <v>41</v>
      </c>
      <c r="C2880">
        <v>11</v>
      </c>
      <c r="D2880" t="str">
        <f t="shared" si="44"/>
        <v>27/06/2025ENT</v>
      </c>
    </row>
    <row r="2881" spans="1:4">
      <c r="A2881" s="1">
        <v>45835</v>
      </c>
      <c r="B2881" t="s">
        <v>44</v>
      </c>
      <c r="C2881">
        <v>13</v>
      </c>
      <c r="D2881" t="str">
        <f t="shared" si="44"/>
        <v>27/06/2025Geriatrics</v>
      </c>
    </row>
    <row r="2882" spans="1:4">
      <c r="A2882" s="1">
        <v>45836</v>
      </c>
      <c r="B2882" t="s">
        <v>39</v>
      </c>
      <c r="C2882">
        <v>20</v>
      </c>
      <c r="D2882" t="str">
        <f t="shared" si="44"/>
        <v>28/06/2025A&amp;E (Emergency)</v>
      </c>
    </row>
    <row r="2883" spans="1:4">
      <c r="A2883" s="1">
        <v>45836</v>
      </c>
      <c r="B2883" t="s">
        <v>40</v>
      </c>
      <c r="C2883">
        <v>12</v>
      </c>
      <c r="D2883" t="str">
        <f t="shared" ref="D2883:D2946" si="45">TEXT(A2883, "dd/mm/yyyy")&amp;B2883</f>
        <v>28/06/2025Cardiology</v>
      </c>
    </row>
    <row r="2884" spans="1:4">
      <c r="A2884" s="1">
        <v>45836</v>
      </c>
      <c r="B2884" t="s">
        <v>51</v>
      </c>
      <c r="C2884">
        <v>9</v>
      </c>
      <c r="D2884" t="str">
        <f t="shared" si="45"/>
        <v>28/06/2025Respiratory</v>
      </c>
    </row>
    <row r="2885" spans="1:4">
      <c r="A2885" s="1">
        <v>45836</v>
      </c>
      <c r="B2885" t="s">
        <v>43</v>
      </c>
      <c r="C2885">
        <v>15</v>
      </c>
      <c r="D2885" t="str">
        <f t="shared" si="45"/>
        <v>28/06/2025General Surgery</v>
      </c>
    </row>
    <row r="2886" spans="1:4">
      <c r="A2886" s="1">
        <v>45836</v>
      </c>
      <c r="B2886" t="s">
        <v>48</v>
      </c>
      <c r="C2886">
        <v>11</v>
      </c>
      <c r="D2886" t="str">
        <f t="shared" si="45"/>
        <v>28/06/2025Orthopaedics</v>
      </c>
    </row>
    <row r="2887" spans="1:4">
      <c r="A2887" s="1">
        <v>45836</v>
      </c>
      <c r="B2887" t="s">
        <v>46</v>
      </c>
      <c r="C2887">
        <v>9</v>
      </c>
      <c r="D2887" t="str">
        <f t="shared" si="45"/>
        <v>28/06/2025Neurology</v>
      </c>
    </row>
    <row r="2888" spans="1:4">
      <c r="A2888" s="1">
        <v>45836</v>
      </c>
      <c r="B2888" t="s">
        <v>47</v>
      </c>
      <c r="C2888">
        <v>13</v>
      </c>
      <c r="D2888" t="str">
        <f t="shared" si="45"/>
        <v>28/06/2025Oncology</v>
      </c>
    </row>
    <row r="2889" spans="1:4">
      <c r="A2889" s="1">
        <v>45836</v>
      </c>
      <c r="B2889" t="s">
        <v>49</v>
      </c>
      <c r="C2889">
        <v>9</v>
      </c>
      <c r="D2889" t="str">
        <f t="shared" si="45"/>
        <v>28/06/2025Paediatrics</v>
      </c>
    </row>
    <row r="2890" spans="1:4">
      <c r="A2890" s="1">
        <v>45836</v>
      </c>
      <c r="B2890" t="s">
        <v>45</v>
      </c>
      <c r="C2890">
        <v>10</v>
      </c>
      <c r="D2890" t="str">
        <f t="shared" si="45"/>
        <v>28/06/2025Maternity</v>
      </c>
    </row>
    <row r="2891" spans="1:4">
      <c r="A2891" s="1">
        <v>45836</v>
      </c>
      <c r="B2891" t="s">
        <v>50</v>
      </c>
      <c r="C2891">
        <v>17</v>
      </c>
      <c r="D2891" t="str">
        <f t="shared" si="45"/>
        <v>28/06/2025Renal Medicine</v>
      </c>
    </row>
    <row r="2892" spans="1:4">
      <c r="A2892" s="1">
        <v>45836</v>
      </c>
      <c r="B2892" t="s">
        <v>42</v>
      </c>
      <c r="C2892">
        <v>7</v>
      </c>
      <c r="D2892" t="str">
        <f t="shared" si="45"/>
        <v>28/06/2025Gastroenterology</v>
      </c>
    </row>
    <row r="2893" spans="1:4">
      <c r="A2893" s="1">
        <v>45836</v>
      </c>
      <c r="B2893" t="s">
        <v>98</v>
      </c>
      <c r="C2893">
        <v>6</v>
      </c>
      <c r="D2893" t="str">
        <f t="shared" si="45"/>
        <v>28/06/2025Endocrinology</v>
      </c>
    </row>
    <row r="2894" spans="1:4">
      <c r="A2894" s="1">
        <v>45836</v>
      </c>
      <c r="B2894" t="s">
        <v>100</v>
      </c>
      <c r="C2894">
        <v>8</v>
      </c>
      <c r="D2894" t="str">
        <f t="shared" si="45"/>
        <v>28/06/2025Urology</v>
      </c>
    </row>
    <row r="2895" spans="1:4">
      <c r="A2895" s="1">
        <v>45836</v>
      </c>
      <c r="B2895" t="s">
        <v>41</v>
      </c>
      <c r="C2895">
        <v>10</v>
      </c>
      <c r="D2895" t="str">
        <f t="shared" si="45"/>
        <v>28/06/2025ENT</v>
      </c>
    </row>
    <row r="2896" spans="1:4">
      <c r="A2896" s="1">
        <v>45836</v>
      </c>
      <c r="B2896" t="s">
        <v>44</v>
      </c>
      <c r="C2896">
        <v>12</v>
      </c>
      <c r="D2896" t="str">
        <f t="shared" si="45"/>
        <v>28/06/2025Geriatrics</v>
      </c>
    </row>
    <row r="2897" spans="1:4">
      <c r="A2897" s="1">
        <v>45837</v>
      </c>
      <c r="B2897" t="s">
        <v>39</v>
      </c>
      <c r="C2897">
        <v>19</v>
      </c>
      <c r="D2897" t="str">
        <f t="shared" si="45"/>
        <v>29/06/2025A&amp;E (Emergency)</v>
      </c>
    </row>
    <row r="2898" spans="1:4">
      <c r="A2898" s="1">
        <v>45837</v>
      </c>
      <c r="B2898" t="s">
        <v>40</v>
      </c>
      <c r="C2898">
        <v>11</v>
      </c>
      <c r="D2898" t="str">
        <f t="shared" si="45"/>
        <v>29/06/2025Cardiology</v>
      </c>
    </row>
    <row r="2899" spans="1:4">
      <c r="A2899" s="1">
        <v>45837</v>
      </c>
      <c r="B2899" t="s">
        <v>51</v>
      </c>
      <c r="C2899">
        <v>9</v>
      </c>
      <c r="D2899" t="str">
        <f t="shared" si="45"/>
        <v>29/06/2025Respiratory</v>
      </c>
    </row>
    <row r="2900" spans="1:4">
      <c r="A2900" s="1">
        <v>45837</v>
      </c>
      <c r="B2900" t="s">
        <v>43</v>
      </c>
      <c r="C2900">
        <v>14</v>
      </c>
      <c r="D2900" t="str">
        <f t="shared" si="45"/>
        <v>29/06/2025General Surgery</v>
      </c>
    </row>
    <row r="2901" spans="1:4">
      <c r="A2901" s="1">
        <v>45837</v>
      </c>
      <c r="B2901" t="s">
        <v>48</v>
      </c>
      <c r="C2901">
        <v>10</v>
      </c>
      <c r="D2901" t="str">
        <f t="shared" si="45"/>
        <v>29/06/2025Orthopaedics</v>
      </c>
    </row>
    <row r="2902" spans="1:4">
      <c r="A2902" s="1">
        <v>45837</v>
      </c>
      <c r="B2902" t="s">
        <v>46</v>
      </c>
      <c r="C2902">
        <v>9</v>
      </c>
      <c r="D2902" t="str">
        <f t="shared" si="45"/>
        <v>29/06/2025Neurology</v>
      </c>
    </row>
    <row r="2903" spans="1:4">
      <c r="A2903" s="1">
        <v>45837</v>
      </c>
      <c r="B2903" t="s">
        <v>47</v>
      </c>
      <c r="C2903">
        <v>12</v>
      </c>
      <c r="D2903" t="str">
        <f t="shared" si="45"/>
        <v>29/06/2025Oncology</v>
      </c>
    </row>
    <row r="2904" spans="1:4">
      <c r="A2904" s="1">
        <v>45837</v>
      </c>
      <c r="B2904" t="s">
        <v>49</v>
      </c>
      <c r="C2904">
        <v>8</v>
      </c>
      <c r="D2904" t="str">
        <f t="shared" si="45"/>
        <v>29/06/2025Paediatrics</v>
      </c>
    </row>
    <row r="2905" spans="1:4">
      <c r="A2905" s="1">
        <v>45837</v>
      </c>
      <c r="B2905" t="s">
        <v>45</v>
      </c>
      <c r="C2905">
        <v>9</v>
      </c>
      <c r="D2905" t="str">
        <f t="shared" si="45"/>
        <v>29/06/2025Maternity</v>
      </c>
    </row>
    <row r="2906" spans="1:4">
      <c r="A2906" s="1">
        <v>45837</v>
      </c>
      <c r="B2906" t="s">
        <v>50</v>
      </c>
      <c r="C2906">
        <v>17</v>
      </c>
      <c r="D2906" t="str">
        <f t="shared" si="45"/>
        <v>29/06/2025Renal Medicine</v>
      </c>
    </row>
    <row r="2907" spans="1:4">
      <c r="A2907" s="1">
        <v>45837</v>
      </c>
      <c r="B2907" t="s">
        <v>42</v>
      </c>
      <c r="C2907">
        <v>7</v>
      </c>
      <c r="D2907" t="str">
        <f t="shared" si="45"/>
        <v>29/06/2025Gastroenterology</v>
      </c>
    </row>
    <row r="2908" spans="1:4">
      <c r="A2908" s="1">
        <v>45837</v>
      </c>
      <c r="B2908" t="s">
        <v>98</v>
      </c>
      <c r="C2908">
        <v>6</v>
      </c>
      <c r="D2908" t="str">
        <f t="shared" si="45"/>
        <v>29/06/2025Endocrinology</v>
      </c>
    </row>
    <row r="2909" spans="1:4">
      <c r="A2909" s="1">
        <v>45837</v>
      </c>
      <c r="B2909" t="s">
        <v>100</v>
      </c>
      <c r="C2909">
        <v>8</v>
      </c>
      <c r="D2909" t="str">
        <f t="shared" si="45"/>
        <v>29/06/2025Urology</v>
      </c>
    </row>
    <row r="2910" spans="1:4">
      <c r="A2910" s="1">
        <v>45837</v>
      </c>
      <c r="B2910" t="s">
        <v>41</v>
      </c>
      <c r="C2910">
        <v>10</v>
      </c>
      <c r="D2910" t="str">
        <f t="shared" si="45"/>
        <v>29/06/2025ENT</v>
      </c>
    </row>
    <row r="2911" spans="1:4">
      <c r="A2911" s="1">
        <v>45837</v>
      </c>
      <c r="B2911" t="s">
        <v>44</v>
      </c>
      <c r="C2911">
        <v>12</v>
      </c>
      <c r="D2911" t="str">
        <f t="shared" si="45"/>
        <v>29/06/2025Geriatrics</v>
      </c>
    </row>
    <row r="2912" spans="1:4">
      <c r="A2912" s="1">
        <v>45838</v>
      </c>
      <c r="B2912" t="s">
        <v>39</v>
      </c>
      <c r="C2912">
        <v>28</v>
      </c>
      <c r="D2912" t="str">
        <f t="shared" si="45"/>
        <v>30/06/2025A&amp;E (Emergency)</v>
      </c>
    </row>
    <row r="2913" spans="1:4">
      <c r="A2913" s="1">
        <v>45838</v>
      </c>
      <c r="B2913" t="s">
        <v>40</v>
      </c>
      <c r="C2913">
        <v>18</v>
      </c>
      <c r="D2913" t="str">
        <f t="shared" si="45"/>
        <v>30/06/2025Cardiology</v>
      </c>
    </row>
    <row r="2914" spans="1:4">
      <c r="A2914" s="1">
        <v>45838</v>
      </c>
      <c r="B2914" t="s">
        <v>51</v>
      </c>
      <c r="C2914">
        <v>15</v>
      </c>
      <c r="D2914" t="str">
        <f t="shared" si="45"/>
        <v>30/06/2025Respiratory</v>
      </c>
    </row>
    <row r="2915" spans="1:4">
      <c r="A2915" s="1">
        <v>45838</v>
      </c>
      <c r="B2915" t="s">
        <v>43</v>
      </c>
      <c r="C2915">
        <v>22</v>
      </c>
      <c r="D2915" t="str">
        <f t="shared" si="45"/>
        <v>30/06/2025General Surgery</v>
      </c>
    </row>
    <row r="2916" spans="1:4">
      <c r="A2916" s="1">
        <v>45838</v>
      </c>
      <c r="B2916" t="s">
        <v>48</v>
      </c>
      <c r="C2916">
        <v>16</v>
      </c>
      <c r="D2916" t="str">
        <f t="shared" si="45"/>
        <v>30/06/2025Orthopaedics</v>
      </c>
    </row>
    <row r="2917" spans="1:4">
      <c r="A2917" s="1">
        <v>45838</v>
      </c>
      <c r="B2917" t="s">
        <v>46</v>
      </c>
      <c r="C2917">
        <v>14</v>
      </c>
      <c r="D2917" t="str">
        <f t="shared" si="45"/>
        <v>30/06/2025Neurology</v>
      </c>
    </row>
    <row r="2918" spans="1:4">
      <c r="A2918" s="1">
        <v>45838</v>
      </c>
      <c r="B2918" t="s">
        <v>47</v>
      </c>
      <c r="C2918">
        <v>18</v>
      </c>
      <c r="D2918" t="str">
        <f t="shared" si="45"/>
        <v>30/06/2025Oncology</v>
      </c>
    </row>
    <row r="2919" spans="1:4">
      <c r="A2919" s="1">
        <v>45838</v>
      </c>
      <c r="B2919" t="s">
        <v>49</v>
      </c>
      <c r="C2919">
        <v>13</v>
      </c>
      <c r="D2919" t="str">
        <f t="shared" si="45"/>
        <v>30/06/2025Paediatrics</v>
      </c>
    </row>
    <row r="2920" spans="1:4">
      <c r="A2920" s="1">
        <v>45838</v>
      </c>
      <c r="B2920" t="s">
        <v>45</v>
      </c>
      <c r="C2920">
        <v>13</v>
      </c>
      <c r="D2920" t="str">
        <f t="shared" si="45"/>
        <v>30/06/2025Maternity</v>
      </c>
    </row>
    <row r="2921" spans="1:4">
      <c r="A2921" s="1">
        <v>45838</v>
      </c>
      <c r="B2921" t="s">
        <v>50</v>
      </c>
      <c r="C2921">
        <v>21</v>
      </c>
      <c r="D2921" t="str">
        <f t="shared" si="45"/>
        <v>30/06/2025Renal Medicine</v>
      </c>
    </row>
    <row r="2922" spans="1:4">
      <c r="A2922" s="1">
        <v>45838</v>
      </c>
      <c r="B2922" t="s">
        <v>42</v>
      </c>
      <c r="C2922">
        <v>12</v>
      </c>
      <c r="D2922" t="str">
        <f t="shared" si="45"/>
        <v>30/06/2025Gastroenterology</v>
      </c>
    </row>
    <row r="2923" spans="1:4">
      <c r="A2923" s="1">
        <v>45838</v>
      </c>
      <c r="B2923" t="s">
        <v>98</v>
      </c>
      <c r="C2923">
        <v>10</v>
      </c>
      <c r="D2923" t="str">
        <f t="shared" si="45"/>
        <v>30/06/2025Endocrinology</v>
      </c>
    </row>
    <row r="2924" spans="1:4">
      <c r="A2924" s="1">
        <v>45838</v>
      </c>
      <c r="B2924" t="s">
        <v>100</v>
      </c>
      <c r="C2924">
        <v>11</v>
      </c>
      <c r="D2924" t="str">
        <f t="shared" si="45"/>
        <v>30/06/2025Urology</v>
      </c>
    </row>
    <row r="2925" spans="1:4">
      <c r="A2925" s="1">
        <v>45838</v>
      </c>
      <c r="B2925" t="s">
        <v>41</v>
      </c>
      <c r="C2925">
        <v>13</v>
      </c>
      <c r="D2925" t="str">
        <f t="shared" si="45"/>
        <v>30/06/2025ENT</v>
      </c>
    </row>
    <row r="2926" spans="1:4">
      <c r="A2926" s="1">
        <v>45838</v>
      </c>
      <c r="B2926" t="s">
        <v>44</v>
      </c>
      <c r="C2926">
        <v>16</v>
      </c>
      <c r="D2926" t="str">
        <f t="shared" si="45"/>
        <v>30/06/2025Geriatrics</v>
      </c>
    </row>
    <row r="2927" spans="1:4">
      <c r="A2927" s="1">
        <v>45839</v>
      </c>
      <c r="B2927" t="s">
        <v>39</v>
      </c>
      <c r="C2927">
        <v>25</v>
      </c>
      <c r="D2927" t="str">
        <f t="shared" si="45"/>
        <v>01/07/2025A&amp;E (Emergency)</v>
      </c>
    </row>
    <row r="2928" spans="1:4">
      <c r="A2928" s="1">
        <v>45839</v>
      </c>
      <c r="B2928" t="s">
        <v>40</v>
      </c>
      <c r="C2928">
        <v>17</v>
      </c>
      <c r="D2928" t="str">
        <f t="shared" si="45"/>
        <v>01/07/2025Cardiology</v>
      </c>
    </row>
    <row r="2929" spans="1:4">
      <c r="A2929" s="1">
        <v>45839</v>
      </c>
      <c r="B2929" t="s">
        <v>51</v>
      </c>
      <c r="C2929">
        <v>14</v>
      </c>
      <c r="D2929" t="str">
        <f t="shared" si="45"/>
        <v>01/07/2025Respiratory</v>
      </c>
    </row>
    <row r="2930" spans="1:4">
      <c r="A2930" s="1">
        <v>45839</v>
      </c>
      <c r="B2930" t="s">
        <v>43</v>
      </c>
      <c r="C2930">
        <v>20</v>
      </c>
      <c r="D2930" t="str">
        <f t="shared" si="45"/>
        <v>01/07/2025General Surgery</v>
      </c>
    </row>
    <row r="2931" spans="1:4">
      <c r="A2931" s="1">
        <v>45839</v>
      </c>
      <c r="B2931" t="s">
        <v>48</v>
      </c>
      <c r="C2931">
        <v>15</v>
      </c>
      <c r="D2931" t="str">
        <f t="shared" si="45"/>
        <v>01/07/2025Orthopaedics</v>
      </c>
    </row>
    <row r="2932" spans="1:4">
      <c r="A2932" s="1">
        <v>45839</v>
      </c>
      <c r="B2932" t="s">
        <v>46</v>
      </c>
      <c r="C2932">
        <v>13</v>
      </c>
      <c r="D2932" t="str">
        <f t="shared" si="45"/>
        <v>01/07/2025Neurology</v>
      </c>
    </row>
    <row r="2933" spans="1:4">
      <c r="A2933" s="1">
        <v>45839</v>
      </c>
      <c r="B2933" t="s">
        <v>47</v>
      </c>
      <c r="C2933">
        <v>17</v>
      </c>
      <c r="D2933" t="str">
        <f t="shared" si="45"/>
        <v>01/07/2025Oncology</v>
      </c>
    </row>
    <row r="2934" spans="1:4">
      <c r="A2934" s="1">
        <v>45839</v>
      </c>
      <c r="B2934" t="s">
        <v>49</v>
      </c>
      <c r="C2934">
        <v>12</v>
      </c>
      <c r="D2934" t="str">
        <f t="shared" si="45"/>
        <v>01/07/2025Paediatrics</v>
      </c>
    </row>
    <row r="2935" spans="1:4">
      <c r="A2935" s="1">
        <v>45839</v>
      </c>
      <c r="B2935" t="s">
        <v>45</v>
      </c>
      <c r="C2935">
        <v>12</v>
      </c>
      <c r="D2935" t="str">
        <f t="shared" si="45"/>
        <v>01/07/2025Maternity</v>
      </c>
    </row>
    <row r="2936" spans="1:4">
      <c r="A2936" s="1">
        <v>45839</v>
      </c>
      <c r="B2936" t="s">
        <v>50</v>
      </c>
      <c r="C2936">
        <v>20</v>
      </c>
      <c r="D2936" t="str">
        <f t="shared" si="45"/>
        <v>01/07/2025Renal Medicine</v>
      </c>
    </row>
    <row r="2937" spans="1:4">
      <c r="A2937" s="1">
        <v>45839</v>
      </c>
      <c r="B2937" t="s">
        <v>42</v>
      </c>
      <c r="C2937">
        <v>11</v>
      </c>
      <c r="D2937" t="str">
        <f t="shared" si="45"/>
        <v>01/07/2025Gastroenterology</v>
      </c>
    </row>
    <row r="2938" spans="1:4">
      <c r="A2938" s="1">
        <v>45839</v>
      </c>
      <c r="B2938" t="s">
        <v>98</v>
      </c>
      <c r="C2938">
        <v>9</v>
      </c>
      <c r="D2938" t="str">
        <f t="shared" si="45"/>
        <v>01/07/2025Endocrinology</v>
      </c>
    </row>
    <row r="2939" spans="1:4">
      <c r="A2939" s="1">
        <v>45839</v>
      </c>
      <c r="B2939" t="s">
        <v>100</v>
      </c>
      <c r="C2939">
        <v>10</v>
      </c>
      <c r="D2939" t="str">
        <f t="shared" si="45"/>
        <v>01/07/2025Urology</v>
      </c>
    </row>
    <row r="2940" spans="1:4">
      <c r="A2940" s="1">
        <v>45839</v>
      </c>
      <c r="B2940" t="s">
        <v>41</v>
      </c>
      <c r="C2940">
        <v>12</v>
      </c>
      <c r="D2940" t="str">
        <f t="shared" si="45"/>
        <v>01/07/2025ENT</v>
      </c>
    </row>
    <row r="2941" spans="1:4">
      <c r="A2941" s="1">
        <v>45839</v>
      </c>
      <c r="B2941" t="s">
        <v>44</v>
      </c>
      <c r="C2941">
        <v>15</v>
      </c>
      <c r="D2941" t="str">
        <f t="shared" si="45"/>
        <v>01/07/2025Geriatrics</v>
      </c>
    </row>
    <row r="2942" spans="1:4">
      <c r="A2942" s="1">
        <v>45840</v>
      </c>
      <c r="B2942" t="s">
        <v>39</v>
      </c>
      <c r="C2942">
        <v>24</v>
      </c>
      <c r="D2942" t="str">
        <f t="shared" si="45"/>
        <v>02/07/2025A&amp;E (Emergency)</v>
      </c>
    </row>
    <row r="2943" spans="1:4">
      <c r="A2943" s="1">
        <v>45840</v>
      </c>
      <c r="B2943" t="s">
        <v>40</v>
      </c>
      <c r="C2943">
        <v>16</v>
      </c>
      <c r="D2943" t="str">
        <f t="shared" si="45"/>
        <v>02/07/2025Cardiology</v>
      </c>
    </row>
    <row r="2944" spans="1:4">
      <c r="A2944" s="1">
        <v>45840</v>
      </c>
      <c r="B2944" t="s">
        <v>51</v>
      </c>
      <c r="C2944">
        <v>13</v>
      </c>
      <c r="D2944" t="str">
        <f t="shared" si="45"/>
        <v>02/07/2025Respiratory</v>
      </c>
    </row>
    <row r="2945" spans="1:4">
      <c r="A2945" s="1">
        <v>45840</v>
      </c>
      <c r="B2945" t="s">
        <v>43</v>
      </c>
      <c r="C2945">
        <v>19</v>
      </c>
      <c r="D2945" t="str">
        <f t="shared" si="45"/>
        <v>02/07/2025General Surgery</v>
      </c>
    </row>
    <row r="2946" spans="1:4">
      <c r="A2946" s="1">
        <v>45840</v>
      </c>
      <c r="B2946" t="s">
        <v>48</v>
      </c>
      <c r="C2946">
        <v>14</v>
      </c>
      <c r="D2946" t="str">
        <f t="shared" si="45"/>
        <v>02/07/2025Orthopaedics</v>
      </c>
    </row>
    <row r="2947" spans="1:4">
      <c r="A2947" s="1">
        <v>45840</v>
      </c>
      <c r="B2947" t="s">
        <v>46</v>
      </c>
      <c r="C2947">
        <v>12</v>
      </c>
      <c r="D2947" t="str">
        <f t="shared" ref="D2947:D3010" si="46">TEXT(A2947, "dd/mm/yyyy")&amp;B2947</f>
        <v>02/07/2025Neurology</v>
      </c>
    </row>
    <row r="2948" spans="1:4">
      <c r="A2948" s="1">
        <v>45840</v>
      </c>
      <c r="B2948" t="s">
        <v>47</v>
      </c>
      <c r="C2948">
        <v>16</v>
      </c>
      <c r="D2948" t="str">
        <f t="shared" si="46"/>
        <v>02/07/2025Oncology</v>
      </c>
    </row>
    <row r="2949" spans="1:4">
      <c r="A2949" s="1">
        <v>45840</v>
      </c>
      <c r="B2949" t="s">
        <v>49</v>
      </c>
      <c r="C2949">
        <v>11</v>
      </c>
      <c r="D2949" t="str">
        <f t="shared" si="46"/>
        <v>02/07/2025Paediatrics</v>
      </c>
    </row>
    <row r="2950" spans="1:4">
      <c r="A2950" s="1">
        <v>45840</v>
      </c>
      <c r="B2950" t="s">
        <v>45</v>
      </c>
      <c r="C2950">
        <v>12</v>
      </c>
      <c r="D2950" t="str">
        <f t="shared" si="46"/>
        <v>02/07/2025Maternity</v>
      </c>
    </row>
    <row r="2951" spans="1:4">
      <c r="A2951" s="1">
        <v>45840</v>
      </c>
      <c r="B2951" t="s">
        <v>50</v>
      </c>
      <c r="C2951">
        <v>19</v>
      </c>
      <c r="D2951" t="str">
        <f t="shared" si="46"/>
        <v>02/07/2025Renal Medicine</v>
      </c>
    </row>
    <row r="2952" spans="1:4">
      <c r="A2952" s="1">
        <v>45840</v>
      </c>
      <c r="B2952" t="s">
        <v>42</v>
      </c>
      <c r="C2952">
        <v>10</v>
      </c>
      <c r="D2952" t="str">
        <f t="shared" si="46"/>
        <v>02/07/2025Gastroenterology</v>
      </c>
    </row>
    <row r="2953" spans="1:4">
      <c r="A2953" s="1">
        <v>45840</v>
      </c>
      <c r="B2953" t="s">
        <v>98</v>
      </c>
      <c r="C2953">
        <v>8</v>
      </c>
      <c r="D2953" t="str">
        <f t="shared" si="46"/>
        <v>02/07/2025Endocrinology</v>
      </c>
    </row>
    <row r="2954" spans="1:4">
      <c r="A2954" s="1">
        <v>45840</v>
      </c>
      <c r="B2954" t="s">
        <v>100</v>
      </c>
      <c r="C2954">
        <v>10</v>
      </c>
      <c r="D2954" t="str">
        <f t="shared" si="46"/>
        <v>02/07/2025Urology</v>
      </c>
    </row>
    <row r="2955" spans="1:4">
      <c r="A2955" s="1">
        <v>45840</v>
      </c>
      <c r="B2955" t="s">
        <v>41</v>
      </c>
      <c r="C2955">
        <v>12</v>
      </c>
      <c r="D2955" t="str">
        <f t="shared" si="46"/>
        <v>02/07/2025ENT</v>
      </c>
    </row>
    <row r="2956" spans="1:4">
      <c r="A2956" s="1">
        <v>45840</v>
      </c>
      <c r="B2956" t="s">
        <v>44</v>
      </c>
      <c r="C2956">
        <v>14</v>
      </c>
      <c r="D2956" t="str">
        <f t="shared" si="46"/>
        <v>02/07/2025Geriatrics</v>
      </c>
    </row>
    <row r="2957" spans="1:4">
      <c r="A2957" s="1">
        <v>45841</v>
      </c>
      <c r="B2957" t="s">
        <v>39</v>
      </c>
      <c r="C2957">
        <v>23</v>
      </c>
      <c r="D2957" t="str">
        <f t="shared" si="46"/>
        <v>03/07/2025A&amp;E (Emergency)</v>
      </c>
    </row>
    <row r="2958" spans="1:4">
      <c r="A2958" s="1">
        <v>45841</v>
      </c>
      <c r="B2958" t="s">
        <v>40</v>
      </c>
      <c r="C2958">
        <v>16</v>
      </c>
      <c r="D2958" t="str">
        <f t="shared" si="46"/>
        <v>03/07/2025Cardiology</v>
      </c>
    </row>
    <row r="2959" spans="1:4">
      <c r="A2959" s="1">
        <v>45841</v>
      </c>
      <c r="B2959" t="s">
        <v>51</v>
      </c>
      <c r="C2959">
        <v>13</v>
      </c>
      <c r="D2959" t="str">
        <f t="shared" si="46"/>
        <v>03/07/2025Respiratory</v>
      </c>
    </row>
    <row r="2960" spans="1:4">
      <c r="A2960" s="1">
        <v>45841</v>
      </c>
      <c r="B2960" t="s">
        <v>43</v>
      </c>
      <c r="C2960">
        <v>19</v>
      </c>
      <c r="D2960" t="str">
        <f t="shared" si="46"/>
        <v>03/07/2025General Surgery</v>
      </c>
    </row>
    <row r="2961" spans="1:4">
      <c r="A2961" s="1">
        <v>45841</v>
      </c>
      <c r="B2961" t="s">
        <v>48</v>
      </c>
      <c r="C2961">
        <v>14</v>
      </c>
      <c r="D2961" t="str">
        <f t="shared" si="46"/>
        <v>03/07/2025Orthopaedics</v>
      </c>
    </row>
    <row r="2962" spans="1:4">
      <c r="A2962" s="1">
        <v>45841</v>
      </c>
      <c r="B2962" t="s">
        <v>46</v>
      </c>
      <c r="C2962">
        <v>12</v>
      </c>
      <c r="D2962" t="str">
        <f t="shared" si="46"/>
        <v>03/07/2025Neurology</v>
      </c>
    </row>
    <row r="2963" spans="1:4">
      <c r="A2963" s="1">
        <v>45841</v>
      </c>
      <c r="B2963" t="s">
        <v>47</v>
      </c>
      <c r="C2963">
        <v>16</v>
      </c>
      <c r="D2963" t="str">
        <f t="shared" si="46"/>
        <v>03/07/2025Oncology</v>
      </c>
    </row>
    <row r="2964" spans="1:4">
      <c r="A2964" s="1">
        <v>45841</v>
      </c>
      <c r="B2964" t="s">
        <v>49</v>
      </c>
      <c r="C2964">
        <v>11</v>
      </c>
      <c r="D2964" t="str">
        <f t="shared" si="46"/>
        <v>03/07/2025Paediatrics</v>
      </c>
    </row>
    <row r="2965" spans="1:4">
      <c r="A2965" s="1">
        <v>45841</v>
      </c>
      <c r="B2965" t="s">
        <v>45</v>
      </c>
      <c r="C2965">
        <v>12</v>
      </c>
      <c r="D2965" t="str">
        <f t="shared" si="46"/>
        <v>03/07/2025Maternity</v>
      </c>
    </row>
    <row r="2966" spans="1:4">
      <c r="A2966" s="1">
        <v>45841</v>
      </c>
      <c r="B2966" t="s">
        <v>50</v>
      </c>
      <c r="C2966">
        <v>19</v>
      </c>
      <c r="D2966" t="str">
        <f t="shared" si="46"/>
        <v>03/07/2025Renal Medicine</v>
      </c>
    </row>
    <row r="2967" spans="1:4">
      <c r="A2967" s="1">
        <v>45841</v>
      </c>
      <c r="B2967" t="s">
        <v>42</v>
      </c>
      <c r="C2967">
        <v>10</v>
      </c>
      <c r="D2967" t="str">
        <f t="shared" si="46"/>
        <v>03/07/2025Gastroenterology</v>
      </c>
    </row>
    <row r="2968" spans="1:4">
      <c r="A2968" s="1">
        <v>45841</v>
      </c>
      <c r="B2968" t="s">
        <v>98</v>
      </c>
      <c r="C2968">
        <v>8</v>
      </c>
      <c r="D2968" t="str">
        <f t="shared" si="46"/>
        <v>03/07/2025Endocrinology</v>
      </c>
    </row>
    <row r="2969" spans="1:4">
      <c r="A2969" s="1">
        <v>45841</v>
      </c>
      <c r="B2969" t="s">
        <v>100</v>
      </c>
      <c r="C2969">
        <v>10</v>
      </c>
      <c r="D2969" t="str">
        <f t="shared" si="46"/>
        <v>03/07/2025Urology</v>
      </c>
    </row>
    <row r="2970" spans="1:4">
      <c r="A2970" s="1">
        <v>45841</v>
      </c>
      <c r="B2970" t="s">
        <v>41</v>
      </c>
      <c r="C2970">
        <v>12</v>
      </c>
      <c r="D2970" t="str">
        <f t="shared" si="46"/>
        <v>03/07/2025ENT</v>
      </c>
    </row>
    <row r="2971" spans="1:4">
      <c r="A2971" s="1">
        <v>45841</v>
      </c>
      <c r="B2971" t="s">
        <v>44</v>
      </c>
      <c r="C2971">
        <v>14</v>
      </c>
      <c r="D2971" t="str">
        <f t="shared" si="46"/>
        <v>03/07/2025Geriatrics</v>
      </c>
    </row>
    <row r="2972" spans="1:4">
      <c r="A2972" s="1">
        <v>45842</v>
      </c>
      <c r="B2972" t="s">
        <v>39</v>
      </c>
      <c r="C2972">
        <v>22</v>
      </c>
      <c r="D2972" t="str">
        <f t="shared" si="46"/>
        <v>04/07/2025A&amp;E (Emergency)</v>
      </c>
    </row>
    <row r="2973" spans="1:4">
      <c r="A2973" s="1">
        <v>45842</v>
      </c>
      <c r="B2973" t="s">
        <v>40</v>
      </c>
      <c r="C2973">
        <v>15</v>
      </c>
      <c r="D2973" t="str">
        <f t="shared" si="46"/>
        <v>04/07/2025Cardiology</v>
      </c>
    </row>
    <row r="2974" spans="1:4">
      <c r="A2974" s="1">
        <v>45842</v>
      </c>
      <c r="B2974" t="s">
        <v>51</v>
      </c>
      <c r="C2974">
        <v>12</v>
      </c>
      <c r="D2974" t="str">
        <f t="shared" si="46"/>
        <v>04/07/2025Respiratory</v>
      </c>
    </row>
    <row r="2975" spans="1:4">
      <c r="A2975" s="1">
        <v>45842</v>
      </c>
      <c r="B2975" t="s">
        <v>43</v>
      </c>
      <c r="C2975">
        <v>18</v>
      </c>
      <c r="D2975" t="str">
        <f t="shared" si="46"/>
        <v>04/07/2025General Surgery</v>
      </c>
    </row>
    <row r="2976" spans="1:4">
      <c r="A2976" s="1">
        <v>45842</v>
      </c>
      <c r="B2976" t="s">
        <v>48</v>
      </c>
      <c r="C2976">
        <v>13</v>
      </c>
      <c r="D2976" t="str">
        <f t="shared" si="46"/>
        <v>04/07/2025Orthopaedics</v>
      </c>
    </row>
    <row r="2977" spans="1:4">
      <c r="A2977" s="1">
        <v>45842</v>
      </c>
      <c r="B2977" t="s">
        <v>46</v>
      </c>
      <c r="C2977">
        <v>11</v>
      </c>
      <c r="D2977" t="str">
        <f t="shared" si="46"/>
        <v>04/07/2025Neurology</v>
      </c>
    </row>
    <row r="2978" spans="1:4">
      <c r="A2978" s="1">
        <v>45842</v>
      </c>
      <c r="B2978" t="s">
        <v>47</v>
      </c>
      <c r="C2978">
        <v>15</v>
      </c>
      <c r="D2978" t="str">
        <f t="shared" si="46"/>
        <v>04/07/2025Oncology</v>
      </c>
    </row>
    <row r="2979" spans="1:4">
      <c r="A2979" s="1">
        <v>45842</v>
      </c>
      <c r="B2979" t="s">
        <v>49</v>
      </c>
      <c r="C2979">
        <v>10</v>
      </c>
      <c r="D2979" t="str">
        <f t="shared" si="46"/>
        <v>04/07/2025Paediatrics</v>
      </c>
    </row>
    <row r="2980" spans="1:4">
      <c r="A2980" s="1">
        <v>45842</v>
      </c>
      <c r="B2980" t="s">
        <v>45</v>
      </c>
      <c r="C2980">
        <v>11</v>
      </c>
      <c r="D2980" t="str">
        <f t="shared" si="46"/>
        <v>04/07/2025Maternity</v>
      </c>
    </row>
    <row r="2981" spans="1:4">
      <c r="A2981" s="1">
        <v>45842</v>
      </c>
      <c r="B2981" t="s">
        <v>50</v>
      </c>
      <c r="C2981">
        <v>18</v>
      </c>
      <c r="D2981" t="str">
        <f t="shared" si="46"/>
        <v>04/07/2025Renal Medicine</v>
      </c>
    </row>
    <row r="2982" spans="1:4">
      <c r="A2982" s="1">
        <v>45842</v>
      </c>
      <c r="B2982" t="s">
        <v>42</v>
      </c>
      <c r="C2982">
        <v>9</v>
      </c>
      <c r="D2982" t="str">
        <f t="shared" si="46"/>
        <v>04/07/2025Gastroenterology</v>
      </c>
    </row>
    <row r="2983" spans="1:4">
      <c r="A2983" s="1">
        <v>45842</v>
      </c>
      <c r="B2983" t="s">
        <v>98</v>
      </c>
      <c r="C2983">
        <v>7</v>
      </c>
      <c r="D2983" t="str">
        <f t="shared" si="46"/>
        <v>04/07/2025Endocrinology</v>
      </c>
    </row>
    <row r="2984" spans="1:4">
      <c r="A2984" s="1">
        <v>45842</v>
      </c>
      <c r="B2984" t="s">
        <v>100</v>
      </c>
      <c r="C2984">
        <v>9</v>
      </c>
      <c r="D2984" t="str">
        <f t="shared" si="46"/>
        <v>04/07/2025Urology</v>
      </c>
    </row>
    <row r="2985" spans="1:4">
      <c r="A2985" s="1">
        <v>45842</v>
      </c>
      <c r="B2985" t="s">
        <v>41</v>
      </c>
      <c r="C2985">
        <v>11</v>
      </c>
      <c r="D2985" t="str">
        <f t="shared" si="46"/>
        <v>04/07/2025ENT</v>
      </c>
    </row>
    <row r="2986" spans="1:4">
      <c r="A2986" s="1">
        <v>45842</v>
      </c>
      <c r="B2986" t="s">
        <v>44</v>
      </c>
      <c r="C2986">
        <v>13</v>
      </c>
      <c r="D2986" t="str">
        <f t="shared" si="46"/>
        <v>04/07/2025Geriatrics</v>
      </c>
    </row>
    <row r="2987" spans="1:4">
      <c r="A2987" s="1">
        <v>45843</v>
      </c>
      <c r="B2987" t="s">
        <v>39</v>
      </c>
      <c r="C2987">
        <v>20</v>
      </c>
      <c r="D2987" t="str">
        <f t="shared" si="46"/>
        <v>05/07/2025A&amp;E (Emergency)</v>
      </c>
    </row>
    <row r="2988" spans="1:4">
      <c r="A2988" s="1">
        <v>45843</v>
      </c>
      <c r="B2988" t="s">
        <v>40</v>
      </c>
      <c r="C2988">
        <v>12</v>
      </c>
      <c r="D2988" t="str">
        <f t="shared" si="46"/>
        <v>05/07/2025Cardiology</v>
      </c>
    </row>
    <row r="2989" spans="1:4">
      <c r="A2989" s="1">
        <v>45843</v>
      </c>
      <c r="B2989" t="s">
        <v>51</v>
      </c>
      <c r="C2989">
        <v>9</v>
      </c>
      <c r="D2989" t="str">
        <f t="shared" si="46"/>
        <v>05/07/2025Respiratory</v>
      </c>
    </row>
    <row r="2990" spans="1:4">
      <c r="A2990" s="1">
        <v>45843</v>
      </c>
      <c r="B2990" t="s">
        <v>43</v>
      </c>
      <c r="C2990">
        <v>15</v>
      </c>
      <c r="D2990" t="str">
        <f t="shared" si="46"/>
        <v>05/07/2025General Surgery</v>
      </c>
    </row>
    <row r="2991" spans="1:4">
      <c r="A2991" s="1">
        <v>45843</v>
      </c>
      <c r="B2991" t="s">
        <v>48</v>
      </c>
      <c r="C2991">
        <v>11</v>
      </c>
      <c r="D2991" t="str">
        <f t="shared" si="46"/>
        <v>05/07/2025Orthopaedics</v>
      </c>
    </row>
    <row r="2992" spans="1:4">
      <c r="A2992" s="1">
        <v>45843</v>
      </c>
      <c r="B2992" t="s">
        <v>46</v>
      </c>
      <c r="C2992">
        <v>9</v>
      </c>
      <c r="D2992" t="str">
        <f t="shared" si="46"/>
        <v>05/07/2025Neurology</v>
      </c>
    </row>
    <row r="2993" spans="1:4">
      <c r="A2993" s="1">
        <v>45843</v>
      </c>
      <c r="B2993" t="s">
        <v>47</v>
      </c>
      <c r="C2993">
        <v>13</v>
      </c>
      <c r="D2993" t="str">
        <f t="shared" si="46"/>
        <v>05/07/2025Oncology</v>
      </c>
    </row>
    <row r="2994" spans="1:4">
      <c r="A2994" s="1">
        <v>45843</v>
      </c>
      <c r="B2994" t="s">
        <v>49</v>
      </c>
      <c r="C2994">
        <v>9</v>
      </c>
      <c r="D2994" t="str">
        <f t="shared" si="46"/>
        <v>05/07/2025Paediatrics</v>
      </c>
    </row>
    <row r="2995" spans="1:4">
      <c r="A2995" s="1">
        <v>45843</v>
      </c>
      <c r="B2995" t="s">
        <v>45</v>
      </c>
      <c r="C2995">
        <v>10</v>
      </c>
      <c r="D2995" t="str">
        <f t="shared" si="46"/>
        <v>05/07/2025Maternity</v>
      </c>
    </row>
    <row r="2996" spans="1:4">
      <c r="A2996" s="1">
        <v>45843</v>
      </c>
      <c r="B2996" t="s">
        <v>50</v>
      </c>
      <c r="C2996">
        <v>17</v>
      </c>
      <c r="D2996" t="str">
        <f t="shared" si="46"/>
        <v>05/07/2025Renal Medicine</v>
      </c>
    </row>
    <row r="2997" spans="1:4">
      <c r="A2997" s="1">
        <v>45843</v>
      </c>
      <c r="B2997" t="s">
        <v>42</v>
      </c>
      <c r="C2997">
        <v>7</v>
      </c>
      <c r="D2997" t="str">
        <f t="shared" si="46"/>
        <v>05/07/2025Gastroenterology</v>
      </c>
    </row>
    <row r="2998" spans="1:4">
      <c r="A2998" s="1">
        <v>45843</v>
      </c>
      <c r="B2998" t="s">
        <v>98</v>
      </c>
      <c r="C2998">
        <v>6</v>
      </c>
      <c r="D2998" t="str">
        <f t="shared" si="46"/>
        <v>05/07/2025Endocrinology</v>
      </c>
    </row>
    <row r="2999" spans="1:4">
      <c r="A2999" s="1">
        <v>45843</v>
      </c>
      <c r="B2999" t="s">
        <v>100</v>
      </c>
      <c r="C2999">
        <v>8</v>
      </c>
      <c r="D2999" t="str">
        <f t="shared" si="46"/>
        <v>05/07/2025Urology</v>
      </c>
    </row>
    <row r="3000" spans="1:4">
      <c r="A3000" s="1">
        <v>45843</v>
      </c>
      <c r="B3000" t="s">
        <v>41</v>
      </c>
      <c r="C3000">
        <v>10</v>
      </c>
      <c r="D3000" t="str">
        <f t="shared" si="46"/>
        <v>05/07/2025ENT</v>
      </c>
    </row>
    <row r="3001" spans="1:4">
      <c r="A3001" s="1">
        <v>45843</v>
      </c>
      <c r="B3001" t="s">
        <v>44</v>
      </c>
      <c r="C3001">
        <v>12</v>
      </c>
      <c r="D3001" t="str">
        <f t="shared" si="46"/>
        <v>05/07/2025Geriatrics</v>
      </c>
    </row>
    <row r="3002" spans="1:4">
      <c r="A3002" s="1">
        <v>45844</v>
      </c>
      <c r="B3002" t="s">
        <v>39</v>
      </c>
      <c r="C3002">
        <v>19</v>
      </c>
      <c r="D3002" t="str">
        <f t="shared" si="46"/>
        <v>06/07/2025A&amp;E (Emergency)</v>
      </c>
    </row>
    <row r="3003" spans="1:4">
      <c r="A3003" s="1">
        <v>45844</v>
      </c>
      <c r="B3003" t="s">
        <v>40</v>
      </c>
      <c r="C3003">
        <v>11</v>
      </c>
      <c r="D3003" t="str">
        <f t="shared" si="46"/>
        <v>06/07/2025Cardiology</v>
      </c>
    </row>
    <row r="3004" spans="1:4">
      <c r="A3004" s="1">
        <v>45844</v>
      </c>
      <c r="B3004" t="s">
        <v>51</v>
      </c>
      <c r="C3004">
        <v>9</v>
      </c>
      <c r="D3004" t="str">
        <f t="shared" si="46"/>
        <v>06/07/2025Respiratory</v>
      </c>
    </row>
    <row r="3005" spans="1:4">
      <c r="A3005" s="1">
        <v>45844</v>
      </c>
      <c r="B3005" t="s">
        <v>43</v>
      </c>
      <c r="C3005">
        <v>14</v>
      </c>
      <c r="D3005" t="str">
        <f t="shared" si="46"/>
        <v>06/07/2025General Surgery</v>
      </c>
    </row>
    <row r="3006" spans="1:4">
      <c r="A3006" s="1">
        <v>45844</v>
      </c>
      <c r="B3006" t="s">
        <v>48</v>
      </c>
      <c r="C3006">
        <v>10</v>
      </c>
      <c r="D3006" t="str">
        <f t="shared" si="46"/>
        <v>06/07/2025Orthopaedics</v>
      </c>
    </row>
    <row r="3007" spans="1:4">
      <c r="A3007" s="1">
        <v>45844</v>
      </c>
      <c r="B3007" t="s">
        <v>46</v>
      </c>
      <c r="C3007">
        <v>9</v>
      </c>
      <c r="D3007" t="str">
        <f t="shared" si="46"/>
        <v>06/07/2025Neurology</v>
      </c>
    </row>
    <row r="3008" spans="1:4">
      <c r="A3008" s="1">
        <v>45844</v>
      </c>
      <c r="B3008" t="s">
        <v>47</v>
      </c>
      <c r="C3008">
        <v>12</v>
      </c>
      <c r="D3008" t="str">
        <f t="shared" si="46"/>
        <v>06/07/2025Oncology</v>
      </c>
    </row>
    <row r="3009" spans="1:4">
      <c r="A3009" s="1">
        <v>45844</v>
      </c>
      <c r="B3009" t="s">
        <v>49</v>
      </c>
      <c r="C3009">
        <v>8</v>
      </c>
      <c r="D3009" t="str">
        <f t="shared" si="46"/>
        <v>06/07/2025Paediatrics</v>
      </c>
    </row>
    <row r="3010" spans="1:4">
      <c r="A3010" s="1">
        <v>45844</v>
      </c>
      <c r="B3010" t="s">
        <v>45</v>
      </c>
      <c r="C3010">
        <v>9</v>
      </c>
      <c r="D3010" t="str">
        <f t="shared" si="46"/>
        <v>06/07/2025Maternity</v>
      </c>
    </row>
    <row r="3011" spans="1:4">
      <c r="A3011" s="1">
        <v>45844</v>
      </c>
      <c r="B3011" t="s">
        <v>50</v>
      </c>
      <c r="C3011">
        <v>17</v>
      </c>
      <c r="D3011" t="str">
        <f t="shared" ref="D3011:D3074" si="47">TEXT(A3011, "dd/mm/yyyy")&amp;B3011</f>
        <v>06/07/2025Renal Medicine</v>
      </c>
    </row>
    <row r="3012" spans="1:4">
      <c r="A3012" s="1">
        <v>45844</v>
      </c>
      <c r="B3012" t="s">
        <v>42</v>
      </c>
      <c r="C3012">
        <v>7</v>
      </c>
      <c r="D3012" t="str">
        <f t="shared" si="47"/>
        <v>06/07/2025Gastroenterology</v>
      </c>
    </row>
    <row r="3013" spans="1:4">
      <c r="A3013" s="1">
        <v>45844</v>
      </c>
      <c r="B3013" t="s">
        <v>98</v>
      </c>
      <c r="C3013">
        <v>6</v>
      </c>
      <c r="D3013" t="str">
        <f t="shared" si="47"/>
        <v>06/07/2025Endocrinology</v>
      </c>
    </row>
    <row r="3014" spans="1:4">
      <c r="A3014" s="1">
        <v>45844</v>
      </c>
      <c r="B3014" t="s">
        <v>100</v>
      </c>
      <c r="C3014">
        <v>8</v>
      </c>
      <c r="D3014" t="str">
        <f t="shared" si="47"/>
        <v>06/07/2025Urology</v>
      </c>
    </row>
    <row r="3015" spans="1:4">
      <c r="A3015" s="1">
        <v>45844</v>
      </c>
      <c r="B3015" t="s">
        <v>41</v>
      </c>
      <c r="C3015">
        <v>10</v>
      </c>
      <c r="D3015" t="str">
        <f t="shared" si="47"/>
        <v>06/07/2025ENT</v>
      </c>
    </row>
    <row r="3016" spans="1:4">
      <c r="A3016" s="1">
        <v>45844</v>
      </c>
      <c r="B3016" t="s">
        <v>44</v>
      </c>
      <c r="C3016">
        <v>12</v>
      </c>
      <c r="D3016" t="str">
        <f t="shared" si="47"/>
        <v>06/07/2025Geriatrics</v>
      </c>
    </row>
    <row r="3017" spans="1:4">
      <c r="A3017" s="1">
        <v>45845</v>
      </c>
      <c r="B3017" t="s">
        <v>39</v>
      </c>
      <c r="C3017">
        <v>28</v>
      </c>
      <c r="D3017" t="str">
        <f t="shared" si="47"/>
        <v>07/07/2025A&amp;E (Emergency)</v>
      </c>
    </row>
    <row r="3018" spans="1:4">
      <c r="A3018" s="1">
        <v>45845</v>
      </c>
      <c r="B3018" t="s">
        <v>40</v>
      </c>
      <c r="C3018">
        <v>18</v>
      </c>
      <c r="D3018" t="str">
        <f t="shared" si="47"/>
        <v>07/07/2025Cardiology</v>
      </c>
    </row>
    <row r="3019" spans="1:4">
      <c r="A3019" s="1">
        <v>45845</v>
      </c>
      <c r="B3019" t="s">
        <v>51</v>
      </c>
      <c r="C3019">
        <v>15</v>
      </c>
      <c r="D3019" t="str">
        <f t="shared" si="47"/>
        <v>07/07/2025Respiratory</v>
      </c>
    </row>
    <row r="3020" spans="1:4">
      <c r="A3020" s="1">
        <v>45845</v>
      </c>
      <c r="B3020" t="s">
        <v>43</v>
      </c>
      <c r="C3020">
        <v>22</v>
      </c>
      <c r="D3020" t="str">
        <f t="shared" si="47"/>
        <v>07/07/2025General Surgery</v>
      </c>
    </row>
    <row r="3021" spans="1:4">
      <c r="A3021" s="1">
        <v>45845</v>
      </c>
      <c r="B3021" t="s">
        <v>48</v>
      </c>
      <c r="C3021">
        <v>16</v>
      </c>
      <c r="D3021" t="str">
        <f t="shared" si="47"/>
        <v>07/07/2025Orthopaedics</v>
      </c>
    </row>
    <row r="3022" spans="1:4">
      <c r="A3022" s="1">
        <v>45845</v>
      </c>
      <c r="B3022" t="s">
        <v>46</v>
      </c>
      <c r="C3022">
        <v>14</v>
      </c>
      <c r="D3022" t="str">
        <f t="shared" si="47"/>
        <v>07/07/2025Neurology</v>
      </c>
    </row>
    <row r="3023" spans="1:4">
      <c r="A3023" s="1">
        <v>45845</v>
      </c>
      <c r="B3023" t="s">
        <v>47</v>
      </c>
      <c r="C3023">
        <v>18</v>
      </c>
      <c r="D3023" t="str">
        <f t="shared" si="47"/>
        <v>07/07/2025Oncology</v>
      </c>
    </row>
    <row r="3024" spans="1:4">
      <c r="A3024" s="1">
        <v>45845</v>
      </c>
      <c r="B3024" t="s">
        <v>49</v>
      </c>
      <c r="C3024">
        <v>13</v>
      </c>
      <c r="D3024" t="str">
        <f t="shared" si="47"/>
        <v>07/07/2025Paediatrics</v>
      </c>
    </row>
    <row r="3025" spans="1:4">
      <c r="A3025" s="1">
        <v>45845</v>
      </c>
      <c r="B3025" t="s">
        <v>45</v>
      </c>
      <c r="C3025">
        <v>13</v>
      </c>
      <c r="D3025" t="str">
        <f t="shared" si="47"/>
        <v>07/07/2025Maternity</v>
      </c>
    </row>
    <row r="3026" spans="1:4">
      <c r="A3026" s="1">
        <v>45845</v>
      </c>
      <c r="B3026" t="s">
        <v>50</v>
      </c>
      <c r="C3026">
        <v>21</v>
      </c>
      <c r="D3026" t="str">
        <f t="shared" si="47"/>
        <v>07/07/2025Renal Medicine</v>
      </c>
    </row>
    <row r="3027" spans="1:4">
      <c r="A3027" s="1">
        <v>45845</v>
      </c>
      <c r="B3027" t="s">
        <v>42</v>
      </c>
      <c r="C3027">
        <v>12</v>
      </c>
      <c r="D3027" t="str">
        <f t="shared" si="47"/>
        <v>07/07/2025Gastroenterology</v>
      </c>
    </row>
    <row r="3028" spans="1:4">
      <c r="A3028" s="1">
        <v>45845</v>
      </c>
      <c r="B3028" t="s">
        <v>98</v>
      </c>
      <c r="C3028">
        <v>10</v>
      </c>
      <c r="D3028" t="str">
        <f t="shared" si="47"/>
        <v>07/07/2025Endocrinology</v>
      </c>
    </row>
    <row r="3029" spans="1:4">
      <c r="A3029" s="1">
        <v>45845</v>
      </c>
      <c r="B3029" t="s">
        <v>100</v>
      </c>
      <c r="C3029">
        <v>11</v>
      </c>
      <c r="D3029" t="str">
        <f t="shared" si="47"/>
        <v>07/07/2025Urology</v>
      </c>
    </row>
    <row r="3030" spans="1:4">
      <c r="A3030" s="1">
        <v>45845</v>
      </c>
      <c r="B3030" t="s">
        <v>41</v>
      </c>
      <c r="C3030">
        <v>13</v>
      </c>
      <c r="D3030" t="str">
        <f t="shared" si="47"/>
        <v>07/07/2025ENT</v>
      </c>
    </row>
    <row r="3031" spans="1:4">
      <c r="A3031" s="1">
        <v>45845</v>
      </c>
      <c r="B3031" t="s">
        <v>44</v>
      </c>
      <c r="C3031">
        <v>16</v>
      </c>
      <c r="D3031" t="str">
        <f t="shared" si="47"/>
        <v>07/07/2025Geriatrics</v>
      </c>
    </row>
    <row r="3032" spans="1:4">
      <c r="A3032" s="1">
        <v>45846</v>
      </c>
      <c r="B3032" t="s">
        <v>39</v>
      </c>
      <c r="C3032">
        <v>25</v>
      </c>
      <c r="D3032" t="str">
        <f t="shared" si="47"/>
        <v>08/07/2025A&amp;E (Emergency)</v>
      </c>
    </row>
    <row r="3033" spans="1:4">
      <c r="A3033" s="1">
        <v>45846</v>
      </c>
      <c r="B3033" t="s">
        <v>40</v>
      </c>
      <c r="C3033">
        <v>17</v>
      </c>
      <c r="D3033" t="str">
        <f t="shared" si="47"/>
        <v>08/07/2025Cardiology</v>
      </c>
    </row>
    <row r="3034" spans="1:4">
      <c r="A3034" s="1">
        <v>45846</v>
      </c>
      <c r="B3034" t="s">
        <v>51</v>
      </c>
      <c r="C3034">
        <v>14</v>
      </c>
      <c r="D3034" t="str">
        <f t="shared" si="47"/>
        <v>08/07/2025Respiratory</v>
      </c>
    </row>
    <row r="3035" spans="1:4">
      <c r="A3035" s="1">
        <v>45846</v>
      </c>
      <c r="B3035" t="s">
        <v>43</v>
      </c>
      <c r="C3035">
        <v>20</v>
      </c>
      <c r="D3035" t="str">
        <f t="shared" si="47"/>
        <v>08/07/2025General Surgery</v>
      </c>
    </row>
    <row r="3036" spans="1:4">
      <c r="A3036" s="1">
        <v>45846</v>
      </c>
      <c r="B3036" t="s">
        <v>48</v>
      </c>
      <c r="C3036">
        <v>15</v>
      </c>
      <c r="D3036" t="str">
        <f t="shared" si="47"/>
        <v>08/07/2025Orthopaedics</v>
      </c>
    </row>
    <row r="3037" spans="1:4">
      <c r="A3037" s="1">
        <v>45846</v>
      </c>
      <c r="B3037" t="s">
        <v>46</v>
      </c>
      <c r="C3037">
        <v>13</v>
      </c>
      <c r="D3037" t="str">
        <f t="shared" si="47"/>
        <v>08/07/2025Neurology</v>
      </c>
    </row>
    <row r="3038" spans="1:4">
      <c r="A3038" s="1">
        <v>45846</v>
      </c>
      <c r="B3038" t="s">
        <v>47</v>
      </c>
      <c r="C3038">
        <v>17</v>
      </c>
      <c r="D3038" t="str">
        <f t="shared" si="47"/>
        <v>08/07/2025Oncology</v>
      </c>
    </row>
    <row r="3039" spans="1:4">
      <c r="A3039" s="1">
        <v>45846</v>
      </c>
      <c r="B3039" t="s">
        <v>49</v>
      </c>
      <c r="C3039">
        <v>12</v>
      </c>
      <c r="D3039" t="str">
        <f t="shared" si="47"/>
        <v>08/07/2025Paediatrics</v>
      </c>
    </row>
    <row r="3040" spans="1:4">
      <c r="A3040" s="1">
        <v>45846</v>
      </c>
      <c r="B3040" t="s">
        <v>45</v>
      </c>
      <c r="C3040">
        <v>12</v>
      </c>
      <c r="D3040" t="str">
        <f t="shared" si="47"/>
        <v>08/07/2025Maternity</v>
      </c>
    </row>
    <row r="3041" spans="1:4">
      <c r="A3041" s="1">
        <v>45846</v>
      </c>
      <c r="B3041" t="s">
        <v>50</v>
      </c>
      <c r="C3041">
        <v>20</v>
      </c>
      <c r="D3041" t="str">
        <f t="shared" si="47"/>
        <v>08/07/2025Renal Medicine</v>
      </c>
    </row>
    <row r="3042" spans="1:4">
      <c r="A3042" s="1">
        <v>45846</v>
      </c>
      <c r="B3042" t="s">
        <v>42</v>
      </c>
      <c r="C3042">
        <v>11</v>
      </c>
      <c r="D3042" t="str">
        <f t="shared" si="47"/>
        <v>08/07/2025Gastroenterology</v>
      </c>
    </row>
    <row r="3043" spans="1:4">
      <c r="A3043" s="1">
        <v>45846</v>
      </c>
      <c r="B3043" t="s">
        <v>98</v>
      </c>
      <c r="C3043">
        <v>9</v>
      </c>
      <c r="D3043" t="str">
        <f t="shared" si="47"/>
        <v>08/07/2025Endocrinology</v>
      </c>
    </row>
    <row r="3044" spans="1:4">
      <c r="A3044" s="1">
        <v>45846</v>
      </c>
      <c r="B3044" t="s">
        <v>100</v>
      </c>
      <c r="C3044">
        <v>10</v>
      </c>
      <c r="D3044" t="str">
        <f t="shared" si="47"/>
        <v>08/07/2025Urology</v>
      </c>
    </row>
    <row r="3045" spans="1:4">
      <c r="A3045" s="1">
        <v>45846</v>
      </c>
      <c r="B3045" t="s">
        <v>41</v>
      </c>
      <c r="C3045">
        <v>12</v>
      </c>
      <c r="D3045" t="str">
        <f t="shared" si="47"/>
        <v>08/07/2025ENT</v>
      </c>
    </row>
    <row r="3046" spans="1:4">
      <c r="A3046" s="1">
        <v>45846</v>
      </c>
      <c r="B3046" t="s">
        <v>44</v>
      </c>
      <c r="C3046">
        <v>15</v>
      </c>
      <c r="D3046" t="str">
        <f t="shared" si="47"/>
        <v>08/07/2025Geriatrics</v>
      </c>
    </row>
    <row r="3047" spans="1:4">
      <c r="A3047" s="1">
        <v>45847</v>
      </c>
      <c r="B3047" t="s">
        <v>39</v>
      </c>
      <c r="C3047">
        <v>24</v>
      </c>
      <c r="D3047" t="str">
        <f t="shared" si="47"/>
        <v>09/07/2025A&amp;E (Emergency)</v>
      </c>
    </row>
    <row r="3048" spans="1:4">
      <c r="A3048" s="1">
        <v>45847</v>
      </c>
      <c r="B3048" t="s">
        <v>40</v>
      </c>
      <c r="C3048">
        <v>16</v>
      </c>
      <c r="D3048" t="str">
        <f t="shared" si="47"/>
        <v>09/07/2025Cardiology</v>
      </c>
    </row>
    <row r="3049" spans="1:4">
      <c r="A3049" s="1">
        <v>45847</v>
      </c>
      <c r="B3049" t="s">
        <v>51</v>
      </c>
      <c r="C3049">
        <v>13</v>
      </c>
      <c r="D3049" t="str">
        <f t="shared" si="47"/>
        <v>09/07/2025Respiratory</v>
      </c>
    </row>
    <row r="3050" spans="1:4">
      <c r="A3050" s="1">
        <v>45847</v>
      </c>
      <c r="B3050" t="s">
        <v>43</v>
      </c>
      <c r="C3050">
        <v>19</v>
      </c>
      <c r="D3050" t="str">
        <f t="shared" si="47"/>
        <v>09/07/2025General Surgery</v>
      </c>
    </row>
    <row r="3051" spans="1:4">
      <c r="A3051" s="1">
        <v>45847</v>
      </c>
      <c r="B3051" t="s">
        <v>48</v>
      </c>
      <c r="C3051">
        <v>14</v>
      </c>
      <c r="D3051" t="str">
        <f t="shared" si="47"/>
        <v>09/07/2025Orthopaedics</v>
      </c>
    </row>
    <row r="3052" spans="1:4">
      <c r="A3052" s="1">
        <v>45847</v>
      </c>
      <c r="B3052" t="s">
        <v>46</v>
      </c>
      <c r="C3052">
        <v>12</v>
      </c>
      <c r="D3052" t="str">
        <f t="shared" si="47"/>
        <v>09/07/2025Neurology</v>
      </c>
    </row>
    <row r="3053" spans="1:4">
      <c r="A3053" s="1">
        <v>45847</v>
      </c>
      <c r="B3053" t="s">
        <v>47</v>
      </c>
      <c r="C3053">
        <v>16</v>
      </c>
      <c r="D3053" t="str">
        <f t="shared" si="47"/>
        <v>09/07/2025Oncology</v>
      </c>
    </row>
    <row r="3054" spans="1:4">
      <c r="A3054" s="1">
        <v>45847</v>
      </c>
      <c r="B3054" t="s">
        <v>49</v>
      </c>
      <c r="C3054">
        <v>11</v>
      </c>
      <c r="D3054" t="str">
        <f t="shared" si="47"/>
        <v>09/07/2025Paediatrics</v>
      </c>
    </row>
    <row r="3055" spans="1:4">
      <c r="A3055" s="1">
        <v>45847</v>
      </c>
      <c r="B3055" t="s">
        <v>45</v>
      </c>
      <c r="C3055">
        <v>12</v>
      </c>
      <c r="D3055" t="str">
        <f t="shared" si="47"/>
        <v>09/07/2025Maternity</v>
      </c>
    </row>
    <row r="3056" spans="1:4">
      <c r="A3056" s="1">
        <v>45847</v>
      </c>
      <c r="B3056" t="s">
        <v>50</v>
      </c>
      <c r="C3056">
        <v>19</v>
      </c>
      <c r="D3056" t="str">
        <f t="shared" si="47"/>
        <v>09/07/2025Renal Medicine</v>
      </c>
    </row>
    <row r="3057" spans="1:4">
      <c r="A3057" s="1">
        <v>45847</v>
      </c>
      <c r="B3057" t="s">
        <v>42</v>
      </c>
      <c r="C3057">
        <v>10</v>
      </c>
      <c r="D3057" t="str">
        <f t="shared" si="47"/>
        <v>09/07/2025Gastroenterology</v>
      </c>
    </row>
    <row r="3058" spans="1:4">
      <c r="A3058" s="1">
        <v>45847</v>
      </c>
      <c r="B3058" t="s">
        <v>98</v>
      </c>
      <c r="C3058">
        <v>8</v>
      </c>
      <c r="D3058" t="str">
        <f t="shared" si="47"/>
        <v>09/07/2025Endocrinology</v>
      </c>
    </row>
    <row r="3059" spans="1:4">
      <c r="A3059" s="1">
        <v>45847</v>
      </c>
      <c r="B3059" t="s">
        <v>100</v>
      </c>
      <c r="C3059">
        <v>10</v>
      </c>
      <c r="D3059" t="str">
        <f t="shared" si="47"/>
        <v>09/07/2025Urology</v>
      </c>
    </row>
    <row r="3060" spans="1:4">
      <c r="A3060" s="1">
        <v>45847</v>
      </c>
      <c r="B3060" t="s">
        <v>41</v>
      </c>
      <c r="C3060">
        <v>12</v>
      </c>
      <c r="D3060" t="str">
        <f t="shared" si="47"/>
        <v>09/07/2025ENT</v>
      </c>
    </row>
    <row r="3061" spans="1:4">
      <c r="A3061" s="1">
        <v>45847</v>
      </c>
      <c r="B3061" t="s">
        <v>44</v>
      </c>
      <c r="C3061">
        <v>14</v>
      </c>
      <c r="D3061" t="str">
        <f t="shared" si="47"/>
        <v>09/07/2025Geriatrics</v>
      </c>
    </row>
    <row r="3062" spans="1:4">
      <c r="A3062" s="1">
        <v>45848</v>
      </c>
      <c r="B3062" t="s">
        <v>39</v>
      </c>
      <c r="C3062">
        <v>23</v>
      </c>
      <c r="D3062" t="str">
        <f t="shared" si="47"/>
        <v>10/07/2025A&amp;E (Emergency)</v>
      </c>
    </row>
    <row r="3063" spans="1:4">
      <c r="A3063" s="1">
        <v>45848</v>
      </c>
      <c r="B3063" t="s">
        <v>40</v>
      </c>
      <c r="C3063">
        <v>16</v>
      </c>
      <c r="D3063" t="str">
        <f t="shared" si="47"/>
        <v>10/07/2025Cardiology</v>
      </c>
    </row>
    <row r="3064" spans="1:4">
      <c r="A3064" s="1">
        <v>45848</v>
      </c>
      <c r="B3064" t="s">
        <v>51</v>
      </c>
      <c r="C3064">
        <v>13</v>
      </c>
      <c r="D3064" t="str">
        <f t="shared" si="47"/>
        <v>10/07/2025Respiratory</v>
      </c>
    </row>
    <row r="3065" spans="1:4">
      <c r="A3065" s="1">
        <v>45848</v>
      </c>
      <c r="B3065" t="s">
        <v>43</v>
      </c>
      <c r="C3065">
        <v>19</v>
      </c>
      <c r="D3065" t="str">
        <f t="shared" si="47"/>
        <v>10/07/2025General Surgery</v>
      </c>
    </row>
    <row r="3066" spans="1:4">
      <c r="A3066" s="1">
        <v>45848</v>
      </c>
      <c r="B3066" t="s">
        <v>48</v>
      </c>
      <c r="C3066">
        <v>14</v>
      </c>
      <c r="D3066" t="str">
        <f t="shared" si="47"/>
        <v>10/07/2025Orthopaedics</v>
      </c>
    </row>
    <row r="3067" spans="1:4">
      <c r="A3067" s="1">
        <v>45848</v>
      </c>
      <c r="B3067" t="s">
        <v>46</v>
      </c>
      <c r="C3067">
        <v>12</v>
      </c>
      <c r="D3067" t="str">
        <f t="shared" si="47"/>
        <v>10/07/2025Neurology</v>
      </c>
    </row>
    <row r="3068" spans="1:4">
      <c r="A3068" s="1">
        <v>45848</v>
      </c>
      <c r="B3068" t="s">
        <v>47</v>
      </c>
      <c r="C3068">
        <v>16</v>
      </c>
      <c r="D3068" t="str">
        <f t="shared" si="47"/>
        <v>10/07/2025Oncology</v>
      </c>
    </row>
    <row r="3069" spans="1:4">
      <c r="A3069" s="1">
        <v>45848</v>
      </c>
      <c r="B3069" t="s">
        <v>49</v>
      </c>
      <c r="C3069">
        <v>11</v>
      </c>
      <c r="D3069" t="str">
        <f t="shared" si="47"/>
        <v>10/07/2025Paediatrics</v>
      </c>
    </row>
    <row r="3070" spans="1:4">
      <c r="A3070" s="1">
        <v>45848</v>
      </c>
      <c r="B3070" t="s">
        <v>45</v>
      </c>
      <c r="C3070">
        <v>12</v>
      </c>
      <c r="D3070" t="str">
        <f t="shared" si="47"/>
        <v>10/07/2025Maternity</v>
      </c>
    </row>
    <row r="3071" spans="1:4">
      <c r="A3071" s="1">
        <v>45848</v>
      </c>
      <c r="B3071" t="s">
        <v>50</v>
      </c>
      <c r="C3071">
        <v>19</v>
      </c>
      <c r="D3071" t="str">
        <f t="shared" si="47"/>
        <v>10/07/2025Renal Medicine</v>
      </c>
    </row>
    <row r="3072" spans="1:4">
      <c r="A3072" s="1">
        <v>45848</v>
      </c>
      <c r="B3072" t="s">
        <v>42</v>
      </c>
      <c r="C3072">
        <v>10</v>
      </c>
      <c r="D3072" t="str">
        <f t="shared" si="47"/>
        <v>10/07/2025Gastroenterology</v>
      </c>
    </row>
    <row r="3073" spans="1:4">
      <c r="A3073" s="1">
        <v>45848</v>
      </c>
      <c r="B3073" t="s">
        <v>98</v>
      </c>
      <c r="C3073">
        <v>8</v>
      </c>
      <c r="D3073" t="str">
        <f t="shared" si="47"/>
        <v>10/07/2025Endocrinology</v>
      </c>
    </row>
    <row r="3074" spans="1:4">
      <c r="A3074" s="1">
        <v>45848</v>
      </c>
      <c r="B3074" t="s">
        <v>100</v>
      </c>
      <c r="C3074">
        <v>10</v>
      </c>
      <c r="D3074" t="str">
        <f t="shared" si="47"/>
        <v>10/07/2025Urology</v>
      </c>
    </row>
    <row r="3075" spans="1:4">
      <c r="A3075" s="1">
        <v>45848</v>
      </c>
      <c r="B3075" t="s">
        <v>41</v>
      </c>
      <c r="C3075">
        <v>12</v>
      </c>
      <c r="D3075" t="str">
        <f t="shared" ref="D3075:D3138" si="48">TEXT(A3075, "dd/mm/yyyy")&amp;B3075</f>
        <v>10/07/2025ENT</v>
      </c>
    </row>
    <row r="3076" spans="1:4">
      <c r="A3076" s="1">
        <v>45848</v>
      </c>
      <c r="B3076" t="s">
        <v>44</v>
      </c>
      <c r="C3076">
        <v>14</v>
      </c>
      <c r="D3076" t="str">
        <f t="shared" si="48"/>
        <v>10/07/2025Geriatrics</v>
      </c>
    </row>
    <row r="3077" spans="1:4">
      <c r="A3077" s="1">
        <v>45849</v>
      </c>
      <c r="B3077" t="s">
        <v>39</v>
      </c>
      <c r="C3077">
        <v>22</v>
      </c>
      <c r="D3077" t="str">
        <f t="shared" si="48"/>
        <v>11/07/2025A&amp;E (Emergency)</v>
      </c>
    </row>
    <row r="3078" spans="1:4">
      <c r="A3078" s="1">
        <v>45849</v>
      </c>
      <c r="B3078" t="s">
        <v>40</v>
      </c>
      <c r="C3078">
        <v>15</v>
      </c>
      <c r="D3078" t="str">
        <f t="shared" si="48"/>
        <v>11/07/2025Cardiology</v>
      </c>
    </row>
    <row r="3079" spans="1:4">
      <c r="A3079" s="1">
        <v>45849</v>
      </c>
      <c r="B3079" t="s">
        <v>51</v>
      </c>
      <c r="C3079">
        <v>12</v>
      </c>
      <c r="D3079" t="str">
        <f t="shared" si="48"/>
        <v>11/07/2025Respiratory</v>
      </c>
    </row>
    <row r="3080" spans="1:4">
      <c r="A3080" s="1">
        <v>45849</v>
      </c>
      <c r="B3080" t="s">
        <v>43</v>
      </c>
      <c r="C3080">
        <v>18</v>
      </c>
      <c r="D3080" t="str">
        <f t="shared" si="48"/>
        <v>11/07/2025General Surgery</v>
      </c>
    </row>
    <row r="3081" spans="1:4">
      <c r="A3081" s="1">
        <v>45849</v>
      </c>
      <c r="B3081" t="s">
        <v>48</v>
      </c>
      <c r="C3081">
        <v>13</v>
      </c>
      <c r="D3081" t="str">
        <f t="shared" si="48"/>
        <v>11/07/2025Orthopaedics</v>
      </c>
    </row>
    <row r="3082" spans="1:4">
      <c r="A3082" s="1">
        <v>45849</v>
      </c>
      <c r="B3082" t="s">
        <v>46</v>
      </c>
      <c r="C3082">
        <v>11</v>
      </c>
      <c r="D3082" t="str">
        <f t="shared" si="48"/>
        <v>11/07/2025Neurology</v>
      </c>
    </row>
    <row r="3083" spans="1:4">
      <c r="A3083" s="1">
        <v>45849</v>
      </c>
      <c r="B3083" t="s">
        <v>47</v>
      </c>
      <c r="C3083">
        <v>15</v>
      </c>
      <c r="D3083" t="str">
        <f t="shared" si="48"/>
        <v>11/07/2025Oncology</v>
      </c>
    </row>
    <row r="3084" spans="1:4">
      <c r="A3084" s="1">
        <v>45849</v>
      </c>
      <c r="B3084" t="s">
        <v>49</v>
      </c>
      <c r="C3084">
        <v>10</v>
      </c>
      <c r="D3084" t="str">
        <f t="shared" si="48"/>
        <v>11/07/2025Paediatrics</v>
      </c>
    </row>
    <row r="3085" spans="1:4">
      <c r="A3085" s="1">
        <v>45849</v>
      </c>
      <c r="B3085" t="s">
        <v>45</v>
      </c>
      <c r="C3085">
        <v>11</v>
      </c>
      <c r="D3085" t="str">
        <f t="shared" si="48"/>
        <v>11/07/2025Maternity</v>
      </c>
    </row>
    <row r="3086" spans="1:4">
      <c r="A3086" s="1">
        <v>45849</v>
      </c>
      <c r="B3086" t="s">
        <v>50</v>
      </c>
      <c r="C3086">
        <v>18</v>
      </c>
      <c r="D3086" t="str">
        <f t="shared" si="48"/>
        <v>11/07/2025Renal Medicine</v>
      </c>
    </row>
    <row r="3087" spans="1:4">
      <c r="A3087" s="1">
        <v>45849</v>
      </c>
      <c r="B3087" t="s">
        <v>42</v>
      </c>
      <c r="C3087">
        <v>9</v>
      </c>
      <c r="D3087" t="str">
        <f t="shared" si="48"/>
        <v>11/07/2025Gastroenterology</v>
      </c>
    </row>
    <row r="3088" spans="1:4">
      <c r="A3088" s="1">
        <v>45849</v>
      </c>
      <c r="B3088" t="s">
        <v>98</v>
      </c>
      <c r="C3088">
        <v>7</v>
      </c>
      <c r="D3088" t="str">
        <f t="shared" si="48"/>
        <v>11/07/2025Endocrinology</v>
      </c>
    </row>
    <row r="3089" spans="1:4">
      <c r="A3089" s="1">
        <v>45849</v>
      </c>
      <c r="B3089" t="s">
        <v>100</v>
      </c>
      <c r="C3089">
        <v>9</v>
      </c>
      <c r="D3089" t="str">
        <f t="shared" si="48"/>
        <v>11/07/2025Urology</v>
      </c>
    </row>
    <row r="3090" spans="1:4">
      <c r="A3090" s="1">
        <v>45849</v>
      </c>
      <c r="B3090" t="s">
        <v>41</v>
      </c>
      <c r="C3090">
        <v>11</v>
      </c>
      <c r="D3090" t="str">
        <f t="shared" si="48"/>
        <v>11/07/2025ENT</v>
      </c>
    </row>
    <row r="3091" spans="1:4">
      <c r="A3091" s="1">
        <v>45849</v>
      </c>
      <c r="B3091" t="s">
        <v>44</v>
      </c>
      <c r="C3091">
        <v>13</v>
      </c>
      <c r="D3091" t="str">
        <f t="shared" si="48"/>
        <v>11/07/2025Geriatrics</v>
      </c>
    </row>
    <row r="3092" spans="1:4">
      <c r="A3092" s="1">
        <v>45850</v>
      </c>
      <c r="B3092" t="s">
        <v>39</v>
      </c>
      <c r="C3092">
        <v>20</v>
      </c>
      <c r="D3092" t="str">
        <f t="shared" si="48"/>
        <v>12/07/2025A&amp;E (Emergency)</v>
      </c>
    </row>
    <row r="3093" spans="1:4">
      <c r="A3093" s="1">
        <v>45850</v>
      </c>
      <c r="B3093" t="s">
        <v>40</v>
      </c>
      <c r="C3093">
        <v>12</v>
      </c>
      <c r="D3093" t="str">
        <f t="shared" si="48"/>
        <v>12/07/2025Cardiology</v>
      </c>
    </row>
    <row r="3094" spans="1:4">
      <c r="A3094" s="1">
        <v>45850</v>
      </c>
      <c r="B3094" t="s">
        <v>51</v>
      </c>
      <c r="C3094">
        <v>9</v>
      </c>
      <c r="D3094" t="str">
        <f t="shared" si="48"/>
        <v>12/07/2025Respiratory</v>
      </c>
    </row>
    <row r="3095" spans="1:4">
      <c r="A3095" s="1">
        <v>45850</v>
      </c>
      <c r="B3095" t="s">
        <v>43</v>
      </c>
      <c r="C3095">
        <v>15</v>
      </c>
      <c r="D3095" t="str">
        <f t="shared" si="48"/>
        <v>12/07/2025General Surgery</v>
      </c>
    </row>
    <row r="3096" spans="1:4">
      <c r="A3096" s="1">
        <v>45850</v>
      </c>
      <c r="B3096" t="s">
        <v>48</v>
      </c>
      <c r="C3096">
        <v>11</v>
      </c>
      <c r="D3096" t="str">
        <f t="shared" si="48"/>
        <v>12/07/2025Orthopaedics</v>
      </c>
    </row>
    <row r="3097" spans="1:4">
      <c r="A3097" s="1">
        <v>45850</v>
      </c>
      <c r="B3097" t="s">
        <v>46</v>
      </c>
      <c r="C3097">
        <v>9</v>
      </c>
      <c r="D3097" t="str">
        <f t="shared" si="48"/>
        <v>12/07/2025Neurology</v>
      </c>
    </row>
    <row r="3098" spans="1:4">
      <c r="A3098" s="1">
        <v>45850</v>
      </c>
      <c r="B3098" t="s">
        <v>47</v>
      </c>
      <c r="C3098">
        <v>13</v>
      </c>
      <c r="D3098" t="str">
        <f t="shared" si="48"/>
        <v>12/07/2025Oncology</v>
      </c>
    </row>
    <row r="3099" spans="1:4">
      <c r="A3099" s="1">
        <v>45850</v>
      </c>
      <c r="B3099" t="s">
        <v>49</v>
      </c>
      <c r="C3099">
        <v>9</v>
      </c>
      <c r="D3099" t="str">
        <f t="shared" si="48"/>
        <v>12/07/2025Paediatrics</v>
      </c>
    </row>
    <row r="3100" spans="1:4">
      <c r="A3100" s="1">
        <v>45850</v>
      </c>
      <c r="B3100" t="s">
        <v>45</v>
      </c>
      <c r="C3100">
        <v>10</v>
      </c>
      <c r="D3100" t="str">
        <f t="shared" si="48"/>
        <v>12/07/2025Maternity</v>
      </c>
    </row>
    <row r="3101" spans="1:4">
      <c r="A3101" s="1">
        <v>45850</v>
      </c>
      <c r="B3101" t="s">
        <v>50</v>
      </c>
      <c r="C3101">
        <v>17</v>
      </c>
      <c r="D3101" t="str">
        <f t="shared" si="48"/>
        <v>12/07/2025Renal Medicine</v>
      </c>
    </row>
    <row r="3102" spans="1:4">
      <c r="A3102" s="1">
        <v>45850</v>
      </c>
      <c r="B3102" t="s">
        <v>42</v>
      </c>
      <c r="C3102">
        <v>7</v>
      </c>
      <c r="D3102" t="str">
        <f t="shared" si="48"/>
        <v>12/07/2025Gastroenterology</v>
      </c>
    </row>
    <row r="3103" spans="1:4">
      <c r="A3103" s="1">
        <v>45850</v>
      </c>
      <c r="B3103" t="s">
        <v>98</v>
      </c>
      <c r="C3103">
        <v>6</v>
      </c>
      <c r="D3103" t="str">
        <f t="shared" si="48"/>
        <v>12/07/2025Endocrinology</v>
      </c>
    </row>
    <row r="3104" spans="1:4">
      <c r="A3104" s="1">
        <v>45850</v>
      </c>
      <c r="B3104" t="s">
        <v>100</v>
      </c>
      <c r="C3104">
        <v>8</v>
      </c>
      <c r="D3104" t="str">
        <f t="shared" si="48"/>
        <v>12/07/2025Urology</v>
      </c>
    </row>
    <row r="3105" spans="1:4">
      <c r="A3105" s="1">
        <v>45850</v>
      </c>
      <c r="B3105" t="s">
        <v>41</v>
      </c>
      <c r="C3105">
        <v>10</v>
      </c>
      <c r="D3105" t="str">
        <f t="shared" si="48"/>
        <v>12/07/2025ENT</v>
      </c>
    </row>
    <row r="3106" spans="1:4">
      <c r="A3106" s="1">
        <v>45850</v>
      </c>
      <c r="B3106" t="s">
        <v>44</v>
      </c>
      <c r="C3106">
        <v>12</v>
      </c>
      <c r="D3106" t="str">
        <f t="shared" si="48"/>
        <v>12/07/2025Geriatrics</v>
      </c>
    </row>
    <row r="3107" spans="1:4">
      <c r="A3107" s="1">
        <v>45851</v>
      </c>
      <c r="B3107" t="s">
        <v>39</v>
      </c>
      <c r="C3107">
        <v>19</v>
      </c>
      <c r="D3107" t="str">
        <f t="shared" si="48"/>
        <v>13/07/2025A&amp;E (Emergency)</v>
      </c>
    </row>
    <row r="3108" spans="1:4">
      <c r="A3108" s="1">
        <v>45851</v>
      </c>
      <c r="B3108" t="s">
        <v>40</v>
      </c>
      <c r="C3108">
        <v>11</v>
      </c>
      <c r="D3108" t="str">
        <f t="shared" si="48"/>
        <v>13/07/2025Cardiology</v>
      </c>
    </row>
    <row r="3109" spans="1:4">
      <c r="A3109" s="1">
        <v>45851</v>
      </c>
      <c r="B3109" t="s">
        <v>51</v>
      </c>
      <c r="C3109">
        <v>9</v>
      </c>
      <c r="D3109" t="str">
        <f t="shared" si="48"/>
        <v>13/07/2025Respiratory</v>
      </c>
    </row>
    <row r="3110" spans="1:4">
      <c r="A3110" s="1">
        <v>45851</v>
      </c>
      <c r="B3110" t="s">
        <v>43</v>
      </c>
      <c r="C3110">
        <v>14</v>
      </c>
      <c r="D3110" t="str">
        <f t="shared" si="48"/>
        <v>13/07/2025General Surgery</v>
      </c>
    </row>
    <row r="3111" spans="1:4">
      <c r="A3111" s="1">
        <v>45851</v>
      </c>
      <c r="B3111" t="s">
        <v>48</v>
      </c>
      <c r="C3111">
        <v>10</v>
      </c>
      <c r="D3111" t="str">
        <f t="shared" si="48"/>
        <v>13/07/2025Orthopaedics</v>
      </c>
    </row>
    <row r="3112" spans="1:4">
      <c r="A3112" s="1">
        <v>45851</v>
      </c>
      <c r="B3112" t="s">
        <v>46</v>
      </c>
      <c r="C3112">
        <v>9</v>
      </c>
      <c r="D3112" t="str">
        <f t="shared" si="48"/>
        <v>13/07/2025Neurology</v>
      </c>
    </row>
    <row r="3113" spans="1:4">
      <c r="A3113" s="1">
        <v>45851</v>
      </c>
      <c r="B3113" t="s">
        <v>47</v>
      </c>
      <c r="C3113">
        <v>12</v>
      </c>
      <c r="D3113" t="str">
        <f t="shared" si="48"/>
        <v>13/07/2025Oncology</v>
      </c>
    </row>
    <row r="3114" spans="1:4">
      <c r="A3114" s="1">
        <v>45851</v>
      </c>
      <c r="B3114" t="s">
        <v>49</v>
      </c>
      <c r="C3114">
        <v>8</v>
      </c>
      <c r="D3114" t="str">
        <f t="shared" si="48"/>
        <v>13/07/2025Paediatrics</v>
      </c>
    </row>
    <row r="3115" spans="1:4">
      <c r="A3115" s="1">
        <v>45851</v>
      </c>
      <c r="B3115" t="s">
        <v>45</v>
      </c>
      <c r="C3115">
        <v>9</v>
      </c>
      <c r="D3115" t="str">
        <f t="shared" si="48"/>
        <v>13/07/2025Maternity</v>
      </c>
    </row>
    <row r="3116" spans="1:4">
      <c r="A3116" s="1">
        <v>45851</v>
      </c>
      <c r="B3116" t="s">
        <v>50</v>
      </c>
      <c r="C3116">
        <v>17</v>
      </c>
      <c r="D3116" t="str">
        <f t="shared" si="48"/>
        <v>13/07/2025Renal Medicine</v>
      </c>
    </row>
    <row r="3117" spans="1:4">
      <c r="A3117" s="1">
        <v>45851</v>
      </c>
      <c r="B3117" t="s">
        <v>42</v>
      </c>
      <c r="C3117">
        <v>7</v>
      </c>
      <c r="D3117" t="str">
        <f t="shared" si="48"/>
        <v>13/07/2025Gastroenterology</v>
      </c>
    </row>
    <row r="3118" spans="1:4">
      <c r="A3118" s="1">
        <v>45851</v>
      </c>
      <c r="B3118" t="s">
        <v>98</v>
      </c>
      <c r="C3118">
        <v>6</v>
      </c>
      <c r="D3118" t="str">
        <f t="shared" si="48"/>
        <v>13/07/2025Endocrinology</v>
      </c>
    </row>
    <row r="3119" spans="1:4">
      <c r="A3119" s="1">
        <v>45851</v>
      </c>
      <c r="B3119" t="s">
        <v>100</v>
      </c>
      <c r="C3119">
        <v>8</v>
      </c>
      <c r="D3119" t="str">
        <f t="shared" si="48"/>
        <v>13/07/2025Urology</v>
      </c>
    </row>
    <row r="3120" spans="1:4">
      <c r="A3120" s="1">
        <v>45851</v>
      </c>
      <c r="B3120" t="s">
        <v>41</v>
      </c>
      <c r="C3120">
        <v>10</v>
      </c>
      <c r="D3120" t="str">
        <f t="shared" si="48"/>
        <v>13/07/2025ENT</v>
      </c>
    </row>
    <row r="3121" spans="1:4">
      <c r="A3121" s="1">
        <v>45851</v>
      </c>
      <c r="B3121" t="s">
        <v>44</v>
      </c>
      <c r="C3121">
        <v>12</v>
      </c>
      <c r="D3121" t="str">
        <f t="shared" si="48"/>
        <v>13/07/2025Geriatrics</v>
      </c>
    </row>
    <row r="3122" spans="1:4">
      <c r="A3122" s="1">
        <v>45852</v>
      </c>
      <c r="B3122" t="s">
        <v>39</v>
      </c>
      <c r="C3122">
        <v>28</v>
      </c>
      <c r="D3122" t="str">
        <f t="shared" si="48"/>
        <v>14/07/2025A&amp;E (Emergency)</v>
      </c>
    </row>
    <row r="3123" spans="1:4">
      <c r="A3123" s="1">
        <v>45852</v>
      </c>
      <c r="B3123" t="s">
        <v>40</v>
      </c>
      <c r="C3123">
        <v>18</v>
      </c>
      <c r="D3123" t="str">
        <f t="shared" si="48"/>
        <v>14/07/2025Cardiology</v>
      </c>
    </row>
    <row r="3124" spans="1:4">
      <c r="A3124" s="1">
        <v>45852</v>
      </c>
      <c r="B3124" t="s">
        <v>51</v>
      </c>
      <c r="C3124">
        <v>15</v>
      </c>
      <c r="D3124" t="str">
        <f t="shared" si="48"/>
        <v>14/07/2025Respiratory</v>
      </c>
    </row>
    <row r="3125" spans="1:4">
      <c r="A3125" s="1">
        <v>45852</v>
      </c>
      <c r="B3125" t="s">
        <v>43</v>
      </c>
      <c r="C3125">
        <v>22</v>
      </c>
      <c r="D3125" t="str">
        <f t="shared" si="48"/>
        <v>14/07/2025General Surgery</v>
      </c>
    </row>
    <row r="3126" spans="1:4">
      <c r="A3126" s="1">
        <v>45852</v>
      </c>
      <c r="B3126" t="s">
        <v>48</v>
      </c>
      <c r="C3126">
        <v>16</v>
      </c>
      <c r="D3126" t="str">
        <f t="shared" si="48"/>
        <v>14/07/2025Orthopaedics</v>
      </c>
    </row>
    <row r="3127" spans="1:4">
      <c r="A3127" s="1">
        <v>45852</v>
      </c>
      <c r="B3127" t="s">
        <v>46</v>
      </c>
      <c r="C3127">
        <v>14</v>
      </c>
      <c r="D3127" t="str">
        <f t="shared" si="48"/>
        <v>14/07/2025Neurology</v>
      </c>
    </row>
    <row r="3128" spans="1:4">
      <c r="A3128" s="1">
        <v>45852</v>
      </c>
      <c r="B3128" t="s">
        <v>47</v>
      </c>
      <c r="C3128">
        <v>18</v>
      </c>
      <c r="D3128" t="str">
        <f t="shared" si="48"/>
        <v>14/07/2025Oncology</v>
      </c>
    </row>
    <row r="3129" spans="1:4">
      <c r="A3129" s="1">
        <v>45852</v>
      </c>
      <c r="B3129" t="s">
        <v>49</v>
      </c>
      <c r="C3129">
        <v>13</v>
      </c>
      <c r="D3129" t="str">
        <f t="shared" si="48"/>
        <v>14/07/2025Paediatrics</v>
      </c>
    </row>
    <row r="3130" spans="1:4">
      <c r="A3130" s="1">
        <v>45852</v>
      </c>
      <c r="B3130" t="s">
        <v>45</v>
      </c>
      <c r="C3130">
        <v>13</v>
      </c>
      <c r="D3130" t="str">
        <f t="shared" si="48"/>
        <v>14/07/2025Maternity</v>
      </c>
    </row>
    <row r="3131" spans="1:4">
      <c r="A3131" s="1">
        <v>45852</v>
      </c>
      <c r="B3131" t="s">
        <v>50</v>
      </c>
      <c r="C3131">
        <v>21</v>
      </c>
      <c r="D3131" t="str">
        <f t="shared" si="48"/>
        <v>14/07/2025Renal Medicine</v>
      </c>
    </row>
    <row r="3132" spans="1:4">
      <c r="A3132" s="1">
        <v>45852</v>
      </c>
      <c r="B3132" t="s">
        <v>42</v>
      </c>
      <c r="C3132">
        <v>12</v>
      </c>
      <c r="D3132" t="str">
        <f t="shared" si="48"/>
        <v>14/07/2025Gastroenterology</v>
      </c>
    </row>
    <row r="3133" spans="1:4">
      <c r="A3133" s="1">
        <v>45852</v>
      </c>
      <c r="B3133" t="s">
        <v>98</v>
      </c>
      <c r="C3133">
        <v>10</v>
      </c>
      <c r="D3133" t="str">
        <f t="shared" si="48"/>
        <v>14/07/2025Endocrinology</v>
      </c>
    </row>
    <row r="3134" spans="1:4">
      <c r="A3134" s="1">
        <v>45852</v>
      </c>
      <c r="B3134" t="s">
        <v>100</v>
      </c>
      <c r="C3134">
        <v>11</v>
      </c>
      <c r="D3134" t="str">
        <f t="shared" si="48"/>
        <v>14/07/2025Urology</v>
      </c>
    </row>
    <row r="3135" spans="1:4">
      <c r="A3135" s="1">
        <v>45852</v>
      </c>
      <c r="B3135" t="s">
        <v>41</v>
      </c>
      <c r="C3135">
        <v>13</v>
      </c>
      <c r="D3135" t="str">
        <f t="shared" si="48"/>
        <v>14/07/2025ENT</v>
      </c>
    </row>
    <row r="3136" spans="1:4">
      <c r="A3136" s="1">
        <v>45852</v>
      </c>
      <c r="B3136" t="s">
        <v>44</v>
      </c>
      <c r="C3136">
        <v>16</v>
      </c>
      <c r="D3136" t="str">
        <f t="shared" si="48"/>
        <v>14/07/2025Geriatrics</v>
      </c>
    </row>
    <row r="3137" spans="1:4">
      <c r="A3137" s="1">
        <v>45853</v>
      </c>
      <c r="B3137" t="s">
        <v>39</v>
      </c>
      <c r="C3137">
        <v>25</v>
      </c>
      <c r="D3137" t="str">
        <f t="shared" si="48"/>
        <v>15/07/2025A&amp;E (Emergency)</v>
      </c>
    </row>
    <row r="3138" spans="1:4">
      <c r="A3138" s="1">
        <v>45853</v>
      </c>
      <c r="B3138" t="s">
        <v>40</v>
      </c>
      <c r="C3138">
        <v>17</v>
      </c>
      <c r="D3138" t="str">
        <f t="shared" si="48"/>
        <v>15/07/2025Cardiology</v>
      </c>
    </row>
    <row r="3139" spans="1:4">
      <c r="A3139" s="1">
        <v>45853</v>
      </c>
      <c r="B3139" t="s">
        <v>51</v>
      </c>
      <c r="C3139">
        <v>14</v>
      </c>
      <c r="D3139" t="str">
        <f t="shared" ref="D3139:D3202" si="49">TEXT(A3139, "dd/mm/yyyy")&amp;B3139</f>
        <v>15/07/2025Respiratory</v>
      </c>
    </row>
    <row r="3140" spans="1:4">
      <c r="A3140" s="1">
        <v>45853</v>
      </c>
      <c r="B3140" t="s">
        <v>43</v>
      </c>
      <c r="C3140">
        <v>20</v>
      </c>
      <c r="D3140" t="str">
        <f t="shared" si="49"/>
        <v>15/07/2025General Surgery</v>
      </c>
    </row>
    <row r="3141" spans="1:4">
      <c r="A3141" s="1">
        <v>45853</v>
      </c>
      <c r="B3141" t="s">
        <v>48</v>
      </c>
      <c r="C3141">
        <v>15</v>
      </c>
      <c r="D3141" t="str">
        <f t="shared" si="49"/>
        <v>15/07/2025Orthopaedics</v>
      </c>
    </row>
    <row r="3142" spans="1:4">
      <c r="A3142" s="1">
        <v>45853</v>
      </c>
      <c r="B3142" t="s">
        <v>46</v>
      </c>
      <c r="C3142">
        <v>13</v>
      </c>
      <c r="D3142" t="str">
        <f t="shared" si="49"/>
        <v>15/07/2025Neurology</v>
      </c>
    </row>
    <row r="3143" spans="1:4">
      <c r="A3143" s="1">
        <v>45853</v>
      </c>
      <c r="B3143" t="s">
        <v>47</v>
      </c>
      <c r="C3143">
        <v>17</v>
      </c>
      <c r="D3143" t="str">
        <f t="shared" si="49"/>
        <v>15/07/2025Oncology</v>
      </c>
    </row>
    <row r="3144" spans="1:4">
      <c r="A3144" s="1">
        <v>45853</v>
      </c>
      <c r="B3144" t="s">
        <v>49</v>
      </c>
      <c r="C3144">
        <v>12</v>
      </c>
      <c r="D3144" t="str">
        <f t="shared" si="49"/>
        <v>15/07/2025Paediatrics</v>
      </c>
    </row>
    <row r="3145" spans="1:4">
      <c r="A3145" s="1">
        <v>45853</v>
      </c>
      <c r="B3145" t="s">
        <v>45</v>
      </c>
      <c r="C3145">
        <v>12</v>
      </c>
      <c r="D3145" t="str">
        <f t="shared" si="49"/>
        <v>15/07/2025Maternity</v>
      </c>
    </row>
    <row r="3146" spans="1:4">
      <c r="A3146" s="1">
        <v>45853</v>
      </c>
      <c r="B3146" t="s">
        <v>50</v>
      </c>
      <c r="C3146">
        <v>20</v>
      </c>
      <c r="D3146" t="str">
        <f t="shared" si="49"/>
        <v>15/07/2025Renal Medicine</v>
      </c>
    </row>
    <row r="3147" spans="1:4">
      <c r="A3147" s="1">
        <v>45853</v>
      </c>
      <c r="B3147" t="s">
        <v>42</v>
      </c>
      <c r="C3147">
        <v>11</v>
      </c>
      <c r="D3147" t="str">
        <f t="shared" si="49"/>
        <v>15/07/2025Gastroenterology</v>
      </c>
    </row>
    <row r="3148" spans="1:4">
      <c r="A3148" s="1">
        <v>45853</v>
      </c>
      <c r="B3148" t="s">
        <v>98</v>
      </c>
      <c r="C3148">
        <v>9</v>
      </c>
      <c r="D3148" t="str">
        <f t="shared" si="49"/>
        <v>15/07/2025Endocrinology</v>
      </c>
    </row>
    <row r="3149" spans="1:4">
      <c r="A3149" s="1">
        <v>45853</v>
      </c>
      <c r="B3149" t="s">
        <v>100</v>
      </c>
      <c r="C3149">
        <v>10</v>
      </c>
      <c r="D3149" t="str">
        <f t="shared" si="49"/>
        <v>15/07/2025Urology</v>
      </c>
    </row>
    <row r="3150" spans="1:4">
      <c r="A3150" s="1">
        <v>45853</v>
      </c>
      <c r="B3150" t="s">
        <v>41</v>
      </c>
      <c r="C3150">
        <v>12</v>
      </c>
      <c r="D3150" t="str">
        <f t="shared" si="49"/>
        <v>15/07/2025ENT</v>
      </c>
    </row>
    <row r="3151" spans="1:4">
      <c r="A3151" s="1">
        <v>45853</v>
      </c>
      <c r="B3151" t="s">
        <v>44</v>
      </c>
      <c r="C3151">
        <v>15</v>
      </c>
      <c r="D3151" t="str">
        <f t="shared" si="49"/>
        <v>15/07/2025Geriatrics</v>
      </c>
    </row>
    <row r="3152" spans="1:4">
      <c r="A3152" s="1">
        <v>45854</v>
      </c>
      <c r="B3152" t="s">
        <v>39</v>
      </c>
      <c r="C3152">
        <v>24</v>
      </c>
      <c r="D3152" t="str">
        <f t="shared" si="49"/>
        <v>16/07/2025A&amp;E (Emergency)</v>
      </c>
    </row>
    <row r="3153" spans="1:4">
      <c r="A3153" s="1">
        <v>45854</v>
      </c>
      <c r="B3153" t="s">
        <v>40</v>
      </c>
      <c r="C3153">
        <v>16</v>
      </c>
      <c r="D3153" t="str">
        <f t="shared" si="49"/>
        <v>16/07/2025Cardiology</v>
      </c>
    </row>
    <row r="3154" spans="1:4">
      <c r="A3154" s="1">
        <v>45854</v>
      </c>
      <c r="B3154" t="s">
        <v>51</v>
      </c>
      <c r="C3154">
        <v>13</v>
      </c>
      <c r="D3154" t="str">
        <f t="shared" si="49"/>
        <v>16/07/2025Respiratory</v>
      </c>
    </row>
    <row r="3155" spans="1:4">
      <c r="A3155" s="1">
        <v>45854</v>
      </c>
      <c r="B3155" t="s">
        <v>43</v>
      </c>
      <c r="C3155">
        <v>19</v>
      </c>
      <c r="D3155" t="str">
        <f t="shared" si="49"/>
        <v>16/07/2025General Surgery</v>
      </c>
    </row>
    <row r="3156" spans="1:4">
      <c r="A3156" s="1">
        <v>45854</v>
      </c>
      <c r="B3156" t="s">
        <v>48</v>
      </c>
      <c r="C3156">
        <v>14</v>
      </c>
      <c r="D3156" t="str">
        <f t="shared" si="49"/>
        <v>16/07/2025Orthopaedics</v>
      </c>
    </row>
    <row r="3157" spans="1:4">
      <c r="A3157" s="1">
        <v>45854</v>
      </c>
      <c r="B3157" t="s">
        <v>46</v>
      </c>
      <c r="C3157">
        <v>12</v>
      </c>
      <c r="D3157" t="str">
        <f t="shared" si="49"/>
        <v>16/07/2025Neurology</v>
      </c>
    </row>
    <row r="3158" spans="1:4">
      <c r="A3158" s="1">
        <v>45854</v>
      </c>
      <c r="B3158" t="s">
        <v>47</v>
      </c>
      <c r="C3158">
        <v>16</v>
      </c>
      <c r="D3158" t="str">
        <f t="shared" si="49"/>
        <v>16/07/2025Oncology</v>
      </c>
    </row>
    <row r="3159" spans="1:4">
      <c r="A3159" s="1">
        <v>45854</v>
      </c>
      <c r="B3159" t="s">
        <v>49</v>
      </c>
      <c r="C3159">
        <v>11</v>
      </c>
      <c r="D3159" t="str">
        <f t="shared" si="49"/>
        <v>16/07/2025Paediatrics</v>
      </c>
    </row>
    <row r="3160" spans="1:4">
      <c r="A3160" s="1">
        <v>45854</v>
      </c>
      <c r="B3160" t="s">
        <v>45</v>
      </c>
      <c r="C3160">
        <v>12</v>
      </c>
      <c r="D3160" t="str">
        <f t="shared" si="49"/>
        <v>16/07/2025Maternity</v>
      </c>
    </row>
    <row r="3161" spans="1:4">
      <c r="A3161" s="1">
        <v>45854</v>
      </c>
      <c r="B3161" t="s">
        <v>50</v>
      </c>
      <c r="C3161">
        <v>19</v>
      </c>
      <c r="D3161" t="str">
        <f t="shared" si="49"/>
        <v>16/07/2025Renal Medicine</v>
      </c>
    </row>
    <row r="3162" spans="1:4">
      <c r="A3162" s="1">
        <v>45854</v>
      </c>
      <c r="B3162" t="s">
        <v>42</v>
      </c>
      <c r="C3162">
        <v>10</v>
      </c>
      <c r="D3162" t="str">
        <f t="shared" si="49"/>
        <v>16/07/2025Gastroenterology</v>
      </c>
    </row>
    <row r="3163" spans="1:4">
      <c r="A3163" s="1">
        <v>45854</v>
      </c>
      <c r="B3163" t="s">
        <v>98</v>
      </c>
      <c r="C3163">
        <v>8</v>
      </c>
      <c r="D3163" t="str">
        <f t="shared" si="49"/>
        <v>16/07/2025Endocrinology</v>
      </c>
    </row>
    <row r="3164" spans="1:4">
      <c r="A3164" s="1">
        <v>45854</v>
      </c>
      <c r="B3164" t="s">
        <v>100</v>
      </c>
      <c r="C3164">
        <v>10</v>
      </c>
      <c r="D3164" t="str">
        <f t="shared" si="49"/>
        <v>16/07/2025Urology</v>
      </c>
    </row>
    <row r="3165" spans="1:4">
      <c r="A3165" s="1">
        <v>45854</v>
      </c>
      <c r="B3165" t="s">
        <v>41</v>
      </c>
      <c r="C3165">
        <v>12</v>
      </c>
      <c r="D3165" t="str">
        <f t="shared" si="49"/>
        <v>16/07/2025ENT</v>
      </c>
    </row>
    <row r="3166" spans="1:4">
      <c r="A3166" s="1">
        <v>45854</v>
      </c>
      <c r="B3166" t="s">
        <v>44</v>
      </c>
      <c r="C3166">
        <v>14</v>
      </c>
      <c r="D3166" t="str">
        <f t="shared" si="49"/>
        <v>16/07/2025Geriatrics</v>
      </c>
    </row>
    <row r="3167" spans="1:4">
      <c r="A3167" s="1">
        <v>45855</v>
      </c>
      <c r="B3167" t="s">
        <v>39</v>
      </c>
      <c r="C3167">
        <v>23</v>
      </c>
      <c r="D3167" t="str">
        <f t="shared" si="49"/>
        <v>17/07/2025A&amp;E (Emergency)</v>
      </c>
    </row>
    <row r="3168" spans="1:4">
      <c r="A3168" s="1">
        <v>45855</v>
      </c>
      <c r="B3168" t="s">
        <v>40</v>
      </c>
      <c r="C3168">
        <v>16</v>
      </c>
      <c r="D3168" t="str">
        <f t="shared" si="49"/>
        <v>17/07/2025Cardiology</v>
      </c>
    </row>
    <row r="3169" spans="1:4">
      <c r="A3169" s="1">
        <v>45855</v>
      </c>
      <c r="B3169" t="s">
        <v>51</v>
      </c>
      <c r="C3169">
        <v>13</v>
      </c>
      <c r="D3169" t="str">
        <f t="shared" si="49"/>
        <v>17/07/2025Respiratory</v>
      </c>
    </row>
    <row r="3170" spans="1:4">
      <c r="A3170" s="1">
        <v>45855</v>
      </c>
      <c r="B3170" t="s">
        <v>43</v>
      </c>
      <c r="C3170">
        <v>19</v>
      </c>
      <c r="D3170" t="str">
        <f t="shared" si="49"/>
        <v>17/07/2025General Surgery</v>
      </c>
    </row>
    <row r="3171" spans="1:4">
      <c r="A3171" s="1">
        <v>45855</v>
      </c>
      <c r="B3171" t="s">
        <v>48</v>
      </c>
      <c r="C3171">
        <v>14</v>
      </c>
      <c r="D3171" t="str">
        <f t="shared" si="49"/>
        <v>17/07/2025Orthopaedics</v>
      </c>
    </row>
    <row r="3172" spans="1:4">
      <c r="A3172" s="1">
        <v>45855</v>
      </c>
      <c r="B3172" t="s">
        <v>46</v>
      </c>
      <c r="C3172">
        <v>12</v>
      </c>
      <c r="D3172" t="str">
        <f t="shared" si="49"/>
        <v>17/07/2025Neurology</v>
      </c>
    </row>
    <row r="3173" spans="1:4">
      <c r="A3173" s="1">
        <v>45855</v>
      </c>
      <c r="B3173" t="s">
        <v>47</v>
      </c>
      <c r="C3173">
        <v>16</v>
      </c>
      <c r="D3173" t="str">
        <f t="shared" si="49"/>
        <v>17/07/2025Oncology</v>
      </c>
    </row>
    <row r="3174" spans="1:4">
      <c r="A3174" s="1">
        <v>45855</v>
      </c>
      <c r="B3174" t="s">
        <v>49</v>
      </c>
      <c r="C3174">
        <v>11</v>
      </c>
      <c r="D3174" t="str">
        <f t="shared" si="49"/>
        <v>17/07/2025Paediatrics</v>
      </c>
    </row>
    <row r="3175" spans="1:4">
      <c r="A3175" s="1">
        <v>45855</v>
      </c>
      <c r="B3175" t="s">
        <v>45</v>
      </c>
      <c r="C3175">
        <v>12</v>
      </c>
      <c r="D3175" t="str">
        <f t="shared" si="49"/>
        <v>17/07/2025Maternity</v>
      </c>
    </row>
    <row r="3176" spans="1:4">
      <c r="A3176" s="1">
        <v>45855</v>
      </c>
      <c r="B3176" t="s">
        <v>50</v>
      </c>
      <c r="C3176">
        <v>19</v>
      </c>
      <c r="D3176" t="str">
        <f t="shared" si="49"/>
        <v>17/07/2025Renal Medicine</v>
      </c>
    </row>
    <row r="3177" spans="1:4">
      <c r="A3177" s="1">
        <v>45855</v>
      </c>
      <c r="B3177" t="s">
        <v>42</v>
      </c>
      <c r="C3177">
        <v>10</v>
      </c>
      <c r="D3177" t="str">
        <f t="shared" si="49"/>
        <v>17/07/2025Gastroenterology</v>
      </c>
    </row>
    <row r="3178" spans="1:4">
      <c r="A3178" s="1">
        <v>45855</v>
      </c>
      <c r="B3178" t="s">
        <v>98</v>
      </c>
      <c r="C3178">
        <v>8</v>
      </c>
      <c r="D3178" t="str">
        <f t="shared" si="49"/>
        <v>17/07/2025Endocrinology</v>
      </c>
    </row>
    <row r="3179" spans="1:4">
      <c r="A3179" s="1">
        <v>45855</v>
      </c>
      <c r="B3179" t="s">
        <v>100</v>
      </c>
      <c r="C3179">
        <v>10</v>
      </c>
      <c r="D3179" t="str">
        <f t="shared" si="49"/>
        <v>17/07/2025Urology</v>
      </c>
    </row>
    <row r="3180" spans="1:4">
      <c r="A3180" s="1">
        <v>45855</v>
      </c>
      <c r="B3180" t="s">
        <v>41</v>
      </c>
      <c r="C3180">
        <v>12</v>
      </c>
      <c r="D3180" t="str">
        <f t="shared" si="49"/>
        <v>17/07/2025ENT</v>
      </c>
    </row>
    <row r="3181" spans="1:4">
      <c r="A3181" s="1">
        <v>45855</v>
      </c>
      <c r="B3181" t="s">
        <v>44</v>
      </c>
      <c r="C3181">
        <v>14</v>
      </c>
      <c r="D3181" t="str">
        <f t="shared" si="49"/>
        <v>17/07/2025Geriatrics</v>
      </c>
    </row>
    <row r="3182" spans="1:4">
      <c r="A3182" s="1">
        <v>45856</v>
      </c>
      <c r="B3182" t="s">
        <v>39</v>
      </c>
      <c r="C3182">
        <v>22</v>
      </c>
      <c r="D3182" t="str">
        <f t="shared" si="49"/>
        <v>18/07/2025A&amp;E (Emergency)</v>
      </c>
    </row>
    <row r="3183" spans="1:4">
      <c r="A3183" s="1">
        <v>45856</v>
      </c>
      <c r="B3183" t="s">
        <v>40</v>
      </c>
      <c r="C3183">
        <v>15</v>
      </c>
      <c r="D3183" t="str">
        <f t="shared" si="49"/>
        <v>18/07/2025Cardiology</v>
      </c>
    </row>
    <row r="3184" spans="1:4">
      <c r="A3184" s="1">
        <v>45856</v>
      </c>
      <c r="B3184" t="s">
        <v>51</v>
      </c>
      <c r="C3184">
        <v>12</v>
      </c>
      <c r="D3184" t="str">
        <f t="shared" si="49"/>
        <v>18/07/2025Respiratory</v>
      </c>
    </row>
    <row r="3185" spans="1:4">
      <c r="A3185" s="1">
        <v>45856</v>
      </c>
      <c r="B3185" t="s">
        <v>43</v>
      </c>
      <c r="C3185">
        <v>18</v>
      </c>
      <c r="D3185" t="str">
        <f t="shared" si="49"/>
        <v>18/07/2025General Surgery</v>
      </c>
    </row>
    <row r="3186" spans="1:4">
      <c r="A3186" s="1">
        <v>45856</v>
      </c>
      <c r="B3186" t="s">
        <v>48</v>
      </c>
      <c r="C3186">
        <v>13</v>
      </c>
      <c r="D3186" t="str">
        <f t="shared" si="49"/>
        <v>18/07/2025Orthopaedics</v>
      </c>
    </row>
    <row r="3187" spans="1:4">
      <c r="A3187" s="1">
        <v>45856</v>
      </c>
      <c r="B3187" t="s">
        <v>46</v>
      </c>
      <c r="C3187">
        <v>11</v>
      </c>
      <c r="D3187" t="str">
        <f t="shared" si="49"/>
        <v>18/07/2025Neurology</v>
      </c>
    </row>
    <row r="3188" spans="1:4">
      <c r="A3188" s="1">
        <v>45856</v>
      </c>
      <c r="B3188" t="s">
        <v>47</v>
      </c>
      <c r="C3188">
        <v>15</v>
      </c>
      <c r="D3188" t="str">
        <f t="shared" si="49"/>
        <v>18/07/2025Oncology</v>
      </c>
    </row>
    <row r="3189" spans="1:4">
      <c r="A3189" s="1">
        <v>45856</v>
      </c>
      <c r="B3189" t="s">
        <v>49</v>
      </c>
      <c r="C3189">
        <v>10</v>
      </c>
      <c r="D3189" t="str">
        <f t="shared" si="49"/>
        <v>18/07/2025Paediatrics</v>
      </c>
    </row>
    <row r="3190" spans="1:4">
      <c r="A3190" s="1">
        <v>45856</v>
      </c>
      <c r="B3190" t="s">
        <v>45</v>
      </c>
      <c r="C3190">
        <v>11</v>
      </c>
      <c r="D3190" t="str">
        <f t="shared" si="49"/>
        <v>18/07/2025Maternity</v>
      </c>
    </row>
    <row r="3191" spans="1:4">
      <c r="A3191" s="1">
        <v>45856</v>
      </c>
      <c r="B3191" t="s">
        <v>50</v>
      </c>
      <c r="C3191">
        <v>18</v>
      </c>
      <c r="D3191" t="str">
        <f t="shared" si="49"/>
        <v>18/07/2025Renal Medicine</v>
      </c>
    </row>
    <row r="3192" spans="1:4">
      <c r="A3192" s="1">
        <v>45856</v>
      </c>
      <c r="B3192" t="s">
        <v>42</v>
      </c>
      <c r="C3192">
        <v>9</v>
      </c>
      <c r="D3192" t="str">
        <f t="shared" si="49"/>
        <v>18/07/2025Gastroenterology</v>
      </c>
    </row>
    <row r="3193" spans="1:4">
      <c r="A3193" s="1">
        <v>45856</v>
      </c>
      <c r="B3193" t="s">
        <v>98</v>
      </c>
      <c r="C3193">
        <v>7</v>
      </c>
      <c r="D3193" t="str">
        <f t="shared" si="49"/>
        <v>18/07/2025Endocrinology</v>
      </c>
    </row>
    <row r="3194" spans="1:4">
      <c r="A3194" s="1">
        <v>45856</v>
      </c>
      <c r="B3194" t="s">
        <v>100</v>
      </c>
      <c r="C3194">
        <v>9</v>
      </c>
      <c r="D3194" t="str">
        <f t="shared" si="49"/>
        <v>18/07/2025Urology</v>
      </c>
    </row>
    <row r="3195" spans="1:4">
      <c r="A3195" s="1">
        <v>45856</v>
      </c>
      <c r="B3195" t="s">
        <v>41</v>
      </c>
      <c r="C3195">
        <v>11</v>
      </c>
      <c r="D3195" t="str">
        <f t="shared" si="49"/>
        <v>18/07/2025ENT</v>
      </c>
    </row>
    <row r="3196" spans="1:4">
      <c r="A3196" s="1">
        <v>45856</v>
      </c>
      <c r="B3196" t="s">
        <v>44</v>
      </c>
      <c r="C3196">
        <v>13</v>
      </c>
      <c r="D3196" t="str">
        <f t="shared" si="49"/>
        <v>18/07/2025Geriatrics</v>
      </c>
    </row>
    <row r="3197" spans="1:4">
      <c r="A3197" s="1">
        <v>45857</v>
      </c>
      <c r="B3197" t="s">
        <v>39</v>
      </c>
      <c r="C3197">
        <v>20</v>
      </c>
      <c r="D3197" t="str">
        <f t="shared" si="49"/>
        <v>19/07/2025A&amp;E (Emergency)</v>
      </c>
    </row>
    <row r="3198" spans="1:4">
      <c r="A3198" s="1">
        <v>45857</v>
      </c>
      <c r="B3198" t="s">
        <v>40</v>
      </c>
      <c r="C3198">
        <v>12</v>
      </c>
      <c r="D3198" t="str">
        <f t="shared" si="49"/>
        <v>19/07/2025Cardiology</v>
      </c>
    </row>
    <row r="3199" spans="1:4">
      <c r="A3199" s="1">
        <v>45857</v>
      </c>
      <c r="B3199" t="s">
        <v>51</v>
      </c>
      <c r="C3199">
        <v>9</v>
      </c>
      <c r="D3199" t="str">
        <f t="shared" si="49"/>
        <v>19/07/2025Respiratory</v>
      </c>
    </row>
    <row r="3200" spans="1:4">
      <c r="A3200" s="1">
        <v>45857</v>
      </c>
      <c r="B3200" t="s">
        <v>43</v>
      </c>
      <c r="C3200">
        <v>15</v>
      </c>
      <c r="D3200" t="str">
        <f t="shared" si="49"/>
        <v>19/07/2025General Surgery</v>
      </c>
    </row>
    <row r="3201" spans="1:4">
      <c r="A3201" s="1">
        <v>45857</v>
      </c>
      <c r="B3201" t="s">
        <v>48</v>
      </c>
      <c r="C3201">
        <v>11</v>
      </c>
      <c r="D3201" t="str">
        <f t="shared" si="49"/>
        <v>19/07/2025Orthopaedics</v>
      </c>
    </row>
    <row r="3202" spans="1:4">
      <c r="A3202" s="1">
        <v>45857</v>
      </c>
      <c r="B3202" t="s">
        <v>46</v>
      </c>
      <c r="C3202">
        <v>9</v>
      </c>
      <c r="D3202" t="str">
        <f t="shared" si="49"/>
        <v>19/07/2025Neurology</v>
      </c>
    </row>
    <row r="3203" spans="1:4">
      <c r="A3203" s="1">
        <v>45857</v>
      </c>
      <c r="B3203" t="s">
        <v>47</v>
      </c>
      <c r="C3203">
        <v>13</v>
      </c>
      <c r="D3203" t="str">
        <f t="shared" ref="D3203:D3266" si="50">TEXT(A3203, "dd/mm/yyyy")&amp;B3203</f>
        <v>19/07/2025Oncology</v>
      </c>
    </row>
    <row r="3204" spans="1:4">
      <c r="A3204" s="1">
        <v>45857</v>
      </c>
      <c r="B3204" t="s">
        <v>49</v>
      </c>
      <c r="C3204">
        <v>9</v>
      </c>
      <c r="D3204" t="str">
        <f t="shared" si="50"/>
        <v>19/07/2025Paediatrics</v>
      </c>
    </row>
    <row r="3205" spans="1:4">
      <c r="A3205" s="1">
        <v>45857</v>
      </c>
      <c r="B3205" t="s">
        <v>45</v>
      </c>
      <c r="C3205">
        <v>10</v>
      </c>
      <c r="D3205" t="str">
        <f t="shared" si="50"/>
        <v>19/07/2025Maternity</v>
      </c>
    </row>
    <row r="3206" spans="1:4">
      <c r="A3206" s="1">
        <v>45857</v>
      </c>
      <c r="B3206" t="s">
        <v>50</v>
      </c>
      <c r="C3206">
        <v>17</v>
      </c>
      <c r="D3206" t="str">
        <f t="shared" si="50"/>
        <v>19/07/2025Renal Medicine</v>
      </c>
    </row>
    <row r="3207" spans="1:4">
      <c r="A3207" s="1">
        <v>45857</v>
      </c>
      <c r="B3207" t="s">
        <v>42</v>
      </c>
      <c r="C3207">
        <v>7</v>
      </c>
      <c r="D3207" t="str">
        <f t="shared" si="50"/>
        <v>19/07/2025Gastroenterology</v>
      </c>
    </row>
    <row r="3208" spans="1:4">
      <c r="A3208" s="1">
        <v>45857</v>
      </c>
      <c r="B3208" t="s">
        <v>98</v>
      </c>
      <c r="C3208">
        <v>6</v>
      </c>
      <c r="D3208" t="str">
        <f t="shared" si="50"/>
        <v>19/07/2025Endocrinology</v>
      </c>
    </row>
    <row r="3209" spans="1:4">
      <c r="A3209" s="1">
        <v>45857</v>
      </c>
      <c r="B3209" t="s">
        <v>100</v>
      </c>
      <c r="C3209">
        <v>8</v>
      </c>
      <c r="D3209" t="str">
        <f t="shared" si="50"/>
        <v>19/07/2025Urology</v>
      </c>
    </row>
    <row r="3210" spans="1:4">
      <c r="A3210" s="1">
        <v>45857</v>
      </c>
      <c r="B3210" t="s">
        <v>41</v>
      </c>
      <c r="C3210">
        <v>10</v>
      </c>
      <c r="D3210" t="str">
        <f t="shared" si="50"/>
        <v>19/07/2025ENT</v>
      </c>
    </row>
    <row r="3211" spans="1:4">
      <c r="A3211" s="1">
        <v>45857</v>
      </c>
      <c r="B3211" t="s">
        <v>44</v>
      </c>
      <c r="C3211">
        <v>12</v>
      </c>
      <c r="D3211" t="str">
        <f t="shared" si="50"/>
        <v>19/07/2025Geriatrics</v>
      </c>
    </row>
    <row r="3212" spans="1:4">
      <c r="A3212" s="1">
        <v>45858</v>
      </c>
      <c r="B3212" t="s">
        <v>39</v>
      </c>
      <c r="C3212">
        <v>19</v>
      </c>
      <c r="D3212" t="str">
        <f t="shared" si="50"/>
        <v>20/07/2025A&amp;E (Emergency)</v>
      </c>
    </row>
    <row r="3213" spans="1:4">
      <c r="A3213" s="1">
        <v>45858</v>
      </c>
      <c r="B3213" t="s">
        <v>40</v>
      </c>
      <c r="C3213">
        <v>11</v>
      </c>
      <c r="D3213" t="str">
        <f t="shared" si="50"/>
        <v>20/07/2025Cardiology</v>
      </c>
    </row>
    <row r="3214" spans="1:4">
      <c r="A3214" s="1">
        <v>45858</v>
      </c>
      <c r="B3214" t="s">
        <v>51</v>
      </c>
      <c r="C3214">
        <v>9</v>
      </c>
      <c r="D3214" t="str">
        <f t="shared" si="50"/>
        <v>20/07/2025Respiratory</v>
      </c>
    </row>
    <row r="3215" spans="1:4">
      <c r="A3215" s="1">
        <v>45858</v>
      </c>
      <c r="B3215" t="s">
        <v>43</v>
      </c>
      <c r="C3215">
        <v>14</v>
      </c>
      <c r="D3215" t="str">
        <f t="shared" si="50"/>
        <v>20/07/2025General Surgery</v>
      </c>
    </row>
    <row r="3216" spans="1:4">
      <c r="A3216" s="1">
        <v>45858</v>
      </c>
      <c r="B3216" t="s">
        <v>48</v>
      </c>
      <c r="C3216">
        <v>10</v>
      </c>
      <c r="D3216" t="str">
        <f t="shared" si="50"/>
        <v>20/07/2025Orthopaedics</v>
      </c>
    </row>
    <row r="3217" spans="1:4">
      <c r="A3217" s="1">
        <v>45858</v>
      </c>
      <c r="B3217" t="s">
        <v>46</v>
      </c>
      <c r="C3217">
        <v>9</v>
      </c>
      <c r="D3217" t="str">
        <f t="shared" si="50"/>
        <v>20/07/2025Neurology</v>
      </c>
    </row>
    <row r="3218" spans="1:4">
      <c r="A3218" s="1">
        <v>45858</v>
      </c>
      <c r="B3218" t="s">
        <v>47</v>
      </c>
      <c r="C3218">
        <v>12</v>
      </c>
      <c r="D3218" t="str">
        <f t="shared" si="50"/>
        <v>20/07/2025Oncology</v>
      </c>
    </row>
    <row r="3219" spans="1:4">
      <c r="A3219" s="1">
        <v>45858</v>
      </c>
      <c r="B3219" t="s">
        <v>49</v>
      </c>
      <c r="C3219">
        <v>8</v>
      </c>
      <c r="D3219" t="str">
        <f t="shared" si="50"/>
        <v>20/07/2025Paediatrics</v>
      </c>
    </row>
    <row r="3220" spans="1:4">
      <c r="A3220" s="1">
        <v>45858</v>
      </c>
      <c r="B3220" t="s">
        <v>45</v>
      </c>
      <c r="C3220">
        <v>9</v>
      </c>
      <c r="D3220" t="str">
        <f t="shared" si="50"/>
        <v>20/07/2025Maternity</v>
      </c>
    </row>
    <row r="3221" spans="1:4">
      <c r="A3221" s="1">
        <v>45858</v>
      </c>
      <c r="B3221" t="s">
        <v>50</v>
      </c>
      <c r="C3221">
        <v>17</v>
      </c>
      <c r="D3221" t="str">
        <f t="shared" si="50"/>
        <v>20/07/2025Renal Medicine</v>
      </c>
    </row>
    <row r="3222" spans="1:4">
      <c r="A3222" s="1">
        <v>45858</v>
      </c>
      <c r="B3222" t="s">
        <v>42</v>
      </c>
      <c r="C3222">
        <v>7</v>
      </c>
      <c r="D3222" t="str">
        <f t="shared" si="50"/>
        <v>20/07/2025Gastroenterology</v>
      </c>
    </row>
    <row r="3223" spans="1:4">
      <c r="A3223" s="1">
        <v>45858</v>
      </c>
      <c r="B3223" t="s">
        <v>98</v>
      </c>
      <c r="C3223">
        <v>6</v>
      </c>
      <c r="D3223" t="str">
        <f t="shared" si="50"/>
        <v>20/07/2025Endocrinology</v>
      </c>
    </row>
    <row r="3224" spans="1:4">
      <c r="A3224" s="1">
        <v>45858</v>
      </c>
      <c r="B3224" t="s">
        <v>100</v>
      </c>
      <c r="C3224">
        <v>8</v>
      </c>
      <c r="D3224" t="str">
        <f t="shared" si="50"/>
        <v>20/07/2025Urology</v>
      </c>
    </row>
    <row r="3225" spans="1:4">
      <c r="A3225" s="1">
        <v>45858</v>
      </c>
      <c r="B3225" t="s">
        <v>41</v>
      </c>
      <c r="C3225">
        <v>10</v>
      </c>
      <c r="D3225" t="str">
        <f t="shared" si="50"/>
        <v>20/07/2025ENT</v>
      </c>
    </row>
    <row r="3226" spans="1:4">
      <c r="A3226" s="1">
        <v>45858</v>
      </c>
      <c r="B3226" t="s">
        <v>44</v>
      </c>
      <c r="C3226">
        <v>12</v>
      </c>
      <c r="D3226" t="str">
        <f t="shared" si="50"/>
        <v>20/07/2025Geriatrics</v>
      </c>
    </row>
    <row r="3227" spans="1:4">
      <c r="A3227" s="1">
        <v>45859</v>
      </c>
      <c r="B3227" t="s">
        <v>39</v>
      </c>
      <c r="C3227">
        <v>28</v>
      </c>
      <c r="D3227" t="str">
        <f t="shared" si="50"/>
        <v>21/07/2025A&amp;E (Emergency)</v>
      </c>
    </row>
    <row r="3228" spans="1:4">
      <c r="A3228" s="1">
        <v>45859</v>
      </c>
      <c r="B3228" t="s">
        <v>40</v>
      </c>
      <c r="C3228">
        <v>18</v>
      </c>
      <c r="D3228" t="str">
        <f t="shared" si="50"/>
        <v>21/07/2025Cardiology</v>
      </c>
    </row>
    <row r="3229" spans="1:4">
      <c r="A3229" s="1">
        <v>45859</v>
      </c>
      <c r="B3229" t="s">
        <v>51</v>
      </c>
      <c r="C3229">
        <v>15</v>
      </c>
      <c r="D3229" t="str">
        <f t="shared" si="50"/>
        <v>21/07/2025Respiratory</v>
      </c>
    </row>
    <row r="3230" spans="1:4">
      <c r="A3230" s="1">
        <v>45859</v>
      </c>
      <c r="B3230" t="s">
        <v>43</v>
      </c>
      <c r="C3230">
        <v>22</v>
      </c>
      <c r="D3230" t="str">
        <f t="shared" si="50"/>
        <v>21/07/2025General Surgery</v>
      </c>
    </row>
    <row r="3231" spans="1:4">
      <c r="A3231" s="1">
        <v>45859</v>
      </c>
      <c r="B3231" t="s">
        <v>48</v>
      </c>
      <c r="C3231">
        <v>16</v>
      </c>
      <c r="D3231" t="str">
        <f t="shared" si="50"/>
        <v>21/07/2025Orthopaedics</v>
      </c>
    </row>
    <row r="3232" spans="1:4">
      <c r="A3232" s="1">
        <v>45859</v>
      </c>
      <c r="B3232" t="s">
        <v>46</v>
      </c>
      <c r="C3232">
        <v>14</v>
      </c>
      <c r="D3232" t="str">
        <f t="shared" si="50"/>
        <v>21/07/2025Neurology</v>
      </c>
    </row>
    <row r="3233" spans="1:4">
      <c r="A3233" s="1">
        <v>45859</v>
      </c>
      <c r="B3233" t="s">
        <v>47</v>
      </c>
      <c r="C3233">
        <v>18</v>
      </c>
      <c r="D3233" t="str">
        <f t="shared" si="50"/>
        <v>21/07/2025Oncology</v>
      </c>
    </row>
    <row r="3234" spans="1:4">
      <c r="A3234" s="1">
        <v>45859</v>
      </c>
      <c r="B3234" t="s">
        <v>49</v>
      </c>
      <c r="C3234">
        <v>13</v>
      </c>
      <c r="D3234" t="str">
        <f t="shared" si="50"/>
        <v>21/07/2025Paediatrics</v>
      </c>
    </row>
    <row r="3235" spans="1:4">
      <c r="A3235" s="1">
        <v>45859</v>
      </c>
      <c r="B3235" t="s">
        <v>45</v>
      </c>
      <c r="C3235">
        <v>13</v>
      </c>
      <c r="D3235" t="str">
        <f t="shared" si="50"/>
        <v>21/07/2025Maternity</v>
      </c>
    </row>
    <row r="3236" spans="1:4">
      <c r="A3236" s="1">
        <v>45859</v>
      </c>
      <c r="B3236" t="s">
        <v>50</v>
      </c>
      <c r="C3236">
        <v>21</v>
      </c>
      <c r="D3236" t="str">
        <f t="shared" si="50"/>
        <v>21/07/2025Renal Medicine</v>
      </c>
    </row>
    <row r="3237" spans="1:4">
      <c r="A3237" s="1">
        <v>45859</v>
      </c>
      <c r="B3237" t="s">
        <v>42</v>
      </c>
      <c r="C3237">
        <v>12</v>
      </c>
      <c r="D3237" t="str">
        <f t="shared" si="50"/>
        <v>21/07/2025Gastroenterology</v>
      </c>
    </row>
    <row r="3238" spans="1:4">
      <c r="A3238" s="1">
        <v>45859</v>
      </c>
      <c r="B3238" t="s">
        <v>98</v>
      </c>
      <c r="C3238">
        <v>10</v>
      </c>
      <c r="D3238" t="str">
        <f t="shared" si="50"/>
        <v>21/07/2025Endocrinology</v>
      </c>
    </row>
    <row r="3239" spans="1:4">
      <c r="A3239" s="1">
        <v>45859</v>
      </c>
      <c r="B3239" t="s">
        <v>100</v>
      </c>
      <c r="C3239">
        <v>11</v>
      </c>
      <c r="D3239" t="str">
        <f t="shared" si="50"/>
        <v>21/07/2025Urology</v>
      </c>
    </row>
    <row r="3240" spans="1:4">
      <c r="A3240" s="1">
        <v>45859</v>
      </c>
      <c r="B3240" t="s">
        <v>41</v>
      </c>
      <c r="C3240">
        <v>13</v>
      </c>
      <c r="D3240" t="str">
        <f t="shared" si="50"/>
        <v>21/07/2025ENT</v>
      </c>
    </row>
    <row r="3241" spans="1:4">
      <c r="A3241" s="1">
        <v>45859</v>
      </c>
      <c r="B3241" t="s">
        <v>44</v>
      </c>
      <c r="C3241">
        <v>16</v>
      </c>
      <c r="D3241" t="str">
        <f t="shared" si="50"/>
        <v>21/07/2025Geriatrics</v>
      </c>
    </row>
    <row r="3242" spans="1:4">
      <c r="A3242" s="1">
        <v>45860</v>
      </c>
      <c r="B3242" t="s">
        <v>39</v>
      </c>
      <c r="C3242">
        <v>25</v>
      </c>
      <c r="D3242" t="str">
        <f t="shared" si="50"/>
        <v>22/07/2025A&amp;E (Emergency)</v>
      </c>
    </row>
    <row r="3243" spans="1:4">
      <c r="A3243" s="1">
        <v>45860</v>
      </c>
      <c r="B3243" t="s">
        <v>40</v>
      </c>
      <c r="C3243">
        <v>17</v>
      </c>
      <c r="D3243" t="str">
        <f t="shared" si="50"/>
        <v>22/07/2025Cardiology</v>
      </c>
    </row>
    <row r="3244" spans="1:4">
      <c r="A3244" s="1">
        <v>45860</v>
      </c>
      <c r="B3244" t="s">
        <v>51</v>
      </c>
      <c r="C3244">
        <v>14</v>
      </c>
      <c r="D3244" t="str">
        <f t="shared" si="50"/>
        <v>22/07/2025Respiratory</v>
      </c>
    </row>
    <row r="3245" spans="1:4">
      <c r="A3245" s="1">
        <v>45860</v>
      </c>
      <c r="B3245" t="s">
        <v>43</v>
      </c>
      <c r="C3245">
        <v>20</v>
      </c>
      <c r="D3245" t="str">
        <f t="shared" si="50"/>
        <v>22/07/2025General Surgery</v>
      </c>
    </row>
    <row r="3246" spans="1:4">
      <c r="A3246" s="1">
        <v>45860</v>
      </c>
      <c r="B3246" t="s">
        <v>48</v>
      </c>
      <c r="C3246">
        <v>15</v>
      </c>
      <c r="D3246" t="str">
        <f t="shared" si="50"/>
        <v>22/07/2025Orthopaedics</v>
      </c>
    </row>
    <row r="3247" spans="1:4">
      <c r="A3247" s="1">
        <v>45860</v>
      </c>
      <c r="B3247" t="s">
        <v>46</v>
      </c>
      <c r="C3247">
        <v>13</v>
      </c>
      <c r="D3247" t="str">
        <f t="shared" si="50"/>
        <v>22/07/2025Neurology</v>
      </c>
    </row>
    <row r="3248" spans="1:4">
      <c r="A3248" s="1">
        <v>45860</v>
      </c>
      <c r="B3248" t="s">
        <v>47</v>
      </c>
      <c r="C3248">
        <v>17</v>
      </c>
      <c r="D3248" t="str">
        <f t="shared" si="50"/>
        <v>22/07/2025Oncology</v>
      </c>
    </row>
    <row r="3249" spans="1:4">
      <c r="A3249" s="1">
        <v>45860</v>
      </c>
      <c r="B3249" t="s">
        <v>49</v>
      </c>
      <c r="C3249">
        <v>12</v>
      </c>
      <c r="D3249" t="str">
        <f t="shared" si="50"/>
        <v>22/07/2025Paediatrics</v>
      </c>
    </row>
    <row r="3250" spans="1:4">
      <c r="A3250" s="1">
        <v>45860</v>
      </c>
      <c r="B3250" t="s">
        <v>45</v>
      </c>
      <c r="C3250">
        <v>12</v>
      </c>
      <c r="D3250" t="str">
        <f t="shared" si="50"/>
        <v>22/07/2025Maternity</v>
      </c>
    </row>
    <row r="3251" spans="1:4">
      <c r="A3251" s="1">
        <v>45860</v>
      </c>
      <c r="B3251" t="s">
        <v>50</v>
      </c>
      <c r="C3251">
        <v>20</v>
      </c>
      <c r="D3251" t="str">
        <f t="shared" si="50"/>
        <v>22/07/2025Renal Medicine</v>
      </c>
    </row>
    <row r="3252" spans="1:4">
      <c r="A3252" s="1">
        <v>45860</v>
      </c>
      <c r="B3252" t="s">
        <v>42</v>
      </c>
      <c r="C3252">
        <v>11</v>
      </c>
      <c r="D3252" t="str">
        <f t="shared" si="50"/>
        <v>22/07/2025Gastroenterology</v>
      </c>
    </row>
    <row r="3253" spans="1:4">
      <c r="A3253" s="1">
        <v>45860</v>
      </c>
      <c r="B3253" t="s">
        <v>98</v>
      </c>
      <c r="C3253">
        <v>9</v>
      </c>
      <c r="D3253" t="str">
        <f t="shared" si="50"/>
        <v>22/07/2025Endocrinology</v>
      </c>
    </row>
    <row r="3254" spans="1:4">
      <c r="A3254" s="1">
        <v>45860</v>
      </c>
      <c r="B3254" t="s">
        <v>100</v>
      </c>
      <c r="C3254">
        <v>10</v>
      </c>
      <c r="D3254" t="str">
        <f t="shared" si="50"/>
        <v>22/07/2025Urology</v>
      </c>
    </row>
    <row r="3255" spans="1:4">
      <c r="A3255" s="1">
        <v>45860</v>
      </c>
      <c r="B3255" t="s">
        <v>41</v>
      </c>
      <c r="C3255">
        <v>12</v>
      </c>
      <c r="D3255" t="str">
        <f t="shared" si="50"/>
        <v>22/07/2025ENT</v>
      </c>
    </row>
    <row r="3256" spans="1:4">
      <c r="A3256" s="1">
        <v>45860</v>
      </c>
      <c r="B3256" t="s">
        <v>44</v>
      </c>
      <c r="C3256">
        <v>15</v>
      </c>
      <c r="D3256" t="str">
        <f t="shared" si="50"/>
        <v>22/07/2025Geriatrics</v>
      </c>
    </row>
    <row r="3257" spans="1:4">
      <c r="A3257" s="1">
        <v>45861</v>
      </c>
      <c r="B3257" t="s">
        <v>39</v>
      </c>
      <c r="C3257">
        <v>24</v>
      </c>
      <c r="D3257" t="str">
        <f t="shared" si="50"/>
        <v>23/07/2025A&amp;E (Emergency)</v>
      </c>
    </row>
    <row r="3258" spans="1:4">
      <c r="A3258" s="1">
        <v>45861</v>
      </c>
      <c r="B3258" t="s">
        <v>40</v>
      </c>
      <c r="C3258">
        <v>16</v>
      </c>
      <c r="D3258" t="str">
        <f t="shared" si="50"/>
        <v>23/07/2025Cardiology</v>
      </c>
    </row>
    <row r="3259" spans="1:4">
      <c r="A3259" s="1">
        <v>45861</v>
      </c>
      <c r="B3259" t="s">
        <v>51</v>
      </c>
      <c r="C3259">
        <v>13</v>
      </c>
      <c r="D3259" t="str">
        <f t="shared" si="50"/>
        <v>23/07/2025Respiratory</v>
      </c>
    </row>
    <row r="3260" spans="1:4">
      <c r="A3260" s="1">
        <v>45861</v>
      </c>
      <c r="B3260" t="s">
        <v>43</v>
      </c>
      <c r="C3260">
        <v>19</v>
      </c>
      <c r="D3260" t="str">
        <f t="shared" si="50"/>
        <v>23/07/2025General Surgery</v>
      </c>
    </row>
    <row r="3261" spans="1:4">
      <c r="A3261" s="1">
        <v>45861</v>
      </c>
      <c r="B3261" t="s">
        <v>48</v>
      </c>
      <c r="C3261">
        <v>14</v>
      </c>
      <c r="D3261" t="str">
        <f t="shared" si="50"/>
        <v>23/07/2025Orthopaedics</v>
      </c>
    </row>
    <row r="3262" spans="1:4">
      <c r="A3262" s="1">
        <v>45861</v>
      </c>
      <c r="B3262" t="s">
        <v>46</v>
      </c>
      <c r="C3262">
        <v>12</v>
      </c>
      <c r="D3262" t="str">
        <f t="shared" si="50"/>
        <v>23/07/2025Neurology</v>
      </c>
    </row>
    <row r="3263" spans="1:4">
      <c r="A3263" s="1">
        <v>45861</v>
      </c>
      <c r="B3263" t="s">
        <v>47</v>
      </c>
      <c r="C3263">
        <v>16</v>
      </c>
      <c r="D3263" t="str">
        <f t="shared" si="50"/>
        <v>23/07/2025Oncology</v>
      </c>
    </row>
    <row r="3264" spans="1:4">
      <c r="A3264" s="1">
        <v>45861</v>
      </c>
      <c r="B3264" t="s">
        <v>49</v>
      </c>
      <c r="C3264">
        <v>11</v>
      </c>
      <c r="D3264" t="str">
        <f t="shared" si="50"/>
        <v>23/07/2025Paediatrics</v>
      </c>
    </row>
    <row r="3265" spans="1:4">
      <c r="A3265" s="1">
        <v>45861</v>
      </c>
      <c r="B3265" t="s">
        <v>45</v>
      </c>
      <c r="C3265">
        <v>12</v>
      </c>
      <c r="D3265" t="str">
        <f t="shared" si="50"/>
        <v>23/07/2025Maternity</v>
      </c>
    </row>
    <row r="3266" spans="1:4">
      <c r="A3266" s="1">
        <v>45861</v>
      </c>
      <c r="B3266" t="s">
        <v>50</v>
      </c>
      <c r="C3266">
        <v>19</v>
      </c>
      <c r="D3266" t="str">
        <f t="shared" si="50"/>
        <v>23/07/2025Renal Medicine</v>
      </c>
    </row>
    <row r="3267" spans="1:4">
      <c r="A3267" s="1">
        <v>45861</v>
      </c>
      <c r="B3267" t="s">
        <v>42</v>
      </c>
      <c r="C3267">
        <v>10</v>
      </c>
      <c r="D3267" t="str">
        <f t="shared" ref="D3267:D3330" si="51">TEXT(A3267, "dd/mm/yyyy")&amp;B3267</f>
        <v>23/07/2025Gastroenterology</v>
      </c>
    </row>
    <row r="3268" spans="1:4">
      <c r="A3268" s="1">
        <v>45861</v>
      </c>
      <c r="B3268" t="s">
        <v>98</v>
      </c>
      <c r="C3268">
        <v>8</v>
      </c>
      <c r="D3268" t="str">
        <f t="shared" si="51"/>
        <v>23/07/2025Endocrinology</v>
      </c>
    </row>
    <row r="3269" spans="1:4">
      <c r="A3269" s="1">
        <v>45861</v>
      </c>
      <c r="B3269" t="s">
        <v>100</v>
      </c>
      <c r="C3269">
        <v>10</v>
      </c>
      <c r="D3269" t="str">
        <f t="shared" si="51"/>
        <v>23/07/2025Urology</v>
      </c>
    </row>
    <row r="3270" spans="1:4">
      <c r="A3270" s="1">
        <v>45861</v>
      </c>
      <c r="B3270" t="s">
        <v>41</v>
      </c>
      <c r="C3270">
        <v>12</v>
      </c>
      <c r="D3270" t="str">
        <f t="shared" si="51"/>
        <v>23/07/2025ENT</v>
      </c>
    </row>
    <row r="3271" spans="1:4">
      <c r="A3271" s="1">
        <v>45861</v>
      </c>
      <c r="B3271" t="s">
        <v>44</v>
      </c>
      <c r="C3271">
        <v>14</v>
      </c>
      <c r="D3271" t="str">
        <f t="shared" si="51"/>
        <v>23/07/2025Geriatrics</v>
      </c>
    </row>
    <row r="3272" spans="1:4">
      <c r="A3272" s="1">
        <v>45862</v>
      </c>
      <c r="B3272" t="s">
        <v>39</v>
      </c>
      <c r="C3272">
        <v>23</v>
      </c>
      <c r="D3272" t="str">
        <f t="shared" si="51"/>
        <v>24/07/2025A&amp;E (Emergency)</v>
      </c>
    </row>
    <row r="3273" spans="1:4">
      <c r="A3273" s="1">
        <v>45862</v>
      </c>
      <c r="B3273" t="s">
        <v>40</v>
      </c>
      <c r="C3273">
        <v>16</v>
      </c>
      <c r="D3273" t="str">
        <f t="shared" si="51"/>
        <v>24/07/2025Cardiology</v>
      </c>
    </row>
    <row r="3274" spans="1:4">
      <c r="A3274" s="1">
        <v>45862</v>
      </c>
      <c r="B3274" t="s">
        <v>51</v>
      </c>
      <c r="C3274">
        <v>13</v>
      </c>
      <c r="D3274" t="str">
        <f t="shared" si="51"/>
        <v>24/07/2025Respiratory</v>
      </c>
    </row>
    <row r="3275" spans="1:4">
      <c r="A3275" s="1">
        <v>45862</v>
      </c>
      <c r="B3275" t="s">
        <v>43</v>
      </c>
      <c r="C3275">
        <v>19</v>
      </c>
      <c r="D3275" t="str">
        <f t="shared" si="51"/>
        <v>24/07/2025General Surgery</v>
      </c>
    </row>
    <row r="3276" spans="1:4">
      <c r="A3276" s="1">
        <v>45862</v>
      </c>
      <c r="B3276" t="s">
        <v>48</v>
      </c>
      <c r="C3276">
        <v>14</v>
      </c>
      <c r="D3276" t="str">
        <f t="shared" si="51"/>
        <v>24/07/2025Orthopaedics</v>
      </c>
    </row>
    <row r="3277" spans="1:4">
      <c r="A3277" s="1">
        <v>45862</v>
      </c>
      <c r="B3277" t="s">
        <v>46</v>
      </c>
      <c r="C3277">
        <v>12</v>
      </c>
      <c r="D3277" t="str">
        <f t="shared" si="51"/>
        <v>24/07/2025Neurology</v>
      </c>
    </row>
    <row r="3278" spans="1:4">
      <c r="A3278" s="1">
        <v>45862</v>
      </c>
      <c r="B3278" t="s">
        <v>47</v>
      </c>
      <c r="C3278">
        <v>16</v>
      </c>
      <c r="D3278" t="str">
        <f t="shared" si="51"/>
        <v>24/07/2025Oncology</v>
      </c>
    </row>
    <row r="3279" spans="1:4">
      <c r="A3279" s="1">
        <v>45862</v>
      </c>
      <c r="B3279" t="s">
        <v>49</v>
      </c>
      <c r="C3279">
        <v>11</v>
      </c>
      <c r="D3279" t="str">
        <f t="shared" si="51"/>
        <v>24/07/2025Paediatrics</v>
      </c>
    </row>
    <row r="3280" spans="1:4">
      <c r="A3280" s="1">
        <v>45862</v>
      </c>
      <c r="B3280" t="s">
        <v>45</v>
      </c>
      <c r="C3280">
        <v>12</v>
      </c>
      <c r="D3280" t="str">
        <f t="shared" si="51"/>
        <v>24/07/2025Maternity</v>
      </c>
    </row>
    <row r="3281" spans="1:4">
      <c r="A3281" s="1">
        <v>45862</v>
      </c>
      <c r="B3281" t="s">
        <v>50</v>
      </c>
      <c r="C3281">
        <v>19</v>
      </c>
      <c r="D3281" t="str">
        <f t="shared" si="51"/>
        <v>24/07/2025Renal Medicine</v>
      </c>
    </row>
    <row r="3282" spans="1:4">
      <c r="A3282" s="1">
        <v>45862</v>
      </c>
      <c r="B3282" t="s">
        <v>42</v>
      </c>
      <c r="C3282">
        <v>10</v>
      </c>
      <c r="D3282" t="str">
        <f t="shared" si="51"/>
        <v>24/07/2025Gastroenterology</v>
      </c>
    </row>
    <row r="3283" spans="1:4">
      <c r="A3283" s="1">
        <v>45862</v>
      </c>
      <c r="B3283" t="s">
        <v>98</v>
      </c>
      <c r="C3283">
        <v>8</v>
      </c>
      <c r="D3283" t="str">
        <f t="shared" si="51"/>
        <v>24/07/2025Endocrinology</v>
      </c>
    </row>
    <row r="3284" spans="1:4">
      <c r="A3284" s="1">
        <v>45862</v>
      </c>
      <c r="B3284" t="s">
        <v>100</v>
      </c>
      <c r="C3284">
        <v>10</v>
      </c>
      <c r="D3284" t="str">
        <f t="shared" si="51"/>
        <v>24/07/2025Urology</v>
      </c>
    </row>
    <row r="3285" spans="1:4">
      <c r="A3285" s="1">
        <v>45862</v>
      </c>
      <c r="B3285" t="s">
        <v>41</v>
      </c>
      <c r="C3285">
        <v>12</v>
      </c>
      <c r="D3285" t="str">
        <f t="shared" si="51"/>
        <v>24/07/2025ENT</v>
      </c>
    </row>
    <row r="3286" spans="1:4">
      <c r="A3286" s="1">
        <v>45862</v>
      </c>
      <c r="B3286" t="s">
        <v>44</v>
      </c>
      <c r="C3286">
        <v>14</v>
      </c>
      <c r="D3286" t="str">
        <f t="shared" si="51"/>
        <v>24/07/2025Geriatrics</v>
      </c>
    </row>
    <row r="3287" spans="1:4">
      <c r="A3287" s="1">
        <v>45863</v>
      </c>
      <c r="B3287" t="s">
        <v>39</v>
      </c>
      <c r="C3287">
        <v>22</v>
      </c>
      <c r="D3287" t="str">
        <f t="shared" si="51"/>
        <v>25/07/2025A&amp;E (Emergency)</v>
      </c>
    </row>
    <row r="3288" spans="1:4">
      <c r="A3288" s="1">
        <v>45863</v>
      </c>
      <c r="B3288" t="s">
        <v>40</v>
      </c>
      <c r="C3288">
        <v>15</v>
      </c>
      <c r="D3288" t="str">
        <f t="shared" si="51"/>
        <v>25/07/2025Cardiology</v>
      </c>
    </row>
    <row r="3289" spans="1:4">
      <c r="A3289" s="1">
        <v>45863</v>
      </c>
      <c r="B3289" t="s">
        <v>51</v>
      </c>
      <c r="C3289">
        <v>12</v>
      </c>
      <c r="D3289" t="str">
        <f t="shared" si="51"/>
        <v>25/07/2025Respiratory</v>
      </c>
    </row>
    <row r="3290" spans="1:4">
      <c r="A3290" s="1">
        <v>45863</v>
      </c>
      <c r="B3290" t="s">
        <v>43</v>
      </c>
      <c r="C3290">
        <v>18</v>
      </c>
      <c r="D3290" t="str">
        <f t="shared" si="51"/>
        <v>25/07/2025General Surgery</v>
      </c>
    </row>
    <row r="3291" spans="1:4">
      <c r="A3291" s="1">
        <v>45863</v>
      </c>
      <c r="B3291" t="s">
        <v>48</v>
      </c>
      <c r="C3291">
        <v>13</v>
      </c>
      <c r="D3291" t="str">
        <f t="shared" si="51"/>
        <v>25/07/2025Orthopaedics</v>
      </c>
    </row>
    <row r="3292" spans="1:4">
      <c r="A3292" s="1">
        <v>45863</v>
      </c>
      <c r="B3292" t="s">
        <v>46</v>
      </c>
      <c r="C3292">
        <v>11</v>
      </c>
      <c r="D3292" t="str">
        <f t="shared" si="51"/>
        <v>25/07/2025Neurology</v>
      </c>
    </row>
    <row r="3293" spans="1:4">
      <c r="A3293" s="1">
        <v>45863</v>
      </c>
      <c r="B3293" t="s">
        <v>47</v>
      </c>
      <c r="C3293">
        <v>15</v>
      </c>
      <c r="D3293" t="str">
        <f t="shared" si="51"/>
        <v>25/07/2025Oncology</v>
      </c>
    </row>
    <row r="3294" spans="1:4">
      <c r="A3294" s="1">
        <v>45863</v>
      </c>
      <c r="B3294" t="s">
        <v>49</v>
      </c>
      <c r="C3294">
        <v>10</v>
      </c>
      <c r="D3294" t="str">
        <f t="shared" si="51"/>
        <v>25/07/2025Paediatrics</v>
      </c>
    </row>
    <row r="3295" spans="1:4">
      <c r="A3295" s="1">
        <v>45863</v>
      </c>
      <c r="B3295" t="s">
        <v>45</v>
      </c>
      <c r="C3295">
        <v>11</v>
      </c>
      <c r="D3295" t="str">
        <f t="shared" si="51"/>
        <v>25/07/2025Maternity</v>
      </c>
    </row>
    <row r="3296" spans="1:4">
      <c r="A3296" s="1">
        <v>45863</v>
      </c>
      <c r="B3296" t="s">
        <v>50</v>
      </c>
      <c r="C3296">
        <v>18</v>
      </c>
      <c r="D3296" t="str">
        <f t="shared" si="51"/>
        <v>25/07/2025Renal Medicine</v>
      </c>
    </row>
    <row r="3297" spans="1:4">
      <c r="A3297" s="1">
        <v>45863</v>
      </c>
      <c r="B3297" t="s">
        <v>42</v>
      </c>
      <c r="C3297">
        <v>9</v>
      </c>
      <c r="D3297" t="str">
        <f t="shared" si="51"/>
        <v>25/07/2025Gastroenterology</v>
      </c>
    </row>
    <row r="3298" spans="1:4">
      <c r="A3298" s="1">
        <v>45863</v>
      </c>
      <c r="B3298" t="s">
        <v>98</v>
      </c>
      <c r="C3298">
        <v>7</v>
      </c>
      <c r="D3298" t="str">
        <f t="shared" si="51"/>
        <v>25/07/2025Endocrinology</v>
      </c>
    </row>
    <row r="3299" spans="1:4">
      <c r="A3299" s="1">
        <v>45863</v>
      </c>
      <c r="B3299" t="s">
        <v>100</v>
      </c>
      <c r="C3299">
        <v>9</v>
      </c>
      <c r="D3299" t="str">
        <f t="shared" si="51"/>
        <v>25/07/2025Urology</v>
      </c>
    </row>
    <row r="3300" spans="1:4">
      <c r="A3300" s="1">
        <v>45863</v>
      </c>
      <c r="B3300" t="s">
        <v>41</v>
      </c>
      <c r="C3300">
        <v>11</v>
      </c>
      <c r="D3300" t="str">
        <f t="shared" si="51"/>
        <v>25/07/2025ENT</v>
      </c>
    </row>
    <row r="3301" spans="1:4">
      <c r="A3301" s="1">
        <v>45863</v>
      </c>
      <c r="B3301" t="s">
        <v>44</v>
      </c>
      <c r="C3301">
        <v>13</v>
      </c>
      <c r="D3301" t="str">
        <f t="shared" si="51"/>
        <v>25/07/2025Geriatrics</v>
      </c>
    </row>
    <row r="3302" spans="1:4">
      <c r="A3302" s="1">
        <v>45864</v>
      </c>
      <c r="B3302" t="s">
        <v>39</v>
      </c>
      <c r="C3302">
        <v>20</v>
      </c>
      <c r="D3302" t="str">
        <f t="shared" si="51"/>
        <v>26/07/2025A&amp;E (Emergency)</v>
      </c>
    </row>
    <row r="3303" spans="1:4">
      <c r="A3303" s="1">
        <v>45864</v>
      </c>
      <c r="B3303" t="s">
        <v>40</v>
      </c>
      <c r="C3303">
        <v>12</v>
      </c>
      <c r="D3303" t="str">
        <f t="shared" si="51"/>
        <v>26/07/2025Cardiology</v>
      </c>
    </row>
    <row r="3304" spans="1:4">
      <c r="A3304" s="1">
        <v>45864</v>
      </c>
      <c r="B3304" t="s">
        <v>51</v>
      </c>
      <c r="C3304">
        <v>9</v>
      </c>
      <c r="D3304" t="str">
        <f t="shared" si="51"/>
        <v>26/07/2025Respiratory</v>
      </c>
    </row>
    <row r="3305" spans="1:4">
      <c r="A3305" s="1">
        <v>45864</v>
      </c>
      <c r="B3305" t="s">
        <v>43</v>
      </c>
      <c r="C3305">
        <v>15</v>
      </c>
      <c r="D3305" t="str">
        <f t="shared" si="51"/>
        <v>26/07/2025General Surgery</v>
      </c>
    </row>
    <row r="3306" spans="1:4">
      <c r="A3306" s="1">
        <v>45864</v>
      </c>
      <c r="B3306" t="s">
        <v>48</v>
      </c>
      <c r="C3306">
        <v>11</v>
      </c>
      <c r="D3306" t="str">
        <f t="shared" si="51"/>
        <v>26/07/2025Orthopaedics</v>
      </c>
    </row>
    <row r="3307" spans="1:4">
      <c r="A3307" s="1">
        <v>45864</v>
      </c>
      <c r="B3307" t="s">
        <v>46</v>
      </c>
      <c r="C3307">
        <v>9</v>
      </c>
      <c r="D3307" t="str">
        <f t="shared" si="51"/>
        <v>26/07/2025Neurology</v>
      </c>
    </row>
    <row r="3308" spans="1:4">
      <c r="A3308" s="1">
        <v>45864</v>
      </c>
      <c r="B3308" t="s">
        <v>47</v>
      </c>
      <c r="C3308">
        <v>13</v>
      </c>
      <c r="D3308" t="str">
        <f t="shared" si="51"/>
        <v>26/07/2025Oncology</v>
      </c>
    </row>
    <row r="3309" spans="1:4">
      <c r="A3309" s="1">
        <v>45864</v>
      </c>
      <c r="B3309" t="s">
        <v>49</v>
      </c>
      <c r="C3309">
        <v>9</v>
      </c>
      <c r="D3309" t="str">
        <f t="shared" si="51"/>
        <v>26/07/2025Paediatrics</v>
      </c>
    </row>
    <row r="3310" spans="1:4">
      <c r="A3310" s="1">
        <v>45864</v>
      </c>
      <c r="B3310" t="s">
        <v>45</v>
      </c>
      <c r="C3310">
        <v>10</v>
      </c>
      <c r="D3310" t="str">
        <f t="shared" si="51"/>
        <v>26/07/2025Maternity</v>
      </c>
    </row>
    <row r="3311" spans="1:4">
      <c r="A3311" s="1">
        <v>45864</v>
      </c>
      <c r="B3311" t="s">
        <v>50</v>
      </c>
      <c r="C3311">
        <v>17</v>
      </c>
      <c r="D3311" t="str">
        <f t="shared" si="51"/>
        <v>26/07/2025Renal Medicine</v>
      </c>
    </row>
    <row r="3312" spans="1:4">
      <c r="A3312" s="1">
        <v>45864</v>
      </c>
      <c r="B3312" t="s">
        <v>42</v>
      </c>
      <c r="C3312">
        <v>7</v>
      </c>
      <c r="D3312" t="str">
        <f t="shared" si="51"/>
        <v>26/07/2025Gastroenterology</v>
      </c>
    </row>
    <row r="3313" spans="1:4">
      <c r="A3313" s="1">
        <v>45864</v>
      </c>
      <c r="B3313" t="s">
        <v>98</v>
      </c>
      <c r="C3313">
        <v>6</v>
      </c>
      <c r="D3313" t="str">
        <f t="shared" si="51"/>
        <v>26/07/2025Endocrinology</v>
      </c>
    </row>
    <row r="3314" spans="1:4">
      <c r="A3314" s="1">
        <v>45864</v>
      </c>
      <c r="B3314" t="s">
        <v>100</v>
      </c>
      <c r="C3314">
        <v>8</v>
      </c>
      <c r="D3314" t="str">
        <f t="shared" si="51"/>
        <v>26/07/2025Urology</v>
      </c>
    </row>
    <row r="3315" spans="1:4">
      <c r="A3315" s="1">
        <v>45864</v>
      </c>
      <c r="B3315" t="s">
        <v>41</v>
      </c>
      <c r="C3315">
        <v>10</v>
      </c>
      <c r="D3315" t="str">
        <f t="shared" si="51"/>
        <v>26/07/2025ENT</v>
      </c>
    </row>
    <row r="3316" spans="1:4">
      <c r="A3316" s="1">
        <v>45864</v>
      </c>
      <c r="B3316" t="s">
        <v>44</v>
      </c>
      <c r="C3316">
        <v>12</v>
      </c>
      <c r="D3316" t="str">
        <f t="shared" si="51"/>
        <v>26/07/2025Geriatrics</v>
      </c>
    </row>
    <row r="3317" spans="1:4">
      <c r="A3317" s="1">
        <v>45865</v>
      </c>
      <c r="B3317" t="s">
        <v>39</v>
      </c>
      <c r="C3317">
        <v>19</v>
      </c>
      <c r="D3317" t="str">
        <f t="shared" si="51"/>
        <v>27/07/2025A&amp;E (Emergency)</v>
      </c>
    </row>
    <row r="3318" spans="1:4">
      <c r="A3318" s="1">
        <v>45865</v>
      </c>
      <c r="B3318" t="s">
        <v>40</v>
      </c>
      <c r="C3318">
        <v>11</v>
      </c>
      <c r="D3318" t="str">
        <f t="shared" si="51"/>
        <v>27/07/2025Cardiology</v>
      </c>
    </row>
    <row r="3319" spans="1:4">
      <c r="A3319" s="1">
        <v>45865</v>
      </c>
      <c r="B3319" t="s">
        <v>51</v>
      </c>
      <c r="C3319">
        <v>9</v>
      </c>
      <c r="D3319" t="str">
        <f t="shared" si="51"/>
        <v>27/07/2025Respiratory</v>
      </c>
    </row>
    <row r="3320" spans="1:4">
      <c r="A3320" s="1">
        <v>45865</v>
      </c>
      <c r="B3320" t="s">
        <v>43</v>
      </c>
      <c r="C3320">
        <v>14</v>
      </c>
      <c r="D3320" t="str">
        <f t="shared" si="51"/>
        <v>27/07/2025General Surgery</v>
      </c>
    </row>
    <row r="3321" spans="1:4">
      <c r="A3321" s="1">
        <v>45865</v>
      </c>
      <c r="B3321" t="s">
        <v>48</v>
      </c>
      <c r="C3321">
        <v>10</v>
      </c>
      <c r="D3321" t="str">
        <f t="shared" si="51"/>
        <v>27/07/2025Orthopaedics</v>
      </c>
    </row>
    <row r="3322" spans="1:4">
      <c r="A3322" s="1">
        <v>45865</v>
      </c>
      <c r="B3322" t="s">
        <v>46</v>
      </c>
      <c r="C3322">
        <v>9</v>
      </c>
      <c r="D3322" t="str">
        <f t="shared" si="51"/>
        <v>27/07/2025Neurology</v>
      </c>
    </row>
    <row r="3323" spans="1:4">
      <c r="A3323" s="1">
        <v>45865</v>
      </c>
      <c r="B3323" t="s">
        <v>47</v>
      </c>
      <c r="C3323">
        <v>12</v>
      </c>
      <c r="D3323" t="str">
        <f t="shared" si="51"/>
        <v>27/07/2025Oncology</v>
      </c>
    </row>
    <row r="3324" spans="1:4">
      <c r="A3324" s="1">
        <v>45865</v>
      </c>
      <c r="B3324" t="s">
        <v>49</v>
      </c>
      <c r="C3324">
        <v>8</v>
      </c>
      <c r="D3324" t="str">
        <f t="shared" si="51"/>
        <v>27/07/2025Paediatrics</v>
      </c>
    </row>
    <row r="3325" spans="1:4">
      <c r="A3325" s="1">
        <v>45865</v>
      </c>
      <c r="B3325" t="s">
        <v>45</v>
      </c>
      <c r="C3325">
        <v>9</v>
      </c>
      <c r="D3325" t="str">
        <f t="shared" si="51"/>
        <v>27/07/2025Maternity</v>
      </c>
    </row>
    <row r="3326" spans="1:4">
      <c r="A3326" s="1">
        <v>45865</v>
      </c>
      <c r="B3326" t="s">
        <v>50</v>
      </c>
      <c r="C3326">
        <v>17</v>
      </c>
      <c r="D3326" t="str">
        <f t="shared" si="51"/>
        <v>27/07/2025Renal Medicine</v>
      </c>
    </row>
    <row r="3327" spans="1:4">
      <c r="A3327" s="1">
        <v>45865</v>
      </c>
      <c r="B3327" t="s">
        <v>42</v>
      </c>
      <c r="C3327">
        <v>7</v>
      </c>
      <c r="D3327" t="str">
        <f t="shared" si="51"/>
        <v>27/07/2025Gastroenterology</v>
      </c>
    </row>
    <row r="3328" spans="1:4">
      <c r="A3328" s="1">
        <v>45865</v>
      </c>
      <c r="B3328" t="s">
        <v>98</v>
      </c>
      <c r="C3328">
        <v>6</v>
      </c>
      <c r="D3328" t="str">
        <f t="shared" si="51"/>
        <v>27/07/2025Endocrinology</v>
      </c>
    </row>
    <row r="3329" spans="1:4">
      <c r="A3329" s="1">
        <v>45865</v>
      </c>
      <c r="B3329" t="s">
        <v>100</v>
      </c>
      <c r="C3329">
        <v>8</v>
      </c>
      <c r="D3329" t="str">
        <f t="shared" si="51"/>
        <v>27/07/2025Urology</v>
      </c>
    </row>
    <row r="3330" spans="1:4">
      <c r="A3330" s="1">
        <v>45865</v>
      </c>
      <c r="B3330" t="s">
        <v>41</v>
      </c>
      <c r="C3330">
        <v>10</v>
      </c>
      <c r="D3330" t="str">
        <f t="shared" si="51"/>
        <v>27/07/2025ENT</v>
      </c>
    </row>
    <row r="3331" spans="1:4">
      <c r="A3331" s="1">
        <v>45865</v>
      </c>
      <c r="B3331" t="s">
        <v>44</v>
      </c>
      <c r="C3331">
        <v>12</v>
      </c>
      <c r="D3331" t="str">
        <f t="shared" ref="D3331:D3394" si="52">TEXT(A3331, "dd/mm/yyyy")&amp;B3331</f>
        <v>27/07/2025Geriatrics</v>
      </c>
    </row>
    <row r="3332" spans="1:4">
      <c r="A3332" s="1">
        <v>45866</v>
      </c>
      <c r="B3332" t="s">
        <v>39</v>
      </c>
      <c r="C3332">
        <v>28</v>
      </c>
      <c r="D3332" t="str">
        <f t="shared" si="52"/>
        <v>28/07/2025A&amp;E (Emergency)</v>
      </c>
    </row>
    <row r="3333" spans="1:4">
      <c r="A3333" s="1">
        <v>45866</v>
      </c>
      <c r="B3333" t="s">
        <v>40</v>
      </c>
      <c r="C3333">
        <v>18</v>
      </c>
      <c r="D3333" t="str">
        <f t="shared" si="52"/>
        <v>28/07/2025Cardiology</v>
      </c>
    </row>
    <row r="3334" spans="1:4">
      <c r="A3334" s="1">
        <v>45866</v>
      </c>
      <c r="B3334" t="s">
        <v>51</v>
      </c>
      <c r="C3334">
        <v>15</v>
      </c>
      <c r="D3334" t="str">
        <f t="shared" si="52"/>
        <v>28/07/2025Respiratory</v>
      </c>
    </row>
    <row r="3335" spans="1:4">
      <c r="A3335" s="1">
        <v>45866</v>
      </c>
      <c r="B3335" t="s">
        <v>43</v>
      </c>
      <c r="C3335">
        <v>22</v>
      </c>
      <c r="D3335" t="str">
        <f t="shared" si="52"/>
        <v>28/07/2025General Surgery</v>
      </c>
    </row>
    <row r="3336" spans="1:4">
      <c r="A3336" s="1">
        <v>45866</v>
      </c>
      <c r="B3336" t="s">
        <v>48</v>
      </c>
      <c r="C3336">
        <v>16</v>
      </c>
      <c r="D3336" t="str">
        <f t="shared" si="52"/>
        <v>28/07/2025Orthopaedics</v>
      </c>
    </row>
    <row r="3337" spans="1:4">
      <c r="A3337" s="1">
        <v>45866</v>
      </c>
      <c r="B3337" t="s">
        <v>46</v>
      </c>
      <c r="C3337">
        <v>14</v>
      </c>
      <c r="D3337" t="str">
        <f t="shared" si="52"/>
        <v>28/07/2025Neurology</v>
      </c>
    </row>
    <row r="3338" spans="1:4">
      <c r="A3338" s="1">
        <v>45866</v>
      </c>
      <c r="B3338" t="s">
        <v>47</v>
      </c>
      <c r="C3338">
        <v>18</v>
      </c>
      <c r="D3338" t="str">
        <f t="shared" si="52"/>
        <v>28/07/2025Oncology</v>
      </c>
    </row>
    <row r="3339" spans="1:4">
      <c r="A3339" s="1">
        <v>45866</v>
      </c>
      <c r="B3339" t="s">
        <v>49</v>
      </c>
      <c r="C3339">
        <v>13</v>
      </c>
      <c r="D3339" t="str">
        <f t="shared" si="52"/>
        <v>28/07/2025Paediatrics</v>
      </c>
    </row>
    <row r="3340" spans="1:4">
      <c r="A3340" s="1">
        <v>45866</v>
      </c>
      <c r="B3340" t="s">
        <v>45</v>
      </c>
      <c r="C3340">
        <v>13</v>
      </c>
      <c r="D3340" t="str">
        <f t="shared" si="52"/>
        <v>28/07/2025Maternity</v>
      </c>
    </row>
    <row r="3341" spans="1:4">
      <c r="A3341" s="1">
        <v>45866</v>
      </c>
      <c r="B3341" t="s">
        <v>50</v>
      </c>
      <c r="C3341">
        <v>21</v>
      </c>
      <c r="D3341" t="str">
        <f t="shared" si="52"/>
        <v>28/07/2025Renal Medicine</v>
      </c>
    </row>
    <row r="3342" spans="1:4">
      <c r="A3342" s="1">
        <v>45866</v>
      </c>
      <c r="B3342" t="s">
        <v>42</v>
      </c>
      <c r="C3342">
        <v>12</v>
      </c>
      <c r="D3342" t="str">
        <f t="shared" si="52"/>
        <v>28/07/2025Gastroenterology</v>
      </c>
    </row>
    <row r="3343" spans="1:4">
      <c r="A3343" s="1">
        <v>45866</v>
      </c>
      <c r="B3343" t="s">
        <v>98</v>
      </c>
      <c r="C3343">
        <v>10</v>
      </c>
      <c r="D3343" t="str">
        <f t="shared" si="52"/>
        <v>28/07/2025Endocrinology</v>
      </c>
    </row>
    <row r="3344" spans="1:4">
      <c r="A3344" s="1">
        <v>45866</v>
      </c>
      <c r="B3344" t="s">
        <v>100</v>
      </c>
      <c r="C3344">
        <v>11</v>
      </c>
      <c r="D3344" t="str">
        <f t="shared" si="52"/>
        <v>28/07/2025Urology</v>
      </c>
    </row>
    <row r="3345" spans="1:4">
      <c r="A3345" s="1">
        <v>45866</v>
      </c>
      <c r="B3345" t="s">
        <v>41</v>
      </c>
      <c r="C3345">
        <v>13</v>
      </c>
      <c r="D3345" t="str">
        <f t="shared" si="52"/>
        <v>28/07/2025ENT</v>
      </c>
    </row>
    <row r="3346" spans="1:4">
      <c r="A3346" s="1">
        <v>45866</v>
      </c>
      <c r="B3346" t="s">
        <v>44</v>
      </c>
      <c r="C3346">
        <v>16</v>
      </c>
      <c r="D3346" t="str">
        <f t="shared" si="52"/>
        <v>28/07/2025Geriatrics</v>
      </c>
    </row>
    <row r="3347" spans="1:4">
      <c r="A3347" s="1">
        <v>45867</v>
      </c>
      <c r="B3347" t="s">
        <v>39</v>
      </c>
      <c r="C3347">
        <v>25</v>
      </c>
      <c r="D3347" t="str">
        <f t="shared" si="52"/>
        <v>29/07/2025A&amp;E (Emergency)</v>
      </c>
    </row>
    <row r="3348" spans="1:4">
      <c r="A3348" s="1">
        <v>45867</v>
      </c>
      <c r="B3348" t="s">
        <v>40</v>
      </c>
      <c r="C3348">
        <v>17</v>
      </c>
      <c r="D3348" t="str">
        <f t="shared" si="52"/>
        <v>29/07/2025Cardiology</v>
      </c>
    </row>
    <row r="3349" spans="1:4">
      <c r="A3349" s="1">
        <v>45867</v>
      </c>
      <c r="B3349" t="s">
        <v>51</v>
      </c>
      <c r="C3349">
        <v>14</v>
      </c>
      <c r="D3349" t="str">
        <f t="shared" si="52"/>
        <v>29/07/2025Respiratory</v>
      </c>
    </row>
    <row r="3350" spans="1:4">
      <c r="A3350" s="1">
        <v>45867</v>
      </c>
      <c r="B3350" t="s">
        <v>43</v>
      </c>
      <c r="C3350">
        <v>20</v>
      </c>
      <c r="D3350" t="str">
        <f t="shared" si="52"/>
        <v>29/07/2025General Surgery</v>
      </c>
    </row>
    <row r="3351" spans="1:4">
      <c r="A3351" s="1">
        <v>45867</v>
      </c>
      <c r="B3351" t="s">
        <v>48</v>
      </c>
      <c r="C3351">
        <v>15</v>
      </c>
      <c r="D3351" t="str">
        <f t="shared" si="52"/>
        <v>29/07/2025Orthopaedics</v>
      </c>
    </row>
    <row r="3352" spans="1:4">
      <c r="A3352" s="1">
        <v>45867</v>
      </c>
      <c r="B3352" t="s">
        <v>46</v>
      </c>
      <c r="C3352">
        <v>13</v>
      </c>
      <c r="D3352" t="str">
        <f t="shared" si="52"/>
        <v>29/07/2025Neurology</v>
      </c>
    </row>
    <row r="3353" spans="1:4">
      <c r="A3353" s="1">
        <v>45867</v>
      </c>
      <c r="B3353" t="s">
        <v>47</v>
      </c>
      <c r="C3353">
        <v>17</v>
      </c>
      <c r="D3353" t="str">
        <f t="shared" si="52"/>
        <v>29/07/2025Oncology</v>
      </c>
    </row>
    <row r="3354" spans="1:4">
      <c r="A3354" s="1">
        <v>45867</v>
      </c>
      <c r="B3354" t="s">
        <v>49</v>
      </c>
      <c r="C3354">
        <v>12</v>
      </c>
      <c r="D3354" t="str">
        <f t="shared" si="52"/>
        <v>29/07/2025Paediatrics</v>
      </c>
    </row>
    <row r="3355" spans="1:4">
      <c r="A3355" s="1">
        <v>45867</v>
      </c>
      <c r="B3355" t="s">
        <v>45</v>
      </c>
      <c r="C3355">
        <v>12</v>
      </c>
      <c r="D3355" t="str">
        <f t="shared" si="52"/>
        <v>29/07/2025Maternity</v>
      </c>
    </row>
    <row r="3356" spans="1:4">
      <c r="A3356" s="1">
        <v>45867</v>
      </c>
      <c r="B3356" t="s">
        <v>50</v>
      </c>
      <c r="C3356">
        <v>20</v>
      </c>
      <c r="D3356" t="str">
        <f t="shared" si="52"/>
        <v>29/07/2025Renal Medicine</v>
      </c>
    </row>
    <row r="3357" spans="1:4">
      <c r="A3357" s="1">
        <v>45867</v>
      </c>
      <c r="B3357" t="s">
        <v>42</v>
      </c>
      <c r="C3357">
        <v>11</v>
      </c>
      <c r="D3357" t="str">
        <f t="shared" si="52"/>
        <v>29/07/2025Gastroenterology</v>
      </c>
    </row>
    <row r="3358" spans="1:4">
      <c r="A3358" s="1">
        <v>45867</v>
      </c>
      <c r="B3358" t="s">
        <v>98</v>
      </c>
      <c r="C3358">
        <v>9</v>
      </c>
      <c r="D3358" t="str">
        <f t="shared" si="52"/>
        <v>29/07/2025Endocrinology</v>
      </c>
    </row>
    <row r="3359" spans="1:4">
      <c r="A3359" s="1">
        <v>45867</v>
      </c>
      <c r="B3359" t="s">
        <v>100</v>
      </c>
      <c r="C3359">
        <v>10</v>
      </c>
      <c r="D3359" t="str">
        <f t="shared" si="52"/>
        <v>29/07/2025Urology</v>
      </c>
    </row>
    <row r="3360" spans="1:4">
      <c r="A3360" s="1">
        <v>45867</v>
      </c>
      <c r="B3360" t="s">
        <v>41</v>
      </c>
      <c r="C3360">
        <v>12</v>
      </c>
      <c r="D3360" t="str">
        <f t="shared" si="52"/>
        <v>29/07/2025ENT</v>
      </c>
    </row>
    <row r="3361" spans="1:4">
      <c r="A3361" s="1">
        <v>45867</v>
      </c>
      <c r="B3361" t="s">
        <v>44</v>
      </c>
      <c r="C3361">
        <v>15</v>
      </c>
      <c r="D3361" t="str">
        <f t="shared" si="52"/>
        <v>29/07/2025Geriatrics</v>
      </c>
    </row>
    <row r="3362" spans="1:4">
      <c r="A3362" s="1">
        <v>45868</v>
      </c>
      <c r="B3362" t="s">
        <v>39</v>
      </c>
      <c r="C3362">
        <v>24</v>
      </c>
      <c r="D3362" t="str">
        <f t="shared" si="52"/>
        <v>30/07/2025A&amp;E (Emergency)</v>
      </c>
    </row>
    <row r="3363" spans="1:4">
      <c r="A3363" s="1">
        <v>45868</v>
      </c>
      <c r="B3363" t="s">
        <v>40</v>
      </c>
      <c r="C3363">
        <v>16</v>
      </c>
      <c r="D3363" t="str">
        <f t="shared" si="52"/>
        <v>30/07/2025Cardiology</v>
      </c>
    </row>
    <row r="3364" spans="1:4">
      <c r="A3364" s="1">
        <v>45868</v>
      </c>
      <c r="B3364" t="s">
        <v>51</v>
      </c>
      <c r="C3364">
        <v>13</v>
      </c>
      <c r="D3364" t="str">
        <f t="shared" si="52"/>
        <v>30/07/2025Respiratory</v>
      </c>
    </row>
    <row r="3365" spans="1:4">
      <c r="A3365" s="1">
        <v>45868</v>
      </c>
      <c r="B3365" t="s">
        <v>43</v>
      </c>
      <c r="C3365">
        <v>19</v>
      </c>
      <c r="D3365" t="str">
        <f t="shared" si="52"/>
        <v>30/07/2025General Surgery</v>
      </c>
    </row>
    <row r="3366" spans="1:4">
      <c r="A3366" s="1">
        <v>45868</v>
      </c>
      <c r="B3366" t="s">
        <v>48</v>
      </c>
      <c r="C3366">
        <v>14</v>
      </c>
      <c r="D3366" t="str">
        <f t="shared" si="52"/>
        <v>30/07/2025Orthopaedics</v>
      </c>
    </row>
    <row r="3367" spans="1:4">
      <c r="A3367" s="1">
        <v>45868</v>
      </c>
      <c r="B3367" t="s">
        <v>46</v>
      </c>
      <c r="C3367">
        <v>12</v>
      </c>
      <c r="D3367" t="str">
        <f t="shared" si="52"/>
        <v>30/07/2025Neurology</v>
      </c>
    </row>
    <row r="3368" spans="1:4">
      <c r="A3368" s="1">
        <v>45868</v>
      </c>
      <c r="B3368" t="s">
        <v>47</v>
      </c>
      <c r="C3368">
        <v>16</v>
      </c>
      <c r="D3368" t="str">
        <f t="shared" si="52"/>
        <v>30/07/2025Oncology</v>
      </c>
    </row>
    <row r="3369" spans="1:4">
      <c r="A3369" s="1">
        <v>45868</v>
      </c>
      <c r="B3369" t="s">
        <v>49</v>
      </c>
      <c r="C3369">
        <v>11</v>
      </c>
      <c r="D3369" t="str">
        <f t="shared" si="52"/>
        <v>30/07/2025Paediatrics</v>
      </c>
    </row>
    <row r="3370" spans="1:4">
      <c r="A3370" s="1">
        <v>45868</v>
      </c>
      <c r="B3370" t="s">
        <v>45</v>
      </c>
      <c r="C3370">
        <v>12</v>
      </c>
      <c r="D3370" t="str">
        <f t="shared" si="52"/>
        <v>30/07/2025Maternity</v>
      </c>
    </row>
    <row r="3371" spans="1:4">
      <c r="A3371" s="1">
        <v>45868</v>
      </c>
      <c r="B3371" t="s">
        <v>50</v>
      </c>
      <c r="C3371">
        <v>19</v>
      </c>
      <c r="D3371" t="str">
        <f t="shared" si="52"/>
        <v>30/07/2025Renal Medicine</v>
      </c>
    </row>
    <row r="3372" spans="1:4">
      <c r="A3372" s="1">
        <v>45868</v>
      </c>
      <c r="B3372" t="s">
        <v>42</v>
      </c>
      <c r="C3372">
        <v>10</v>
      </c>
      <c r="D3372" t="str">
        <f t="shared" si="52"/>
        <v>30/07/2025Gastroenterology</v>
      </c>
    </row>
    <row r="3373" spans="1:4">
      <c r="A3373" s="1">
        <v>45868</v>
      </c>
      <c r="B3373" t="s">
        <v>98</v>
      </c>
      <c r="C3373">
        <v>8</v>
      </c>
      <c r="D3373" t="str">
        <f t="shared" si="52"/>
        <v>30/07/2025Endocrinology</v>
      </c>
    </row>
    <row r="3374" spans="1:4">
      <c r="A3374" s="1">
        <v>45868</v>
      </c>
      <c r="B3374" t="s">
        <v>100</v>
      </c>
      <c r="C3374">
        <v>10</v>
      </c>
      <c r="D3374" t="str">
        <f t="shared" si="52"/>
        <v>30/07/2025Urology</v>
      </c>
    </row>
    <row r="3375" spans="1:4">
      <c r="A3375" s="1">
        <v>45868</v>
      </c>
      <c r="B3375" t="s">
        <v>41</v>
      </c>
      <c r="C3375">
        <v>12</v>
      </c>
      <c r="D3375" t="str">
        <f t="shared" si="52"/>
        <v>30/07/2025ENT</v>
      </c>
    </row>
    <row r="3376" spans="1:4">
      <c r="A3376" s="1">
        <v>45868</v>
      </c>
      <c r="B3376" t="s">
        <v>44</v>
      </c>
      <c r="C3376">
        <v>14</v>
      </c>
      <c r="D3376" t="str">
        <f t="shared" si="52"/>
        <v>30/07/2025Geriatrics</v>
      </c>
    </row>
    <row r="3377" spans="1:4">
      <c r="A3377" s="1">
        <v>45869</v>
      </c>
      <c r="B3377" t="s">
        <v>39</v>
      </c>
      <c r="C3377">
        <v>23</v>
      </c>
      <c r="D3377" t="str">
        <f t="shared" si="52"/>
        <v>31/07/2025A&amp;E (Emergency)</v>
      </c>
    </row>
    <row r="3378" spans="1:4">
      <c r="A3378" s="1">
        <v>45869</v>
      </c>
      <c r="B3378" t="s">
        <v>40</v>
      </c>
      <c r="C3378">
        <v>16</v>
      </c>
      <c r="D3378" t="str">
        <f t="shared" si="52"/>
        <v>31/07/2025Cardiology</v>
      </c>
    </row>
    <row r="3379" spans="1:4">
      <c r="A3379" s="1">
        <v>45869</v>
      </c>
      <c r="B3379" t="s">
        <v>51</v>
      </c>
      <c r="C3379">
        <v>13</v>
      </c>
      <c r="D3379" t="str">
        <f t="shared" si="52"/>
        <v>31/07/2025Respiratory</v>
      </c>
    </row>
    <row r="3380" spans="1:4">
      <c r="A3380" s="1">
        <v>45869</v>
      </c>
      <c r="B3380" t="s">
        <v>43</v>
      </c>
      <c r="C3380">
        <v>19</v>
      </c>
      <c r="D3380" t="str">
        <f t="shared" si="52"/>
        <v>31/07/2025General Surgery</v>
      </c>
    </row>
    <row r="3381" spans="1:4">
      <c r="A3381" s="1">
        <v>45869</v>
      </c>
      <c r="B3381" t="s">
        <v>48</v>
      </c>
      <c r="C3381">
        <v>14</v>
      </c>
      <c r="D3381" t="str">
        <f t="shared" si="52"/>
        <v>31/07/2025Orthopaedics</v>
      </c>
    </row>
    <row r="3382" spans="1:4">
      <c r="A3382" s="1">
        <v>45869</v>
      </c>
      <c r="B3382" t="s">
        <v>46</v>
      </c>
      <c r="C3382">
        <v>12</v>
      </c>
      <c r="D3382" t="str">
        <f t="shared" si="52"/>
        <v>31/07/2025Neurology</v>
      </c>
    </row>
    <row r="3383" spans="1:4">
      <c r="A3383" s="1">
        <v>45869</v>
      </c>
      <c r="B3383" t="s">
        <v>47</v>
      </c>
      <c r="C3383">
        <v>16</v>
      </c>
      <c r="D3383" t="str">
        <f t="shared" si="52"/>
        <v>31/07/2025Oncology</v>
      </c>
    </row>
    <row r="3384" spans="1:4">
      <c r="A3384" s="1">
        <v>45869</v>
      </c>
      <c r="B3384" t="s">
        <v>49</v>
      </c>
      <c r="C3384">
        <v>11</v>
      </c>
      <c r="D3384" t="str">
        <f t="shared" si="52"/>
        <v>31/07/2025Paediatrics</v>
      </c>
    </row>
    <row r="3385" spans="1:4">
      <c r="A3385" s="1">
        <v>45869</v>
      </c>
      <c r="B3385" t="s">
        <v>45</v>
      </c>
      <c r="C3385">
        <v>12</v>
      </c>
      <c r="D3385" t="str">
        <f t="shared" si="52"/>
        <v>31/07/2025Maternity</v>
      </c>
    </row>
    <row r="3386" spans="1:4">
      <c r="A3386" s="1">
        <v>45869</v>
      </c>
      <c r="B3386" t="s">
        <v>50</v>
      </c>
      <c r="C3386">
        <v>19</v>
      </c>
      <c r="D3386" t="str">
        <f t="shared" si="52"/>
        <v>31/07/2025Renal Medicine</v>
      </c>
    </row>
    <row r="3387" spans="1:4">
      <c r="A3387" s="1">
        <v>45869</v>
      </c>
      <c r="B3387" t="s">
        <v>42</v>
      </c>
      <c r="C3387">
        <v>10</v>
      </c>
      <c r="D3387" t="str">
        <f t="shared" si="52"/>
        <v>31/07/2025Gastroenterology</v>
      </c>
    </row>
    <row r="3388" spans="1:4">
      <c r="A3388" s="1">
        <v>45869</v>
      </c>
      <c r="B3388" t="s">
        <v>98</v>
      </c>
      <c r="C3388">
        <v>8</v>
      </c>
      <c r="D3388" t="str">
        <f t="shared" si="52"/>
        <v>31/07/2025Endocrinology</v>
      </c>
    </row>
    <row r="3389" spans="1:4">
      <c r="A3389" s="1">
        <v>45869</v>
      </c>
      <c r="B3389" t="s">
        <v>100</v>
      </c>
      <c r="C3389">
        <v>10</v>
      </c>
      <c r="D3389" t="str">
        <f t="shared" si="52"/>
        <v>31/07/2025Urology</v>
      </c>
    </row>
    <row r="3390" spans="1:4">
      <c r="A3390" s="1">
        <v>45869</v>
      </c>
      <c r="B3390" t="s">
        <v>41</v>
      </c>
      <c r="C3390">
        <v>12</v>
      </c>
      <c r="D3390" t="str">
        <f t="shared" si="52"/>
        <v>31/07/2025ENT</v>
      </c>
    </row>
    <row r="3391" spans="1:4">
      <c r="A3391" s="1">
        <v>45869</v>
      </c>
      <c r="B3391" t="s">
        <v>44</v>
      </c>
      <c r="C3391">
        <v>14</v>
      </c>
      <c r="D3391" t="str">
        <f t="shared" si="52"/>
        <v>31/07/2025Geriatrics</v>
      </c>
    </row>
    <row r="3392" spans="1:4">
      <c r="A3392" s="1">
        <v>45870</v>
      </c>
      <c r="B3392" t="s">
        <v>39</v>
      </c>
      <c r="C3392">
        <v>22</v>
      </c>
      <c r="D3392" t="str">
        <f t="shared" si="52"/>
        <v>01/08/2025A&amp;E (Emergency)</v>
      </c>
    </row>
    <row r="3393" spans="1:4">
      <c r="A3393" s="1">
        <v>45870</v>
      </c>
      <c r="B3393" t="s">
        <v>40</v>
      </c>
      <c r="C3393">
        <v>15</v>
      </c>
      <c r="D3393" t="str">
        <f t="shared" si="52"/>
        <v>01/08/2025Cardiology</v>
      </c>
    </row>
    <row r="3394" spans="1:4">
      <c r="A3394" s="1">
        <v>45870</v>
      </c>
      <c r="B3394" t="s">
        <v>51</v>
      </c>
      <c r="C3394">
        <v>12</v>
      </c>
      <c r="D3394" t="str">
        <f t="shared" si="52"/>
        <v>01/08/2025Respiratory</v>
      </c>
    </row>
    <row r="3395" spans="1:4">
      <c r="A3395" s="1">
        <v>45870</v>
      </c>
      <c r="B3395" t="s">
        <v>43</v>
      </c>
      <c r="C3395">
        <v>18</v>
      </c>
      <c r="D3395" t="str">
        <f t="shared" ref="D3395:D3458" si="53">TEXT(A3395, "dd/mm/yyyy")&amp;B3395</f>
        <v>01/08/2025General Surgery</v>
      </c>
    </row>
    <row r="3396" spans="1:4">
      <c r="A3396" s="1">
        <v>45870</v>
      </c>
      <c r="B3396" t="s">
        <v>48</v>
      </c>
      <c r="C3396">
        <v>13</v>
      </c>
      <c r="D3396" t="str">
        <f t="shared" si="53"/>
        <v>01/08/2025Orthopaedics</v>
      </c>
    </row>
    <row r="3397" spans="1:4">
      <c r="A3397" s="1">
        <v>45870</v>
      </c>
      <c r="B3397" t="s">
        <v>46</v>
      </c>
      <c r="C3397">
        <v>11</v>
      </c>
      <c r="D3397" t="str">
        <f t="shared" si="53"/>
        <v>01/08/2025Neurology</v>
      </c>
    </row>
    <row r="3398" spans="1:4">
      <c r="A3398" s="1">
        <v>45870</v>
      </c>
      <c r="B3398" t="s">
        <v>47</v>
      </c>
      <c r="C3398">
        <v>15</v>
      </c>
      <c r="D3398" t="str">
        <f t="shared" si="53"/>
        <v>01/08/2025Oncology</v>
      </c>
    </row>
    <row r="3399" spans="1:4">
      <c r="A3399" s="1">
        <v>45870</v>
      </c>
      <c r="B3399" t="s">
        <v>49</v>
      </c>
      <c r="C3399">
        <v>10</v>
      </c>
      <c r="D3399" t="str">
        <f t="shared" si="53"/>
        <v>01/08/2025Paediatrics</v>
      </c>
    </row>
    <row r="3400" spans="1:4">
      <c r="A3400" s="1">
        <v>45870</v>
      </c>
      <c r="B3400" t="s">
        <v>45</v>
      </c>
      <c r="C3400">
        <v>11</v>
      </c>
      <c r="D3400" t="str">
        <f t="shared" si="53"/>
        <v>01/08/2025Maternity</v>
      </c>
    </row>
    <row r="3401" spans="1:4">
      <c r="A3401" s="1">
        <v>45870</v>
      </c>
      <c r="B3401" t="s">
        <v>50</v>
      </c>
      <c r="C3401">
        <v>18</v>
      </c>
      <c r="D3401" t="str">
        <f t="shared" si="53"/>
        <v>01/08/2025Renal Medicine</v>
      </c>
    </row>
    <row r="3402" spans="1:4">
      <c r="A3402" s="1">
        <v>45870</v>
      </c>
      <c r="B3402" t="s">
        <v>42</v>
      </c>
      <c r="C3402">
        <v>9</v>
      </c>
      <c r="D3402" t="str">
        <f t="shared" si="53"/>
        <v>01/08/2025Gastroenterology</v>
      </c>
    </row>
    <row r="3403" spans="1:4">
      <c r="A3403" s="1">
        <v>45870</v>
      </c>
      <c r="B3403" t="s">
        <v>98</v>
      </c>
      <c r="C3403">
        <v>7</v>
      </c>
      <c r="D3403" t="str">
        <f t="shared" si="53"/>
        <v>01/08/2025Endocrinology</v>
      </c>
    </row>
    <row r="3404" spans="1:4">
      <c r="A3404" s="1">
        <v>45870</v>
      </c>
      <c r="B3404" t="s">
        <v>100</v>
      </c>
      <c r="C3404">
        <v>9</v>
      </c>
      <c r="D3404" t="str">
        <f t="shared" si="53"/>
        <v>01/08/2025Urology</v>
      </c>
    </row>
    <row r="3405" spans="1:4">
      <c r="A3405" s="1">
        <v>45870</v>
      </c>
      <c r="B3405" t="s">
        <v>41</v>
      </c>
      <c r="C3405">
        <v>11</v>
      </c>
      <c r="D3405" t="str">
        <f t="shared" si="53"/>
        <v>01/08/2025ENT</v>
      </c>
    </row>
    <row r="3406" spans="1:4">
      <c r="A3406" s="1">
        <v>45870</v>
      </c>
      <c r="B3406" t="s">
        <v>44</v>
      </c>
      <c r="C3406">
        <v>13</v>
      </c>
      <c r="D3406" t="str">
        <f t="shared" si="53"/>
        <v>01/08/2025Geriatrics</v>
      </c>
    </row>
    <row r="3407" spans="1:4">
      <c r="A3407" s="1">
        <v>45871</v>
      </c>
      <c r="B3407" t="s">
        <v>39</v>
      </c>
      <c r="C3407">
        <v>20</v>
      </c>
      <c r="D3407" t="str">
        <f t="shared" si="53"/>
        <v>02/08/2025A&amp;E (Emergency)</v>
      </c>
    </row>
    <row r="3408" spans="1:4">
      <c r="A3408" s="1">
        <v>45871</v>
      </c>
      <c r="B3408" t="s">
        <v>40</v>
      </c>
      <c r="C3408">
        <v>12</v>
      </c>
      <c r="D3408" t="str">
        <f t="shared" si="53"/>
        <v>02/08/2025Cardiology</v>
      </c>
    </row>
    <row r="3409" spans="1:4">
      <c r="A3409" s="1">
        <v>45871</v>
      </c>
      <c r="B3409" t="s">
        <v>51</v>
      </c>
      <c r="C3409">
        <v>9</v>
      </c>
      <c r="D3409" t="str">
        <f t="shared" si="53"/>
        <v>02/08/2025Respiratory</v>
      </c>
    </row>
    <row r="3410" spans="1:4">
      <c r="A3410" s="1">
        <v>45871</v>
      </c>
      <c r="B3410" t="s">
        <v>43</v>
      </c>
      <c r="C3410">
        <v>15</v>
      </c>
      <c r="D3410" t="str">
        <f t="shared" si="53"/>
        <v>02/08/2025General Surgery</v>
      </c>
    </row>
    <row r="3411" spans="1:4">
      <c r="A3411" s="1">
        <v>45871</v>
      </c>
      <c r="B3411" t="s">
        <v>48</v>
      </c>
      <c r="C3411">
        <v>11</v>
      </c>
      <c r="D3411" t="str">
        <f t="shared" si="53"/>
        <v>02/08/2025Orthopaedics</v>
      </c>
    </row>
    <row r="3412" spans="1:4">
      <c r="A3412" s="1">
        <v>45871</v>
      </c>
      <c r="B3412" t="s">
        <v>46</v>
      </c>
      <c r="C3412">
        <v>9</v>
      </c>
      <c r="D3412" t="str">
        <f t="shared" si="53"/>
        <v>02/08/2025Neurology</v>
      </c>
    </row>
    <row r="3413" spans="1:4">
      <c r="A3413" s="1">
        <v>45871</v>
      </c>
      <c r="B3413" t="s">
        <v>47</v>
      </c>
      <c r="C3413">
        <v>13</v>
      </c>
      <c r="D3413" t="str">
        <f t="shared" si="53"/>
        <v>02/08/2025Oncology</v>
      </c>
    </row>
    <row r="3414" spans="1:4">
      <c r="A3414" s="1">
        <v>45871</v>
      </c>
      <c r="B3414" t="s">
        <v>49</v>
      </c>
      <c r="C3414">
        <v>9</v>
      </c>
      <c r="D3414" t="str">
        <f t="shared" si="53"/>
        <v>02/08/2025Paediatrics</v>
      </c>
    </row>
    <row r="3415" spans="1:4">
      <c r="A3415" s="1">
        <v>45871</v>
      </c>
      <c r="B3415" t="s">
        <v>45</v>
      </c>
      <c r="C3415">
        <v>10</v>
      </c>
      <c r="D3415" t="str">
        <f t="shared" si="53"/>
        <v>02/08/2025Maternity</v>
      </c>
    </row>
    <row r="3416" spans="1:4">
      <c r="A3416" s="1">
        <v>45871</v>
      </c>
      <c r="B3416" t="s">
        <v>50</v>
      </c>
      <c r="C3416">
        <v>17</v>
      </c>
      <c r="D3416" t="str">
        <f t="shared" si="53"/>
        <v>02/08/2025Renal Medicine</v>
      </c>
    </row>
    <row r="3417" spans="1:4">
      <c r="A3417" s="1">
        <v>45871</v>
      </c>
      <c r="B3417" t="s">
        <v>42</v>
      </c>
      <c r="C3417">
        <v>7</v>
      </c>
      <c r="D3417" t="str">
        <f t="shared" si="53"/>
        <v>02/08/2025Gastroenterology</v>
      </c>
    </row>
    <row r="3418" spans="1:4">
      <c r="A3418" s="1">
        <v>45871</v>
      </c>
      <c r="B3418" t="s">
        <v>98</v>
      </c>
      <c r="C3418">
        <v>6</v>
      </c>
      <c r="D3418" t="str">
        <f t="shared" si="53"/>
        <v>02/08/2025Endocrinology</v>
      </c>
    </row>
    <row r="3419" spans="1:4">
      <c r="A3419" s="1">
        <v>45871</v>
      </c>
      <c r="B3419" t="s">
        <v>100</v>
      </c>
      <c r="C3419">
        <v>8</v>
      </c>
      <c r="D3419" t="str">
        <f t="shared" si="53"/>
        <v>02/08/2025Urology</v>
      </c>
    </row>
    <row r="3420" spans="1:4">
      <c r="A3420" s="1">
        <v>45871</v>
      </c>
      <c r="B3420" t="s">
        <v>41</v>
      </c>
      <c r="C3420">
        <v>10</v>
      </c>
      <c r="D3420" t="str">
        <f t="shared" si="53"/>
        <v>02/08/2025ENT</v>
      </c>
    </row>
    <row r="3421" spans="1:4">
      <c r="A3421" s="1">
        <v>45871</v>
      </c>
      <c r="B3421" t="s">
        <v>44</v>
      </c>
      <c r="C3421">
        <v>12</v>
      </c>
      <c r="D3421" t="str">
        <f t="shared" si="53"/>
        <v>02/08/2025Geriatrics</v>
      </c>
    </row>
    <row r="3422" spans="1:4">
      <c r="A3422" s="1">
        <v>45872</v>
      </c>
      <c r="B3422" t="s">
        <v>39</v>
      </c>
      <c r="C3422">
        <v>19</v>
      </c>
      <c r="D3422" t="str">
        <f t="shared" si="53"/>
        <v>03/08/2025A&amp;E (Emergency)</v>
      </c>
    </row>
    <row r="3423" spans="1:4">
      <c r="A3423" s="1">
        <v>45872</v>
      </c>
      <c r="B3423" t="s">
        <v>40</v>
      </c>
      <c r="C3423">
        <v>11</v>
      </c>
      <c r="D3423" t="str">
        <f t="shared" si="53"/>
        <v>03/08/2025Cardiology</v>
      </c>
    </row>
    <row r="3424" spans="1:4">
      <c r="A3424" s="1">
        <v>45872</v>
      </c>
      <c r="B3424" t="s">
        <v>51</v>
      </c>
      <c r="C3424">
        <v>9</v>
      </c>
      <c r="D3424" t="str">
        <f t="shared" si="53"/>
        <v>03/08/2025Respiratory</v>
      </c>
    </row>
    <row r="3425" spans="1:4">
      <c r="A3425" s="1">
        <v>45872</v>
      </c>
      <c r="B3425" t="s">
        <v>43</v>
      </c>
      <c r="C3425">
        <v>14</v>
      </c>
      <c r="D3425" t="str">
        <f t="shared" si="53"/>
        <v>03/08/2025General Surgery</v>
      </c>
    </row>
    <row r="3426" spans="1:4">
      <c r="A3426" s="1">
        <v>45872</v>
      </c>
      <c r="B3426" t="s">
        <v>48</v>
      </c>
      <c r="C3426">
        <v>10</v>
      </c>
      <c r="D3426" t="str">
        <f t="shared" si="53"/>
        <v>03/08/2025Orthopaedics</v>
      </c>
    </row>
    <row r="3427" spans="1:4">
      <c r="A3427" s="1">
        <v>45872</v>
      </c>
      <c r="B3427" t="s">
        <v>46</v>
      </c>
      <c r="C3427">
        <v>9</v>
      </c>
      <c r="D3427" t="str">
        <f t="shared" si="53"/>
        <v>03/08/2025Neurology</v>
      </c>
    </row>
    <row r="3428" spans="1:4">
      <c r="A3428" s="1">
        <v>45872</v>
      </c>
      <c r="B3428" t="s">
        <v>47</v>
      </c>
      <c r="C3428">
        <v>12</v>
      </c>
      <c r="D3428" t="str">
        <f t="shared" si="53"/>
        <v>03/08/2025Oncology</v>
      </c>
    </row>
    <row r="3429" spans="1:4">
      <c r="A3429" s="1">
        <v>45872</v>
      </c>
      <c r="B3429" t="s">
        <v>49</v>
      </c>
      <c r="C3429">
        <v>8</v>
      </c>
      <c r="D3429" t="str">
        <f t="shared" si="53"/>
        <v>03/08/2025Paediatrics</v>
      </c>
    </row>
    <row r="3430" spans="1:4">
      <c r="A3430" s="1">
        <v>45872</v>
      </c>
      <c r="B3430" t="s">
        <v>45</v>
      </c>
      <c r="C3430">
        <v>9</v>
      </c>
      <c r="D3430" t="str">
        <f t="shared" si="53"/>
        <v>03/08/2025Maternity</v>
      </c>
    </row>
    <row r="3431" spans="1:4">
      <c r="A3431" s="1">
        <v>45872</v>
      </c>
      <c r="B3431" t="s">
        <v>50</v>
      </c>
      <c r="C3431">
        <v>17</v>
      </c>
      <c r="D3431" t="str">
        <f t="shared" si="53"/>
        <v>03/08/2025Renal Medicine</v>
      </c>
    </row>
    <row r="3432" spans="1:4">
      <c r="A3432" s="1">
        <v>45872</v>
      </c>
      <c r="B3432" t="s">
        <v>42</v>
      </c>
      <c r="C3432">
        <v>7</v>
      </c>
      <c r="D3432" t="str">
        <f t="shared" si="53"/>
        <v>03/08/2025Gastroenterology</v>
      </c>
    </row>
    <row r="3433" spans="1:4">
      <c r="A3433" s="1">
        <v>45872</v>
      </c>
      <c r="B3433" t="s">
        <v>98</v>
      </c>
      <c r="C3433">
        <v>6</v>
      </c>
      <c r="D3433" t="str">
        <f t="shared" si="53"/>
        <v>03/08/2025Endocrinology</v>
      </c>
    </row>
    <row r="3434" spans="1:4">
      <c r="A3434" s="1">
        <v>45872</v>
      </c>
      <c r="B3434" t="s">
        <v>100</v>
      </c>
      <c r="C3434">
        <v>8</v>
      </c>
      <c r="D3434" t="str">
        <f t="shared" si="53"/>
        <v>03/08/2025Urology</v>
      </c>
    </row>
    <row r="3435" spans="1:4">
      <c r="A3435" s="1">
        <v>45872</v>
      </c>
      <c r="B3435" t="s">
        <v>41</v>
      </c>
      <c r="C3435">
        <v>10</v>
      </c>
      <c r="D3435" t="str">
        <f t="shared" si="53"/>
        <v>03/08/2025ENT</v>
      </c>
    </row>
    <row r="3436" spans="1:4">
      <c r="A3436" s="1">
        <v>45872</v>
      </c>
      <c r="B3436" t="s">
        <v>44</v>
      </c>
      <c r="C3436">
        <v>12</v>
      </c>
      <c r="D3436" t="str">
        <f t="shared" si="53"/>
        <v>03/08/2025Geriatrics</v>
      </c>
    </row>
    <row r="3437" spans="1:4">
      <c r="A3437" s="1">
        <v>45873</v>
      </c>
      <c r="B3437" t="s">
        <v>39</v>
      </c>
      <c r="C3437">
        <v>28</v>
      </c>
      <c r="D3437" t="str">
        <f t="shared" si="53"/>
        <v>04/08/2025A&amp;E (Emergency)</v>
      </c>
    </row>
    <row r="3438" spans="1:4">
      <c r="A3438" s="1">
        <v>45873</v>
      </c>
      <c r="B3438" t="s">
        <v>40</v>
      </c>
      <c r="C3438">
        <v>18</v>
      </c>
      <c r="D3438" t="str">
        <f t="shared" si="53"/>
        <v>04/08/2025Cardiology</v>
      </c>
    </row>
    <row r="3439" spans="1:4">
      <c r="A3439" s="1">
        <v>45873</v>
      </c>
      <c r="B3439" t="s">
        <v>51</v>
      </c>
      <c r="C3439">
        <v>15</v>
      </c>
      <c r="D3439" t="str">
        <f t="shared" si="53"/>
        <v>04/08/2025Respiratory</v>
      </c>
    </row>
    <row r="3440" spans="1:4">
      <c r="A3440" s="1">
        <v>45873</v>
      </c>
      <c r="B3440" t="s">
        <v>43</v>
      </c>
      <c r="C3440">
        <v>22</v>
      </c>
      <c r="D3440" t="str">
        <f t="shared" si="53"/>
        <v>04/08/2025General Surgery</v>
      </c>
    </row>
    <row r="3441" spans="1:4">
      <c r="A3441" s="1">
        <v>45873</v>
      </c>
      <c r="B3441" t="s">
        <v>48</v>
      </c>
      <c r="C3441">
        <v>16</v>
      </c>
      <c r="D3441" t="str">
        <f t="shared" si="53"/>
        <v>04/08/2025Orthopaedics</v>
      </c>
    </row>
    <row r="3442" spans="1:4">
      <c r="A3442" s="1">
        <v>45873</v>
      </c>
      <c r="B3442" t="s">
        <v>46</v>
      </c>
      <c r="C3442">
        <v>14</v>
      </c>
      <c r="D3442" t="str">
        <f t="shared" si="53"/>
        <v>04/08/2025Neurology</v>
      </c>
    </row>
    <row r="3443" spans="1:4">
      <c r="A3443" s="1">
        <v>45873</v>
      </c>
      <c r="B3443" t="s">
        <v>47</v>
      </c>
      <c r="C3443">
        <v>18</v>
      </c>
      <c r="D3443" t="str">
        <f t="shared" si="53"/>
        <v>04/08/2025Oncology</v>
      </c>
    </row>
    <row r="3444" spans="1:4">
      <c r="A3444" s="1">
        <v>45873</v>
      </c>
      <c r="B3444" t="s">
        <v>49</v>
      </c>
      <c r="C3444">
        <v>13</v>
      </c>
      <c r="D3444" t="str">
        <f t="shared" si="53"/>
        <v>04/08/2025Paediatrics</v>
      </c>
    </row>
    <row r="3445" spans="1:4">
      <c r="A3445" s="1">
        <v>45873</v>
      </c>
      <c r="B3445" t="s">
        <v>45</v>
      </c>
      <c r="C3445">
        <v>13</v>
      </c>
      <c r="D3445" t="str">
        <f t="shared" si="53"/>
        <v>04/08/2025Maternity</v>
      </c>
    </row>
    <row r="3446" spans="1:4">
      <c r="A3446" s="1">
        <v>45873</v>
      </c>
      <c r="B3446" t="s">
        <v>50</v>
      </c>
      <c r="C3446">
        <v>21</v>
      </c>
      <c r="D3446" t="str">
        <f t="shared" si="53"/>
        <v>04/08/2025Renal Medicine</v>
      </c>
    </row>
    <row r="3447" spans="1:4">
      <c r="A3447" s="1">
        <v>45873</v>
      </c>
      <c r="B3447" t="s">
        <v>42</v>
      </c>
      <c r="C3447">
        <v>12</v>
      </c>
      <c r="D3447" t="str">
        <f t="shared" si="53"/>
        <v>04/08/2025Gastroenterology</v>
      </c>
    </row>
    <row r="3448" spans="1:4">
      <c r="A3448" s="1">
        <v>45873</v>
      </c>
      <c r="B3448" t="s">
        <v>98</v>
      </c>
      <c r="C3448">
        <v>10</v>
      </c>
      <c r="D3448" t="str">
        <f t="shared" si="53"/>
        <v>04/08/2025Endocrinology</v>
      </c>
    </row>
    <row r="3449" spans="1:4">
      <c r="A3449" s="1">
        <v>45873</v>
      </c>
      <c r="B3449" t="s">
        <v>100</v>
      </c>
      <c r="C3449">
        <v>11</v>
      </c>
      <c r="D3449" t="str">
        <f t="shared" si="53"/>
        <v>04/08/2025Urology</v>
      </c>
    </row>
    <row r="3450" spans="1:4">
      <c r="A3450" s="1">
        <v>45873</v>
      </c>
      <c r="B3450" t="s">
        <v>41</v>
      </c>
      <c r="C3450">
        <v>13</v>
      </c>
      <c r="D3450" t="str">
        <f t="shared" si="53"/>
        <v>04/08/2025ENT</v>
      </c>
    </row>
    <row r="3451" spans="1:4">
      <c r="A3451" s="1">
        <v>45873</v>
      </c>
      <c r="B3451" t="s">
        <v>44</v>
      </c>
      <c r="C3451">
        <v>16</v>
      </c>
      <c r="D3451" t="str">
        <f t="shared" si="53"/>
        <v>04/08/2025Geriatrics</v>
      </c>
    </row>
    <row r="3452" spans="1:4">
      <c r="A3452" s="1">
        <v>45874</v>
      </c>
      <c r="B3452" t="s">
        <v>39</v>
      </c>
      <c r="C3452">
        <v>25</v>
      </c>
      <c r="D3452" t="str">
        <f t="shared" si="53"/>
        <v>05/08/2025A&amp;E (Emergency)</v>
      </c>
    </row>
    <row r="3453" spans="1:4">
      <c r="A3453" s="1">
        <v>45874</v>
      </c>
      <c r="B3453" t="s">
        <v>40</v>
      </c>
      <c r="C3453">
        <v>17</v>
      </c>
      <c r="D3453" t="str">
        <f t="shared" si="53"/>
        <v>05/08/2025Cardiology</v>
      </c>
    </row>
    <row r="3454" spans="1:4">
      <c r="A3454" s="1">
        <v>45874</v>
      </c>
      <c r="B3454" t="s">
        <v>51</v>
      </c>
      <c r="C3454">
        <v>14</v>
      </c>
      <c r="D3454" t="str">
        <f t="shared" si="53"/>
        <v>05/08/2025Respiratory</v>
      </c>
    </row>
    <row r="3455" spans="1:4">
      <c r="A3455" s="1">
        <v>45874</v>
      </c>
      <c r="B3455" t="s">
        <v>43</v>
      </c>
      <c r="C3455">
        <v>20</v>
      </c>
      <c r="D3455" t="str">
        <f t="shared" si="53"/>
        <v>05/08/2025General Surgery</v>
      </c>
    </row>
    <row r="3456" spans="1:4">
      <c r="A3456" s="1">
        <v>45874</v>
      </c>
      <c r="B3456" t="s">
        <v>48</v>
      </c>
      <c r="C3456">
        <v>15</v>
      </c>
      <c r="D3456" t="str">
        <f t="shared" si="53"/>
        <v>05/08/2025Orthopaedics</v>
      </c>
    </row>
    <row r="3457" spans="1:4">
      <c r="A3457" s="1">
        <v>45874</v>
      </c>
      <c r="B3457" t="s">
        <v>46</v>
      </c>
      <c r="C3457">
        <v>13</v>
      </c>
      <c r="D3457" t="str">
        <f t="shared" si="53"/>
        <v>05/08/2025Neurology</v>
      </c>
    </row>
    <row r="3458" spans="1:4">
      <c r="A3458" s="1">
        <v>45874</v>
      </c>
      <c r="B3458" t="s">
        <v>47</v>
      </c>
      <c r="C3458">
        <v>17</v>
      </c>
      <c r="D3458" t="str">
        <f t="shared" si="53"/>
        <v>05/08/2025Oncology</v>
      </c>
    </row>
    <row r="3459" spans="1:4">
      <c r="A3459" s="1">
        <v>45874</v>
      </c>
      <c r="B3459" t="s">
        <v>49</v>
      </c>
      <c r="C3459">
        <v>12</v>
      </c>
      <c r="D3459" t="str">
        <f t="shared" ref="D3459:D3522" si="54">TEXT(A3459, "dd/mm/yyyy")&amp;B3459</f>
        <v>05/08/2025Paediatrics</v>
      </c>
    </row>
    <row r="3460" spans="1:4">
      <c r="A3460" s="1">
        <v>45874</v>
      </c>
      <c r="B3460" t="s">
        <v>45</v>
      </c>
      <c r="C3460">
        <v>12</v>
      </c>
      <c r="D3460" t="str">
        <f t="shared" si="54"/>
        <v>05/08/2025Maternity</v>
      </c>
    </row>
    <row r="3461" spans="1:4">
      <c r="A3461" s="1">
        <v>45874</v>
      </c>
      <c r="B3461" t="s">
        <v>50</v>
      </c>
      <c r="C3461">
        <v>20</v>
      </c>
      <c r="D3461" t="str">
        <f t="shared" si="54"/>
        <v>05/08/2025Renal Medicine</v>
      </c>
    </row>
    <row r="3462" spans="1:4">
      <c r="A3462" s="1">
        <v>45874</v>
      </c>
      <c r="B3462" t="s">
        <v>42</v>
      </c>
      <c r="C3462">
        <v>11</v>
      </c>
      <c r="D3462" t="str">
        <f t="shared" si="54"/>
        <v>05/08/2025Gastroenterology</v>
      </c>
    </row>
    <row r="3463" spans="1:4">
      <c r="A3463" s="1">
        <v>45874</v>
      </c>
      <c r="B3463" t="s">
        <v>98</v>
      </c>
      <c r="C3463">
        <v>9</v>
      </c>
      <c r="D3463" t="str">
        <f t="shared" si="54"/>
        <v>05/08/2025Endocrinology</v>
      </c>
    </row>
    <row r="3464" spans="1:4">
      <c r="A3464" s="1">
        <v>45874</v>
      </c>
      <c r="B3464" t="s">
        <v>100</v>
      </c>
      <c r="C3464">
        <v>10</v>
      </c>
      <c r="D3464" t="str">
        <f t="shared" si="54"/>
        <v>05/08/2025Urology</v>
      </c>
    </row>
    <row r="3465" spans="1:4">
      <c r="A3465" s="1">
        <v>45874</v>
      </c>
      <c r="B3465" t="s">
        <v>41</v>
      </c>
      <c r="C3465">
        <v>12</v>
      </c>
      <c r="D3465" t="str">
        <f t="shared" si="54"/>
        <v>05/08/2025ENT</v>
      </c>
    </row>
    <row r="3466" spans="1:4">
      <c r="A3466" s="1">
        <v>45874</v>
      </c>
      <c r="B3466" t="s">
        <v>44</v>
      </c>
      <c r="C3466">
        <v>15</v>
      </c>
      <c r="D3466" t="str">
        <f t="shared" si="54"/>
        <v>05/08/2025Geriatrics</v>
      </c>
    </row>
    <row r="3467" spans="1:4">
      <c r="A3467" s="1">
        <v>45875</v>
      </c>
      <c r="B3467" t="s">
        <v>39</v>
      </c>
      <c r="C3467">
        <v>24</v>
      </c>
      <c r="D3467" t="str">
        <f t="shared" si="54"/>
        <v>06/08/2025A&amp;E (Emergency)</v>
      </c>
    </row>
    <row r="3468" spans="1:4">
      <c r="A3468" s="1">
        <v>45875</v>
      </c>
      <c r="B3468" t="s">
        <v>40</v>
      </c>
      <c r="C3468">
        <v>16</v>
      </c>
      <c r="D3468" t="str">
        <f t="shared" si="54"/>
        <v>06/08/2025Cardiology</v>
      </c>
    </row>
    <row r="3469" spans="1:4">
      <c r="A3469" s="1">
        <v>45875</v>
      </c>
      <c r="B3469" t="s">
        <v>51</v>
      </c>
      <c r="C3469">
        <v>13</v>
      </c>
      <c r="D3469" t="str">
        <f t="shared" si="54"/>
        <v>06/08/2025Respiratory</v>
      </c>
    </row>
    <row r="3470" spans="1:4">
      <c r="A3470" s="1">
        <v>45875</v>
      </c>
      <c r="B3470" t="s">
        <v>43</v>
      </c>
      <c r="C3470">
        <v>19</v>
      </c>
      <c r="D3470" t="str">
        <f t="shared" si="54"/>
        <v>06/08/2025General Surgery</v>
      </c>
    </row>
    <row r="3471" spans="1:4">
      <c r="A3471" s="1">
        <v>45875</v>
      </c>
      <c r="B3471" t="s">
        <v>48</v>
      </c>
      <c r="C3471">
        <v>14</v>
      </c>
      <c r="D3471" t="str">
        <f t="shared" si="54"/>
        <v>06/08/2025Orthopaedics</v>
      </c>
    </row>
    <row r="3472" spans="1:4">
      <c r="A3472" s="1">
        <v>45875</v>
      </c>
      <c r="B3472" t="s">
        <v>46</v>
      </c>
      <c r="C3472">
        <v>12</v>
      </c>
      <c r="D3472" t="str">
        <f t="shared" si="54"/>
        <v>06/08/2025Neurology</v>
      </c>
    </row>
    <row r="3473" spans="1:4">
      <c r="A3473" s="1">
        <v>45875</v>
      </c>
      <c r="B3473" t="s">
        <v>47</v>
      </c>
      <c r="C3473">
        <v>16</v>
      </c>
      <c r="D3473" t="str">
        <f t="shared" si="54"/>
        <v>06/08/2025Oncology</v>
      </c>
    </row>
    <row r="3474" spans="1:4">
      <c r="A3474" s="1">
        <v>45875</v>
      </c>
      <c r="B3474" t="s">
        <v>49</v>
      </c>
      <c r="C3474">
        <v>11</v>
      </c>
      <c r="D3474" t="str">
        <f t="shared" si="54"/>
        <v>06/08/2025Paediatrics</v>
      </c>
    </row>
    <row r="3475" spans="1:4">
      <c r="A3475" s="1">
        <v>45875</v>
      </c>
      <c r="B3475" t="s">
        <v>45</v>
      </c>
      <c r="C3475">
        <v>12</v>
      </c>
      <c r="D3475" t="str">
        <f t="shared" si="54"/>
        <v>06/08/2025Maternity</v>
      </c>
    </row>
    <row r="3476" spans="1:4">
      <c r="A3476" s="1">
        <v>45875</v>
      </c>
      <c r="B3476" t="s">
        <v>50</v>
      </c>
      <c r="C3476">
        <v>19</v>
      </c>
      <c r="D3476" t="str">
        <f t="shared" si="54"/>
        <v>06/08/2025Renal Medicine</v>
      </c>
    </row>
    <row r="3477" spans="1:4">
      <c r="A3477" s="1">
        <v>45875</v>
      </c>
      <c r="B3477" t="s">
        <v>42</v>
      </c>
      <c r="C3477">
        <v>10</v>
      </c>
      <c r="D3477" t="str">
        <f t="shared" si="54"/>
        <v>06/08/2025Gastroenterology</v>
      </c>
    </row>
    <row r="3478" spans="1:4">
      <c r="A3478" s="1">
        <v>45875</v>
      </c>
      <c r="B3478" t="s">
        <v>98</v>
      </c>
      <c r="C3478">
        <v>8</v>
      </c>
      <c r="D3478" t="str">
        <f t="shared" si="54"/>
        <v>06/08/2025Endocrinology</v>
      </c>
    </row>
    <row r="3479" spans="1:4">
      <c r="A3479" s="1">
        <v>45875</v>
      </c>
      <c r="B3479" t="s">
        <v>100</v>
      </c>
      <c r="C3479">
        <v>10</v>
      </c>
      <c r="D3479" t="str">
        <f t="shared" si="54"/>
        <v>06/08/2025Urology</v>
      </c>
    </row>
    <row r="3480" spans="1:4">
      <c r="A3480" s="1">
        <v>45875</v>
      </c>
      <c r="B3480" t="s">
        <v>41</v>
      </c>
      <c r="C3480">
        <v>12</v>
      </c>
      <c r="D3480" t="str">
        <f t="shared" si="54"/>
        <v>06/08/2025ENT</v>
      </c>
    </row>
    <row r="3481" spans="1:4">
      <c r="A3481" s="1">
        <v>45875</v>
      </c>
      <c r="B3481" t="s">
        <v>44</v>
      </c>
      <c r="C3481">
        <v>14</v>
      </c>
      <c r="D3481" t="str">
        <f t="shared" si="54"/>
        <v>06/08/2025Geriatrics</v>
      </c>
    </row>
    <row r="3482" spans="1:4">
      <c r="A3482" s="1">
        <v>45876</v>
      </c>
      <c r="B3482" t="s">
        <v>39</v>
      </c>
      <c r="C3482">
        <v>23</v>
      </c>
      <c r="D3482" t="str">
        <f t="shared" si="54"/>
        <v>07/08/2025A&amp;E (Emergency)</v>
      </c>
    </row>
    <row r="3483" spans="1:4">
      <c r="A3483" s="1">
        <v>45876</v>
      </c>
      <c r="B3483" t="s">
        <v>40</v>
      </c>
      <c r="C3483">
        <v>16</v>
      </c>
      <c r="D3483" t="str">
        <f t="shared" si="54"/>
        <v>07/08/2025Cardiology</v>
      </c>
    </row>
    <row r="3484" spans="1:4">
      <c r="A3484" s="1">
        <v>45876</v>
      </c>
      <c r="B3484" t="s">
        <v>51</v>
      </c>
      <c r="C3484">
        <v>13</v>
      </c>
      <c r="D3484" t="str">
        <f t="shared" si="54"/>
        <v>07/08/2025Respiratory</v>
      </c>
    </row>
    <row r="3485" spans="1:4">
      <c r="A3485" s="1">
        <v>45876</v>
      </c>
      <c r="B3485" t="s">
        <v>43</v>
      </c>
      <c r="C3485">
        <v>19</v>
      </c>
      <c r="D3485" t="str">
        <f t="shared" si="54"/>
        <v>07/08/2025General Surgery</v>
      </c>
    </row>
    <row r="3486" spans="1:4">
      <c r="A3486" s="1">
        <v>45876</v>
      </c>
      <c r="B3486" t="s">
        <v>48</v>
      </c>
      <c r="C3486">
        <v>14</v>
      </c>
      <c r="D3486" t="str">
        <f t="shared" si="54"/>
        <v>07/08/2025Orthopaedics</v>
      </c>
    </row>
    <row r="3487" spans="1:4">
      <c r="A3487" s="1">
        <v>45876</v>
      </c>
      <c r="B3487" t="s">
        <v>46</v>
      </c>
      <c r="C3487">
        <v>12</v>
      </c>
      <c r="D3487" t="str">
        <f t="shared" si="54"/>
        <v>07/08/2025Neurology</v>
      </c>
    </row>
    <row r="3488" spans="1:4">
      <c r="A3488" s="1">
        <v>45876</v>
      </c>
      <c r="B3488" t="s">
        <v>47</v>
      </c>
      <c r="C3488">
        <v>16</v>
      </c>
      <c r="D3488" t="str">
        <f t="shared" si="54"/>
        <v>07/08/2025Oncology</v>
      </c>
    </row>
    <row r="3489" spans="1:4">
      <c r="A3489" s="1">
        <v>45876</v>
      </c>
      <c r="B3489" t="s">
        <v>49</v>
      </c>
      <c r="C3489">
        <v>11</v>
      </c>
      <c r="D3489" t="str">
        <f t="shared" si="54"/>
        <v>07/08/2025Paediatrics</v>
      </c>
    </row>
    <row r="3490" spans="1:4">
      <c r="A3490" s="1">
        <v>45876</v>
      </c>
      <c r="B3490" t="s">
        <v>45</v>
      </c>
      <c r="C3490">
        <v>12</v>
      </c>
      <c r="D3490" t="str">
        <f t="shared" si="54"/>
        <v>07/08/2025Maternity</v>
      </c>
    </row>
    <row r="3491" spans="1:4">
      <c r="A3491" s="1">
        <v>45876</v>
      </c>
      <c r="B3491" t="s">
        <v>50</v>
      </c>
      <c r="C3491">
        <v>19</v>
      </c>
      <c r="D3491" t="str">
        <f t="shared" si="54"/>
        <v>07/08/2025Renal Medicine</v>
      </c>
    </row>
    <row r="3492" spans="1:4">
      <c r="A3492" s="1">
        <v>45876</v>
      </c>
      <c r="B3492" t="s">
        <v>42</v>
      </c>
      <c r="C3492">
        <v>10</v>
      </c>
      <c r="D3492" t="str">
        <f t="shared" si="54"/>
        <v>07/08/2025Gastroenterology</v>
      </c>
    </row>
    <row r="3493" spans="1:4">
      <c r="A3493" s="1">
        <v>45876</v>
      </c>
      <c r="B3493" t="s">
        <v>98</v>
      </c>
      <c r="C3493">
        <v>8</v>
      </c>
      <c r="D3493" t="str">
        <f t="shared" si="54"/>
        <v>07/08/2025Endocrinology</v>
      </c>
    </row>
    <row r="3494" spans="1:4">
      <c r="A3494" s="1">
        <v>45876</v>
      </c>
      <c r="B3494" t="s">
        <v>100</v>
      </c>
      <c r="C3494">
        <v>10</v>
      </c>
      <c r="D3494" t="str">
        <f t="shared" si="54"/>
        <v>07/08/2025Urology</v>
      </c>
    </row>
    <row r="3495" spans="1:4">
      <c r="A3495" s="1">
        <v>45876</v>
      </c>
      <c r="B3495" t="s">
        <v>41</v>
      </c>
      <c r="C3495">
        <v>12</v>
      </c>
      <c r="D3495" t="str">
        <f t="shared" si="54"/>
        <v>07/08/2025ENT</v>
      </c>
    </row>
    <row r="3496" spans="1:4">
      <c r="A3496" s="1">
        <v>45876</v>
      </c>
      <c r="B3496" t="s">
        <v>44</v>
      </c>
      <c r="C3496">
        <v>14</v>
      </c>
      <c r="D3496" t="str">
        <f t="shared" si="54"/>
        <v>07/08/2025Geriatrics</v>
      </c>
    </row>
    <row r="3497" spans="1:4">
      <c r="A3497" s="1">
        <v>45877</v>
      </c>
      <c r="B3497" t="s">
        <v>39</v>
      </c>
      <c r="C3497">
        <v>22</v>
      </c>
      <c r="D3497" t="str">
        <f t="shared" si="54"/>
        <v>08/08/2025A&amp;E (Emergency)</v>
      </c>
    </row>
    <row r="3498" spans="1:4">
      <c r="A3498" s="1">
        <v>45877</v>
      </c>
      <c r="B3498" t="s">
        <v>40</v>
      </c>
      <c r="C3498">
        <v>15</v>
      </c>
      <c r="D3498" t="str">
        <f t="shared" si="54"/>
        <v>08/08/2025Cardiology</v>
      </c>
    </row>
    <row r="3499" spans="1:4">
      <c r="A3499" s="1">
        <v>45877</v>
      </c>
      <c r="B3499" t="s">
        <v>51</v>
      </c>
      <c r="C3499">
        <v>12</v>
      </c>
      <c r="D3499" t="str">
        <f t="shared" si="54"/>
        <v>08/08/2025Respiratory</v>
      </c>
    </row>
    <row r="3500" spans="1:4">
      <c r="A3500" s="1">
        <v>45877</v>
      </c>
      <c r="B3500" t="s">
        <v>43</v>
      </c>
      <c r="C3500">
        <v>18</v>
      </c>
      <c r="D3500" t="str">
        <f t="shared" si="54"/>
        <v>08/08/2025General Surgery</v>
      </c>
    </row>
    <row r="3501" spans="1:4">
      <c r="A3501" s="1">
        <v>45877</v>
      </c>
      <c r="B3501" t="s">
        <v>48</v>
      </c>
      <c r="C3501">
        <v>13</v>
      </c>
      <c r="D3501" t="str">
        <f t="shared" si="54"/>
        <v>08/08/2025Orthopaedics</v>
      </c>
    </row>
    <row r="3502" spans="1:4">
      <c r="A3502" s="1">
        <v>45877</v>
      </c>
      <c r="B3502" t="s">
        <v>46</v>
      </c>
      <c r="C3502">
        <v>11</v>
      </c>
      <c r="D3502" t="str">
        <f t="shared" si="54"/>
        <v>08/08/2025Neurology</v>
      </c>
    </row>
    <row r="3503" spans="1:4">
      <c r="A3503" s="1">
        <v>45877</v>
      </c>
      <c r="B3503" t="s">
        <v>47</v>
      </c>
      <c r="C3503">
        <v>15</v>
      </c>
      <c r="D3503" t="str">
        <f t="shared" si="54"/>
        <v>08/08/2025Oncology</v>
      </c>
    </row>
    <row r="3504" spans="1:4">
      <c r="A3504" s="1">
        <v>45877</v>
      </c>
      <c r="B3504" t="s">
        <v>49</v>
      </c>
      <c r="C3504">
        <v>10</v>
      </c>
      <c r="D3504" t="str">
        <f t="shared" si="54"/>
        <v>08/08/2025Paediatrics</v>
      </c>
    </row>
    <row r="3505" spans="1:4">
      <c r="A3505" s="1">
        <v>45877</v>
      </c>
      <c r="B3505" t="s">
        <v>45</v>
      </c>
      <c r="C3505">
        <v>11</v>
      </c>
      <c r="D3505" t="str">
        <f t="shared" si="54"/>
        <v>08/08/2025Maternity</v>
      </c>
    </row>
    <row r="3506" spans="1:4">
      <c r="A3506" s="1">
        <v>45877</v>
      </c>
      <c r="B3506" t="s">
        <v>50</v>
      </c>
      <c r="C3506">
        <v>18</v>
      </c>
      <c r="D3506" t="str">
        <f t="shared" si="54"/>
        <v>08/08/2025Renal Medicine</v>
      </c>
    </row>
    <row r="3507" spans="1:4">
      <c r="A3507" s="1">
        <v>45877</v>
      </c>
      <c r="B3507" t="s">
        <v>42</v>
      </c>
      <c r="C3507">
        <v>9</v>
      </c>
      <c r="D3507" t="str">
        <f t="shared" si="54"/>
        <v>08/08/2025Gastroenterology</v>
      </c>
    </row>
    <row r="3508" spans="1:4">
      <c r="A3508" s="1">
        <v>45877</v>
      </c>
      <c r="B3508" t="s">
        <v>98</v>
      </c>
      <c r="C3508">
        <v>7</v>
      </c>
      <c r="D3508" t="str">
        <f t="shared" si="54"/>
        <v>08/08/2025Endocrinology</v>
      </c>
    </row>
    <row r="3509" spans="1:4">
      <c r="A3509" s="1">
        <v>45877</v>
      </c>
      <c r="B3509" t="s">
        <v>100</v>
      </c>
      <c r="C3509">
        <v>9</v>
      </c>
      <c r="D3509" t="str">
        <f t="shared" si="54"/>
        <v>08/08/2025Urology</v>
      </c>
    </row>
    <row r="3510" spans="1:4">
      <c r="A3510" s="1">
        <v>45877</v>
      </c>
      <c r="B3510" t="s">
        <v>41</v>
      </c>
      <c r="C3510">
        <v>11</v>
      </c>
      <c r="D3510" t="str">
        <f t="shared" si="54"/>
        <v>08/08/2025ENT</v>
      </c>
    </row>
    <row r="3511" spans="1:4">
      <c r="A3511" s="1">
        <v>45877</v>
      </c>
      <c r="B3511" t="s">
        <v>44</v>
      </c>
      <c r="C3511">
        <v>13</v>
      </c>
      <c r="D3511" t="str">
        <f t="shared" si="54"/>
        <v>08/08/2025Geriatrics</v>
      </c>
    </row>
    <row r="3512" spans="1:4">
      <c r="A3512" s="1">
        <v>45878</v>
      </c>
      <c r="B3512" t="s">
        <v>39</v>
      </c>
      <c r="C3512">
        <v>20</v>
      </c>
      <c r="D3512" t="str">
        <f t="shared" si="54"/>
        <v>09/08/2025A&amp;E (Emergency)</v>
      </c>
    </row>
    <row r="3513" spans="1:4">
      <c r="A3513" s="1">
        <v>45878</v>
      </c>
      <c r="B3513" t="s">
        <v>40</v>
      </c>
      <c r="C3513">
        <v>12</v>
      </c>
      <c r="D3513" t="str">
        <f t="shared" si="54"/>
        <v>09/08/2025Cardiology</v>
      </c>
    </row>
    <row r="3514" spans="1:4">
      <c r="A3514" s="1">
        <v>45878</v>
      </c>
      <c r="B3514" t="s">
        <v>51</v>
      </c>
      <c r="C3514">
        <v>9</v>
      </c>
      <c r="D3514" t="str">
        <f t="shared" si="54"/>
        <v>09/08/2025Respiratory</v>
      </c>
    </row>
    <row r="3515" spans="1:4">
      <c r="A3515" s="1">
        <v>45878</v>
      </c>
      <c r="B3515" t="s">
        <v>43</v>
      </c>
      <c r="C3515">
        <v>15</v>
      </c>
      <c r="D3515" t="str">
        <f t="shared" si="54"/>
        <v>09/08/2025General Surgery</v>
      </c>
    </row>
    <row r="3516" spans="1:4">
      <c r="A3516" s="1">
        <v>45878</v>
      </c>
      <c r="B3516" t="s">
        <v>48</v>
      </c>
      <c r="C3516">
        <v>11</v>
      </c>
      <c r="D3516" t="str">
        <f t="shared" si="54"/>
        <v>09/08/2025Orthopaedics</v>
      </c>
    </row>
    <row r="3517" spans="1:4">
      <c r="A3517" s="1">
        <v>45878</v>
      </c>
      <c r="B3517" t="s">
        <v>46</v>
      </c>
      <c r="C3517">
        <v>9</v>
      </c>
      <c r="D3517" t="str">
        <f t="shared" si="54"/>
        <v>09/08/2025Neurology</v>
      </c>
    </row>
    <row r="3518" spans="1:4">
      <c r="A3518" s="1">
        <v>45878</v>
      </c>
      <c r="B3518" t="s">
        <v>47</v>
      </c>
      <c r="C3518">
        <v>13</v>
      </c>
      <c r="D3518" t="str">
        <f t="shared" si="54"/>
        <v>09/08/2025Oncology</v>
      </c>
    </row>
    <row r="3519" spans="1:4">
      <c r="A3519" s="1">
        <v>45878</v>
      </c>
      <c r="B3519" t="s">
        <v>49</v>
      </c>
      <c r="C3519">
        <v>9</v>
      </c>
      <c r="D3519" t="str">
        <f t="shared" si="54"/>
        <v>09/08/2025Paediatrics</v>
      </c>
    </row>
    <row r="3520" spans="1:4">
      <c r="A3520" s="1">
        <v>45878</v>
      </c>
      <c r="B3520" t="s">
        <v>45</v>
      </c>
      <c r="C3520">
        <v>10</v>
      </c>
      <c r="D3520" t="str">
        <f t="shared" si="54"/>
        <v>09/08/2025Maternity</v>
      </c>
    </row>
    <row r="3521" spans="1:4">
      <c r="A3521" s="1">
        <v>45878</v>
      </c>
      <c r="B3521" t="s">
        <v>50</v>
      </c>
      <c r="C3521">
        <v>17</v>
      </c>
      <c r="D3521" t="str">
        <f t="shared" si="54"/>
        <v>09/08/2025Renal Medicine</v>
      </c>
    </row>
    <row r="3522" spans="1:4">
      <c r="A3522" s="1">
        <v>45878</v>
      </c>
      <c r="B3522" t="s">
        <v>42</v>
      </c>
      <c r="C3522">
        <v>7</v>
      </c>
      <c r="D3522" t="str">
        <f t="shared" si="54"/>
        <v>09/08/2025Gastroenterology</v>
      </c>
    </row>
    <row r="3523" spans="1:4">
      <c r="A3523" s="1">
        <v>45878</v>
      </c>
      <c r="B3523" t="s">
        <v>98</v>
      </c>
      <c r="C3523">
        <v>6</v>
      </c>
      <c r="D3523" t="str">
        <f t="shared" ref="D3523:D3586" si="55">TEXT(A3523, "dd/mm/yyyy")&amp;B3523</f>
        <v>09/08/2025Endocrinology</v>
      </c>
    </row>
    <row r="3524" spans="1:4">
      <c r="A3524" s="1">
        <v>45878</v>
      </c>
      <c r="B3524" t="s">
        <v>100</v>
      </c>
      <c r="C3524">
        <v>8</v>
      </c>
      <c r="D3524" t="str">
        <f t="shared" si="55"/>
        <v>09/08/2025Urology</v>
      </c>
    </row>
    <row r="3525" spans="1:4">
      <c r="A3525" s="1">
        <v>45878</v>
      </c>
      <c r="B3525" t="s">
        <v>41</v>
      </c>
      <c r="C3525">
        <v>10</v>
      </c>
      <c r="D3525" t="str">
        <f t="shared" si="55"/>
        <v>09/08/2025ENT</v>
      </c>
    </row>
    <row r="3526" spans="1:4">
      <c r="A3526" s="1">
        <v>45878</v>
      </c>
      <c r="B3526" t="s">
        <v>44</v>
      </c>
      <c r="C3526">
        <v>12</v>
      </c>
      <c r="D3526" t="str">
        <f t="shared" si="55"/>
        <v>09/08/2025Geriatrics</v>
      </c>
    </row>
    <row r="3527" spans="1:4">
      <c r="A3527" s="1">
        <v>45879</v>
      </c>
      <c r="B3527" t="s">
        <v>39</v>
      </c>
      <c r="C3527">
        <v>19</v>
      </c>
      <c r="D3527" t="str">
        <f t="shared" si="55"/>
        <v>10/08/2025A&amp;E (Emergency)</v>
      </c>
    </row>
    <row r="3528" spans="1:4">
      <c r="A3528" s="1">
        <v>45879</v>
      </c>
      <c r="B3528" t="s">
        <v>40</v>
      </c>
      <c r="C3528">
        <v>11</v>
      </c>
      <c r="D3528" t="str">
        <f t="shared" si="55"/>
        <v>10/08/2025Cardiology</v>
      </c>
    </row>
    <row r="3529" spans="1:4">
      <c r="A3529" s="1">
        <v>45879</v>
      </c>
      <c r="B3529" t="s">
        <v>51</v>
      </c>
      <c r="C3529">
        <v>9</v>
      </c>
      <c r="D3529" t="str">
        <f t="shared" si="55"/>
        <v>10/08/2025Respiratory</v>
      </c>
    </row>
    <row r="3530" spans="1:4">
      <c r="A3530" s="1">
        <v>45879</v>
      </c>
      <c r="B3530" t="s">
        <v>43</v>
      </c>
      <c r="C3530">
        <v>14</v>
      </c>
      <c r="D3530" t="str">
        <f t="shared" si="55"/>
        <v>10/08/2025General Surgery</v>
      </c>
    </row>
    <row r="3531" spans="1:4">
      <c r="A3531" s="1">
        <v>45879</v>
      </c>
      <c r="B3531" t="s">
        <v>48</v>
      </c>
      <c r="C3531">
        <v>10</v>
      </c>
      <c r="D3531" t="str">
        <f t="shared" si="55"/>
        <v>10/08/2025Orthopaedics</v>
      </c>
    </row>
    <row r="3532" spans="1:4">
      <c r="A3532" s="1">
        <v>45879</v>
      </c>
      <c r="B3532" t="s">
        <v>46</v>
      </c>
      <c r="C3532">
        <v>9</v>
      </c>
      <c r="D3532" t="str">
        <f t="shared" si="55"/>
        <v>10/08/2025Neurology</v>
      </c>
    </row>
    <row r="3533" spans="1:4">
      <c r="A3533" s="1">
        <v>45879</v>
      </c>
      <c r="B3533" t="s">
        <v>47</v>
      </c>
      <c r="C3533">
        <v>12</v>
      </c>
      <c r="D3533" t="str">
        <f t="shared" si="55"/>
        <v>10/08/2025Oncology</v>
      </c>
    </row>
    <row r="3534" spans="1:4">
      <c r="A3534" s="1">
        <v>45879</v>
      </c>
      <c r="B3534" t="s">
        <v>49</v>
      </c>
      <c r="C3534">
        <v>8</v>
      </c>
      <c r="D3534" t="str">
        <f t="shared" si="55"/>
        <v>10/08/2025Paediatrics</v>
      </c>
    </row>
    <row r="3535" spans="1:4">
      <c r="A3535" s="1">
        <v>45879</v>
      </c>
      <c r="B3535" t="s">
        <v>45</v>
      </c>
      <c r="C3535">
        <v>9</v>
      </c>
      <c r="D3535" t="str">
        <f t="shared" si="55"/>
        <v>10/08/2025Maternity</v>
      </c>
    </row>
    <row r="3536" spans="1:4">
      <c r="A3536" s="1">
        <v>45879</v>
      </c>
      <c r="B3536" t="s">
        <v>50</v>
      </c>
      <c r="C3536">
        <v>17</v>
      </c>
      <c r="D3536" t="str">
        <f t="shared" si="55"/>
        <v>10/08/2025Renal Medicine</v>
      </c>
    </row>
    <row r="3537" spans="1:4">
      <c r="A3537" s="1">
        <v>45879</v>
      </c>
      <c r="B3537" t="s">
        <v>42</v>
      </c>
      <c r="C3537">
        <v>7</v>
      </c>
      <c r="D3537" t="str">
        <f t="shared" si="55"/>
        <v>10/08/2025Gastroenterology</v>
      </c>
    </row>
    <row r="3538" spans="1:4">
      <c r="A3538" s="1">
        <v>45879</v>
      </c>
      <c r="B3538" t="s">
        <v>98</v>
      </c>
      <c r="C3538">
        <v>6</v>
      </c>
      <c r="D3538" t="str">
        <f t="shared" si="55"/>
        <v>10/08/2025Endocrinology</v>
      </c>
    </row>
    <row r="3539" spans="1:4">
      <c r="A3539" s="1">
        <v>45879</v>
      </c>
      <c r="B3539" t="s">
        <v>100</v>
      </c>
      <c r="C3539">
        <v>8</v>
      </c>
      <c r="D3539" t="str">
        <f t="shared" si="55"/>
        <v>10/08/2025Urology</v>
      </c>
    </row>
    <row r="3540" spans="1:4">
      <c r="A3540" s="1">
        <v>45879</v>
      </c>
      <c r="B3540" t="s">
        <v>41</v>
      </c>
      <c r="C3540">
        <v>10</v>
      </c>
      <c r="D3540" t="str">
        <f t="shared" si="55"/>
        <v>10/08/2025ENT</v>
      </c>
    </row>
    <row r="3541" spans="1:4">
      <c r="A3541" s="1">
        <v>45879</v>
      </c>
      <c r="B3541" t="s">
        <v>44</v>
      </c>
      <c r="C3541">
        <v>12</v>
      </c>
      <c r="D3541" t="str">
        <f t="shared" si="55"/>
        <v>10/08/2025Geriatrics</v>
      </c>
    </row>
    <row r="3542" spans="1:4">
      <c r="A3542" s="1">
        <v>45880</v>
      </c>
      <c r="B3542" t="s">
        <v>39</v>
      </c>
      <c r="C3542">
        <v>28</v>
      </c>
      <c r="D3542" t="str">
        <f t="shared" si="55"/>
        <v>11/08/2025A&amp;E (Emergency)</v>
      </c>
    </row>
    <row r="3543" spans="1:4">
      <c r="A3543" s="1">
        <v>45880</v>
      </c>
      <c r="B3543" t="s">
        <v>40</v>
      </c>
      <c r="C3543">
        <v>18</v>
      </c>
      <c r="D3543" t="str">
        <f t="shared" si="55"/>
        <v>11/08/2025Cardiology</v>
      </c>
    </row>
    <row r="3544" spans="1:4">
      <c r="A3544" s="1">
        <v>45880</v>
      </c>
      <c r="B3544" t="s">
        <v>51</v>
      </c>
      <c r="C3544">
        <v>15</v>
      </c>
      <c r="D3544" t="str">
        <f t="shared" si="55"/>
        <v>11/08/2025Respiratory</v>
      </c>
    </row>
    <row r="3545" spans="1:4">
      <c r="A3545" s="1">
        <v>45880</v>
      </c>
      <c r="B3545" t="s">
        <v>43</v>
      </c>
      <c r="C3545">
        <v>22</v>
      </c>
      <c r="D3545" t="str">
        <f t="shared" si="55"/>
        <v>11/08/2025General Surgery</v>
      </c>
    </row>
    <row r="3546" spans="1:4">
      <c r="A3546" s="1">
        <v>45880</v>
      </c>
      <c r="B3546" t="s">
        <v>48</v>
      </c>
      <c r="C3546">
        <v>16</v>
      </c>
      <c r="D3546" t="str">
        <f t="shared" si="55"/>
        <v>11/08/2025Orthopaedics</v>
      </c>
    </row>
    <row r="3547" spans="1:4">
      <c r="A3547" s="1">
        <v>45880</v>
      </c>
      <c r="B3547" t="s">
        <v>46</v>
      </c>
      <c r="C3547">
        <v>14</v>
      </c>
      <c r="D3547" t="str">
        <f t="shared" si="55"/>
        <v>11/08/2025Neurology</v>
      </c>
    </row>
    <row r="3548" spans="1:4">
      <c r="A3548" s="1">
        <v>45880</v>
      </c>
      <c r="B3548" t="s">
        <v>47</v>
      </c>
      <c r="C3548">
        <v>18</v>
      </c>
      <c r="D3548" t="str">
        <f t="shared" si="55"/>
        <v>11/08/2025Oncology</v>
      </c>
    </row>
    <row r="3549" spans="1:4">
      <c r="A3549" s="1">
        <v>45880</v>
      </c>
      <c r="B3549" t="s">
        <v>49</v>
      </c>
      <c r="C3549">
        <v>13</v>
      </c>
      <c r="D3549" t="str">
        <f t="shared" si="55"/>
        <v>11/08/2025Paediatrics</v>
      </c>
    </row>
    <row r="3550" spans="1:4">
      <c r="A3550" s="1">
        <v>45880</v>
      </c>
      <c r="B3550" t="s">
        <v>45</v>
      </c>
      <c r="C3550">
        <v>13</v>
      </c>
      <c r="D3550" t="str">
        <f t="shared" si="55"/>
        <v>11/08/2025Maternity</v>
      </c>
    </row>
    <row r="3551" spans="1:4">
      <c r="A3551" s="1">
        <v>45880</v>
      </c>
      <c r="B3551" t="s">
        <v>50</v>
      </c>
      <c r="C3551">
        <v>21</v>
      </c>
      <c r="D3551" t="str">
        <f t="shared" si="55"/>
        <v>11/08/2025Renal Medicine</v>
      </c>
    </row>
    <row r="3552" spans="1:4">
      <c r="A3552" s="1">
        <v>45880</v>
      </c>
      <c r="B3552" t="s">
        <v>42</v>
      </c>
      <c r="C3552">
        <v>12</v>
      </c>
      <c r="D3552" t="str">
        <f t="shared" si="55"/>
        <v>11/08/2025Gastroenterology</v>
      </c>
    </row>
    <row r="3553" spans="1:4">
      <c r="A3553" s="1">
        <v>45880</v>
      </c>
      <c r="B3553" t="s">
        <v>98</v>
      </c>
      <c r="C3553">
        <v>10</v>
      </c>
      <c r="D3553" t="str">
        <f t="shared" si="55"/>
        <v>11/08/2025Endocrinology</v>
      </c>
    </row>
    <row r="3554" spans="1:4">
      <c r="A3554" s="1">
        <v>45880</v>
      </c>
      <c r="B3554" t="s">
        <v>100</v>
      </c>
      <c r="C3554">
        <v>11</v>
      </c>
      <c r="D3554" t="str">
        <f t="shared" si="55"/>
        <v>11/08/2025Urology</v>
      </c>
    </row>
    <row r="3555" spans="1:4">
      <c r="A3555" s="1">
        <v>45880</v>
      </c>
      <c r="B3555" t="s">
        <v>41</v>
      </c>
      <c r="C3555">
        <v>13</v>
      </c>
      <c r="D3555" t="str">
        <f t="shared" si="55"/>
        <v>11/08/2025ENT</v>
      </c>
    </row>
    <row r="3556" spans="1:4">
      <c r="A3556" s="1">
        <v>45880</v>
      </c>
      <c r="B3556" t="s">
        <v>44</v>
      </c>
      <c r="C3556">
        <v>16</v>
      </c>
      <c r="D3556" t="str">
        <f t="shared" si="55"/>
        <v>11/08/2025Geriatrics</v>
      </c>
    </row>
    <row r="3557" spans="1:4">
      <c r="A3557" s="1">
        <v>45881</v>
      </c>
      <c r="B3557" t="s">
        <v>39</v>
      </c>
      <c r="C3557">
        <v>25</v>
      </c>
      <c r="D3557" t="str">
        <f t="shared" si="55"/>
        <v>12/08/2025A&amp;E (Emergency)</v>
      </c>
    </row>
    <row r="3558" spans="1:4">
      <c r="A3558" s="1">
        <v>45881</v>
      </c>
      <c r="B3558" t="s">
        <v>40</v>
      </c>
      <c r="C3558">
        <v>17</v>
      </c>
      <c r="D3558" t="str">
        <f t="shared" si="55"/>
        <v>12/08/2025Cardiology</v>
      </c>
    </row>
    <row r="3559" spans="1:4">
      <c r="A3559" s="1">
        <v>45881</v>
      </c>
      <c r="B3559" t="s">
        <v>51</v>
      </c>
      <c r="C3559">
        <v>14</v>
      </c>
      <c r="D3559" t="str">
        <f t="shared" si="55"/>
        <v>12/08/2025Respiratory</v>
      </c>
    </row>
    <row r="3560" spans="1:4">
      <c r="A3560" s="1">
        <v>45881</v>
      </c>
      <c r="B3560" t="s">
        <v>43</v>
      </c>
      <c r="C3560">
        <v>20</v>
      </c>
      <c r="D3560" t="str">
        <f t="shared" si="55"/>
        <v>12/08/2025General Surgery</v>
      </c>
    </row>
    <row r="3561" spans="1:4">
      <c r="A3561" s="1">
        <v>45881</v>
      </c>
      <c r="B3561" t="s">
        <v>48</v>
      </c>
      <c r="C3561">
        <v>15</v>
      </c>
      <c r="D3561" t="str">
        <f t="shared" si="55"/>
        <v>12/08/2025Orthopaedics</v>
      </c>
    </row>
    <row r="3562" spans="1:4">
      <c r="A3562" s="1">
        <v>45881</v>
      </c>
      <c r="B3562" t="s">
        <v>46</v>
      </c>
      <c r="C3562">
        <v>13</v>
      </c>
      <c r="D3562" t="str">
        <f t="shared" si="55"/>
        <v>12/08/2025Neurology</v>
      </c>
    </row>
    <row r="3563" spans="1:4">
      <c r="A3563" s="1">
        <v>45881</v>
      </c>
      <c r="B3563" t="s">
        <v>47</v>
      </c>
      <c r="C3563">
        <v>17</v>
      </c>
      <c r="D3563" t="str">
        <f t="shared" si="55"/>
        <v>12/08/2025Oncology</v>
      </c>
    </row>
    <row r="3564" spans="1:4">
      <c r="A3564" s="1">
        <v>45881</v>
      </c>
      <c r="B3564" t="s">
        <v>49</v>
      </c>
      <c r="C3564">
        <v>12</v>
      </c>
      <c r="D3564" t="str">
        <f t="shared" si="55"/>
        <v>12/08/2025Paediatrics</v>
      </c>
    </row>
    <row r="3565" spans="1:4">
      <c r="A3565" s="1">
        <v>45881</v>
      </c>
      <c r="B3565" t="s">
        <v>45</v>
      </c>
      <c r="C3565">
        <v>12</v>
      </c>
      <c r="D3565" t="str">
        <f t="shared" si="55"/>
        <v>12/08/2025Maternity</v>
      </c>
    </row>
    <row r="3566" spans="1:4">
      <c r="A3566" s="1">
        <v>45881</v>
      </c>
      <c r="B3566" t="s">
        <v>50</v>
      </c>
      <c r="C3566">
        <v>20</v>
      </c>
      <c r="D3566" t="str">
        <f t="shared" si="55"/>
        <v>12/08/2025Renal Medicine</v>
      </c>
    </row>
    <row r="3567" spans="1:4">
      <c r="A3567" s="1">
        <v>45881</v>
      </c>
      <c r="B3567" t="s">
        <v>42</v>
      </c>
      <c r="C3567">
        <v>11</v>
      </c>
      <c r="D3567" t="str">
        <f t="shared" si="55"/>
        <v>12/08/2025Gastroenterology</v>
      </c>
    </row>
    <row r="3568" spans="1:4">
      <c r="A3568" s="1">
        <v>45881</v>
      </c>
      <c r="B3568" t="s">
        <v>98</v>
      </c>
      <c r="C3568">
        <v>9</v>
      </c>
      <c r="D3568" t="str">
        <f t="shared" si="55"/>
        <v>12/08/2025Endocrinology</v>
      </c>
    </row>
    <row r="3569" spans="1:4">
      <c r="A3569" s="1">
        <v>45881</v>
      </c>
      <c r="B3569" t="s">
        <v>100</v>
      </c>
      <c r="C3569">
        <v>10</v>
      </c>
      <c r="D3569" t="str">
        <f t="shared" si="55"/>
        <v>12/08/2025Urology</v>
      </c>
    </row>
    <row r="3570" spans="1:4">
      <c r="A3570" s="1">
        <v>45881</v>
      </c>
      <c r="B3570" t="s">
        <v>41</v>
      </c>
      <c r="C3570">
        <v>12</v>
      </c>
      <c r="D3570" t="str">
        <f t="shared" si="55"/>
        <v>12/08/2025ENT</v>
      </c>
    </row>
    <row r="3571" spans="1:4">
      <c r="A3571" s="1">
        <v>45881</v>
      </c>
      <c r="B3571" t="s">
        <v>44</v>
      </c>
      <c r="C3571">
        <v>15</v>
      </c>
      <c r="D3571" t="str">
        <f t="shared" si="55"/>
        <v>12/08/2025Geriatrics</v>
      </c>
    </row>
    <row r="3572" spans="1:4">
      <c r="A3572" s="1">
        <v>45882</v>
      </c>
      <c r="B3572" t="s">
        <v>39</v>
      </c>
      <c r="C3572">
        <v>24</v>
      </c>
      <c r="D3572" t="str">
        <f t="shared" si="55"/>
        <v>13/08/2025A&amp;E (Emergency)</v>
      </c>
    </row>
    <row r="3573" spans="1:4">
      <c r="A3573" s="1">
        <v>45882</v>
      </c>
      <c r="B3573" t="s">
        <v>40</v>
      </c>
      <c r="C3573">
        <v>16</v>
      </c>
      <c r="D3573" t="str">
        <f t="shared" si="55"/>
        <v>13/08/2025Cardiology</v>
      </c>
    </row>
    <row r="3574" spans="1:4">
      <c r="A3574" s="1">
        <v>45882</v>
      </c>
      <c r="B3574" t="s">
        <v>51</v>
      </c>
      <c r="C3574">
        <v>13</v>
      </c>
      <c r="D3574" t="str">
        <f t="shared" si="55"/>
        <v>13/08/2025Respiratory</v>
      </c>
    </row>
    <row r="3575" spans="1:4">
      <c r="A3575" s="1">
        <v>45882</v>
      </c>
      <c r="B3575" t="s">
        <v>43</v>
      </c>
      <c r="C3575">
        <v>19</v>
      </c>
      <c r="D3575" t="str">
        <f t="shared" si="55"/>
        <v>13/08/2025General Surgery</v>
      </c>
    </row>
    <row r="3576" spans="1:4">
      <c r="A3576" s="1">
        <v>45882</v>
      </c>
      <c r="B3576" t="s">
        <v>48</v>
      </c>
      <c r="C3576">
        <v>14</v>
      </c>
      <c r="D3576" t="str">
        <f t="shared" si="55"/>
        <v>13/08/2025Orthopaedics</v>
      </c>
    </row>
    <row r="3577" spans="1:4">
      <c r="A3577" s="1">
        <v>45882</v>
      </c>
      <c r="B3577" t="s">
        <v>46</v>
      </c>
      <c r="C3577">
        <v>12</v>
      </c>
      <c r="D3577" t="str">
        <f t="shared" si="55"/>
        <v>13/08/2025Neurology</v>
      </c>
    </row>
    <row r="3578" spans="1:4">
      <c r="A3578" s="1">
        <v>45882</v>
      </c>
      <c r="B3578" t="s">
        <v>47</v>
      </c>
      <c r="C3578">
        <v>16</v>
      </c>
      <c r="D3578" t="str">
        <f t="shared" si="55"/>
        <v>13/08/2025Oncology</v>
      </c>
    </row>
    <row r="3579" spans="1:4">
      <c r="A3579" s="1">
        <v>45882</v>
      </c>
      <c r="B3579" t="s">
        <v>49</v>
      </c>
      <c r="C3579">
        <v>11</v>
      </c>
      <c r="D3579" t="str">
        <f t="shared" si="55"/>
        <v>13/08/2025Paediatrics</v>
      </c>
    </row>
    <row r="3580" spans="1:4">
      <c r="A3580" s="1">
        <v>45882</v>
      </c>
      <c r="B3580" t="s">
        <v>45</v>
      </c>
      <c r="C3580">
        <v>12</v>
      </c>
      <c r="D3580" t="str">
        <f t="shared" si="55"/>
        <v>13/08/2025Maternity</v>
      </c>
    </row>
    <row r="3581" spans="1:4">
      <c r="A3581" s="1">
        <v>45882</v>
      </c>
      <c r="B3581" t="s">
        <v>50</v>
      </c>
      <c r="C3581">
        <v>19</v>
      </c>
      <c r="D3581" t="str">
        <f t="shared" si="55"/>
        <v>13/08/2025Renal Medicine</v>
      </c>
    </row>
    <row r="3582" spans="1:4">
      <c r="A3582" s="1">
        <v>45882</v>
      </c>
      <c r="B3582" t="s">
        <v>42</v>
      </c>
      <c r="C3582">
        <v>10</v>
      </c>
      <c r="D3582" t="str">
        <f t="shared" si="55"/>
        <v>13/08/2025Gastroenterology</v>
      </c>
    </row>
    <row r="3583" spans="1:4">
      <c r="A3583" s="1">
        <v>45882</v>
      </c>
      <c r="B3583" t="s">
        <v>98</v>
      </c>
      <c r="C3583">
        <v>8</v>
      </c>
      <c r="D3583" t="str">
        <f t="shared" si="55"/>
        <v>13/08/2025Endocrinology</v>
      </c>
    </row>
    <row r="3584" spans="1:4">
      <c r="A3584" s="1">
        <v>45882</v>
      </c>
      <c r="B3584" t="s">
        <v>100</v>
      </c>
      <c r="C3584">
        <v>10</v>
      </c>
      <c r="D3584" t="str">
        <f t="shared" si="55"/>
        <v>13/08/2025Urology</v>
      </c>
    </row>
    <row r="3585" spans="1:4">
      <c r="A3585" s="1">
        <v>45882</v>
      </c>
      <c r="B3585" t="s">
        <v>41</v>
      </c>
      <c r="C3585">
        <v>12</v>
      </c>
      <c r="D3585" t="str">
        <f t="shared" si="55"/>
        <v>13/08/2025ENT</v>
      </c>
    </row>
    <row r="3586" spans="1:4">
      <c r="A3586" s="1">
        <v>45882</v>
      </c>
      <c r="B3586" t="s">
        <v>44</v>
      </c>
      <c r="C3586">
        <v>14</v>
      </c>
      <c r="D3586" t="str">
        <f t="shared" si="55"/>
        <v>13/08/2025Geriatrics</v>
      </c>
    </row>
    <row r="3587" spans="1:4">
      <c r="A3587" s="1">
        <v>45883</v>
      </c>
      <c r="B3587" t="s">
        <v>39</v>
      </c>
      <c r="C3587">
        <v>23</v>
      </c>
      <c r="D3587" t="str">
        <f t="shared" ref="D3587:D3650" si="56">TEXT(A3587, "dd/mm/yyyy")&amp;B3587</f>
        <v>14/08/2025A&amp;E (Emergency)</v>
      </c>
    </row>
    <row r="3588" spans="1:4">
      <c r="A3588" s="1">
        <v>45883</v>
      </c>
      <c r="B3588" t="s">
        <v>40</v>
      </c>
      <c r="C3588">
        <v>16</v>
      </c>
      <c r="D3588" t="str">
        <f t="shared" si="56"/>
        <v>14/08/2025Cardiology</v>
      </c>
    </row>
    <row r="3589" spans="1:4">
      <c r="A3589" s="1">
        <v>45883</v>
      </c>
      <c r="B3589" t="s">
        <v>51</v>
      </c>
      <c r="C3589">
        <v>13</v>
      </c>
      <c r="D3589" t="str">
        <f t="shared" si="56"/>
        <v>14/08/2025Respiratory</v>
      </c>
    </row>
    <row r="3590" spans="1:4">
      <c r="A3590" s="1">
        <v>45883</v>
      </c>
      <c r="B3590" t="s">
        <v>43</v>
      </c>
      <c r="C3590">
        <v>19</v>
      </c>
      <c r="D3590" t="str">
        <f t="shared" si="56"/>
        <v>14/08/2025General Surgery</v>
      </c>
    </row>
    <row r="3591" spans="1:4">
      <c r="A3591" s="1">
        <v>45883</v>
      </c>
      <c r="B3591" t="s">
        <v>48</v>
      </c>
      <c r="C3591">
        <v>14</v>
      </c>
      <c r="D3591" t="str">
        <f t="shared" si="56"/>
        <v>14/08/2025Orthopaedics</v>
      </c>
    </row>
    <row r="3592" spans="1:4">
      <c r="A3592" s="1">
        <v>45883</v>
      </c>
      <c r="B3592" t="s">
        <v>46</v>
      </c>
      <c r="C3592">
        <v>12</v>
      </c>
      <c r="D3592" t="str">
        <f t="shared" si="56"/>
        <v>14/08/2025Neurology</v>
      </c>
    </row>
    <row r="3593" spans="1:4">
      <c r="A3593" s="1">
        <v>45883</v>
      </c>
      <c r="B3593" t="s">
        <v>47</v>
      </c>
      <c r="C3593">
        <v>16</v>
      </c>
      <c r="D3593" t="str">
        <f t="shared" si="56"/>
        <v>14/08/2025Oncology</v>
      </c>
    </row>
    <row r="3594" spans="1:4">
      <c r="A3594" s="1">
        <v>45883</v>
      </c>
      <c r="B3594" t="s">
        <v>49</v>
      </c>
      <c r="C3594">
        <v>11</v>
      </c>
      <c r="D3594" t="str">
        <f t="shared" si="56"/>
        <v>14/08/2025Paediatrics</v>
      </c>
    </row>
    <row r="3595" spans="1:4">
      <c r="A3595" s="1">
        <v>45883</v>
      </c>
      <c r="B3595" t="s">
        <v>45</v>
      </c>
      <c r="C3595">
        <v>12</v>
      </c>
      <c r="D3595" t="str">
        <f t="shared" si="56"/>
        <v>14/08/2025Maternity</v>
      </c>
    </row>
    <row r="3596" spans="1:4">
      <c r="A3596" s="1">
        <v>45883</v>
      </c>
      <c r="B3596" t="s">
        <v>50</v>
      </c>
      <c r="C3596">
        <v>19</v>
      </c>
      <c r="D3596" t="str">
        <f t="shared" si="56"/>
        <v>14/08/2025Renal Medicine</v>
      </c>
    </row>
    <row r="3597" spans="1:4">
      <c r="A3597" s="1">
        <v>45883</v>
      </c>
      <c r="B3597" t="s">
        <v>42</v>
      </c>
      <c r="C3597">
        <v>10</v>
      </c>
      <c r="D3597" t="str">
        <f t="shared" si="56"/>
        <v>14/08/2025Gastroenterology</v>
      </c>
    </row>
    <row r="3598" spans="1:4">
      <c r="A3598" s="1">
        <v>45883</v>
      </c>
      <c r="B3598" t="s">
        <v>98</v>
      </c>
      <c r="C3598">
        <v>8</v>
      </c>
      <c r="D3598" t="str">
        <f t="shared" si="56"/>
        <v>14/08/2025Endocrinology</v>
      </c>
    </row>
    <row r="3599" spans="1:4">
      <c r="A3599" s="1">
        <v>45883</v>
      </c>
      <c r="B3599" t="s">
        <v>100</v>
      </c>
      <c r="C3599">
        <v>10</v>
      </c>
      <c r="D3599" t="str">
        <f t="shared" si="56"/>
        <v>14/08/2025Urology</v>
      </c>
    </row>
    <row r="3600" spans="1:4">
      <c r="A3600" s="1">
        <v>45883</v>
      </c>
      <c r="B3600" t="s">
        <v>41</v>
      </c>
      <c r="C3600">
        <v>12</v>
      </c>
      <c r="D3600" t="str">
        <f t="shared" si="56"/>
        <v>14/08/2025ENT</v>
      </c>
    </row>
    <row r="3601" spans="1:4">
      <c r="A3601" s="1">
        <v>45883</v>
      </c>
      <c r="B3601" t="s">
        <v>44</v>
      </c>
      <c r="C3601">
        <v>14</v>
      </c>
      <c r="D3601" t="str">
        <f t="shared" si="56"/>
        <v>14/08/2025Geriatrics</v>
      </c>
    </row>
    <row r="3602" spans="1:4">
      <c r="A3602" s="1">
        <v>45884</v>
      </c>
      <c r="B3602" t="s">
        <v>39</v>
      </c>
      <c r="C3602">
        <v>22</v>
      </c>
      <c r="D3602" t="str">
        <f t="shared" si="56"/>
        <v>15/08/2025A&amp;E (Emergency)</v>
      </c>
    </row>
    <row r="3603" spans="1:4">
      <c r="A3603" s="1">
        <v>45884</v>
      </c>
      <c r="B3603" t="s">
        <v>40</v>
      </c>
      <c r="C3603">
        <v>15</v>
      </c>
      <c r="D3603" t="str">
        <f t="shared" si="56"/>
        <v>15/08/2025Cardiology</v>
      </c>
    </row>
    <row r="3604" spans="1:4">
      <c r="A3604" s="1">
        <v>45884</v>
      </c>
      <c r="B3604" t="s">
        <v>51</v>
      </c>
      <c r="C3604">
        <v>12</v>
      </c>
      <c r="D3604" t="str">
        <f t="shared" si="56"/>
        <v>15/08/2025Respiratory</v>
      </c>
    </row>
    <row r="3605" spans="1:4">
      <c r="A3605" s="1">
        <v>45884</v>
      </c>
      <c r="B3605" t="s">
        <v>43</v>
      </c>
      <c r="C3605">
        <v>18</v>
      </c>
      <c r="D3605" t="str">
        <f t="shared" si="56"/>
        <v>15/08/2025General Surgery</v>
      </c>
    </row>
    <row r="3606" spans="1:4">
      <c r="A3606" s="1">
        <v>45884</v>
      </c>
      <c r="B3606" t="s">
        <v>48</v>
      </c>
      <c r="C3606">
        <v>13</v>
      </c>
      <c r="D3606" t="str">
        <f t="shared" si="56"/>
        <v>15/08/2025Orthopaedics</v>
      </c>
    </row>
    <row r="3607" spans="1:4">
      <c r="A3607" s="1">
        <v>45884</v>
      </c>
      <c r="B3607" t="s">
        <v>46</v>
      </c>
      <c r="C3607">
        <v>11</v>
      </c>
      <c r="D3607" t="str">
        <f t="shared" si="56"/>
        <v>15/08/2025Neurology</v>
      </c>
    </row>
    <row r="3608" spans="1:4">
      <c r="A3608" s="1">
        <v>45884</v>
      </c>
      <c r="B3608" t="s">
        <v>47</v>
      </c>
      <c r="C3608">
        <v>15</v>
      </c>
      <c r="D3608" t="str">
        <f t="shared" si="56"/>
        <v>15/08/2025Oncology</v>
      </c>
    </row>
    <row r="3609" spans="1:4">
      <c r="A3609" s="1">
        <v>45884</v>
      </c>
      <c r="B3609" t="s">
        <v>49</v>
      </c>
      <c r="C3609">
        <v>10</v>
      </c>
      <c r="D3609" t="str">
        <f t="shared" si="56"/>
        <v>15/08/2025Paediatrics</v>
      </c>
    </row>
    <row r="3610" spans="1:4">
      <c r="A3610" s="1">
        <v>45884</v>
      </c>
      <c r="B3610" t="s">
        <v>45</v>
      </c>
      <c r="C3610">
        <v>11</v>
      </c>
      <c r="D3610" t="str">
        <f t="shared" si="56"/>
        <v>15/08/2025Maternity</v>
      </c>
    </row>
    <row r="3611" spans="1:4">
      <c r="A3611" s="1">
        <v>45884</v>
      </c>
      <c r="B3611" t="s">
        <v>50</v>
      </c>
      <c r="C3611">
        <v>18</v>
      </c>
      <c r="D3611" t="str">
        <f t="shared" si="56"/>
        <v>15/08/2025Renal Medicine</v>
      </c>
    </row>
    <row r="3612" spans="1:4">
      <c r="A3612" s="1">
        <v>45884</v>
      </c>
      <c r="B3612" t="s">
        <v>42</v>
      </c>
      <c r="C3612">
        <v>9</v>
      </c>
      <c r="D3612" t="str">
        <f t="shared" si="56"/>
        <v>15/08/2025Gastroenterology</v>
      </c>
    </row>
    <row r="3613" spans="1:4">
      <c r="A3613" s="1">
        <v>45884</v>
      </c>
      <c r="B3613" t="s">
        <v>98</v>
      </c>
      <c r="C3613">
        <v>7</v>
      </c>
      <c r="D3613" t="str">
        <f t="shared" si="56"/>
        <v>15/08/2025Endocrinology</v>
      </c>
    </row>
    <row r="3614" spans="1:4">
      <c r="A3614" s="1">
        <v>45884</v>
      </c>
      <c r="B3614" t="s">
        <v>100</v>
      </c>
      <c r="C3614">
        <v>9</v>
      </c>
      <c r="D3614" t="str">
        <f t="shared" si="56"/>
        <v>15/08/2025Urology</v>
      </c>
    </row>
    <row r="3615" spans="1:4">
      <c r="A3615" s="1">
        <v>45884</v>
      </c>
      <c r="B3615" t="s">
        <v>41</v>
      </c>
      <c r="C3615">
        <v>11</v>
      </c>
      <c r="D3615" t="str">
        <f t="shared" si="56"/>
        <v>15/08/2025ENT</v>
      </c>
    </row>
    <row r="3616" spans="1:4">
      <c r="A3616" s="1">
        <v>45884</v>
      </c>
      <c r="B3616" t="s">
        <v>44</v>
      </c>
      <c r="C3616">
        <v>13</v>
      </c>
      <c r="D3616" t="str">
        <f t="shared" si="56"/>
        <v>15/08/2025Geriatrics</v>
      </c>
    </row>
    <row r="3617" spans="1:4">
      <c r="A3617" s="1">
        <v>45885</v>
      </c>
      <c r="B3617" t="s">
        <v>39</v>
      </c>
      <c r="C3617">
        <v>20</v>
      </c>
      <c r="D3617" t="str">
        <f t="shared" si="56"/>
        <v>16/08/2025A&amp;E (Emergency)</v>
      </c>
    </row>
    <row r="3618" spans="1:4">
      <c r="A3618" s="1">
        <v>45885</v>
      </c>
      <c r="B3618" t="s">
        <v>40</v>
      </c>
      <c r="C3618">
        <v>12</v>
      </c>
      <c r="D3618" t="str">
        <f t="shared" si="56"/>
        <v>16/08/2025Cardiology</v>
      </c>
    </row>
    <row r="3619" spans="1:4">
      <c r="A3619" s="1">
        <v>45885</v>
      </c>
      <c r="B3619" t="s">
        <v>51</v>
      </c>
      <c r="C3619">
        <v>9</v>
      </c>
      <c r="D3619" t="str">
        <f t="shared" si="56"/>
        <v>16/08/2025Respiratory</v>
      </c>
    </row>
    <row r="3620" spans="1:4">
      <c r="A3620" s="1">
        <v>45885</v>
      </c>
      <c r="B3620" t="s">
        <v>43</v>
      </c>
      <c r="C3620">
        <v>15</v>
      </c>
      <c r="D3620" t="str">
        <f t="shared" si="56"/>
        <v>16/08/2025General Surgery</v>
      </c>
    </row>
    <row r="3621" spans="1:4">
      <c r="A3621" s="1">
        <v>45885</v>
      </c>
      <c r="B3621" t="s">
        <v>48</v>
      </c>
      <c r="C3621">
        <v>11</v>
      </c>
      <c r="D3621" t="str">
        <f t="shared" si="56"/>
        <v>16/08/2025Orthopaedics</v>
      </c>
    </row>
    <row r="3622" spans="1:4">
      <c r="A3622" s="1">
        <v>45885</v>
      </c>
      <c r="B3622" t="s">
        <v>46</v>
      </c>
      <c r="C3622">
        <v>9</v>
      </c>
      <c r="D3622" t="str">
        <f t="shared" si="56"/>
        <v>16/08/2025Neurology</v>
      </c>
    </row>
    <row r="3623" spans="1:4">
      <c r="A3623" s="1">
        <v>45885</v>
      </c>
      <c r="B3623" t="s">
        <v>47</v>
      </c>
      <c r="C3623">
        <v>13</v>
      </c>
      <c r="D3623" t="str">
        <f t="shared" si="56"/>
        <v>16/08/2025Oncology</v>
      </c>
    </row>
    <row r="3624" spans="1:4">
      <c r="A3624" s="1">
        <v>45885</v>
      </c>
      <c r="B3624" t="s">
        <v>49</v>
      </c>
      <c r="C3624">
        <v>9</v>
      </c>
      <c r="D3624" t="str">
        <f t="shared" si="56"/>
        <v>16/08/2025Paediatrics</v>
      </c>
    </row>
    <row r="3625" spans="1:4">
      <c r="A3625" s="1">
        <v>45885</v>
      </c>
      <c r="B3625" t="s">
        <v>45</v>
      </c>
      <c r="C3625">
        <v>10</v>
      </c>
      <c r="D3625" t="str">
        <f t="shared" si="56"/>
        <v>16/08/2025Maternity</v>
      </c>
    </row>
    <row r="3626" spans="1:4">
      <c r="A3626" s="1">
        <v>45885</v>
      </c>
      <c r="B3626" t="s">
        <v>50</v>
      </c>
      <c r="C3626">
        <v>17</v>
      </c>
      <c r="D3626" t="str">
        <f t="shared" si="56"/>
        <v>16/08/2025Renal Medicine</v>
      </c>
    </row>
    <row r="3627" spans="1:4">
      <c r="A3627" s="1">
        <v>45885</v>
      </c>
      <c r="B3627" t="s">
        <v>42</v>
      </c>
      <c r="C3627">
        <v>7</v>
      </c>
      <c r="D3627" t="str">
        <f t="shared" si="56"/>
        <v>16/08/2025Gastroenterology</v>
      </c>
    </row>
    <row r="3628" spans="1:4">
      <c r="A3628" s="1">
        <v>45885</v>
      </c>
      <c r="B3628" t="s">
        <v>98</v>
      </c>
      <c r="C3628">
        <v>6</v>
      </c>
      <c r="D3628" t="str">
        <f t="shared" si="56"/>
        <v>16/08/2025Endocrinology</v>
      </c>
    </row>
    <row r="3629" spans="1:4">
      <c r="A3629" s="1">
        <v>45885</v>
      </c>
      <c r="B3629" t="s">
        <v>100</v>
      </c>
      <c r="C3629">
        <v>8</v>
      </c>
      <c r="D3629" t="str">
        <f t="shared" si="56"/>
        <v>16/08/2025Urology</v>
      </c>
    </row>
    <row r="3630" spans="1:4">
      <c r="A3630" s="1">
        <v>45885</v>
      </c>
      <c r="B3630" t="s">
        <v>41</v>
      </c>
      <c r="C3630">
        <v>10</v>
      </c>
      <c r="D3630" t="str">
        <f t="shared" si="56"/>
        <v>16/08/2025ENT</v>
      </c>
    </row>
    <row r="3631" spans="1:4">
      <c r="A3631" s="1">
        <v>45885</v>
      </c>
      <c r="B3631" t="s">
        <v>44</v>
      </c>
      <c r="C3631">
        <v>12</v>
      </c>
      <c r="D3631" t="str">
        <f t="shared" si="56"/>
        <v>16/08/2025Geriatrics</v>
      </c>
    </row>
    <row r="3632" spans="1:4">
      <c r="A3632" s="1">
        <v>45886</v>
      </c>
      <c r="B3632" t="s">
        <v>39</v>
      </c>
      <c r="C3632">
        <v>19</v>
      </c>
      <c r="D3632" t="str">
        <f t="shared" si="56"/>
        <v>17/08/2025A&amp;E (Emergency)</v>
      </c>
    </row>
    <row r="3633" spans="1:4">
      <c r="A3633" s="1">
        <v>45886</v>
      </c>
      <c r="B3633" t="s">
        <v>40</v>
      </c>
      <c r="C3633">
        <v>11</v>
      </c>
      <c r="D3633" t="str">
        <f t="shared" si="56"/>
        <v>17/08/2025Cardiology</v>
      </c>
    </row>
    <row r="3634" spans="1:4">
      <c r="A3634" s="1">
        <v>45886</v>
      </c>
      <c r="B3634" t="s">
        <v>51</v>
      </c>
      <c r="C3634">
        <v>9</v>
      </c>
      <c r="D3634" t="str">
        <f t="shared" si="56"/>
        <v>17/08/2025Respiratory</v>
      </c>
    </row>
    <row r="3635" spans="1:4">
      <c r="A3635" s="1">
        <v>45886</v>
      </c>
      <c r="B3635" t="s">
        <v>43</v>
      </c>
      <c r="C3635">
        <v>14</v>
      </c>
      <c r="D3635" t="str">
        <f t="shared" si="56"/>
        <v>17/08/2025General Surgery</v>
      </c>
    </row>
    <row r="3636" spans="1:4">
      <c r="A3636" s="1">
        <v>45886</v>
      </c>
      <c r="B3636" t="s">
        <v>48</v>
      </c>
      <c r="C3636">
        <v>10</v>
      </c>
      <c r="D3636" t="str">
        <f t="shared" si="56"/>
        <v>17/08/2025Orthopaedics</v>
      </c>
    </row>
    <row r="3637" spans="1:4">
      <c r="A3637" s="1">
        <v>45886</v>
      </c>
      <c r="B3637" t="s">
        <v>46</v>
      </c>
      <c r="C3637">
        <v>9</v>
      </c>
      <c r="D3637" t="str">
        <f t="shared" si="56"/>
        <v>17/08/2025Neurology</v>
      </c>
    </row>
    <row r="3638" spans="1:4">
      <c r="A3638" s="1">
        <v>45886</v>
      </c>
      <c r="B3638" t="s">
        <v>47</v>
      </c>
      <c r="C3638">
        <v>12</v>
      </c>
      <c r="D3638" t="str">
        <f t="shared" si="56"/>
        <v>17/08/2025Oncology</v>
      </c>
    </row>
    <row r="3639" spans="1:4">
      <c r="A3639" s="1">
        <v>45886</v>
      </c>
      <c r="B3639" t="s">
        <v>49</v>
      </c>
      <c r="C3639">
        <v>8</v>
      </c>
      <c r="D3639" t="str">
        <f t="shared" si="56"/>
        <v>17/08/2025Paediatrics</v>
      </c>
    </row>
    <row r="3640" spans="1:4">
      <c r="A3640" s="1">
        <v>45886</v>
      </c>
      <c r="B3640" t="s">
        <v>45</v>
      </c>
      <c r="C3640">
        <v>9</v>
      </c>
      <c r="D3640" t="str">
        <f t="shared" si="56"/>
        <v>17/08/2025Maternity</v>
      </c>
    </row>
    <row r="3641" spans="1:4">
      <c r="A3641" s="1">
        <v>45886</v>
      </c>
      <c r="B3641" t="s">
        <v>50</v>
      </c>
      <c r="C3641">
        <v>17</v>
      </c>
      <c r="D3641" t="str">
        <f t="shared" si="56"/>
        <v>17/08/2025Renal Medicine</v>
      </c>
    </row>
    <row r="3642" spans="1:4">
      <c r="A3642" s="1">
        <v>45886</v>
      </c>
      <c r="B3642" t="s">
        <v>42</v>
      </c>
      <c r="C3642">
        <v>7</v>
      </c>
      <c r="D3642" t="str">
        <f t="shared" si="56"/>
        <v>17/08/2025Gastroenterology</v>
      </c>
    </row>
    <row r="3643" spans="1:4">
      <c r="A3643" s="1">
        <v>45886</v>
      </c>
      <c r="B3643" t="s">
        <v>98</v>
      </c>
      <c r="C3643">
        <v>6</v>
      </c>
      <c r="D3643" t="str">
        <f t="shared" si="56"/>
        <v>17/08/2025Endocrinology</v>
      </c>
    </row>
    <row r="3644" spans="1:4">
      <c r="A3644" s="1">
        <v>45886</v>
      </c>
      <c r="B3644" t="s">
        <v>100</v>
      </c>
      <c r="C3644">
        <v>8</v>
      </c>
      <c r="D3644" t="str">
        <f t="shared" si="56"/>
        <v>17/08/2025Urology</v>
      </c>
    </row>
    <row r="3645" spans="1:4">
      <c r="A3645" s="1">
        <v>45886</v>
      </c>
      <c r="B3645" t="s">
        <v>41</v>
      </c>
      <c r="C3645">
        <v>10</v>
      </c>
      <c r="D3645" t="str">
        <f t="shared" si="56"/>
        <v>17/08/2025ENT</v>
      </c>
    </row>
    <row r="3646" spans="1:4">
      <c r="A3646" s="1">
        <v>45886</v>
      </c>
      <c r="B3646" t="s">
        <v>44</v>
      </c>
      <c r="C3646">
        <v>12</v>
      </c>
      <c r="D3646" t="str">
        <f t="shared" si="56"/>
        <v>17/08/2025Geriatrics</v>
      </c>
    </row>
    <row r="3647" spans="1:4">
      <c r="A3647" s="1">
        <v>45887</v>
      </c>
      <c r="B3647" t="s">
        <v>39</v>
      </c>
      <c r="C3647">
        <v>28</v>
      </c>
      <c r="D3647" t="str">
        <f t="shared" si="56"/>
        <v>18/08/2025A&amp;E (Emergency)</v>
      </c>
    </row>
    <row r="3648" spans="1:4">
      <c r="A3648" s="1">
        <v>45887</v>
      </c>
      <c r="B3648" t="s">
        <v>40</v>
      </c>
      <c r="C3648">
        <v>18</v>
      </c>
      <c r="D3648" t="str">
        <f t="shared" si="56"/>
        <v>18/08/2025Cardiology</v>
      </c>
    </row>
    <row r="3649" spans="1:4">
      <c r="A3649" s="1">
        <v>45887</v>
      </c>
      <c r="B3649" t="s">
        <v>51</v>
      </c>
      <c r="C3649">
        <v>15</v>
      </c>
      <c r="D3649" t="str">
        <f t="shared" si="56"/>
        <v>18/08/2025Respiratory</v>
      </c>
    </row>
    <row r="3650" spans="1:4">
      <c r="A3650" s="1">
        <v>45887</v>
      </c>
      <c r="B3650" t="s">
        <v>43</v>
      </c>
      <c r="C3650">
        <v>22</v>
      </c>
      <c r="D3650" t="str">
        <f t="shared" si="56"/>
        <v>18/08/2025General Surgery</v>
      </c>
    </row>
    <row r="3651" spans="1:4">
      <c r="A3651" s="1">
        <v>45887</v>
      </c>
      <c r="B3651" t="s">
        <v>48</v>
      </c>
      <c r="C3651">
        <v>16</v>
      </c>
      <c r="D3651" t="str">
        <f t="shared" ref="D3651:D3714" si="57">TEXT(A3651, "dd/mm/yyyy")&amp;B3651</f>
        <v>18/08/2025Orthopaedics</v>
      </c>
    </row>
    <row r="3652" spans="1:4">
      <c r="A3652" s="1">
        <v>45887</v>
      </c>
      <c r="B3652" t="s">
        <v>46</v>
      </c>
      <c r="C3652">
        <v>14</v>
      </c>
      <c r="D3652" t="str">
        <f t="shared" si="57"/>
        <v>18/08/2025Neurology</v>
      </c>
    </row>
    <row r="3653" spans="1:4">
      <c r="A3653" s="1">
        <v>45887</v>
      </c>
      <c r="B3653" t="s">
        <v>47</v>
      </c>
      <c r="C3653">
        <v>18</v>
      </c>
      <c r="D3653" t="str">
        <f t="shared" si="57"/>
        <v>18/08/2025Oncology</v>
      </c>
    </row>
    <row r="3654" spans="1:4">
      <c r="A3654" s="1">
        <v>45887</v>
      </c>
      <c r="B3654" t="s">
        <v>49</v>
      </c>
      <c r="C3654">
        <v>13</v>
      </c>
      <c r="D3654" t="str">
        <f t="shared" si="57"/>
        <v>18/08/2025Paediatrics</v>
      </c>
    </row>
    <row r="3655" spans="1:4">
      <c r="A3655" s="1">
        <v>45887</v>
      </c>
      <c r="B3655" t="s">
        <v>45</v>
      </c>
      <c r="C3655">
        <v>13</v>
      </c>
      <c r="D3655" t="str">
        <f t="shared" si="57"/>
        <v>18/08/2025Maternity</v>
      </c>
    </row>
    <row r="3656" spans="1:4">
      <c r="A3656" s="1">
        <v>45887</v>
      </c>
      <c r="B3656" t="s">
        <v>50</v>
      </c>
      <c r="C3656">
        <v>21</v>
      </c>
      <c r="D3656" t="str">
        <f t="shared" si="57"/>
        <v>18/08/2025Renal Medicine</v>
      </c>
    </row>
    <row r="3657" spans="1:4">
      <c r="A3657" s="1">
        <v>45887</v>
      </c>
      <c r="B3657" t="s">
        <v>42</v>
      </c>
      <c r="C3657">
        <v>12</v>
      </c>
      <c r="D3657" t="str">
        <f t="shared" si="57"/>
        <v>18/08/2025Gastroenterology</v>
      </c>
    </row>
    <row r="3658" spans="1:4">
      <c r="A3658" s="1">
        <v>45887</v>
      </c>
      <c r="B3658" t="s">
        <v>98</v>
      </c>
      <c r="C3658">
        <v>10</v>
      </c>
      <c r="D3658" t="str">
        <f t="shared" si="57"/>
        <v>18/08/2025Endocrinology</v>
      </c>
    </row>
    <row r="3659" spans="1:4">
      <c r="A3659" s="1">
        <v>45887</v>
      </c>
      <c r="B3659" t="s">
        <v>100</v>
      </c>
      <c r="C3659">
        <v>11</v>
      </c>
      <c r="D3659" t="str">
        <f t="shared" si="57"/>
        <v>18/08/2025Urology</v>
      </c>
    </row>
    <row r="3660" spans="1:4">
      <c r="A3660" s="1">
        <v>45887</v>
      </c>
      <c r="B3660" t="s">
        <v>41</v>
      </c>
      <c r="C3660">
        <v>13</v>
      </c>
      <c r="D3660" t="str">
        <f t="shared" si="57"/>
        <v>18/08/2025ENT</v>
      </c>
    </row>
    <row r="3661" spans="1:4">
      <c r="A3661" s="1">
        <v>45887</v>
      </c>
      <c r="B3661" t="s">
        <v>44</v>
      </c>
      <c r="C3661">
        <v>16</v>
      </c>
      <c r="D3661" t="str">
        <f t="shared" si="57"/>
        <v>18/08/2025Geriatrics</v>
      </c>
    </row>
    <row r="3662" spans="1:4">
      <c r="A3662" s="1">
        <v>45888</v>
      </c>
      <c r="B3662" t="s">
        <v>39</v>
      </c>
      <c r="C3662">
        <v>25</v>
      </c>
      <c r="D3662" t="str">
        <f t="shared" si="57"/>
        <v>19/08/2025A&amp;E (Emergency)</v>
      </c>
    </row>
    <row r="3663" spans="1:4">
      <c r="A3663" s="1">
        <v>45888</v>
      </c>
      <c r="B3663" t="s">
        <v>40</v>
      </c>
      <c r="C3663">
        <v>17</v>
      </c>
      <c r="D3663" t="str">
        <f t="shared" si="57"/>
        <v>19/08/2025Cardiology</v>
      </c>
    </row>
    <row r="3664" spans="1:4">
      <c r="A3664" s="1">
        <v>45888</v>
      </c>
      <c r="B3664" t="s">
        <v>51</v>
      </c>
      <c r="C3664">
        <v>14</v>
      </c>
      <c r="D3664" t="str">
        <f t="shared" si="57"/>
        <v>19/08/2025Respiratory</v>
      </c>
    </row>
    <row r="3665" spans="1:4">
      <c r="A3665" s="1">
        <v>45888</v>
      </c>
      <c r="B3665" t="s">
        <v>43</v>
      </c>
      <c r="C3665">
        <v>20</v>
      </c>
      <c r="D3665" t="str">
        <f t="shared" si="57"/>
        <v>19/08/2025General Surgery</v>
      </c>
    </row>
    <row r="3666" spans="1:4">
      <c r="A3666" s="1">
        <v>45888</v>
      </c>
      <c r="B3666" t="s">
        <v>48</v>
      </c>
      <c r="C3666">
        <v>15</v>
      </c>
      <c r="D3666" t="str">
        <f t="shared" si="57"/>
        <v>19/08/2025Orthopaedics</v>
      </c>
    </row>
    <row r="3667" spans="1:4">
      <c r="A3667" s="1">
        <v>45888</v>
      </c>
      <c r="B3667" t="s">
        <v>46</v>
      </c>
      <c r="C3667">
        <v>13</v>
      </c>
      <c r="D3667" t="str">
        <f t="shared" si="57"/>
        <v>19/08/2025Neurology</v>
      </c>
    </row>
    <row r="3668" spans="1:4">
      <c r="A3668" s="1">
        <v>45888</v>
      </c>
      <c r="B3668" t="s">
        <v>47</v>
      </c>
      <c r="C3668">
        <v>17</v>
      </c>
      <c r="D3668" t="str">
        <f t="shared" si="57"/>
        <v>19/08/2025Oncology</v>
      </c>
    </row>
    <row r="3669" spans="1:4">
      <c r="A3669" s="1">
        <v>45888</v>
      </c>
      <c r="B3669" t="s">
        <v>49</v>
      </c>
      <c r="C3669">
        <v>12</v>
      </c>
      <c r="D3669" t="str">
        <f t="shared" si="57"/>
        <v>19/08/2025Paediatrics</v>
      </c>
    </row>
    <row r="3670" spans="1:4">
      <c r="A3670" s="1">
        <v>45888</v>
      </c>
      <c r="B3670" t="s">
        <v>45</v>
      </c>
      <c r="C3670">
        <v>12</v>
      </c>
      <c r="D3670" t="str">
        <f t="shared" si="57"/>
        <v>19/08/2025Maternity</v>
      </c>
    </row>
    <row r="3671" spans="1:4">
      <c r="A3671" s="1">
        <v>45888</v>
      </c>
      <c r="B3671" t="s">
        <v>50</v>
      </c>
      <c r="C3671">
        <v>20</v>
      </c>
      <c r="D3671" t="str">
        <f t="shared" si="57"/>
        <v>19/08/2025Renal Medicine</v>
      </c>
    </row>
    <row r="3672" spans="1:4">
      <c r="A3672" s="1">
        <v>45888</v>
      </c>
      <c r="B3672" t="s">
        <v>42</v>
      </c>
      <c r="C3672">
        <v>11</v>
      </c>
      <c r="D3672" t="str">
        <f t="shared" si="57"/>
        <v>19/08/2025Gastroenterology</v>
      </c>
    </row>
    <row r="3673" spans="1:4">
      <c r="A3673" s="1">
        <v>45888</v>
      </c>
      <c r="B3673" t="s">
        <v>98</v>
      </c>
      <c r="C3673">
        <v>9</v>
      </c>
      <c r="D3673" t="str">
        <f t="shared" si="57"/>
        <v>19/08/2025Endocrinology</v>
      </c>
    </row>
    <row r="3674" spans="1:4">
      <c r="A3674" s="1">
        <v>45888</v>
      </c>
      <c r="B3674" t="s">
        <v>100</v>
      </c>
      <c r="C3674">
        <v>10</v>
      </c>
      <c r="D3674" t="str">
        <f t="shared" si="57"/>
        <v>19/08/2025Urology</v>
      </c>
    </row>
    <row r="3675" spans="1:4">
      <c r="A3675" s="1">
        <v>45888</v>
      </c>
      <c r="B3675" t="s">
        <v>41</v>
      </c>
      <c r="C3675">
        <v>12</v>
      </c>
      <c r="D3675" t="str">
        <f t="shared" si="57"/>
        <v>19/08/2025ENT</v>
      </c>
    </row>
    <row r="3676" spans="1:4">
      <c r="A3676" s="1">
        <v>45888</v>
      </c>
      <c r="B3676" t="s">
        <v>44</v>
      </c>
      <c r="C3676">
        <v>15</v>
      </c>
      <c r="D3676" t="str">
        <f t="shared" si="57"/>
        <v>19/08/2025Geriatrics</v>
      </c>
    </row>
    <row r="3677" spans="1:4">
      <c r="A3677" s="1">
        <v>45889</v>
      </c>
      <c r="B3677" t="s">
        <v>39</v>
      </c>
      <c r="C3677">
        <v>24</v>
      </c>
      <c r="D3677" t="str">
        <f t="shared" si="57"/>
        <v>20/08/2025A&amp;E (Emergency)</v>
      </c>
    </row>
    <row r="3678" spans="1:4">
      <c r="A3678" s="1">
        <v>45889</v>
      </c>
      <c r="B3678" t="s">
        <v>40</v>
      </c>
      <c r="C3678">
        <v>16</v>
      </c>
      <c r="D3678" t="str">
        <f t="shared" si="57"/>
        <v>20/08/2025Cardiology</v>
      </c>
    </row>
    <row r="3679" spans="1:4">
      <c r="A3679" s="1">
        <v>45889</v>
      </c>
      <c r="B3679" t="s">
        <v>51</v>
      </c>
      <c r="C3679">
        <v>13</v>
      </c>
      <c r="D3679" t="str">
        <f t="shared" si="57"/>
        <v>20/08/2025Respiratory</v>
      </c>
    </row>
    <row r="3680" spans="1:4">
      <c r="A3680" s="1">
        <v>45889</v>
      </c>
      <c r="B3680" t="s">
        <v>43</v>
      </c>
      <c r="C3680">
        <v>19</v>
      </c>
      <c r="D3680" t="str">
        <f t="shared" si="57"/>
        <v>20/08/2025General Surgery</v>
      </c>
    </row>
    <row r="3681" spans="1:4">
      <c r="A3681" s="1">
        <v>45889</v>
      </c>
      <c r="B3681" t="s">
        <v>48</v>
      </c>
      <c r="C3681">
        <v>14</v>
      </c>
      <c r="D3681" t="str">
        <f t="shared" si="57"/>
        <v>20/08/2025Orthopaedics</v>
      </c>
    </row>
    <row r="3682" spans="1:4">
      <c r="A3682" s="1">
        <v>45889</v>
      </c>
      <c r="B3682" t="s">
        <v>46</v>
      </c>
      <c r="C3682">
        <v>12</v>
      </c>
      <c r="D3682" t="str">
        <f t="shared" si="57"/>
        <v>20/08/2025Neurology</v>
      </c>
    </row>
    <row r="3683" spans="1:4">
      <c r="A3683" s="1">
        <v>45889</v>
      </c>
      <c r="B3683" t="s">
        <v>47</v>
      </c>
      <c r="C3683">
        <v>16</v>
      </c>
      <c r="D3683" t="str">
        <f t="shared" si="57"/>
        <v>20/08/2025Oncology</v>
      </c>
    </row>
    <row r="3684" spans="1:4">
      <c r="A3684" s="1">
        <v>45889</v>
      </c>
      <c r="B3684" t="s">
        <v>49</v>
      </c>
      <c r="C3684">
        <v>11</v>
      </c>
      <c r="D3684" t="str">
        <f t="shared" si="57"/>
        <v>20/08/2025Paediatrics</v>
      </c>
    </row>
    <row r="3685" spans="1:4">
      <c r="A3685" s="1">
        <v>45889</v>
      </c>
      <c r="B3685" t="s">
        <v>45</v>
      </c>
      <c r="C3685">
        <v>12</v>
      </c>
      <c r="D3685" t="str">
        <f t="shared" si="57"/>
        <v>20/08/2025Maternity</v>
      </c>
    </row>
    <row r="3686" spans="1:4">
      <c r="A3686" s="1">
        <v>45889</v>
      </c>
      <c r="B3686" t="s">
        <v>50</v>
      </c>
      <c r="C3686">
        <v>19</v>
      </c>
      <c r="D3686" t="str">
        <f t="shared" si="57"/>
        <v>20/08/2025Renal Medicine</v>
      </c>
    </row>
    <row r="3687" spans="1:4">
      <c r="A3687" s="1">
        <v>45889</v>
      </c>
      <c r="B3687" t="s">
        <v>42</v>
      </c>
      <c r="C3687">
        <v>10</v>
      </c>
      <c r="D3687" t="str">
        <f t="shared" si="57"/>
        <v>20/08/2025Gastroenterology</v>
      </c>
    </row>
    <row r="3688" spans="1:4">
      <c r="A3688" s="1">
        <v>45889</v>
      </c>
      <c r="B3688" t="s">
        <v>98</v>
      </c>
      <c r="C3688">
        <v>8</v>
      </c>
      <c r="D3688" t="str">
        <f t="shared" si="57"/>
        <v>20/08/2025Endocrinology</v>
      </c>
    </row>
    <row r="3689" spans="1:4">
      <c r="A3689" s="1">
        <v>45889</v>
      </c>
      <c r="B3689" t="s">
        <v>100</v>
      </c>
      <c r="C3689">
        <v>10</v>
      </c>
      <c r="D3689" t="str">
        <f t="shared" si="57"/>
        <v>20/08/2025Urology</v>
      </c>
    </row>
    <row r="3690" spans="1:4">
      <c r="A3690" s="1">
        <v>45889</v>
      </c>
      <c r="B3690" t="s">
        <v>41</v>
      </c>
      <c r="C3690">
        <v>12</v>
      </c>
      <c r="D3690" t="str">
        <f t="shared" si="57"/>
        <v>20/08/2025ENT</v>
      </c>
    </row>
    <row r="3691" spans="1:4">
      <c r="A3691" s="1">
        <v>45889</v>
      </c>
      <c r="B3691" t="s">
        <v>44</v>
      </c>
      <c r="C3691">
        <v>14</v>
      </c>
      <c r="D3691" t="str">
        <f t="shared" si="57"/>
        <v>20/08/2025Geriatrics</v>
      </c>
    </row>
    <row r="3692" spans="1:4">
      <c r="A3692" s="1">
        <v>45890</v>
      </c>
      <c r="B3692" t="s">
        <v>39</v>
      </c>
      <c r="C3692">
        <v>23</v>
      </c>
      <c r="D3692" t="str">
        <f t="shared" si="57"/>
        <v>21/08/2025A&amp;E (Emergency)</v>
      </c>
    </row>
    <row r="3693" spans="1:4">
      <c r="A3693" s="1">
        <v>45890</v>
      </c>
      <c r="B3693" t="s">
        <v>40</v>
      </c>
      <c r="C3693">
        <v>16</v>
      </c>
      <c r="D3693" t="str">
        <f t="shared" si="57"/>
        <v>21/08/2025Cardiology</v>
      </c>
    </row>
    <row r="3694" spans="1:4">
      <c r="A3694" s="1">
        <v>45890</v>
      </c>
      <c r="B3694" t="s">
        <v>51</v>
      </c>
      <c r="C3694">
        <v>13</v>
      </c>
      <c r="D3694" t="str">
        <f t="shared" si="57"/>
        <v>21/08/2025Respiratory</v>
      </c>
    </row>
    <row r="3695" spans="1:4">
      <c r="A3695" s="1">
        <v>45890</v>
      </c>
      <c r="B3695" t="s">
        <v>43</v>
      </c>
      <c r="C3695">
        <v>19</v>
      </c>
      <c r="D3695" t="str">
        <f t="shared" si="57"/>
        <v>21/08/2025General Surgery</v>
      </c>
    </row>
    <row r="3696" spans="1:4">
      <c r="A3696" s="1">
        <v>45890</v>
      </c>
      <c r="B3696" t="s">
        <v>48</v>
      </c>
      <c r="C3696">
        <v>14</v>
      </c>
      <c r="D3696" t="str">
        <f t="shared" si="57"/>
        <v>21/08/2025Orthopaedics</v>
      </c>
    </row>
    <row r="3697" spans="1:4">
      <c r="A3697" s="1">
        <v>45890</v>
      </c>
      <c r="B3697" t="s">
        <v>46</v>
      </c>
      <c r="C3697">
        <v>12</v>
      </c>
      <c r="D3697" t="str">
        <f t="shared" si="57"/>
        <v>21/08/2025Neurology</v>
      </c>
    </row>
    <row r="3698" spans="1:4">
      <c r="A3698" s="1">
        <v>45890</v>
      </c>
      <c r="B3698" t="s">
        <v>47</v>
      </c>
      <c r="C3698">
        <v>16</v>
      </c>
      <c r="D3698" t="str">
        <f t="shared" si="57"/>
        <v>21/08/2025Oncology</v>
      </c>
    </row>
    <row r="3699" spans="1:4">
      <c r="A3699" s="1">
        <v>45890</v>
      </c>
      <c r="B3699" t="s">
        <v>49</v>
      </c>
      <c r="C3699">
        <v>11</v>
      </c>
      <c r="D3699" t="str">
        <f t="shared" si="57"/>
        <v>21/08/2025Paediatrics</v>
      </c>
    </row>
    <row r="3700" spans="1:4">
      <c r="A3700" s="1">
        <v>45890</v>
      </c>
      <c r="B3700" t="s">
        <v>45</v>
      </c>
      <c r="C3700">
        <v>12</v>
      </c>
      <c r="D3700" t="str">
        <f t="shared" si="57"/>
        <v>21/08/2025Maternity</v>
      </c>
    </row>
    <row r="3701" spans="1:4">
      <c r="A3701" s="1">
        <v>45890</v>
      </c>
      <c r="B3701" t="s">
        <v>50</v>
      </c>
      <c r="C3701">
        <v>19</v>
      </c>
      <c r="D3701" t="str">
        <f t="shared" si="57"/>
        <v>21/08/2025Renal Medicine</v>
      </c>
    </row>
    <row r="3702" spans="1:4">
      <c r="A3702" s="1">
        <v>45890</v>
      </c>
      <c r="B3702" t="s">
        <v>42</v>
      </c>
      <c r="C3702">
        <v>10</v>
      </c>
      <c r="D3702" t="str">
        <f t="shared" si="57"/>
        <v>21/08/2025Gastroenterology</v>
      </c>
    </row>
    <row r="3703" spans="1:4">
      <c r="A3703" s="1">
        <v>45890</v>
      </c>
      <c r="B3703" t="s">
        <v>98</v>
      </c>
      <c r="C3703">
        <v>8</v>
      </c>
      <c r="D3703" t="str">
        <f t="shared" si="57"/>
        <v>21/08/2025Endocrinology</v>
      </c>
    </row>
    <row r="3704" spans="1:4">
      <c r="A3704" s="1">
        <v>45890</v>
      </c>
      <c r="B3704" t="s">
        <v>100</v>
      </c>
      <c r="C3704">
        <v>10</v>
      </c>
      <c r="D3704" t="str">
        <f t="shared" si="57"/>
        <v>21/08/2025Urology</v>
      </c>
    </row>
    <row r="3705" spans="1:4">
      <c r="A3705" s="1">
        <v>45890</v>
      </c>
      <c r="B3705" t="s">
        <v>41</v>
      </c>
      <c r="C3705">
        <v>12</v>
      </c>
      <c r="D3705" t="str">
        <f t="shared" si="57"/>
        <v>21/08/2025ENT</v>
      </c>
    </row>
    <row r="3706" spans="1:4">
      <c r="A3706" s="1">
        <v>45890</v>
      </c>
      <c r="B3706" t="s">
        <v>44</v>
      </c>
      <c r="C3706">
        <v>14</v>
      </c>
      <c r="D3706" t="str">
        <f t="shared" si="57"/>
        <v>21/08/2025Geriatrics</v>
      </c>
    </row>
    <row r="3707" spans="1:4">
      <c r="A3707" s="1">
        <v>45891</v>
      </c>
      <c r="B3707" t="s">
        <v>39</v>
      </c>
      <c r="C3707">
        <v>22</v>
      </c>
      <c r="D3707" t="str">
        <f t="shared" si="57"/>
        <v>22/08/2025A&amp;E (Emergency)</v>
      </c>
    </row>
    <row r="3708" spans="1:4">
      <c r="A3708" s="1">
        <v>45891</v>
      </c>
      <c r="B3708" t="s">
        <v>40</v>
      </c>
      <c r="C3708">
        <v>15</v>
      </c>
      <c r="D3708" t="str">
        <f t="shared" si="57"/>
        <v>22/08/2025Cardiology</v>
      </c>
    </row>
    <row r="3709" spans="1:4">
      <c r="A3709" s="1">
        <v>45891</v>
      </c>
      <c r="B3709" t="s">
        <v>51</v>
      </c>
      <c r="C3709">
        <v>12</v>
      </c>
      <c r="D3709" t="str">
        <f t="shared" si="57"/>
        <v>22/08/2025Respiratory</v>
      </c>
    </row>
    <row r="3710" spans="1:4">
      <c r="A3710" s="1">
        <v>45891</v>
      </c>
      <c r="B3710" t="s">
        <v>43</v>
      </c>
      <c r="C3710">
        <v>18</v>
      </c>
      <c r="D3710" t="str">
        <f t="shared" si="57"/>
        <v>22/08/2025General Surgery</v>
      </c>
    </row>
    <row r="3711" spans="1:4">
      <c r="A3711" s="1">
        <v>45891</v>
      </c>
      <c r="B3711" t="s">
        <v>48</v>
      </c>
      <c r="C3711">
        <v>13</v>
      </c>
      <c r="D3711" t="str">
        <f t="shared" si="57"/>
        <v>22/08/2025Orthopaedics</v>
      </c>
    </row>
    <row r="3712" spans="1:4">
      <c r="A3712" s="1">
        <v>45891</v>
      </c>
      <c r="B3712" t="s">
        <v>46</v>
      </c>
      <c r="C3712">
        <v>11</v>
      </c>
      <c r="D3712" t="str">
        <f t="shared" si="57"/>
        <v>22/08/2025Neurology</v>
      </c>
    </row>
    <row r="3713" spans="1:4">
      <c r="A3713" s="1">
        <v>45891</v>
      </c>
      <c r="B3713" t="s">
        <v>47</v>
      </c>
      <c r="C3713">
        <v>15</v>
      </c>
      <c r="D3713" t="str">
        <f t="shared" si="57"/>
        <v>22/08/2025Oncology</v>
      </c>
    </row>
    <row r="3714" spans="1:4">
      <c r="A3714" s="1">
        <v>45891</v>
      </c>
      <c r="B3714" t="s">
        <v>49</v>
      </c>
      <c r="C3714">
        <v>10</v>
      </c>
      <c r="D3714" t="str">
        <f t="shared" si="57"/>
        <v>22/08/2025Paediatrics</v>
      </c>
    </row>
    <row r="3715" spans="1:4">
      <c r="A3715" s="1">
        <v>45891</v>
      </c>
      <c r="B3715" t="s">
        <v>45</v>
      </c>
      <c r="C3715">
        <v>11</v>
      </c>
      <c r="D3715" t="str">
        <f t="shared" ref="D3715:D3778" si="58">TEXT(A3715, "dd/mm/yyyy")&amp;B3715</f>
        <v>22/08/2025Maternity</v>
      </c>
    </row>
    <row r="3716" spans="1:4">
      <c r="A3716" s="1">
        <v>45891</v>
      </c>
      <c r="B3716" t="s">
        <v>50</v>
      </c>
      <c r="C3716">
        <v>18</v>
      </c>
      <c r="D3716" t="str">
        <f t="shared" si="58"/>
        <v>22/08/2025Renal Medicine</v>
      </c>
    </row>
    <row r="3717" spans="1:4">
      <c r="A3717" s="1">
        <v>45891</v>
      </c>
      <c r="B3717" t="s">
        <v>42</v>
      </c>
      <c r="C3717">
        <v>9</v>
      </c>
      <c r="D3717" t="str">
        <f t="shared" si="58"/>
        <v>22/08/2025Gastroenterology</v>
      </c>
    </row>
    <row r="3718" spans="1:4">
      <c r="A3718" s="1">
        <v>45891</v>
      </c>
      <c r="B3718" t="s">
        <v>98</v>
      </c>
      <c r="C3718">
        <v>7</v>
      </c>
      <c r="D3718" t="str">
        <f t="shared" si="58"/>
        <v>22/08/2025Endocrinology</v>
      </c>
    </row>
    <row r="3719" spans="1:4">
      <c r="A3719" s="1">
        <v>45891</v>
      </c>
      <c r="B3719" t="s">
        <v>100</v>
      </c>
      <c r="C3719">
        <v>9</v>
      </c>
      <c r="D3719" t="str">
        <f t="shared" si="58"/>
        <v>22/08/2025Urology</v>
      </c>
    </row>
    <row r="3720" spans="1:4">
      <c r="A3720" s="1">
        <v>45891</v>
      </c>
      <c r="B3720" t="s">
        <v>41</v>
      </c>
      <c r="C3720">
        <v>11</v>
      </c>
      <c r="D3720" t="str">
        <f t="shared" si="58"/>
        <v>22/08/2025ENT</v>
      </c>
    </row>
    <row r="3721" spans="1:4">
      <c r="A3721" s="1">
        <v>45891</v>
      </c>
      <c r="B3721" t="s">
        <v>44</v>
      </c>
      <c r="C3721">
        <v>13</v>
      </c>
      <c r="D3721" t="str">
        <f t="shared" si="58"/>
        <v>22/08/2025Geriatrics</v>
      </c>
    </row>
    <row r="3722" spans="1:4">
      <c r="A3722" s="1">
        <v>45892</v>
      </c>
      <c r="B3722" t="s">
        <v>39</v>
      </c>
      <c r="C3722">
        <v>20</v>
      </c>
      <c r="D3722" t="str">
        <f t="shared" si="58"/>
        <v>23/08/2025A&amp;E (Emergency)</v>
      </c>
    </row>
    <row r="3723" spans="1:4">
      <c r="A3723" s="1">
        <v>45892</v>
      </c>
      <c r="B3723" t="s">
        <v>40</v>
      </c>
      <c r="C3723">
        <v>12</v>
      </c>
      <c r="D3723" t="str">
        <f t="shared" si="58"/>
        <v>23/08/2025Cardiology</v>
      </c>
    </row>
    <row r="3724" spans="1:4">
      <c r="A3724" s="1">
        <v>45892</v>
      </c>
      <c r="B3724" t="s">
        <v>51</v>
      </c>
      <c r="C3724">
        <v>9</v>
      </c>
      <c r="D3724" t="str">
        <f t="shared" si="58"/>
        <v>23/08/2025Respiratory</v>
      </c>
    </row>
    <row r="3725" spans="1:4">
      <c r="A3725" s="1">
        <v>45892</v>
      </c>
      <c r="B3725" t="s">
        <v>43</v>
      </c>
      <c r="C3725">
        <v>15</v>
      </c>
      <c r="D3725" t="str">
        <f t="shared" si="58"/>
        <v>23/08/2025General Surgery</v>
      </c>
    </row>
    <row r="3726" spans="1:4">
      <c r="A3726" s="1">
        <v>45892</v>
      </c>
      <c r="B3726" t="s">
        <v>48</v>
      </c>
      <c r="C3726">
        <v>11</v>
      </c>
      <c r="D3726" t="str">
        <f t="shared" si="58"/>
        <v>23/08/2025Orthopaedics</v>
      </c>
    </row>
    <row r="3727" spans="1:4">
      <c r="A3727" s="1">
        <v>45892</v>
      </c>
      <c r="B3727" t="s">
        <v>46</v>
      </c>
      <c r="C3727">
        <v>9</v>
      </c>
      <c r="D3727" t="str">
        <f t="shared" si="58"/>
        <v>23/08/2025Neurology</v>
      </c>
    </row>
    <row r="3728" spans="1:4">
      <c r="A3728" s="1">
        <v>45892</v>
      </c>
      <c r="B3728" t="s">
        <v>47</v>
      </c>
      <c r="C3728">
        <v>13</v>
      </c>
      <c r="D3728" t="str">
        <f t="shared" si="58"/>
        <v>23/08/2025Oncology</v>
      </c>
    </row>
    <row r="3729" spans="1:4">
      <c r="A3729" s="1">
        <v>45892</v>
      </c>
      <c r="B3729" t="s">
        <v>49</v>
      </c>
      <c r="C3729">
        <v>9</v>
      </c>
      <c r="D3729" t="str">
        <f t="shared" si="58"/>
        <v>23/08/2025Paediatrics</v>
      </c>
    </row>
    <row r="3730" spans="1:4">
      <c r="A3730" s="1">
        <v>45892</v>
      </c>
      <c r="B3730" t="s">
        <v>45</v>
      </c>
      <c r="C3730">
        <v>10</v>
      </c>
      <c r="D3730" t="str">
        <f t="shared" si="58"/>
        <v>23/08/2025Maternity</v>
      </c>
    </row>
    <row r="3731" spans="1:4">
      <c r="A3731" s="1">
        <v>45892</v>
      </c>
      <c r="B3731" t="s">
        <v>50</v>
      </c>
      <c r="C3731">
        <v>17</v>
      </c>
      <c r="D3731" t="str">
        <f t="shared" si="58"/>
        <v>23/08/2025Renal Medicine</v>
      </c>
    </row>
    <row r="3732" spans="1:4">
      <c r="A3732" s="1">
        <v>45892</v>
      </c>
      <c r="B3732" t="s">
        <v>42</v>
      </c>
      <c r="C3732">
        <v>7</v>
      </c>
      <c r="D3732" t="str">
        <f t="shared" si="58"/>
        <v>23/08/2025Gastroenterology</v>
      </c>
    </row>
    <row r="3733" spans="1:4">
      <c r="A3733" s="1">
        <v>45892</v>
      </c>
      <c r="B3733" t="s">
        <v>98</v>
      </c>
      <c r="C3733">
        <v>6</v>
      </c>
      <c r="D3733" t="str">
        <f t="shared" si="58"/>
        <v>23/08/2025Endocrinology</v>
      </c>
    </row>
    <row r="3734" spans="1:4">
      <c r="A3734" s="1">
        <v>45892</v>
      </c>
      <c r="B3734" t="s">
        <v>100</v>
      </c>
      <c r="C3734">
        <v>8</v>
      </c>
      <c r="D3734" t="str">
        <f t="shared" si="58"/>
        <v>23/08/2025Urology</v>
      </c>
    </row>
    <row r="3735" spans="1:4">
      <c r="A3735" s="1">
        <v>45892</v>
      </c>
      <c r="B3735" t="s">
        <v>41</v>
      </c>
      <c r="C3735">
        <v>10</v>
      </c>
      <c r="D3735" t="str">
        <f t="shared" si="58"/>
        <v>23/08/2025ENT</v>
      </c>
    </row>
    <row r="3736" spans="1:4">
      <c r="A3736" s="1">
        <v>45892</v>
      </c>
      <c r="B3736" t="s">
        <v>44</v>
      </c>
      <c r="C3736">
        <v>12</v>
      </c>
      <c r="D3736" t="str">
        <f t="shared" si="58"/>
        <v>23/08/2025Geriatrics</v>
      </c>
    </row>
    <row r="3737" spans="1:4">
      <c r="A3737" s="1">
        <v>45893</v>
      </c>
      <c r="B3737" t="s">
        <v>39</v>
      </c>
      <c r="C3737">
        <v>19</v>
      </c>
      <c r="D3737" t="str">
        <f t="shared" si="58"/>
        <v>24/08/2025A&amp;E (Emergency)</v>
      </c>
    </row>
    <row r="3738" spans="1:4">
      <c r="A3738" s="1">
        <v>45893</v>
      </c>
      <c r="B3738" t="s">
        <v>40</v>
      </c>
      <c r="C3738">
        <v>11</v>
      </c>
      <c r="D3738" t="str">
        <f t="shared" si="58"/>
        <v>24/08/2025Cardiology</v>
      </c>
    </row>
    <row r="3739" spans="1:4">
      <c r="A3739" s="1">
        <v>45893</v>
      </c>
      <c r="B3739" t="s">
        <v>51</v>
      </c>
      <c r="C3739">
        <v>9</v>
      </c>
      <c r="D3739" t="str">
        <f t="shared" si="58"/>
        <v>24/08/2025Respiratory</v>
      </c>
    </row>
    <row r="3740" spans="1:4">
      <c r="A3740" s="1">
        <v>45893</v>
      </c>
      <c r="B3740" t="s">
        <v>43</v>
      </c>
      <c r="C3740">
        <v>14</v>
      </c>
      <c r="D3740" t="str">
        <f t="shared" si="58"/>
        <v>24/08/2025General Surgery</v>
      </c>
    </row>
    <row r="3741" spans="1:4">
      <c r="A3741" s="1">
        <v>45893</v>
      </c>
      <c r="B3741" t="s">
        <v>48</v>
      </c>
      <c r="C3741">
        <v>10</v>
      </c>
      <c r="D3741" t="str">
        <f t="shared" si="58"/>
        <v>24/08/2025Orthopaedics</v>
      </c>
    </row>
    <row r="3742" spans="1:4">
      <c r="A3742" s="1">
        <v>45893</v>
      </c>
      <c r="B3742" t="s">
        <v>46</v>
      </c>
      <c r="C3742">
        <v>9</v>
      </c>
      <c r="D3742" t="str">
        <f t="shared" si="58"/>
        <v>24/08/2025Neurology</v>
      </c>
    </row>
    <row r="3743" spans="1:4">
      <c r="A3743" s="1">
        <v>45893</v>
      </c>
      <c r="B3743" t="s">
        <v>47</v>
      </c>
      <c r="C3743">
        <v>12</v>
      </c>
      <c r="D3743" t="str">
        <f t="shared" si="58"/>
        <v>24/08/2025Oncology</v>
      </c>
    </row>
    <row r="3744" spans="1:4">
      <c r="A3744" s="1">
        <v>45893</v>
      </c>
      <c r="B3744" t="s">
        <v>49</v>
      </c>
      <c r="C3744">
        <v>8</v>
      </c>
      <c r="D3744" t="str">
        <f t="shared" si="58"/>
        <v>24/08/2025Paediatrics</v>
      </c>
    </row>
    <row r="3745" spans="1:4">
      <c r="A3745" s="1">
        <v>45893</v>
      </c>
      <c r="B3745" t="s">
        <v>45</v>
      </c>
      <c r="C3745">
        <v>9</v>
      </c>
      <c r="D3745" t="str">
        <f t="shared" si="58"/>
        <v>24/08/2025Maternity</v>
      </c>
    </row>
    <row r="3746" spans="1:4">
      <c r="A3746" s="1">
        <v>45893</v>
      </c>
      <c r="B3746" t="s">
        <v>50</v>
      </c>
      <c r="C3746">
        <v>17</v>
      </c>
      <c r="D3746" t="str">
        <f t="shared" si="58"/>
        <v>24/08/2025Renal Medicine</v>
      </c>
    </row>
    <row r="3747" spans="1:4">
      <c r="A3747" s="1">
        <v>45893</v>
      </c>
      <c r="B3747" t="s">
        <v>42</v>
      </c>
      <c r="C3747">
        <v>7</v>
      </c>
      <c r="D3747" t="str">
        <f t="shared" si="58"/>
        <v>24/08/2025Gastroenterology</v>
      </c>
    </row>
    <row r="3748" spans="1:4">
      <c r="A3748" s="1">
        <v>45893</v>
      </c>
      <c r="B3748" t="s">
        <v>98</v>
      </c>
      <c r="C3748">
        <v>6</v>
      </c>
      <c r="D3748" t="str">
        <f t="shared" si="58"/>
        <v>24/08/2025Endocrinology</v>
      </c>
    </row>
    <row r="3749" spans="1:4">
      <c r="A3749" s="1">
        <v>45893</v>
      </c>
      <c r="B3749" t="s">
        <v>100</v>
      </c>
      <c r="C3749">
        <v>8</v>
      </c>
      <c r="D3749" t="str">
        <f t="shared" si="58"/>
        <v>24/08/2025Urology</v>
      </c>
    </row>
    <row r="3750" spans="1:4">
      <c r="A3750" s="1">
        <v>45893</v>
      </c>
      <c r="B3750" t="s">
        <v>41</v>
      </c>
      <c r="C3750">
        <v>10</v>
      </c>
      <c r="D3750" t="str">
        <f t="shared" si="58"/>
        <v>24/08/2025ENT</v>
      </c>
    </row>
    <row r="3751" spans="1:4">
      <c r="A3751" s="1">
        <v>45893</v>
      </c>
      <c r="B3751" t="s">
        <v>44</v>
      </c>
      <c r="C3751">
        <v>12</v>
      </c>
      <c r="D3751" t="str">
        <f t="shared" si="58"/>
        <v>24/08/2025Geriatrics</v>
      </c>
    </row>
    <row r="3752" spans="1:4">
      <c r="A3752" s="1">
        <v>45894</v>
      </c>
      <c r="B3752" t="s">
        <v>39</v>
      </c>
      <c r="C3752">
        <v>28</v>
      </c>
      <c r="D3752" t="str">
        <f t="shared" si="58"/>
        <v>25/08/2025A&amp;E (Emergency)</v>
      </c>
    </row>
    <row r="3753" spans="1:4">
      <c r="A3753" s="1">
        <v>45894</v>
      </c>
      <c r="B3753" t="s">
        <v>40</v>
      </c>
      <c r="C3753">
        <v>18</v>
      </c>
      <c r="D3753" t="str">
        <f t="shared" si="58"/>
        <v>25/08/2025Cardiology</v>
      </c>
    </row>
    <row r="3754" spans="1:4">
      <c r="A3754" s="1">
        <v>45894</v>
      </c>
      <c r="B3754" t="s">
        <v>51</v>
      </c>
      <c r="C3754">
        <v>15</v>
      </c>
      <c r="D3754" t="str">
        <f t="shared" si="58"/>
        <v>25/08/2025Respiratory</v>
      </c>
    </row>
    <row r="3755" spans="1:4">
      <c r="A3755" s="1">
        <v>45894</v>
      </c>
      <c r="B3755" t="s">
        <v>43</v>
      </c>
      <c r="C3755">
        <v>22</v>
      </c>
      <c r="D3755" t="str">
        <f t="shared" si="58"/>
        <v>25/08/2025General Surgery</v>
      </c>
    </row>
    <row r="3756" spans="1:4">
      <c r="A3756" s="1">
        <v>45894</v>
      </c>
      <c r="B3756" t="s">
        <v>48</v>
      </c>
      <c r="C3756">
        <v>16</v>
      </c>
      <c r="D3756" t="str">
        <f t="shared" si="58"/>
        <v>25/08/2025Orthopaedics</v>
      </c>
    </row>
    <row r="3757" spans="1:4">
      <c r="A3757" s="1">
        <v>45894</v>
      </c>
      <c r="B3757" t="s">
        <v>46</v>
      </c>
      <c r="C3757">
        <v>14</v>
      </c>
      <c r="D3757" t="str">
        <f t="shared" si="58"/>
        <v>25/08/2025Neurology</v>
      </c>
    </row>
    <row r="3758" spans="1:4">
      <c r="A3758" s="1">
        <v>45894</v>
      </c>
      <c r="B3758" t="s">
        <v>47</v>
      </c>
      <c r="C3758">
        <v>18</v>
      </c>
      <c r="D3758" t="str">
        <f t="shared" si="58"/>
        <v>25/08/2025Oncology</v>
      </c>
    </row>
    <row r="3759" spans="1:4">
      <c r="A3759" s="1">
        <v>45894</v>
      </c>
      <c r="B3759" t="s">
        <v>49</v>
      </c>
      <c r="C3759">
        <v>13</v>
      </c>
      <c r="D3759" t="str">
        <f t="shared" si="58"/>
        <v>25/08/2025Paediatrics</v>
      </c>
    </row>
    <row r="3760" spans="1:4">
      <c r="A3760" s="1">
        <v>45894</v>
      </c>
      <c r="B3760" t="s">
        <v>45</v>
      </c>
      <c r="C3760">
        <v>13</v>
      </c>
      <c r="D3760" t="str">
        <f t="shared" si="58"/>
        <v>25/08/2025Maternity</v>
      </c>
    </row>
    <row r="3761" spans="1:4">
      <c r="A3761" s="1">
        <v>45894</v>
      </c>
      <c r="B3761" t="s">
        <v>50</v>
      </c>
      <c r="C3761">
        <v>21</v>
      </c>
      <c r="D3761" t="str">
        <f t="shared" si="58"/>
        <v>25/08/2025Renal Medicine</v>
      </c>
    </row>
    <row r="3762" spans="1:4">
      <c r="A3762" s="1">
        <v>45894</v>
      </c>
      <c r="B3762" t="s">
        <v>42</v>
      </c>
      <c r="C3762">
        <v>12</v>
      </c>
      <c r="D3762" t="str">
        <f t="shared" si="58"/>
        <v>25/08/2025Gastroenterology</v>
      </c>
    </row>
    <row r="3763" spans="1:4">
      <c r="A3763" s="1">
        <v>45894</v>
      </c>
      <c r="B3763" t="s">
        <v>98</v>
      </c>
      <c r="C3763">
        <v>10</v>
      </c>
      <c r="D3763" t="str">
        <f t="shared" si="58"/>
        <v>25/08/2025Endocrinology</v>
      </c>
    </row>
    <row r="3764" spans="1:4">
      <c r="A3764" s="1">
        <v>45894</v>
      </c>
      <c r="B3764" t="s">
        <v>100</v>
      </c>
      <c r="C3764">
        <v>11</v>
      </c>
      <c r="D3764" t="str">
        <f t="shared" si="58"/>
        <v>25/08/2025Urology</v>
      </c>
    </row>
    <row r="3765" spans="1:4">
      <c r="A3765" s="1">
        <v>45894</v>
      </c>
      <c r="B3765" t="s">
        <v>41</v>
      </c>
      <c r="C3765">
        <v>13</v>
      </c>
      <c r="D3765" t="str">
        <f t="shared" si="58"/>
        <v>25/08/2025ENT</v>
      </c>
    </row>
    <row r="3766" spans="1:4">
      <c r="A3766" s="1">
        <v>45894</v>
      </c>
      <c r="B3766" t="s">
        <v>44</v>
      </c>
      <c r="C3766">
        <v>16</v>
      </c>
      <c r="D3766" t="str">
        <f t="shared" si="58"/>
        <v>25/08/2025Geriatrics</v>
      </c>
    </row>
    <row r="3767" spans="1:4">
      <c r="A3767" s="1">
        <v>45895</v>
      </c>
      <c r="B3767" t="s">
        <v>39</v>
      </c>
      <c r="C3767">
        <v>25</v>
      </c>
      <c r="D3767" t="str">
        <f t="shared" si="58"/>
        <v>26/08/2025A&amp;E (Emergency)</v>
      </c>
    </row>
    <row r="3768" spans="1:4">
      <c r="A3768" s="1">
        <v>45895</v>
      </c>
      <c r="B3768" t="s">
        <v>40</v>
      </c>
      <c r="C3768">
        <v>17</v>
      </c>
      <c r="D3768" t="str">
        <f t="shared" si="58"/>
        <v>26/08/2025Cardiology</v>
      </c>
    </row>
    <row r="3769" spans="1:4">
      <c r="A3769" s="1">
        <v>45895</v>
      </c>
      <c r="B3769" t="s">
        <v>51</v>
      </c>
      <c r="C3769">
        <v>14</v>
      </c>
      <c r="D3769" t="str">
        <f t="shared" si="58"/>
        <v>26/08/2025Respiratory</v>
      </c>
    </row>
    <row r="3770" spans="1:4">
      <c r="A3770" s="1">
        <v>45895</v>
      </c>
      <c r="B3770" t="s">
        <v>43</v>
      </c>
      <c r="C3770">
        <v>20</v>
      </c>
      <c r="D3770" t="str">
        <f t="shared" si="58"/>
        <v>26/08/2025General Surgery</v>
      </c>
    </row>
    <row r="3771" spans="1:4">
      <c r="A3771" s="1">
        <v>45895</v>
      </c>
      <c r="B3771" t="s">
        <v>48</v>
      </c>
      <c r="C3771">
        <v>15</v>
      </c>
      <c r="D3771" t="str">
        <f t="shared" si="58"/>
        <v>26/08/2025Orthopaedics</v>
      </c>
    </row>
    <row r="3772" spans="1:4">
      <c r="A3772" s="1">
        <v>45895</v>
      </c>
      <c r="B3772" t="s">
        <v>46</v>
      </c>
      <c r="C3772">
        <v>13</v>
      </c>
      <c r="D3772" t="str">
        <f t="shared" si="58"/>
        <v>26/08/2025Neurology</v>
      </c>
    </row>
    <row r="3773" spans="1:4">
      <c r="A3773" s="1">
        <v>45895</v>
      </c>
      <c r="B3773" t="s">
        <v>47</v>
      </c>
      <c r="C3773">
        <v>17</v>
      </c>
      <c r="D3773" t="str">
        <f t="shared" si="58"/>
        <v>26/08/2025Oncology</v>
      </c>
    </row>
    <row r="3774" spans="1:4">
      <c r="A3774" s="1">
        <v>45895</v>
      </c>
      <c r="B3774" t="s">
        <v>49</v>
      </c>
      <c r="C3774">
        <v>12</v>
      </c>
      <c r="D3774" t="str">
        <f t="shared" si="58"/>
        <v>26/08/2025Paediatrics</v>
      </c>
    </row>
    <row r="3775" spans="1:4">
      <c r="A3775" s="1">
        <v>45895</v>
      </c>
      <c r="B3775" t="s">
        <v>45</v>
      </c>
      <c r="C3775">
        <v>12</v>
      </c>
      <c r="D3775" t="str">
        <f t="shared" si="58"/>
        <v>26/08/2025Maternity</v>
      </c>
    </row>
    <row r="3776" spans="1:4">
      <c r="A3776" s="1">
        <v>45895</v>
      </c>
      <c r="B3776" t="s">
        <v>50</v>
      </c>
      <c r="C3776">
        <v>20</v>
      </c>
      <c r="D3776" t="str">
        <f t="shared" si="58"/>
        <v>26/08/2025Renal Medicine</v>
      </c>
    </row>
    <row r="3777" spans="1:4">
      <c r="A3777" s="1">
        <v>45895</v>
      </c>
      <c r="B3777" t="s">
        <v>42</v>
      </c>
      <c r="C3777">
        <v>11</v>
      </c>
      <c r="D3777" t="str">
        <f t="shared" si="58"/>
        <v>26/08/2025Gastroenterology</v>
      </c>
    </row>
    <row r="3778" spans="1:4">
      <c r="A3778" s="1">
        <v>45895</v>
      </c>
      <c r="B3778" t="s">
        <v>98</v>
      </c>
      <c r="C3778">
        <v>9</v>
      </c>
      <c r="D3778" t="str">
        <f t="shared" si="58"/>
        <v>26/08/2025Endocrinology</v>
      </c>
    </row>
    <row r="3779" spans="1:4">
      <c r="A3779" s="1">
        <v>45895</v>
      </c>
      <c r="B3779" t="s">
        <v>100</v>
      </c>
      <c r="C3779">
        <v>10</v>
      </c>
      <c r="D3779" t="str">
        <f t="shared" ref="D3779:D3842" si="59">TEXT(A3779, "dd/mm/yyyy")&amp;B3779</f>
        <v>26/08/2025Urology</v>
      </c>
    </row>
    <row r="3780" spans="1:4">
      <c r="A3780" s="1">
        <v>45895</v>
      </c>
      <c r="B3780" t="s">
        <v>41</v>
      </c>
      <c r="C3780">
        <v>12</v>
      </c>
      <c r="D3780" t="str">
        <f t="shared" si="59"/>
        <v>26/08/2025ENT</v>
      </c>
    </row>
    <row r="3781" spans="1:4">
      <c r="A3781" s="1">
        <v>45895</v>
      </c>
      <c r="B3781" t="s">
        <v>44</v>
      </c>
      <c r="C3781">
        <v>15</v>
      </c>
      <c r="D3781" t="str">
        <f t="shared" si="59"/>
        <v>26/08/2025Geriatrics</v>
      </c>
    </row>
    <row r="3782" spans="1:4">
      <c r="A3782" s="1">
        <v>45896</v>
      </c>
      <c r="B3782" t="s">
        <v>39</v>
      </c>
      <c r="C3782">
        <v>24</v>
      </c>
      <c r="D3782" t="str">
        <f t="shared" si="59"/>
        <v>27/08/2025A&amp;E (Emergency)</v>
      </c>
    </row>
    <row r="3783" spans="1:4">
      <c r="A3783" s="1">
        <v>45896</v>
      </c>
      <c r="B3783" t="s">
        <v>40</v>
      </c>
      <c r="C3783">
        <v>16</v>
      </c>
      <c r="D3783" t="str">
        <f t="shared" si="59"/>
        <v>27/08/2025Cardiology</v>
      </c>
    </row>
    <row r="3784" spans="1:4">
      <c r="A3784" s="1">
        <v>45896</v>
      </c>
      <c r="B3784" t="s">
        <v>51</v>
      </c>
      <c r="C3784">
        <v>13</v>
      </c>
      <c r="D3784" t="str">
        <f t="shared" si="59"/>
        <v>27/08/2025Respiratory</v>
      </c>
    </row>
    <row r="3785" spans="1:4">
      <c r="A3785" s="1">
        <v>45896</v>
      </c>
      <c r="B3785" t="s">
        <v>43</v>
      </c>
      <c r="C3785">
        <v>19</v>
      </c>
      <c r="D3785" t="str">
        <f t="shared" si="59"/>
        <v>27/08/2025General Surgery</v>
      </c>
    </row>
    <row r="3786" spans="1:4">
      <c r="A3786" s="1">
        <v>45896</v>
      </c>
      <c r="B3786" t="s">
        <v>48</v>
      </c>
      <c r="C3786">
        <v>14</v>
      </c>
      <c r="D3786" t="str">
        <f t="shared" si="59"/>
        <v>27/08/2025Orthopaedics</v>
      </c>
    </row>
    <row r="3787" spans="1:4">
      <c r="A3787" s="1">
        <v>45896</v>
      </c>
      <c r="B3787" t="s">
        <v>46</v>
      </c>
      <c r="C3787">
        <v>12</v>
      </c>
      <c r="D3787" t="str">
        <f t="shared" si="59"/>
        <v>27/08/2025Neurology</v>
      </c>
    </row>
    <row r="3788" spans="1:4">
      <c r="A3788" s="1">
        <v>45896</v>
      </c>
      <c r="B3788" t="s">
        <v>47</v>
      </c>
      <c r="C3788">
        <v>16</v>
      </c>
      <c r="D3788" t="str">
        <f t="shared" si="59"/>
        <v>27/08/2025Oncology</v>
      </c>
    </row>
    <row r="3789" spans="1:4">
      <c r="A3789" s="1">
        <v>45896</v>
      </c>
      <c r="B3789" t="s">
        <v>49</v>
      </c>
      <c r="C3789">
        <v>11</v>
      </c>
      <c r="D3789" t="str">
        <f t="shared" si="59"/>
        <v>27/08/2025Paediatrics</v>
      </c>
    </row>
    <row r="3790" spans="1:4">
      <c r="A3790" s="1">
        <v>45896</v>
      </c>
      <c r="B3790" t="s">
        <v>45</v>
      </c>
      <c r="C3790">
        <v>12</v>
      </c>
      <c r="D3790" t="str">
        <f t="shared" si="59"/>
        <v>27/08/2025Maternity</v>
      </c>
    </row>
    <row r="3791" spans="1:4">
      <c r="A3791" s="1">
        <v>45896</v>
      </c>
      <c r="B3791" t="s">
        <v>50</v>
      </c>
      <c r="C3791">
        <v>19</v>
      </c>
      <c r="D3791" t="str">
        <f t="shared" si="59"/>
        <v>27/08/2025Renal Medicine</v>
      </c>
    </row>
    <row r="3792" spans="1:4">
      <c r="A3792" s="1">
        <v>45896</v>
      </c>
      <c r="B3792" t="s">
        <v>42</v>
      </c>
      <c r="C3792">
        <v>10</v>
      </c>
      <c r="D3792" t="str">
        <f t="shared" si="59"/>
        <v>27/08/2025Gastroenterology</v>
      </c>
    </row>
    <row r="3793" spans="1:4">
      <c r="A3793" s="1">
        <v>45896</v>
      </c>
      <c r="B3793" t="s">
        <v>98</v>
      </c>
      <c r="C3793">
        <v>8</v>
      </c>
      <c r="D3793" t="str">
        <f t="shared" si="59"/>
        <v>27/08/2025Endocrinology</v>
      </c>
    </row>
    <row r="3794" spans="1:4">
      <c r="A3794" s="1">
        <v>45896</v>
      </c>
      <c r="B3794" t="s">
        <v>100</v>
      </c>
      <c r="C3794">
        <v>10</v>
      </c>
      <c r="D3794" t="str">
        <f t="shared" si="59"/>
        <v>27/08/2025Urology</v>
      </c>
    </row>
    <row r="3795" spans="1:4">
      <c r="A3795" s="1">
        <v>45896</v>
      </c>
      <c r="B3795" t="s">
        <v>41</v>
      </c>
      <c r="C3795">
        <v>12</v>
      </c>
      <c r="D3795" t="str">
        <f t="shared" si="59"/>
        <v>27/08/2025ENT</v>
      </c>
    </row>
    <row r="3796" spans="1:4">
      <c r="A3796" s="1">
        <v>45896</v>
      </c>
      <c r="B3796" t="s">
        <v>44</v>
      </c>
      <c r="C3796">
        <v>14</v>
      </c>
      <c r="D3796" t="str">
        <f t="shared" si="59"/>
        <v>27/08/2025Geriatrics</v>
      </c>
    </row>
    <row r="3797" spans="1:4">
      <c r="A3797" s="1">
        <v>45897</v>
      </c>
      <c r="B3797" t="s">
        <v>39</v>
      </c>
      <c r="C3797">
        <v>23</v>
      </c>
      <c r="D3797" t="str">
        <f t="shared" si="59"/>
        <v>28/08/2025A&amp;E (Emergency)</v>
      </c>
    </row>
    <row r="3798" spans="1:4">
      <c r="A3798" s="1">
        <v>45897</v>
      </c>
      <c r="B3798" t="s">
        <v>40</v>
      </c>
      <c r="C3798">
        <v>16</v>
      </c>
      <c r="D3798" t="str">
        <f t="shared" si="59"/>
        <v>28/08/2025Cardiology</v>
      </c>
    </row>
    <row r="3799" spans="1:4">
      <c r="A3799" s="1">
        <v>45897</v>
      </c>
      <c r="B3799" t="s">
        <v>51</v>
      </c>
      <c r="C3799">
        <v>13</v>
      </c>
      <c r="D3799" t="str">
        <f t="shared" si="59"/>
        <v>28/08/2025Respiratory</v>
      </c>
    </row>
    <row r="3800" spans="1:4">
      <c r="A3800" s="1">
        <v>45897</v>
      </c>
      <c r="B3800" t="s">
        <v>43</v>
      </c>
      <c r="C3800">
        <v>19</v>
      </c>
      <c r="D3800" t="str">
        <f t="shared" si="59"/>
        <v>28/08/2025General Surgery</v>
      </c>
    </row>
    <row r="3801" spans="1:4">
      <c r="A3801" s="1">
        <v>45897</v>
      </c>
      <c r="B3801" t="s">
        <v>48</v>
      </c>
      <c r="C3801">
        <v>14</v>
      </c>
      <c r="D3801" t="str">
        <f t="shared" si="59"/>
        <v>28/08/2025Orthopaedics</v>
      </c>
    </row>
    <row r="3802" spans="1:4">
      <c r="A3802" s="1">
        <v>45897</v>
      </c>
      <c r="B3802" t="s">
        <v>46</v>
      </c>
      <c r="C3802">
        <v>12</v>
      </c>
      <c r="D3802" t="str">
        <f t="shared" si="59"/>
        <v>28/08/2025Neurology</v>
      </c>
    </row>
    <row r="3803" spans="1:4">
      <c r="A3803" s="1">
        <v>45897</v>
      </c>
      <c r="B3803" t="s">
        <v>47</v>
      </c>
      <c r="C3803">
        <v>16</v>
      </c>
      <c r="D3803" t="str">
        <f t="shared" si="59"/>
        <v>28/08/2025Oncology</v>
      </c>
    </row>
    <row r="3804" spans="1:4">
      <c r="A3804" s="1">
        <v>45897</v>
      </c>
      <c r="B3804" t="s">
        <v>49</v>
      </c>
      <c r="C3804">
        <v>11</v>
      </c>
      <c r="D3804" t="str">
        <f t="shared" si="59"/>
        <v>28/08/2025Paediatrics</v>
      </c>
    </row>
    <row r="3805" spans="1:4">
      <c r="A3805" s="1">
        <v>45897</v>
      </c>
      <c r="B3805" t="s">
        <v>45</v>
      </c>
      <c r="C3805">
        <v>12</v>
      </c>
      <c r="D3805" t="str">
        <f t="shared" si="59"/>
        <v>28/08/2025Maternity</v>
      </c>
    </row>
    <row r="3806" spans="1:4">
      <c r="A3806" s="1">
        <v>45897</v>
      </c>
      <c r="B3806" t="s">
        <v>50</v>
      </c>
      <c r="C3806">
        <v>19</v>
      </c>
      <c r="D3806" t="str">
        <f t="shared" si="59"/>
        <v>28/08/2025Renal Medicine</v>
      </c>
    </row>
    <row r="3807" spans="1:4">
      <c r="A3807" s="1">
        <v>45897</v>
      </c>
      <c r="B3807" t="s">
        <v>42</v>
      </c>
      <c r="C3807">
        <v>10</v>
      </c>
      <c r="D3807" t="str">
        <f t="shared" si="59"/>
        <v>28/08/2025Gastroenterology</v>
      </c>
    </row>
    <row r="3808" spans="1:4">
      <c r="A3808" s="1">
        <v>45897</v>
      </c>
      <c r="B3808" t="s">
        <v>98</v>
      </c>
      <c r="C3808">
        <v>8</v>
      </c>
      <c r="D3808" t="str">
        <f t="shared" si="59"/>
        <v>28/08/2025Endocrinology</v>
      </c>
    </row>
    <row r="3809" spans="1:4">
      <c r="A3809" s="1">
        <v>45897</v>
      </c>
      <c r="B3809" t="s">
        <v>100</v>
      </c>
      <c r="C3809">
        <v>10</v>
      </c>
      <c r="D3809" t="str">
        <f t="shared" si="59"/>
        <v>28/08/2025Urology</v>
      </c>
    </row>
    <row r="3810" spans="1:4">
      <c r="A3810" s="1">
        <v>45897</v>
      </c>
      <c r="B3810" t="s">
        <v>41</v>
      </c>
      <c r="C3810">
        <v>12</v>
      </c>
      <c r="D3810" t="str">
        <f t="shared" si="59"/>
        <v>28/08/2025ENT</v>
      </c>
    </row>
    <row r="3811" spans="1:4">
      <c r="A3811" s="1">
        <v>45897</v>
      </c>
      <c r="B3811" t="s">
        <v>44</v>
      </c>
      <c r="C3811">
        <v>14</v>
      </c>
      <c r="D3811" t="str">
        <f t="shared" si="59"/>
        <v>28/08/2025Geriatrics</v>
      </c>
    </row>
    <row r="3812" spans="1:4">
      <c r="A3812" s="1">
        <v>45898</v>
      </c>
      <c r="B3812" t="s">
        <v>39</v>
      </c>
      <c r="C3812">
        <v>22</v>
      </c>
      <c r="D3812" t="str">
        <f t="shared" si="59"/>
        <v>29/08/2025A&amp;E (Emergency)</v>
      </c>
    </row>
    <row r="3813" spans="1:4">
      <c r="A3813" s="1">
        <v>45898</v>
      </c>
      <c r="B3813" t="s">
        <v>40</v>
      </c>
      <c r="C3813">
        <v>15</v>
      </c>
      <c r="D3813" t="str">
        <f t="shared" si="59"/>
        <v>29/08/2025Cardiology</v>
      </c>
    </row>
    <row r="3814" spans="1:4">
      <c r="A3814" s="1">
        <v>45898</v>
      </c>
      <c r="B3814" t="s">
        <v>51</v>
      </c>
      <c r="C3814">
        <v>12</v>
      </c>
      <c r="D3814" t="str">
        <f t="shared" si="59"/>
        <v>29/08/2025Respiratory</v>
      </c>
    </row>
    <row r="3815" spans="1:4">
      <c r="A3815" s="1">
        <v>45898</v>
      </c>
      <c r="B3815" t="s">
        <v>43</v>
      </c>
      <c r="C3815">
        <v>18</v>
      </c>
      <c r="D3815" t="str">
        <f t="shared" si="59"/>
        <v>29/08/2025General Surgery</v>
      </c>
    </row>
    <row r="3816" spans="1:4">
      <c r="A3816" s="1">
        <v>45898</v>
      </c>
      <c r="B3816" t="s">
        <v>48</v>
      </c>
      <c r="C3816">
        <v>13</v>
      </c>
      <c r="D3816" t="str">
        <f t="shared" si="59"/>
        <v>29/08/2025Orthopaedics</v>
      </c>
    </row>
    <row r="3817" spans="1:4">
      <c r="A3817" s="1">
        <v>45898</v>
      </c>
      <c r="B3817" t="s">
        <v>46</v>
      </c>
      <c r="C3817">
        <v>11</v>
      </c>
      <c r="D3817" t="str">
        <f t="shared" si="59"/>
        <v>29/08/2025Neurology</v>
      </c>
    </row>
    <row r="3818" spans="1:4">
      <c r="A3818" s="1">
        <v>45898</v>
      </c>
      <c r="B3818" t="s">
        <v>47</v>
      </c>
      <c r="C3818">
        <v>15</v>
      </c>
      <c r="D3818" t="str">
        <f t="shared" si="59"/>
        <v>29/08/2025Oncology</v>
      </c>
    </row>
    <row r="3819" spans="1:4">
      <c r="A3819" s="1">
        <v>45898</v>
      </c>
      <c r="B3819" t="s">
        <v>49</v>
      </c>
      <c r="C3819">
        <v>10</v>
      </c>
      <c r="D3819" t="str">
        <f t="shared" si="59"/>
        <v>29/08/2025Paediatrics</v>
      </c>
    </row>
    <row r="3820" spans="1:4">
      <c r="A3820" s="1">
        <v>45898</v>
      </c>
      <c r="B3820" t="s">
        <v>45</v>
      </c>
      <c r="C3820">
        <v>11</v>
      </c>
      <c r="D3820" t="str">
        <f t="shared" si="59"/>
        <v>29/08/2025Maternity</v>
      </c>
    </row>
    <row r="3821" spans="1:4">
      <c r="A3821" s="1">
        <v>45898</v>
      </c>
      <c r="B3821" t="s">
        <v>50</v>
      </c>
      <c r="C3821">
        <v>18</v>
      </c>
      <c r="D3821" t="str">
        <f t="shared" si="59"/>
        <v>29/08/2025Renal Medicine</v>
      </c>
    </row>
    <row r="3822" spans="1:4">
      <c r="A3822" s="1">
        <v>45898</v>
      </c>
      <c r="B3822" t="s">
        <v>42</v>
      </c>
      <c r="C3822">
        <v>9</v>
      </c>
      <c r="D3822" t="str">
        <f t="shared" si="59"/>
        <v>29/08/2025Gastroenterology</v>
      </c>
    </row>
    <row r="3823" spans="1:4">
      <c r="A3823" s="1">
        <v>45898</v>
      </c>
      <c r="B3823" t="s">
        <v>98</v>
      </c>
      <c r="C3823">
        <v>7</v>
      </c>
      <c r="D3823" t="str">
        <f t="shared" si="59"/>
        <v>29/08/2025Endocrinology</v>
      </c>
    </row>
    <row r="3824" spans="1:4">
      <c r="A3824" s="1">
        <v>45898</v>
      </c>
      <c r="B3824" t="s">
        <v>100</v>
      </c>
      <c r="C3824">
        <v>9</v>
      </c>
      <c r="D3824" t="str">
        <f t="shared" si="59"/>
        <v>29/08/2025Urology</v>
      </c>
    </row>
    <row r="3825" spans="1:4">
      <c r="A3825" s="1">
        <v>45898</v>
      </c>
      <c r="B3825" t="s">
        <v>41</v>
      </c>
      <c r="C3825">
        <v>11</v>
      </c>
      <c r="D3825" t="str">
        <f t="shared" si="59"/>
        <v>29/08/2025ENT</v>
      </c>
    </row>
    <row r="3826" spans="1:4">
      <c r="A3826" s="1">
        <v>45898</v>
      </c>
      <c r="B3826" t="s">
        <v>44</v>
      </c>
      <c r="C3826">
        <v>13</v>
      </c>
      <c r="D3826" t="str">
        <f t="shared" si="59"/>
        <v>29/08/2025Geriatrics</v>
      </c>
    </row>
    <row r="3827" spans="1:4">
      <c r="A3827" s="1">
        <v>45899</v>
      </c>
      <c r="B3827" t="s">
        <v>39</v>
      </c>
      <c r="C3827">
        <v>20</v>
      </c>
      <c r="D3827" t="str">
        <f t="shared" si="59"/>
        <v>30/08/2025A&amp;E (Emergency)</v>
      </c>
    </row>
    <row r="3828" spans="1:4">
      <c r="A3828" s="1">
        <v>45899</v>
      </c>
      <c r="B3828" t="s">
        <v>40</v>
      </c>
      <c r="C3828">
        <v>12</v>
      </c>
      <c r="D3828" t="str">
        <f t="shared" si="59"/>
        <v>30/08/2025Cardiology</v>
      </c>
    </row>
    <row r="3829" spans="1:4">
      <c r="A3829" s="1">
        <v>45899</v>
      </c>
      <c r="B3829" t="s">
        <v>51</v>
      </c>
      <c r="C3829">
        <v>9</v>
      </c>
      <c r="D3829" t="str">
        <f t="shared" si="59"/>
        <v>30/08/2025Respiratory</v>
      </c>
    </row>
    <row r="3830" spans="1:4">
      <c r="A3830" s="1">
        <v>45899</v>
      </c>
      <c r="B3830" t="s">
        <v>43</v>
      </c>
      <c r="C3830">
        <v>15</v>
      </c>
      <c r="D3830" t="str">
        <f t="shared" si="59"/>
        <v>30/08/2025General Surgery</v>
      </c>
    </row>
    <row r="3831" spans="1:4">
      <c r="A3831" s="1">
        <v>45899</v>
      </c>
      <c r="B3831" t="s">
        <v>48</v>
      </c>
      <c r="C3831">
        <v>11</v>
      </c>
      <c r="D3831" t="str">
        <f t="shared" si="59"/>
        <v>30/08/2025Orthopaedics</v>
      </c>
    </row>
    <row r="3832" spans="1:4">
      <c r="A3832" s="1">
        <v>45899</v>
      </c>
      <c r="B3832" t="s">
        <v>46</v>
      </c>
      <c r="C3832">
        <v>9</v>
      </c>
      <c r="D3832" t="str">
        <f t="shared" si="59"/>
        <v>30/08/2025Neurology</v>
      </c>
    </row>
    <row r="3833" spans="1:4">
      <c r="A3833" s="1">
        <v>45899</v>
      </c>
      <c r="B3833" t="s">
        <v>47</v>
      </c>
      <c r="C3833">
        <v>13</v>
      </c>
      <c r="D3833" t="str">
        <f t="shared" si="59"/>
        <v>30/08/2025Oncology</v>
      </c>
    </row>
    <row r="3834" spans="1:4">
      <c r="A3834" s="1">
        <v>45899</v>
      </c>
      <c r="B3834" t="s">
        <v>49</v>
      </c>
      <c r="C3834">
        <v>9</v>
      </c>
      <c r="D3834" t="str">
        <f t="shared" si="59"/>
        <v>30/08/2025Paediatrics</v>
      </c>
    </row>
    <row r="3835" spans="1:4">
      <c r="A3835" s="1">
        <v>45899</v>
      </c>
      <c r="B3835" t="s">
        <v>45</v>
      </c>
      <c r="C3835">
        <v>10</v>
      </c>
      <c r="D3835" t="str">
        <f t="shared" si="59"/>
        <v>30/08/2025Maternity</v>
      </c>
    </row>
    <row r="3836" spans="1:4">
      <c r="A3836" s="1">
        <v>45899</v>
      </c>
      <c r="B3836" t="s">
        <v>50</v>
      </c>
      <c r="C3836">
        <v>17</v>
      </c>
      <c r="D3836" t="str">
        <f t="shared" si="59"/>
        <v>30/08/2025Renal Medicine</v>
      </c>
    </row>
    <row r="3837" spans="1:4">
      <c r="A3837" s="1">
        <v>45899</v>
      </c>
      <c r="B3837" t="s">
        <v>42</v>
      </c>
      <c r="C3837">
        <v>7</v>
      </c>
      <c r="D3837" t="str">
        <f t="shared" si="59"/>
        <v>30/08/2025Gastroenterology</v>
      </c>
    </row>
    <row r="3838" spans="1:4">
      <c r="A3838" s="1">
        <v>45899</v>
      </c>
      <c r="B3838" t="s">
        <v>98</v>
      </c>
      <c r="C3838">
        <v>6</v>
      </c>
      <c r="D3838" t="str">
        <f t="shared" si="59"/>
        <v>30/08/2025Endocrinology</v>
      </c>
    </row>
    <row r="3839" spans="1:4">
      <c r="A3839" s="1">
        <v>45899</v>
      </c>
      <c r="B3839" t="s">
        <v>100</v>
      </c>
      <c r="C3839">
        <v>8</v>
      </c>
      <c r="D3839" t="str">
        <f t="shared" si="59"/>
        <v>30/08/2025Urology</v>
      </c>
    </row>
    <row r="3840" spans="1:4">
      <c r="A3840" s="1">
        <v>45899</v>
      </c>
      <c r="B3840" t="s">
        <v>41</v>
      </c>
      <c r="C3840">
        <v>10</v>
      </c>
      <c r="D3840" t="str">
        <f t="shared" si="59"/>
        <v>30/08/2025ENT</v>
      </c>
    </row>
    <row r="3841" spans="1:4">
      <c r="A3841" s="1">
        <v>45899</v>
      </c>
      <c r="B3841" t="s">
        <v>44</v>
      </c>
      <c r="C3841">
        <v>12</v>
      </c>
      <c r="D3841" t="str">
        <f t="shared" si="59"/>
        <v>30/08/2025Geriatrics</v>
      </c>
    </row>
    <row r="3842" spans="1:4">
      <c r="A3842" s="1">
        <v>45900</v>
      </c>
      <c r="B3842" t="s">
        <v>39</v>
      </c>
      <c r="C3842">
        <v>19</v>
      </c>
      <c r="D3842" t="str">
        <f t="shared" si="59"/>
        <v>31/08/2025A&amp;E (Emergency)</v>
      </c>
    </row>
    <row r="3843" spans="1:4">
      <c r="A3843" s="1">
        <v>45900</v>
      </c>
      <c r="B3843" t="s">
        <v>40</v>
      </c>
      <c r="C3843">
        <v>11</v>
      </c>
      <c r="D3843" t="str">
        <f t="shared" ref="D3843:D3906" si="60">TEXT(A3843, "dd/mm/yyyy")&amp;B3843</f>
        <v>31/08/2025Cardiology</v>
      </c>
    </row>
    <row r="3844" spans="1:4">
      <c r="A3844" s="1">
        <v>45900</v>
      </c>
      <c r="B3844" t="s">
        <v>51</v>
      </c>
      <c r="C3844">
        <v>9</v>
      </c>
      <c r="D3844" t="str">
        <f t="shared" si="60"/>
        <v>31/08/2025Respiratory</v>
      </c>
    </row>
    <row r="3845" spans="1:4">
      <c r="A3845" s="1">
        <v>45900</v>
      </c>
      <c r="B3845" t="s">
        <v>43</v>
      </c>
      <c r="C3845">
        <v>14</v>
      </c>
      <c r="D3845" t="str">
        <f t="shared" si="60"/>
        <v>31/08/2025General Surgery</v>
      </c>
    </row>
    <row r="3846" spans="1:4">
      <c r="A3846" s="1">
        <v>45900</v>
      </c>
      <c r="B3846" t="s">
        <v>48</v>
      </c>
      <c r="C3846">
        <v>10</v>
      </c>
      <c r="D3846" t="str">
        <f t="shared" si="60"/>
        <v>31/08/2025Orthopaedics</v>
      </c>
    </row>
    <row r="3847" spans="1:4">
      <c r="A3847" s="1">
        <v>45900</v>
      </c>
      <c r="B3847" t="s">
        <v>46</v>
      </c>
      <c r="C3847">
        <v>9</v>
      </c>
      <c r="D3847" t="str">
        <f t="shared" si="60"/>
        <v>31/08/2025Neurology</v>
      </c>
    </row>
    <row r="3848" spans="1:4">
      <c r="A3848" s="1">
        <v>45900</v>
      </c>
      <c r="B3848" t="s">
        <v>47</v>
      </c>
      <c r="C3848">
        <v>12</v>
      </c>
      <c r="D3848" t="str">
        <f t="shared" si="60"/>
        <v>31/08/2025Oncology</v>
      </c>
    </row>
    <row r="3849" spans="1:4">
      <c r="A3849" s="1">
        <v>45900</v>
      </c>
      <c r="B3849" t="s">
        <v>49</v>
      </c>
      <c r="C3849">
        <v>8</v>
      </c>
      <c r="D3849" t="str">
        <f t="shared" si="60"/>
        <v>31/08/2025Paediatrics</v>
      </c>
    </row>
    <row r="3850" spans="1:4">
      <c r="A3850" s="1">
        <v>45900</v>
      </c>
      <c r="B3850" t="s">
        <v>45</v>
      </c>
      <c r="C3850">
        <v>9</v>
      </c>
      <c r="D3850" t="str">
        <f t="shared" si="60"/>
        <v>31/08/2025Maternity</v>
      </c>
    </row>
    <row r="3851" spans="1:4">
      <c r="A3851" s="1">
        <v>45900</v>
      </c>
      <c r="B3851" t="s">
        <v>50</v>
      </c>
      <c r="C3851">
        <v>17</v>
      </c>
      <c r="D3851" t="str">
        <f t="shared" si="60"/>
        <v>31/08/2025Renal Medicine</v>
      </c>
    </row>
    <row r="3852" spans="1:4">
      <c r="A3852" s="1">
        <v>45900</v>
      </c>
      <c r="B3852" t="s">
        <v>42</v>
      </c>
      <c r="C3852">
        <v>7</v>
      </c>
      <c r="D3852" t="str">
        <f t="shared" si="60"/>
        <v>31/08/2025Gastroenterology</v>
      </c>
    </row>
    <row r="3853" spans="1:4">
      <c r="A3853" s="1">
        <v>45900</v>
      </c>
      <c r="B3853" t="s">
        <v>98</v>
      </c>
      <c r="C3853">
        <v>6</v>
      </c>
      <c r="D3853" t="str">
        <f t="shared" si="60"/>
        <v>31/08/2025Endocrinology</v>
      </c>
    </row>
    <row r="3854" spans="1:4">
      <c r="A3854" s="1">
        <v>45900</v>
      </c>
      <c r="B3854" t="s">
        <v>100</v>
      </c>
      <c r="C3854">
        <v>8</v>
      </c>
      <c r="D3854" t="str">
        <f t="shared" si="60"/>
        <v>31/08/2025Urology</v>
      </c>
    </row>
    <row r="3855" spans="1:4">
      <c r="A3855" s="1">
        <v>45900</v>
      </c>
      <c r="B3855" t="s">
        <v>41</v>
      </c>
      <c r="C3855">
        <v>10</v>
      </c>
      <c r="D3855" t="str">
        <f t="shared" si="60"/>
        <v>31/08/2025ENT</v>
      </c>
    </row>
    <row r="3856" spans="1:4">
      <c r="A3856" s="1">
        <v>45900</v>
      </c>
      <c r="B3856" t="s">
        <v>44</v>
      </c>
      <c r="C3856">
        <v>12</v>
      </c>
      <c r="D3856" t="str">
        <f t="shared" si="60"/>
        <v>31/08/2025Geriatrics</v>
      </c>
    </row>
    <row r="3857" spans="1:4">
      <c r="A3857" s="1">
        <v>45901</v>
      </c>
      <c r="B3857" t="s">
        <v>39</v>
      </c>
      <c r="C3857">
        <v>28</v>
      </c>
      <c r="D3857" t="str">
        <f t="shared" si="60"/>
        <v>01/09/2025A&amp;E (Emergency)</v>
      </c>
    </row>
    <row r="3858" spans="1:4">
      <c r="A3858" s="1">
        <v>45901</v>
      </c>
      <c r="B3858" t="s">
        <v>40</v>
      </c>
      <c r="C3858">
        <v>18</v>
      </c>
      <c r="D3858" t="str">
        <f t="shared" si="60"/>
        <v>01/09/2025Cardiology</v>
      </c>
    </row>
    <row r="3859" spans="1:4">
      <c r="A3859" s="1">
        <v>45901</v>
      </c>
      <c r="B3859" t="s">
        <v>51</v>
      </c>
      <c r="C3859">
        <v>15</v>
      </c>
      <c r="D3859" t="str">
        <f t="shared" si="60"/>
        <v>01/09/2025Respiratory</v>
      </c>
    </row>
    <row r="3860" spans="1:4">
      <c r="A3860" s="1">
        <v>45901</v>
      </c>
      <c r="B3860" t="s">
        <v>43</v>
      </c>
      <c r="C3860">
        <v>22</v>
      </c>
      <c r="D3860" t="str">
        <f t="shared" si="60"/>
        <v>01/09/2025General Surgery</v>
      </c>
    </row>
    <row r="3861" spans="1:4">
      <c r="A3861" s="1">
        <v>45901</v>
      </c>
      <c r="B3861" t="s">
        <v>48</v>
      </c>
      <c r="C3861">
        <v>16</v>
      </c>
      <c r="D3861" t="str">
        <f t="shared" si="60"/>
        <v>01/09/2025Orthopaedics</v>
      </c>
    </row>
    <row r="3862" spans="1:4">
      <c r="A3862" s="1">
        <v>45901</v>
      </c>
      <c r="B3862" t="s">
        <v>46</v>
      </c>
      <c r="C3862">
        <v>14</v>
      </c>
      <c r="D3862" t="str">
        <f t="shared" si="60"/>
        <v>01/09/2025Neurology</v>
      </c>
    </row>
    <row r="3863" spans="1:4">
      <c r="A3863" s="1">
        <v>45901</v>
      </c>
      <c r="B3863" t="s">
        <v>47</v>
      </c>
      <c r="C3863">
        <v>18</v>
      </c>
      <c r="D3863" t="str">
        <f t="shared" si="60"/>
        <v>01/09/2025Oncology</v>
      </c>
    </row>
    <row r="3864" spans="1:4">
      <c r="A3864" s="1">
        <v>45901</v>
      </c>
      <c r="B3864" t="s">
        <v>49</v>
      </c>
      <c r="C3864">
        <v>13</v>
      </c>
      <c r="D3864" t="str">
        <f t="shared" si="60"/>
        <v>01/09/2025Paediatrics</v>
      </c>
    </row>
    <row r="3865" spans="1:4">
      <c r="A3865" s="1">
        <v>45901</v>
      </c>
      <c r="B3865" t="s">
        <v>45</v>
      </c>
      <c r="C3865">
        <v>13</v>
      </c>
      <c r="D3865" t="str">
        <f t="shared" si="60"/>
        <v>01/09/2025Maternity</v>
      </c>
    </row>
    <row r="3866" spans="1:4">
      <c r="A3866" s="1">
        <v>45901</v>
      </c>
      <c r="B3866" t="s">
        <v>50</v>
      </c>
      <c r="C3866">
        <v>21</v>
      </c>
      <c r="D3866" t="str">
        <f t="shared" si="60"/>
        <v>01/09/2025Renal Medicine</v>
      </c>
    </row>
    <row r="3867" spans="1:4">
      <c r="A3867" s="1">
        <v>45901</v>
      </c>
      <c r="B3867" t="s">
        <v>42</v>
      </c>
      <c r="C3867">
        <v>12</v>
      </c>
      <c r="D3867" t="str">
        <f t="shared" si="60"/>
        <v>01/09/2025Gastroenterology</v>
      </c>
    </row>
    <row r="3868" spans="1:4">
      <c r="A3868" s="1">
        <v>45901</v>
      </c>
      <c r="B3868" t="s">
        <v>98</v>
      </c>
      <c r="C3868">
        <v>10</v>
      </c>
      <c r="D3868" t="str">
        <f t="shared" si="60"/>
        <v>01/09/2025Endocrinology</v>
      </c>
    </row>
    <row r="3869" spans="1:4">
      <c r="A3869" s="1">
        <v>45901</v>
      </c>
      <c r="B3869" t="s">
        <v>100</v>
      </c>
      <c r="C3869">
        <v>11</v>
      </c>
      <c r="D3869" t="str">
        <f t="shared" si="60"/>
        <v>01/09/2025Urology</v>
      </c>
    </row>
    <row r="3870" spans="1:4">
      <c r="A3870" s="1">
        <v>45901</v>
      </c>
      <c r="B3870" t="s">
        <v>41</v>
      </c>
      <c r="C3870">
        <v>13</v>
      </c>
      <c r="D3870" t="str">
        <f t="shared" si="60"/>
        <v>01/09/2025ENT</v>
      </c>
    </row>
    <row r="3871" spans="1:4">
      <c r="A3871" s="1">
        <v>45901</v>
      </c>
      <c r="B3871" t="s">
        <v>44</v>
      </c>
      <c r="C3871">
        <v>16</v>
      </c>
      <c r="D3871" t="str">
        <f t="shared" si="60"/>
        <v>01/09/2025Geriatrics</v>
      </c>
    </row>
    <row r="3872" spans="1:4">
      <c r="A3872" s="1">
        <v>45902</v>
      </c>
      <c r="B3872" t="s">
        <v>39</v>
      </c>
      <c r="C3872">
        <v>25</v>
      </c>
      <c r="D3872" t="str">
        <f t="shared" si="60"/>
        <v>02/09/2025A&amp;E (Emergency)</v>
      </c>
    </row>
    <row r="3873" spans="1:4">
      <c r="A3873" s="1">
        <v>45902</v>
      </c>
      <c r="B3873" t="s">
        <v>40</v>
      </c>
      <c r="C3873">
        <v>17</v>
      </c>
      <c r="D3873" t="str">
        <f t="shared" si="60"/>
        <v>02/09/2025Cardiology</v>
      </c>
    </row>
    <row r="3874" spans="1:4">
      <c r="A3874" s="1">
        <v>45902</v>
      </c>
      <c r="B3874" t="s">
        <v>51</v>
      </c>
      <c r="C3874">
        <v>14</v>
      </c>
      <c r="D3874" t="str">
        <f t="shared" si="60"/>
        <v>02/09/2025Respiratory</v>
      </c>
    </row>
    <row r="3875" spans="1:4">
      <c r="A3875" s="1">
        <v>45902</v>
      </c>
      <c r="B3875" t="s">
        <v>43</v>
      </c>
      <c r="C3875">
        <v>20</v>
      </c>
      <c r="D3875" t="str">
        <f t="shared" si="60"/>
        <v>02/09/2025General Surgery</v>
      </c>
    </row>
    <row r="3876" spans="1:4">
      <c r="A3876" s="1">
        <v>45902</v>
      </c>
      <c r="B3876" t="s">
        <v>48</v>
      </c>
      <c r="C3876">
        <v>15</v>
      </c>
      <c r="D3876" t="str">
        <f t="shared" si="60"/>
        <v>02/09/2025Orthopaedics</v>
      </c>
    </row>
    <row r="3877" spans="1:4">
      <c r="A3877" s="1">
        <v>45902</v>
      </c>
      <c r="B3877" t="s">
        <v>46</v>
      </c>
      <c r="C3877">
        <v>13</v>
      </c>
      <c r="D3877" t="str">
        <f t="shared" si="60"/>
        <v>02/09/2025Neurology</v>
      </c>
    </row>
    <row r="3878" spans="1:4">
      <c r="A3878" s="1">
        <v>45902</v>
      </c>
      <c r="B3878" t="s">
        <v>47</v>
      </c>
      <c r="C3878">
        <v>17</v>
      </c>
      <c r="D3878" t="str">
        <f t="shared" si="60"/>
        <v>02/09/2025Oncology</v>
      </c>
    </row>
    <row r="3879" spans="1:4">
      <c r="A3879" s="1">
        <v>45902</v>
      </c>
      <c r="B3879" t="s">
        <v>49</v>
      </c>
      <c r="C3879">
        <v>12</v>
      </c>
      <c r="D3879" t="str">
        <f t="shared" si="60"/>
        <v>02/09/2025Paediatrics</v>
      </c>
    </row>
    <row r="3880" spans="1:4">
      <c r="A3880" s="1">
        <v>45902</v>
      </c>
      <c r="B3880" t="s">
        <v>45</v>
      </c>
      <c r="C3880">
        <v>12</v>
      </c>
      <c r="D3880" t="str">
        <f t="shared" si="60"/>
        <v>02/09/2025Maternity</v>
      </c>
    </row>
    <row r="3881" spans="1:4">
      <c r="A3881" s="1">
        <v>45902</v>
      </c>
      <c r="B3881" t="s">
        <v>50</v>
      </c>
      <c r="C3881">
        <v>20</v>
      </c>
      <c r="D3881" t="str">
        <f t="shared" si="60"/>
        <v>02/09/2025Renal Medicine</v>
      </c>
    </row>
    <row r="3882" spans="1:4">
      <c r="A3882" s="1">
        <v>45902</v>
      </c>
      <c r="B3882" t="s">
        <v>42</v>
      </c>
      <c r="C3882">
        <v>11</v>
      </c>
      <c r="D3882" t="str">
        <f t="shared" si="60"/>
        <v>02/09/2025Gastroenterology</v>
      </c>
    </row>
    <row r="3883" spans="1:4">
      <c r="A3883" s="1">
        <v>45902</v>
      </c>
      <c r="B3883" t="s">
        <v>98</v>
      </c>
      <c r="C3883">
        <v>9</v>
      </c>
      <c r="D3883" t="str">
        <f t="shared" si="60"/>
        <v>02/09/2025Endocrinology</v>
      </c>
    </row>
    <row r="3884" spans="1:4">
      <c r="A3884" s="1">
        <v>45902</v>
      </c>
      <c r="B3884" t="s">
        <v>100</v>
      </c>
      <c r="C3884">
        <v>10</v>
      </c>
      <c r="D3884" t="str">
        <f t="shared" si="60"/>
        <v>02/09/2025Urology</v>
      </c>
    </row>
    <row r="3885" spans="1:4">
      <c r="A3885" s="1">
        <v>45902</v>
      </c>
      <c r="B3885" t="s">
        <v>41</v>
      </c>
      <c r="C3885">
        <v>12</v>
      </c>
      <c r="D3885" t="str">
        <f t="shared" si="60"/>
        <v>02/09/2025ENT</v>
      </c>
    </row>
    <row r="3886" spans="1:4">
      <c r="A3886" s="1">
        <v>45902</v>
      </c>
      <c r="B3886" t="s">
        <v>44</v>
      </c>
      <c r="C3886">
        <v>15</v>
      </c>
      <c r="D3886" t="str">
        <f t="shared" si="60"/>
        <v>02/09/2025Geriatrics</v>
      </c>
    </row>
    <row r="3887" spans="1:4">
      <c r="A3887" s="1">
        <v>45903</v>
      </c>
      <c r="B3887" t="s">
        <v>39</v>
      </c>
      <c r="C3887">
        <v>24</v>
      </c>
      <c r="D3887" t="str">
        <f t="shared" si="60"/>
        <v>03/09/2025A&amp;E (Emergency)</v>
      </c>
    </row>
    <row r="3888" spans="1:4">
      <c r="A3888" s="1">
        <v>45903</v>
      </c>
      <c r="B3888" t="s">
        <v>40</v>
      </c>
      <c r="C3888">
        <v>16</v>
      </c>
      <c r="D3888" t="str">
        <f t="shared" si="60"/>
        <v>03/09/2025Cardiology</v>
      </c>
    </row>
    <row r="3889" spans="1:4">
      <c r="A3889" s="1">
        <v>45903</v>
      </c>
      <c r="B3889" t="s">
        <v>51</v>
      </c>
      <c r="C3889">
        <v>13</v>
      </c>
      <c r="D3889" t="str">
        <f t="shared" si="60"/>
        <v>03/09/2025Respiratory</v>
      </c>
    </row>
    <row r="3890" spans="1:4">
      <c r="A3890" s="1">
        <v>45903</v>
      </c>
      <c r="B3890" t="s">
        <v>43</v>
      </c>
      <c r="C3890">
        <v>19</v>
      </c>
      <c r="D3890" t="str">
        <f t="shared" si="60"/>
        <v>03/09/2025General Surgery</v>
      </c>
    </row>
    <row r="3891" spans="1:4">
      <c r="A3891" s="1">
        <v>45903</v>
      </c>
      <c r="B3891" t="s">
        <v>48</v>
      </c>
      <c r="C3891">
        <v>14</v>
      </c>
      <c r="D3891" t="str">
        <f t="shared" si="60"/>
        <v>03/09/2025Orthopaedics</v>
      </c>
    </row>
    <row r="3892" spans="1:4">
      <c r="A3892" s="1">
        <v>45903</v>
      </c>
      <c r="B3892" t="s">
        <v>46</v>
      </c>
      <c r="C3892">
        <v>12</v>
      </c>
      <c r="D3892" t="str">
        <f t="shared" si="60"/>
        <v>03/09/2025Neurology</v>
      </c>
    </row>
    <row r="3893" spans="1:4">
      <c r="A3893" s="1">
        <v>45903</v>
      </c>
      <c r="B3893" t="s">
        <v>47</v>
      </c>
      <c r="C3893">
        <v>16</v>
      </c>
      <c r="D3893" t="str">
        <f t="shared" si="60"/>
        <v>03/09/2025Oncology</v>
      </c>
    </row>
    <row r="3894" spans="1:4">
      <c r="A3894" s="1">
        <v>45903</v>
      </c>
      <c r="B3894" t="s">
        <v>49</v>
      </c>
      <c r="C3894">
        <v>11</v>
      </c>
      <c r="D3894" t="str">
        <f t="shared" si="60"/>
        <v>03/09/2025Paediatrics</v>
      </c>
    </row>
    <row r="3895" spans="1:4">
      <c r="A3895" s="1">
        <v>45903</v>
      </c>
      <c r="B3895" t="s">
        <v>45</v>
      </c>
      <c r="C3895">
        <v>12</v>
      </c>
      <c r="D3895" t="str">
        <f t="shared" si="60"/>
        <v>03/09/2025Maternity</v>
      </c>
    </row>
    <row r="3896" spans="1:4">
      <c r="A3896" s="1">
        <v>45903</v>
      </c>
      <c r="B3896" t="s">
        <v>50</v>
      </c>
      <c r="C3896">
        <v>19</v>
      </c>
      <c r="D3896" t="str">
        <f t="shared" si="60"/>
        <v>03/09/2025Renal Medicine</v>
      </c>
    </row>
    <row r="3897" spans="1:4">
      <c r="A3897" s="1">
        <v>45903</v>
      </c>
      <c r="B3897" t="s">
        <v>42</v>
      </c>
      <c r="C3897">
        <v>10</v>
      </c>
      <c r="D3897" t="str">
        <f t="shared" si="60"/>
        <v>03/09/2025Gastroenterology</v>
      </c>
    </row>
    <row r="3898" spans="1:4">
      <c r="A3898" s="1">
        <v>45903</v>
      </c>
      <c r="B3898" t="s">
        <v>98</v>
      </c>
      <c r="C3898">
        <v>8</v>
      </c>
      <c r="D3898" t="str">
        <f t="shared" si="60"/>
        <v>03/09/2025Endocrinology</v>
      </c>
    </row>
    <row r="3899" spans="1:4">
      <c r="A3899" s="1">
        <v>45903</v>
      </c>
      <c r="B3899" t="s">
        <v>100</v>
      </c>
      <c r="C3899">
        <v>10</v>
      </c>
      <c r="D3899" t="str">
        <f t="shared" si="60"/>
        <v>03/09/2025Urology</v>
      </c>
    </row>
    <row r="3900" spans="1:4">
      <c r="A3900" s="1">
        <v>45903</v>
      </c>
      <c r="B3900" t="s">
        <v>41</v>
      </c>
      <c r="C3900">
        <v>12</v>
      </c>
      <c r="D3900" t="str">
        <f t="shared" si="60"/>
        <v>03/09/2025ENT</v>
      </c>
    </row>
    <row r="3901" spans="1:4">
      <c r="A3901" s="1">
        <v>45903</v>
      </c>
      <c r="B3901" t="s">
        <v>44</v>
      </c>
      <c r="C3901">
        <v>14</v>
      </c>
      <c r="D3901" t="str">
        <f t="shared" si="60"/>
        <v>03/09/2025Geriatrics</v>
      </c>
    </row>
    <row r="3902" spans="1:4">
      <c r="A3902" s="1">
        <v>45904</v>
      </c>
      <c r="B3902" t="s">
        <v>39</v>
      </c>
      <c r="C3902">
        <v>23</v>
      </c>
      <c r="D3902" t="str">
        <f t="shared" si="60"/>
        <v>04/09/2025A&amp;E (Emergency)</v>
      </c>
    </row>
    <row r="3903" spans="1:4">
      <c r="A3903" s="1">
        <v>45904</v>
      </c>
      <c r="B3903" t="s">
        <v>40</v>
      </c>
      <c r="C3903">
        <v>16</v>
      </c>
      <c r="D3903" t="str">
        <f t="shared" si="60"/>
        <v>04/09/2025Cardiology</v>
      </c>
    </row>
    <row r="3904" spans="1:4">
      <c r="A3904" s="1">
        <v>45904</v>
      </c>
      <c r="B3904" t="s">
        <v>51</v>
      </c>
      <c r="C3904">
        <v>13</v>
      </c>
      <c r="D3904" t="str">
        <f t="shared" si="60"/>
        <v>04/09/2025Respiratory</v>
      </c>
    </row>
    <row r="3905" spans="1:4">
      <c r="A3905" s="1">
        <v>45904</v>
      </c>
      <c r="B3905" t="s">
        <v>43</v>
      </c>
      <c r="C3905">
        <v>19</v>
      </c>
      <c r="D3905" t="str">
        <f t="shared" si="60"/>
        <v>04/09/2025General Surgery</v>
      </c>
    </row>
    <row r="3906" spans="1:4">
      <c r="A3906" s="1">
        <v>45904</v>
      </c>
      <c r="B3906" t="s">
        <v>48</v>
      </c>
      <c r="C3906">
        <v>14</v>
      </c>
      <c r="D3906" t="str">
        <f t="shared" si="60"/>
        <v>04/09/2025Orthopaedics</v>
      </c>
    </row>
    <row r="3907" spans="1:4">
      <c r="A3907" s="1">
        <v>45904</v>
      </c>
      <c r="B3907" t="s">
        <v>46</v>
      </c>
      <c r="C3907">
        <v>12</v>
      </c>
      <c r="D3907" t="str">
        <f t="shared" ref="D3907:D3970" si="61">TEXT(A3907, "dd/mm/yyyy")&amp;B3907</f>
        <v>04/09/2025Neurology</v>
      </c>
    </row>
    <row r="3908" spans="1:4">
      <c r="A3908" s="1">
        <v>45904</v>
      </c>
      <c r="B3908" t="s">
        <v>47</v>
      </c>
      <c r="C3908">
        <v>16</v>
      </c>
      <c r="D3908" t="str">
        <f t="shared" si="61"/>
        <v>04/09/2025Oncology</v>
      </c>
    </row>
    <row r="3909" spans="1:4">
      <c r="A3909" s="1">
        <v>45904</v>
      </c>
      <c r="B3909" t="s">
        <v>49</v>
      </c>
      <c r="C3909">
        <v>11</v>
      </c>
      <c r="D3909" t="str">
        <f t="shared" si="61"/>
        <v>04/09/2025Paediatrics</v>
      </c>
    </row>
    <row r="3910" spans="1:4">
      <c r="A3910" s="1">
        <v>45904</v>
      </c>
      <c r="B3910" t="s">
        <v>45</v>
      </c>
      <c r="C3910">
        <v>12</v>
      </c>
      <c r="D3910" t="str">
        <f t="shared" si="61"/>
        <v>04/09/2025Maternity</v>
      </c>
    </row>
    <row r="3911" spans="1:4">
      <c r="A3911" s="1">
        <v>45904</v>
      </c>
      <c r="B3911" t="s">
        <v>50</v>
      </c>
      <c r="C3911">
        <v>19</v>
      </c>
      <c r="D3911" t="str">
        <f t="shared" si="61"/>
        <v>04/09/2025Renal Medicine</v>
      </c>
    </row>
    <row r="3912" spans="1:4">
      <c r="A3912" s="1">
        <v>45904</v>
      </c>
      <c r="B3912" t="s">
        <v>42</v>
      </c>
      <c r="C3912">
        <v>10</v>
      </c>
      <c r="D3912" t="str">
        <f t="shared" si="61"/>
        <v>04/09/2025Gastroenterology</v>
      </c>
    </row>
    <row r="3913" spans="1:4">
      <c r="A3913" s="1">
        <v>45904</v>
      </c>
      <c r="B3913" t="s">
        <v>98</v>
      </c>
      <c r="C3913">
        <v>8</v>
      </c>
      <c r="D3913" t="str">
        <f t="shared" si="61"/>
        <v>04/09/2025Endocrinology</v>
      </c>
    </row>
    <row r="3914" spans="1:4">
      <c r="A3914" s="1">
        <v>45904</v>
      </c>
      <c r="B3914" t="s">
        <v>100</v>
      </c>
      <c r="C3914">
        <v>10</v>
      </c>
      <c r="D3914" t="str">
        <f t="shared" si="61"/>
        <v>04/09/2025Urology</v>
      </c>
    </row>
    <row r="3915" spans="1:4">
      <c r="A3915" s="1">
        <v>45904</v>
      </c>
      <c r="B3915" t="s">
        <v>41</v>
      </c>
      <c r="C3915">
        <v>12</v>
      </c>
      <c r="D3915" t="str">
        <f t="shared" si="61"/>
        <v>04/09/2025ENT</v>
      </c>
    </row>
    <row r="3916" spans="1:4">
      <c r="A3916" s="1">
        <v>45904</v>
      </c>
      <c r="B3916" t="s">
        <v>44</v>
      </c>
      <c r="C3916">
        <v>14</v>
      </c>
      <c r="D3916" t="str">
        <f t="shared" si="61"/>
        <v>04/09/2025Geriatrics</v>
      </c>
    </row>
    <row r="3917" spans="1:4">
      <c r="A3917" s="1">
        <v>45905</v>
      </c>
      <c r="B3917" t="s">
        <v>39</v>
      </c>
      <c r="C3917">
        <v>22</v>
      </c>
      <c r="D3917" t="str">
        <f t="shared" si="61"/>
        <v>05/09/2025A&amp;E (Emergency)</v>
      </c>
    </row>
    <row r="3918" spans="1:4">
      <c r="A3918" s="1">
        <v>45905</v>
      </c>
      <c r="B3918" t="s">
        <v>40</v>
      </c>
      <c r="C3918">
        <v>15</v>
      </c>
      <c r="D3918" t="str">
        <f t="shared" si="61"/>
        <v>05/09/2025Cardiology</v>
      </c>
    </row>
    <row r="3919" spans="1:4">
      <c r="A3919" s="1">
        <v>45905</v>
      </c>
      <c r="B3919" t="s">
        <v>51</v>
      </c>
      <c r="C3919">
        <v>12</v>
      </c>
      <c r="D3919" t="str">
        <f t="shared" si="61"/>
        <v>05/09/2025Respiratory</v>
      </c>
    </row>
    <row r="3920" spans="1:4">
      <c r="A3920" s="1">
        <v>45905</v>
      </c>
      <c r="B3920" t="s">
        <v>43</v>
      </c>
      <c r="C3920">
        <v>18</v>
      </c>
      <c r="D3920" t="str">
        <f t="shared" si="61"/>
        <v>05/09/2025General Surgery</v>
      </c>
    </row>
    <row r="3921" spans="1:4">
      <c r="A3921" s="1">
        <v>45905</v>
      </c>
      <c r="B3921" t="s">
        <v>48</v>
      </c>
      <c r="C3921">
        <v>13</v>
      </c>
      <c r="D3921" t="str">
        <f t="shared" si="61"/>
        <v>05/09/2025Orthopaedics</v>
      </c>
    </row>
    <row r="3922" spans="1:4">
      <c r="A3922" s="1">
        <v>45905</v>
      </c>
      <c r="B3922" t="s">
        <v>46</v>
      </c>
      <c r="C3922">
        <v>11</v>
      </c>
      <c r="D3922" t="str">
        <f t="shared" si="61"/>
        <v>05/09/2025Neurology</v>
      </c>
    </row>
    <row r="3923" spans="1:4">
      <c r="A3923" s="1">
        <v>45905</v>
      </c>
      <c r="B3923" t="s">
        <v>47</v>
      </c>
      <c r="C3923">
        <v>15</v>
      </c>
      <c r="D3923" t="str">
        <f t="shared" si="61"/>
        <v>05/09/2025Oncology</v>
      </c>
    </row>
    <row r="3924" spans="1:4">
      <c r="A3924" s="1">
        <v>45905</v>
      </c>
      <c r="B3924" t="s">
        <v>49</v>
      </c>
      <c r="C3924">
        <v>10</v>
      </c>
      <c r="D3924" t="str">
        <f t="shared" si="61"/>
        <v>05/09/2025Paediatrics</v>
      </c>
    </row>
    <row r="3925" spans="1:4">
      <c r="A3925" s="1">
        <v>45905</v>
      </c>
      <c r="B3925" t="s">
        <v>45</v>
      </c>
      <c r="C3925">
        <v>11</v>
      </c>
      <c r="D3925" t="str">
        <f t="shared" si="61"/>
        <v>05/09/2025Maternity</v>
      </c>
    </row>
    <row r="3926" spans="1:4">
      <c r="A3926" s="1">
        <v>45905</v>
      </c>
      <c r="B3926" t="s">
        <v>50</v>
      </c>
      <c r="C3926">
        <v>18</v>
      </c>
      <c r="D3926" t="str">
        <f t="shared" si="61"/>
        <v>05/09/2025Renal Medicine</v>
      </c>
    </row>
    <row r="3927" spans="1:4">
      <c r="A3927" s="1">
        <v>45905</v>
      </c>
      <c r="B3927" t="s">
        <v>42</v>
      </c>
      <c r="C3927">
        <v>9</v>
      </c>
      <c r="D3927" t="str">
        <f t="shared" si="61"/>
        <v>05/09/2025Gastroenterology</v>
      </c>
    </row>
    <row r="3928" spans="1:4">
      <c r="A3928" s="1">
        <v>45905</v>
      </c>
      <c r="B3928" t="s">
        <v>98</v>
      </c>
      <c r="C3928">
        <v>7</v>
      </c>
      <c r="D3928" t="str">
        <f t="shared" si="61"/>
        <v>05/09/2025Endocrinology</v>
      </c>
    </row>
    <row r="3929" spans="1:4">
      <c r="A3929" s="1">
        <v>45905</v>
      </c>
      <c r="B3929" t="s">
        <v>100</v>
      </c>
      <c r="C3929">
        <v>9</v>
      </c>
      <c r="D3929" t="str">
        <f t="shared" si="61"/>
        <v>05/09/2025Urology</v>
      </c>
    </row>
    <row r="3930" spans="1:4">
      <c r="A3930" s="1">
        <v>45905</v>
      </c>
      <c r="B3930" t="s">
        <v>41</v>
      </c>
      <c r="C3930">
        <v>11</v>
      </c>
      <c r="D3930" t="str">
        <f t="shared" si="61"/>
        <v>05/09/2025ENT</v>
      </c>
    </row>
    <row r="3931" spans="1:4">
      <c r="A3931" s="1">
        <v>45905</v>
      </c>
      <c r="B3931" t="s">
        <v>44</v>
      </c>
      <c r="C3931">
        <v>13</v>
      </c>
      <c r="D3931" t="str">
        <f t="shared" si="61"/>
        <v>05/09/2025Geriatrics</v>
      </c>
    </row>
    <row r="3932" spans="1:4">
      <c r="A3932" s="1">
        <v>45906</v>
      </c>
      <c r="B3932" t="s">
        <v>39</v>
      </c>
      <c r="C3932">
        <v>20</v>
      </c>
      <c r="D3932" t="str">
        <f t="shared" si="61"/>
        <v>06/09/2025A&amp;E (Emergency)</v>
      </c>
    </row>
    <row r="3933" spans="1:4">
      <c r="A3933" s="1">
        <v>45906</v>
      </c>
      <c r="B3933" t="s">
        <v>40</v>
      </c>
      <c r="C3933">
        <v>12</v>
      </c>
      <c r="D3933" t="str">
        <f t="shared" si="61"/>
        <v>06/09/2025Cardiology</v>
      </c>
    </row>
    <row r="3934" spans="1:4">
      <c r="A3934" s="1">
        <v>45906</v>
      </c>
      <c r="B3934" t="s">
        <v>51</v>
      </c>
      <c r="C3934">
        <v>9</v>
      </c>
      <c r="D3934" t="str">
        <f t="shared" si="61"/>
        <v>06/09/2025Respiratory</v>
      </c>
    </row>
    <row r="3935" spans="1:4">
      <c r="A3935" s="1">
        <v>45906</v>
      </c>
      <c r="B3935" t="s">
        <v>43</v>
      </c>
      <c r="C3935">
        <v>15</v>
      </c>
      <c r="D3935" t="str">
        <f t="shared" si="61"/>
        <v>06/09/2025General Surgery</v>
      </c>
    </row>
    <row r="3936" spans="1:4">
      <c r="A3936" s="1">
        <v>45906</v>
      </c>
      <c r="B3936" t="s">
        <v>48</v>
      </c>
      <c r="C3936">
        <v>11</v>
      </c>
      <c r="D3936" t="str">
        <f t="shared" si="61"/>
        <v>06/09/2025Orthopaedics</v>
      </c>
    </row>
    <row r="3937" spans="1:4">
      <c r="A3937" s="1">
        <v>45906</v>
      </c>
      <c r="B3937" t="s">
        <v>46</v>
      </c>
      <c r="C3937">
        <v>9</v>
      </c>
      <c r="D3937" t="str">
        <f t="shared" si="61"/>
        <v>06/09/2025Neurology</v>
      </c>
    </row>
    <row r="3938" spans="1:4">
      <c r="A3938" s="1">
        <v>45906</v>
      </c>
      <c r="B3938" t="s">
        <v>47</v>
      </c>
      <c r="C3938">
        <v>13</v>
      </c>
      <c r="D3938" t="str">
        <f t="shared" si="61"/>
        <v>06/09/2025Oncology</v>
      </c>
    </row>
    <row r="3939" spans="1:4">
      <c r="A3939" s="1">
        <v>45906</v>
      </c>
      <c r="B3939" t="s">
        <v>49</v>
      </c>
      <c r="C3939">
        <v>9</v>
      </c>
      <c r="D3939" t="str">
        <f t="shared" si="61"/>
        <v>06/09/2025Paediatrics</v>
      </c>
    </row>
    <row r="3940" spans="1:4">
      <c r="A3940" s="1">
        <v>45906</v>
      </c>
      <c r="B3940" t="s">
        <v>45</v>
      </c>
      <c r="C3940">
        <v>10</v>
      </c>
      <c r="D3940" t="str">
        <f t="shared" si="61"/>
        <v>06/09/2025Maternity</v>
      </c>
    </row>
    <row r="3941" spans="1:4">
      <c r="A3941" s="1">
        <v>45906</v>
      </c>
      <c r="B3941" t="s">
        <v>50</v>
      </c>
      <c r="C3941">
        <v>17</v>
      </c>
      <c r="D3941" t="str">
        <f t="shared" si="61"/>
        <v>06/09/2025Renal Medicine</v>
      </c>
    </row>
    <row r="3942" spans="1:4">
      <c r="A3942" s="1">
        <v>45906</v>
      </c>
      <c r="B3942" t="s">
        <v>42</v>
      </c>
      <c r="C3942">
        <v>7</v>
      </c>
      <c r="D3942" t="str">
        <f t="shared" si="61"/>
        <v>06/09/2025Gastroenterology</v>
      </c>
    </row>
    <row r="3943" spans="1:4">
      <c r="A3943" s="1">
        <v>45906</v>
      </c>
      <c r="B3943" t="s">
        <v>98</v>
      </c>
      <c r="C3943">
        <v>6</v>
      </c>
      <c r="D3943" t="str">
        <f t="shared" si="61"/>
        <v>06/09/2025Endocrinology</v>
      </c>
    </row>
    <row r="3944" spans="1:4">
      <c r="A3944" s="1">
        <v>45906</v>
      </c>
      <c r="B3944" t="s">
        <v>100</v>
      </c>
      <c r="C3944">
        <v>8</v>
      </c>
      <c r="D3944" t="str">
        <f t="shared" si="61"/>
        <v>06/09/2025Urology</v>
      </c>
    </row>
    <row r="3945" spans="1:4">
      <c r="A3945" s="1">
        <v>45906</v>
      </c>
      <c r="B3945" t="s">
        <v>41</v>
      </c>
      <c r="C3945">
        <v>10</v>
      </c>
      <c r="D3945" t="str">
        <f t="shared" si="61"/>
        <v>06/09/2025ENT</v>
      </c>
    </row>
    <row r="3946" spans="1:4">
      <c r="A3946" s="1">
        <v>45906</v>
      </c>
      <c r="B3946" t="s">
        <v>44</v>
      </c>
      <c r="C3946">
        <v>12</v>
      </c>
      <c r="D3946" t="str">
        <f t="shared" si="61"/>
        <v>06/09/2025Geriatrics</v>
      </c>
    </row>
    <row r="3947" spans="1:4">
      <c r="A3947" s="1">
        <v>45907</v>
      </c>
      <c r="B3947" t="s">
        <v>39</v>
      </c>
      <c r="C3947">
        <v>19</v>
      </c>
      <c r="D3947" t="str">
        <f t="shared" si="61"/>
        <v>07/09/2025A&amp;E (Emergency)</v>
      </c>
    </row>
    <row r="3948" spans="1:4">
      <c r="A3948" s="1">
        <v>45907</v>
      </c>
      <c r="B3948" t="s">
        <v>40</v>
      </c>
      <c r="C3948">
        <v>11</v>
      </c>
      <c r="D3948" t="str">
        <f t="shared" si="61"/>
        <v>07/09/2025Cardiology</v>
      </c>
    </row>
    <row r="3949" spans="1:4">
      <c r="A3949" s="1">
        <v>45907</v>
      </c>
      <c r="B3949" t="s">
        <v>51</v>
      </c>
      <c r="C3949">
        <v>9</v>
      </c>
      <c r="D3949" t="str">
        <f t="shared" si="61"/>
        <v>07/09/2025Respiratory</v>
      </c>
    </row>
    <row r="3950" spans="1:4">
      <c r="A3950" s="1">
        <v>45907</v>
      </c>
      <c r="B3950" t="s">
        <v>43</v>
      </c>
      <c r="C3950">
        <v>14</v>
      </c>
      <c r="D3950" t="str">
        <f t="shared" si="61"/>
        <v>07/09/2025General Surgery</v>
      </c>
    </row>
    <row r="3951" spans="1:4">
      <c r="A3951" s="1">
        <v>45907</v>
      </c>
      <c r="B3951" t="s">
        <v>48</v>
      </c>
      <c r="C3951">
        <v>10</v>
      </c>
      <c r="D3951" t="str">
        <f t="shared" si="61"/>
        <v>07/09/2025Orthopaedics</v>
      </c>
    </row>
    <row r="3952" spans="1:4">
      <c r="A3952" s="1">
        <v>45907</v>
      </c>
      <c r="B3952" t="s">
        <v>46</v>
      </c>
      <c r="C3952">
        <v>9</v>
      </c>
      <c r="D3952" t="str">
        <f t="shared" si="61"/>
        <v>07/09/2025Neurology</v>
      </c>
    </row>
    <row r="3953" spans="1:4">
      <c r="A3953" s="1">
        <v>45907</v>
      </c>
      <c r="B3953" t="s">
        <v>47</v>
      </c>
      <c r="C3953">
        <v>12</v>
      </c>
      <c r="D3953" t="str">
        <f t="shared" si="61"/>
        <v>07/09/2025Oncology</v>
      </c>
    </row>
    <row r="3954" spans="1:4">
      <c r="A3954" s="1">
        <v>45907</v>
      </c>
      <c r="B3954" t="s">
        <v>49</v>
      </c>
      <c r="C3954">
        <v>8</v>
      </c>
      <c r="D3954" t="str">
        <f t="shared" si="61"/>
        <v>07/09/2025Paediatrics</v>
      </c>
    </row>
    <row r="3955" spans="1:4">
      <c r="A3955" s="1">
        <v>45907</v>
      </c>
      <c r="B3955" t="s">
        <v>45</v>
      </c>
      <c r="C3955">
        <v>9</v>
      </c>
      <c r="D3955" t="str">
        <f t="shared" si="61"/>
        <v>07/09/2025Maternity</v>
      </c>
    </row>
    <row r="3956" spans="1:4">
      <c r="A3956" s="1">
        <v>45907</v>
      </c>
      <c r="B3956" t="s">
        <v>50</v>
      </c>
      <c r="C3956">
        <v>17</v>
      </c>
      <c r="D3956" t="str">
        <f t="shared" si="61"/>
        <v>07/09/2025Renal Medicine</v>
      </c>
    </row>
    <row r="3957" spans="1:4">
      <c r="A3957" s="1">
        <v>45907</v>
      </c>
      <c r="B3957" t="s">
        <v>42</v>
      </c>
      <c r="C3957">
        <v>7</v>
      </c>
      <c r="D3957" t="str">
        <f t="shared" si="61"/>
        <v>07/09/2025Gastroenterology</v>
      </c>
    </row>
    <row r="3958" spans="1:4">
      <c r="A3958" s="1">
        <v>45907</v>
      </c>
      <c r="B3958" t="s">
        <v>98</v>
      </c>
      <c r="C3958">
        <v>6</v>
      </c>
      <c r="D3958" t="str">
        <f t="shared" si="61"/>
        <v>07/09/2025Endocrinology</v>
      </c>
    </row>
    <row r="3959" spans="1:4">
      <c r="A3959" s="1">
        <v>45907</v>
      </c>
      <c r="B3959" t="s">
        <v>100</v>
      </c>
      <c r="C3959">
        <v>8</v>
      </c>
      <c r="D3959" t="str">
        <f t="shared" si="61"/>
        <v>07/09/2025Urology</v>
      </c>
    </row>
    <row r="3960" spans="1:4">
      <c r="A3960" s="1">
        <v>45907</v>
      </c>
      <c r="B3960" t="s">
        <v>41</v>
      </c>
      <c r="C3960">
        <v>10</v>
      </c>
      <c r="D3960" t="str">
        <f t="shared" si="61"/>
        <v>07/09/2025ENT</v>
      </c>
    </row>
    <row r="3961" spans="1:4">
      <c r="A3961" s="1">
        <v>45907</v>
      </c>
      <c r="B3961" t="s">
        <v>44</v>
      </c>
      <c r="C3961">
        <v>12</v>
      </c>
      <c r="D3961" t="str">
        <f t="shared" si="61"/>
        <v>07/09/2025Geriatrics</v>
      </c>
    </row>
    <row r="3962" spans="1:4">
      <c r="A3962" s="1">
        <v>45908</v>
      </c>
      <c r="B3962" t="s">
        <v>39</v>
      </c>
      <c r="C3962">
        <v>28</v>
      </c>
      <c r="D3962" t="str">
        <f t="shared" si="61"/>
        <v>08/09/2025A&amp;E (Emergency)</v>
      </c>
    </row>
    <row r="3963" spans="1:4">
      <c r="A3963" s="1">
        <v>45908</v>
      </c>
      <c r="B3963" t="s">
        <v>40</v>
      </c>
      <c r="C3963">
        <v>18</v>
      </c>
      <c r="D3963" t="str">
        <f t="shared" si="61"/>
        <v>08/09/2025Cardiology</v>
      </c>
    </row>
    <row r="3964" spans="1:4">
      <c r="A3964" s="1">
        <v>45908</v>
      </c>
      <c r="B3964" t="s">
        <v>51</v>
      </c>
      <c r="C3964">
        <v>15</v>
      </c>
      <c r="D3964" t="str">
        <f t="shared" si="61"/>
        <v>08/09/2025Respiratory</v>
      </c>
    </row>
    <row r="3965" spans="1:4">
      <c r="A3965" s="1">
        <v>45908</v>
      </c>
      <c r="B3965" t="s">
        <v>43</v>
      </c>
      <c r="C3965">
        <v>22</v>
      </c>
      <c r="D3965" t="str">
        <f t="shared" si="61"/>
        <v>08/09/2025General Surgery</v>
      </c>
    </row>
    <row r="3966" spans="1:4">
      <c r="A3966" s="1">
        <v>45908</v>
      </c>
      <c r="B3966" t="s">
        <v>48</v>
      </c>
      <c r="C3966">
        <v>16</v>
      </c>
      <c r="D3966" t="str">
        <f t="shared" si="61"/>
        <v>08/09/2025Orthopaedics</v>
      </c>
    </row>
    <row r="3967" spans="1:4">
      <c r="A3967" s="1">
        <v>45908</v>
      </c>
      <c r="B3967" t="s">
        <v>46</v>
      </c>
      <c r="C3967">
        <v>14</v>
      </c>
      <c r="D3967" t="str">
        <f t="shared" si="61"/>
        <v>08/09/2025Neurology</v>
      </c>
    </row>
    <row r="3968" spans="1:4">
      <c r="A3968" s="1">
        <v>45908</v>
      </c>
      <c r="B3968" t="s">
        <v>47</v>
      </c>
      <c r="C3968">
        <v>18</v>
      </c>
      <c r="D3968" t="str">
        <f t="shared" si="61"/>
        <v>08/09/2025Oncology</v>
      </c>
    </row>
    <row r="3969" spans="1:4">
      <c r="A3969" s="1">
        <v>45908</v>
      </c>
      <c r="B3969" t="s">
        <v>49</v>
      </c>
      <c r="C3969">
        <v>13</v>
      </c>
      <c r="D3969" t="str">
        <f t="shared" si="61"/>
        <v>08/09/2025Paediatrics</v>
      </c>
    </row>
    <row r="3970" spans="1:4">
      <c r="A3970" s="1">
        <v>45908</v>
      </c>
      <c r="B3970" t="s">
        <v>45</v>
      </c>
      <c r="C3970">
        <v>13</v>
      </c>
      <c r="D3970" t="str">
        <f t="shared" si="61"/>
        <v>08/09/2025Maternity</v>
      </c>
    </row>
    <row r="3971" spans="1:4">
      <c r="A3971" s="1">
        <v>45908</v>
      </c>
      <c r="B3971" t="s">
        <v>50</v>
      </c>
      <c r="C3971">
        <v>21</v>
      </c>
      <c r="D3971" t="str">
        <f t="shared" ref="D3971:D4034" si="62">TEXT(A3971, "dd/mm/yyyy")&amp;B3971</f>
        <v>08/09/2025Renal Medicine</v>
      </c>
    </row>
    <row r="3972" spans="1:4">
      <c r="A3972" s="1">
        <v>45908</v>
      </c>
      <c r="B3972" t="s">
        <v>42</v>
      </c>
      <c r="C3972">
        <v>12</v>
      </c>
      <c r="D3972" t="str">
        <f t="shared" si="62"/>
        <v>08/09/2025Gastroenterology</v>
      </c>
    </row>
    <row r="3973" spans="1:4">
      <c r="A3973" s="1">
        <v>45908</v>
      </c>
      <c r="B3973" t="s">
        <v>98</v>
      </c>
      <c r="C3973">
        <v>10</v>
      </c>
      <c r="D3973" t="str">
        <f t="shared" si="62"/>
        <v>08/09/2025Endocrinology</v>
      </c>
    </row>
    <row r="3974" spans="1:4">
      <c r="A3974" s="1">
        <v>45908</v>
      </c>
      <c r="B3974" t="s">
        <v>100</v>
      </c>
      <c r="C3974">
        <v>11</v>
      </c>
      <c r="D3974" t="str">
        <f t="shared" si="62"/>
        <v>08/09/2025Urology</v>
      </c>
    </row>
    <row r="3975" spans="1:4">
      <c r="A3975" s="1">
        <v>45908</v>
      </c>
      <c r="B3975" t="s">
        <v>41</v>
      </c>
      <c r="C3975">
        <v>13</v>
      </c>
      <c r="D3975" t="str">
        <f t="shared" si="62"/>
        <v>08/09/2025ENT</v>
      </c>
    </row>
    <row r="3976" spans="1:4">
      <c r="A3976" s="1">
        <v>45908</v>
      </c>
      <c r="B3976" t="s">
        <v>44</v>
      </c>
      <c r="C3976">
        <v>16</v>
      </c>
      <c r="D3976" t="str">
        <f t="shared" si="62"/>
        <v>08/09/2025Geriatrics</v>
      </c>
    </row>
    <row r="3977" spans="1:4">
      <c r="A3977" s="1">
        <v>45909</v>
      </c>
      <c r="B3977" t="s">
        <v>39</v>
      </c>
      <c r="C3977">
        <v>25</v>
      </c>
      <c r="D3977" t="str">
        <f t="shared" si="62"/>
        <v>09/09/2025A&amp;E (Emergency)</v>
      </c>
    </row>
    <row r="3978" spans="1:4">
      <c r="A3978" s="1">
        <v>45909</v>
      </c>
      <c r="B3978" t="s">
        <v>40</v>
      </c>
      <c r="C3978">
        <v>17</v>
      </c>
      <c r="D3978" t="str">
        <f t="shared" si="62"/>
        <v>09/09/2025Cardiology</v>
      </c>
    </row>
    <row r="3979" spans="1:4">
      <c r="A3979" s="1">
        <v>45909</v>
      </c>
      <c r="B3979" t="s">
        <v>51</v>
      </c>
      <c r="C3979">
        <v>14</v>
      </c>
      <c r="D3979" t="str">
        <f t="shared" si="62"/>
        <v>09/09/2025Respiratory</v>
      </c>
    </row>
    <row r="3980" spans="1:4">
      <c r="A3980" s="1">
        <v>45909</v>
      </c>
      <c r="B3980" t="s">
        <v>43</v>
      </c>
      <c r="C3980">
        <v>20</v>
      </c>
      <c r="D3980" t="str">
        <f t="shared" si="62"/>
        <v>09/09/2025General Surgery</v>
      </c>
    </row>
    <row r="3981" spans="1:4">
      <c r="A3981" s="1">
        <v>45909</v>
      </c>
      <c r="B3981" t="s">
        <v>48</v>
      </c>
      <c r="C3981">
        <v>15</v>
      </c>
      <c r="D3981" t="str">
        <f t="shared" si="62"/>
        <v>09/09/2025Orthopaedics</v>
      </c>
    </row>
    <row r="3982" spans="1:4">
      <c r="A3982" s="1">
        <v>45909</v>
      </c>
      <c r="B3982" t="s">
        <v>46</v>
      </c>
      <c r="C3982">
        <v>13</v>
      </c>
      <c r="D3982" t="str">
        <f t="shared" si="62"/>
        <v>09/09/2025Neurology</v>
      </c>
    </row>
    <row r="3983" spans="1:4">
      <c r="A3983" s="1">
        <v>45909</v>
      </c>
      <c r="B3983" t="s">
        <v>47</v>
      </c>
      <c r="C3983">
        <v>17</v>
      </c>
      <c r="D3983" t="str">
        <f t="shared" si="62"/>
        <v>09/09/2025Oncology</v>
      </c>
    </row>
    <row r="3984" spans="1:4">
      <c r="A3984" s="1">
        <v>45909</v>
      </c>
      <c r="B3984" t="s">
        <v>49</v>
      </c>
      <c r="C3984">
        <v>12</v>
      </c>
      <c r="D3984" t="str">
        <f t="shared" si="62"/>
        <v>09/09/2025Paediatrics</v>
      </c>
    </row>
    <row r="3985" spans="1:4">
      <c r="A3985" s="1">
        <v>45909</v>
      </c>
      <c r="B3985" t="s">
        <v>45</v>
      </c>
      <c r="C3985">
        <v>12</v>
      </c>
      <c r="D3985" t="str">
        <f t="shared" si="62"/>
        <v>09/09/2025Maternity</v>
      </c>
    </row>
    <row r="3986" spans="1:4">
      <c r="A3986" s="1">
        <v>45909</v>
      </c>
      <c r="B3986" t="s">
        <v>50</v>
      </c>
      <c r="C3986">
        <v>20</v>
      </c>
      <c r="D3986" t="str">
        <f t="shared" si="62"/>
        <v>09/09/2025Renal Medicine</v>
      </c>
    </row>
    <row r="3987" spans="1:4">
      <c r="A3987" s="1">
        <v>45909</v>
      </c>
      <c r="B3987" t="s">
        <v>42</v>
      </c>
      <c r="C3987">
        <v>11</v>
      </c>
      <c r="D3987" t="str">
        <f t="shared" si="62"/>
        <v>09/09/2025Gastroenterology</v>
      </c>
    </row>
    <row r="3988" spans="1:4">
      <c r="A3988" s="1">
        <v>45909</v>
      </c>
      <c r="B3988" t="s">
        <v>98</v>
      </c>
      <c r="C3988">
        <v>9</v>
      </c>
      <c r="D3988" t="str">
        <f t="shared" si="62"/>
        <v>09/09/2025Endocrinology</v>
      </c>
    </row>
    <row r="3989" spans="1:4">
      <c r="A3989" s="1">
        <v>45909</v>
      </c>
      <c r="B3989" t="s">
        <v>100</v>
      </c>
      <c r="C3989">
        <v>10</v>
      </c>
      <c r="D3989" t="str">
        <f t="shared" si="62"/>
        <v>09/09/2025Urology</v>
      </c>
    </row>
    <row r="3990" spans="1:4">
      <c r="A3990" s="1">
        <v>45909</v>
      </c>
      <c r="B3990" t="s">
        <v>41</v>
      </c>
      <c r="C3990">
        <v>12</v>
      </c>
      <c r="D3990" t="str">
        <f t="shared" si="62"/>
        <v>09/09/2025ENT</v>
      </c>
    </row>
    <row r="3991" spans="1:4">
      <c r="A3991" s="1">
        <v>45909</v>
      </c>
      <c r="B3991" t="s">
        <v>44</v>
      </c>
      <c r="C3991">
        <v>15</v>
      </c>
      <c r="D3991" t="str">
        <f t="shared" si="62"/>
        <v>09/09/2025Geriatrics</v>
      </c>
    </row>
    <row r="3992" spans="1:4">
      <c r="A3992" s="1">
        <v>45910</v>
      </c>
      <c r="B3992" t="s">
        <v>39</v>
      </c>
      <c r="C3992">
        <v>24</v>
      </c>
      <c r="D3992" t="str">
        <f t="shared" si="62"/>
        <v>10/09/2025A&amp;E (Emergency)</v>
      </c>
    </row>
    <row r="3993" spans="1:4">
      <c r="A3993" s="1">
        <v>45910</v>
      </c>
      <c r="B3993" t="s">
        <v>40</v>
      </c>
      <c r="C3993">
        <v>16</v>
      </c>
      <c r="D3993" t="str">
        <f t="shared" si="62"/>
        <v>10/09/2025Cardiology</v>
      </c>
    </row>
    <row r="3994" spans="1:4">
      <c r="A3994" s="1">
        <v>45910</v>
      </c>
      <c r="B3994" t="s">
        <v>51</v>
      </c>
      <c r="C3994">
        <v>13</v>
      </c>
      <c r="D3994" t="str">
        <f t="shared" si="62"/>
        <v>10/09/2025Respiratory</v>
      </c>
    </row>
    <row r="3995" spans="1:4">
      <c r="A3995" s="1">
        <v>45910</v>
      </c>
      <c r="B3995" t="s">
        <v>43</v>
      </c>
      <c r="C3995">
        <v>19</v>
      </c>
      <c r="D3995" t="str">
        <f t="shared" si="62"/>
        <v>10/09/2025General Surgery</v>
      </c>
    </row>
    <row r="3996" spans="1:4">
      <c r="A3996" s="1">
        <v>45910</v>
      </c>
      <c r="B3996" t="s">
        <v>48</v>
      </c>
      <c r="C3996">
        <v>14</v>
      </c>
      <c r="D3996" t="str">
        <f t="shared" si="62"/>
        <v>10/09/2025Orthopaedics</v>
      </c>
    </row>
    <row r="3997" spans="1:4">
      <c r="A3997" s="1">
        <v>45910</v>
      </c>
      <c r="B3997" t="s">
        <v>46</v>
      </c>
      <c r="C3997">
        <v>12</v>
      </c>
      <c r="D3997" t="str">
        <f t="shared" si="62"/>
        <v>10/09/2025Neurology</v>
      </c>
    </row>
    <row r="3998" spans="1:4">
      <c r="A3998" s="1">
        <v>45910</v>
      </c>
      <c r="B3998" t="s">
        <v>47</v>
      </c>
      <c r="C3998">
        <v>16</v>
      </c>
      <c r="D3998" t="str">
        <f t="shared" si="62"/>
        <v>10/09/2025Oncology</v>
      </c>
    </row>
    <row r="3999" spans="1:4">
      <c r="A3999" s="1">
        <v>45910</v>
      </c>
      <c r="B3999" t="s">
        <v>49</v>
      </c>
      <c r="C3999">
        <v>11</v>
      </c>
      <c r="D3999" t="str">
        <f t="shared" si="62"/>
        <v>10/09/2025Paediatrics</v>
      </c>
    </row>
    <row r="4000" spans="1:4">
      <c r="A4000" s="1">
        <v>45910</v>
      </c>
      <c r="B4000" t="s">
        <v>45</v>
      </c>
      <c r="C4000">
        <v>12</v>
      </c>
      <c r="D4000" t="str">
        <f t="shared" si="62"/>
        <v>10/09/2025Maternity</v>
      </c>
    </row>
    <row r="4001" spans="1:4">
      <c r="A4001" s="1">
        <v>45910</v>
      </c>
      <c r="B4001" t="s">
        <v>50</v>
      </c>
      <c r="C4001">
        <v>19</v>
      </c>
      <c r="D4001" t="str">
        <f t="shared" si="62"/>
        <v>10/09/2025Renal Medicine</v>
      </c>
    </row>
    <row r="4002" spans="1:4">
      <c r="A4002" s="1">
        <v>45910</v>
      </c>
      <c r="B4002" t="s">
        <v>42</v>
      </c>
      <c r="C4002">
        <v>10</v>
      </c>
      <c r="D4002" t="str">
        <f t="shared" si="62"/>
        <v>10/09/2025Gastroenterology</v>
      </c>
    </row>
    <row r="4003" spans="1:4">
      <c r="A4003" s="1">
        <v>45910</v>
      </c>
      <c r="B4003" t="s">
        <v>98</v>
      </c>
      <c r="C4003">
        <v>8</v>
      </c>
      <c r="D4003" t="str">
        <f t="shared" si="62"/>
        <v>10/09/2025Endocrinology</v>
      </c>
    </row>
    <row r="4004" spans="1:4">
      <c r="A4004" s="1">
        <v>45910</v>
      </c>
      <c r="B4004" t="s">
        <v>100</v>
      </c>
      <c r="C4004">
        <v>10</v>
      </c>
      <c r="D4004" t="str">
        <f t="shared" si="62"/>
        <v>10/09/2025Urology</v>
      </c>
    </row>
    <row r="4005" spans="1:4">
      <c r="A4005" s="1">
        <v>45910</v>
      </c>
      <c r="B4005" t="s">
        <v>41</v>
      </c>
      <c r="C4005">
        <v>12</v>
      </c>
      <c r="D4005" t="str">
        <f t="shared" si="62"/>
        <v>10/09/2025ENT</v>
      </c>
    </row>
    <row r="4006" spans="1:4">
      <c r="A4006" s="1">
        <v>45910</v>
      </c>
      <c r="B4006" t="s">
        <v>44</v>
      </c>
      <c r="C4006">
        <v>14</v>
      </c>
      <c r="D4006" t="str">
        <f t="shared" si="62"/>
        <v>10/09/2025Geriatrics</v>
      </c>
    </row>
    <row r="4007" spans="1:4">
      <c r="A4007" s="1">
        <v>45911</v>
      </c>
      <c r="B4007" t="s">
        <v>39</v>
      </c>
      <c r="C4007">
        <v>23</v>
      </c>
      <c r="D4007" t="str">
        <f t="shared" si="62"/>
        <v>11/09/2025A&amp;E (Emergency)</v>
      </c>
    </row>
    <row r="4008" spans="1:4">
      <c r="A4008" s="1">
        <v>45911</v>
      </c>
      <c r="B4008" t="s">
        <v>40</v>
      </c>
      <c r="C4008">
        <v>16</v>
      </c>
      <c r="D4008" t="str">
        <f t="shared" si="62"/>
        <v>11/09/2025Cardiology</v>
      </c>
    </row>
    <row r="4009" spans="1:4">
      <c r="A4009" s="1">
        <v>45911</v>
      </c>
      <c r="B4009" t="s">
        <v>51</v>
      </c>
      <c r="C4009">
        <v>13</v>
      </c>
      <c r="D4009" t="str">
        <f t="shared" si="62"/>
        <v>11/09/2025Respiratory</v>
      </c>
    </row>
    <row r="4010" spans="1:4">
      <c r="A4010" s="1">
        <v>45911</v>
      </c>
      <c r="B4010" t="s">
        <v>43</v>
      </c>
      <c r="C4010">
        <v>19</v>
      </c>
      <c r="D4010" t="str">
        <f t="shared" si="62"/>
        <v>11/09/2025General Surgery</v>
      </c>
    </row>
    <row r="4011" spans="1:4">
      <c r="A4011" s="1">
        <v>45911</v>
      </c>
      <c r="B4011" t="s">
        <v>48</v>
      </c>
      <c r="C4011">
        <v>14</v>
      </c>
      <c r="D4011" t="str">
        <f t="shared" si="62"/>
        <v>11/09/2025Orthopaedics</v>
      </c>
    </row>
    <row r="4012" spans="1:4">
      <c r="A4012" s="1">
        <v>45911</v>
      </c>
      <c r="B4012" t="s">
        <v>46</v>
      </c>
      <c r="C4012">
        <v>12</v>
      </c>
      <c r="D4012" t="str">
        <f t="shared" si="62"/>
        <v>11/09/2025Neurology</v>
      </c>
    </row>
    <row r="4013" spans="1:4">
      <c r="A4013" s="1">
        <v>45911</v>
      </c>
      <c r="B4013" t="s">
        <v>47</v>
      </c>
      <c r="C4013">
        <v>16</v>
      </c>
      <c r="D4013" t="str">
        <f t="shared" si="62"/>
        <v>11/09/2025Oncology</v>
      </c>
    </row>
    <row r="4014" spans="1:4">
      <c r="A4014" s="1">
        <v>45911</v>
      </c>
      <c r="B4014" t="s">
        <v>49</v>
      </c>
      <c r="C4014">
        <v>11</v>
      </c>
      <c r="D4014" t="str">
        <f t="shared" si="62"/>
        <v>11/09/2025Paediatrics</v>
      </c>
    </row>
    <row r="4015" spans="1:4">
      <c r="A4015" s="1">
        <v>45911</v>
      </c>
      <c r="B4015" t="s">
        <v>45</v>
      </c>
      <c r="C4015">
        <v>12</v>
      </c>
      <c r="D4015" t="str">
        <f t="shared" si="62"/>
        <v>11/09/2025Maternity</v>
      </c>
    </row>
    <row r="4016" spans="1:4">
      <c r="A4016" s="1">
        <v>45911</v>
      </c>
      <c r="B4016" t="s">
        <v>50</v>
      </c>
      <c r="C4016">
        <v>19</v>
      </c>
      <c r="D4016" t="str">
        <f t="shared" si="62"/>
        <v>11/09/2025Renal Medicine</v>
      </c>
    </row>
    <row r="4017" spans="1:4">
      <c r="A4017" s="1">
        <v>45911</v>
      </c>
      <c r="B4017" t="s">
        <v>42</v>
      </c>
      <c r="C4017">
        <v>10</v>
      </c>
      <c r="D4017" t="str">
        <f t="shared" si="62"/>
        <v>11/09/2025Gastroenterology</v>
      </c>
    </row>
    <row r="4018" spans="1:4">
      <c r="A4018" s="1">
        <v>45911</v>
      </c>
      <c r="B4018" t="s">
        <v>98</v>
      </c>
      <c r="C4018">
        <v>8</v>
      </c>
      <c r="D4018" t="str">
        <f t="shared" si="62"/>
        <v>11/09/2025Endocrinology</v>
      </c>
    </row>
    <row r="4019" spans="1:4">
      <c r="A4019" s="1">
        <v>45911</v>
      </c>
      <c r="B4019" t="s">
        <v>100</v>
      </c>
      <c r="C4019">
        <v>10</v>
      </c>
      <c r="D4019" t="str">
        <f t="shared" si="62"/>
        <v>11/09/2025Urology</v>
      </c>
    </row>
    <row r="4020" spans="1:4">
      <c r="A4020" s="1">
        <v>45911</v>
      </c>
      <c r="B4020" t="s">
        <v>41</v>
      </c>
      <c r="C4020">
        <v>12</v>
      </c>
      <c r="D4020" t="str">
        <f t="shared" si="62"/>
        <v>11/09/2025ENT</v>
      </c>
    </row>
    <row r="4021" spans="1:4">
      <c r="A4021" s="1">
        <v>45911</v>
      </c>
      <c r="B4021" t="s">
        <v>44</v>
      </c>
      <c r="C4021">
        <v>14</v>
      </c>
      <c r="D4021" t="str">
        <f t="shared" si="62"/>
        <v>11/09/2025Geriatrics</v>
      </c>
    </row>
    <row r="4022" spans="1:4">
      <c r="A4022" s="1">
        <v>45912</v>
      </c>
      <c r="B4022" t="s">
        <v>39</v>
      </c>
      <c r="C4022">
        <v>22</v>
      </c>
      <c r="D4022" t="str">
        <f t="shared" si="62"/>
        <v>12/09/2025A&amp;E (Emergency)</v>
      </c>
    </row>
    <row r="4023" spans="1:4">
      <c r="A4023" s="1">
        <v>45912</v>
      </c>
      <c r="B4023" t="s">
        <v>40</v>
      </c>
      <c r="C4023">
        <v>15</v>
      </c>
      <c r="D4023" t="str">
        <f t="shared" si="62"/>
        <v>12/09/2025Cardiology</v>
      </c>
    </row>
    <row r="4024" spans="1:4">
      <c r="A4024" s="1">
        <v>45912</v>
      </c>
      <c r="B4024" t="s">
        <v>51</v>
      </c>
      <c r="C4024">
        <v>12</v>
      </c>
      <c r="D4024" t="str">
        <f t="shared" si="62"/>
        <v>12/09/2025Respiratory</v>
      </c>
    </row>
    <row r="4025" spans="1:4">
      <c r="A4025" s="1">
        <v>45912</v>
      </c>
      <c r="B4025" t="s">
        <v>43</v>
      </c>
      <c r="C4025">
        <v>18</v>
      </c>
      <c r="D4025" t="str">
        <f t="shared" si="62"/>
        <v>12/09/2025General Surgery</v>
      </c>
    </row>
    <row r="4026" spans="1:4">
      <c r="A4026" s="1">
        <v>45912</v>
      </c>
      <c r="B4026" t="s">
        <v>48</v>
      </c>
      <c r="C4026">
        <v>13</v>
      </c>
      <c r="D4026" t="str">
        <f t="shared" si="62"/>
        <v>12/09/2025Orthopaedics</v>
      </c>
    </row>
    <row r="4027" spans="1:4">
      <c r="A4027" s="1">
        <v>45912</v>
      </c>
      <c r="B4027" t="s">
        <v>46</v>
      </c>
      <c r="C4027">
        <v>11</v>
      </c>
      <c r="D4027" t="str">
        <f t="shared" si="62"/>
        <v>12/09/2025Neurology</v>
      </c>
    </row>
    <row r="4028" spans="1:4">
      <c r="A4028" s="1">
        <v>45912</v>
      </c>
      <c r="B4028" t="s">
        <v>47</v>
      </c>
      <c r="C4028">
        <v>15</v>
      </c>
      <c r="D4028" t="str">
        <f t="shared" si="62"/>
        <v>12/09/2025Oncology</v>
      </c>
    </row>
    <row r="4029" spans="1:4">
      <c r="A4029" s="1">
        <v>45912</v>
      </c>
      <c r="B4029" t="s">
        <v>49</v>
      </c>
      <c r="C4029">
        <v>10</v>
      </c>
      <c r="D4029" t="str">
        <f t="shared" si="62"/>
        <v>12/09/2025Paediatrics</v>
      </c>
    </row>
    <row r="4030" spans="1:4">
      <c r="A4030" s="1">
        <v>45912</v>
      </c>
      <c r="B4030" t="s">
        <v>45</v>
      </c>
      <c r="C4030">
        <v>11</v>
      </c>
      <c r="D4030" t="str">
        <f t="shared" si="62"/>
        <v>12/09/2025Maternity</v>
      </c>
    </row>
    <row r="4031" spans="1:4">
      <c r="A4031" s="1">
        <v>45912</v>
      </c>
      <c r="B4031" t="s">
        <v>50</v>
      </c>
      <c r="C4031">
        <v>18</v>
      </c>
      <c r="D4031" t="str">
        <f t="shared" si="62"/>
        <v>12/09/2025Renal Medicine</v>
      </c>
    </row>
    <row r="4032" spans="1:4">
      <c r="A4032" s="1">
        <v>45912</v>
      </c>
      <c r="B4032" t="s">
        <v>42</v>
      </c>
      <c r="C4032">
        <v>9</v>
      </c>
      <c r="D4032" t="str">
        <f t="shared" si="62"/>
        <v>12/09/2025Gastroenterology</v>
      </c>
    </row>
    <row r="4033" spans="1:4">
      <c r="A4033" s="1">
        <v>45912</v>
      </c>
      <c r="B4033" t="s">
        <v>98</v>
      </c>
      <c r="C4033">
        <v>7</v>
      </c>
      <c r="D4033" t="str">
        <f t="shared" si="62"/>
        <v>12/09/2025Endocrinology</v>
      </c>
    </row>
    <row r="4034" spans="1:4">
      <c r="A4034" s="1">
        <v>45912</v>
      </c>
      <c r="B4034" t="s">
        <v>100</v>
      </c>
      <c r="C4034">
        <v>9</v>
      </c>
      <c r="D4034" t="str">
        <f t="shared" si="62"/>
        <v>12/09/2025Urology</v>
      </c>
    </row>
    <row r="4035" spans="1:4">
      <c r="A4035" s="1">
        <v>45912</v>
      </c>
      <c r="B4035" t="s">
        <v>41</v>
      </c>
      <c r="C4035">
        <v>11</v>
      </c>
      <c r="D4035" t="str">
        <f t="shared" ref="D4035:D4098" si="63">TEXT(A4035, "dd/mm/yyyy")&amp;B4035</f>
        <v>12/09/2025ENT</v>
      </c>
    </row>
    <row r="4036" spans="1:4">
      <c r="A4036" s="1">
        <v>45912</v>
      </c>
      <c r="B4036" t="s">
        <v>44</v>
      </c>
      <c r="C4036">
        <v>13</v>
      </c>
      <c r="D4036" t="str">
        <f t="shared" si="63"/>
        <v>12/09/2025Geriatrics</v>
      </c>
    </row>
    <row r="4037" spans="1:4">
      <c r="A4037" s="1">
        <v>45913</v>
      </c>
      <c r="B4037" t="s">
        <v>39</v>
      </c>
      <c r="C4037">
        <v>20</v>
      </c>
      <c r="D4037" t="str">
        <f t="shared" si="63"/>
        <v>13/09/2025A&amp;E (Emergency)</v>
      </c>
    </row>
    <row r="4038" spans="1:4">
      <c r="A4038" s="1">
        <v>45913</v>
      </c>
      <c r="B4038" t="s">
        <v>40</v>
      </c>
      <c r="C4038">
        <v>12</v>
      </c>
      <c r="D4038" t="str">
        <f t="shared" si="63"/>
        <v>13/09/2025Cardiology</v>
      </c>
    </row>
    <row r="4039" spans="1:4">
      <c r="A4039" s="1">
        <v>45913</v>
      </c>
      <c r="B4039" t="s">
        <v>51</v>
      </c>
      <c r="C4039">
        <v>9</v>
      </c>
      <c r="D4039" t="str">
        <f t="shared" si="63"/>
        <v>13/09/2025Respiratory</v>
      </c>
    </row>
    <row r="4040" spans="1:4">
      <c r="A4040" s="1">
        <v>45913</v>
      </c>
      <c r="B4040" t="s">
        <v>43</v>
      </c>
      <c r="C4040">
        <v>15</v>
      </c>
      <c r="D4040" t="str">
        <f t="shared" si="63"/>
        <v>13/09/2025General Surgery</v>
      </c>
    </row>
    <row r="4041" spans="1:4">
      <c r="A4041" s="1">
        <v>45913</v>
      </c>
      <c r="B4041" t="s">
        <v>48</v>
      </c>
      <c r="C4041">
        <v>11</v>
      </c>
      <c r="D4041" t="str">
        <f t="shared" si="63"/>
        <v>13/09/2025Orthopaedics</v>
      </c>
    </row>
    <row r="4042" spans="1:4">
      <c r="A4042" s="1">
        <v>45913</v>
      </c>
      <c r="B4042" t="s">
        <v>46</v>
      </c>
      <c r="C4042">
        <v>9</v>
      </c>
      <c r="D4042" t="str">
        <f t="shared" si="63"/>
        <v>13/09/2025Neurology</v>
      </c>
    </row>
    <row r="4043" spans="1:4">
      <c r="A4043" s="1">
        <v>45913</v>
      </c>
      <c r="B4043" t="s">
        <v>47</v>
      </c>
      <c r="C4043">
        <v>13</v>
      </c>
      <c r="D4043" t="str">
        <f t="shared" si="63"/>
        <v>13/09/2025Oncology</v>
      </c>
    </row>
    <row r="4044" spans="1:4">
      <c r="A4044" s="1">
        <v>45913</v>
      </c>
      <c r="B4044" t="s">
        <v>49</v>
      </c>
      <c r="C4044">
        <v>9</v>
      </c>
      <c r="D4044" t="str">
        <f t="shared" si="63"/>
        <v>13/09/2025Paediatrics</v>
      </c>
    </row>
    <row r="4045" spans="1:4">
      <c r="A4045" s="1">
        <v>45913</v>
      </c>
      <c r="B4045" t="s">
        <v>45</v>
      </c>
      <c r="C4045">
        <v>10</v>
      </c>
      <c r="D4045" t="str">
        <f t="shared" si="63"/>
        <v>13/09/2025Maternity</v>
      </c>
    </row>
    <row r="4046" spans="1:4">
      <c r="A4046" s="1">
        <v>45913</v>
      </c>
      <c r="B4046" t="s">
        <v>50</v>
      </c>
      <c r="C4046">
        <v>17</v>
      </c>
      <c r="D4046" t="str">
        <f t="shared" si="63"/>
        <v>13/09/2025Renal Medicine</v>
      </c>
    </row>
    <row r="4047" spans="1:4">
      <c r="A4047" s="1">
        <v>45913</v>
      </c>
      <c r="B4047" t="s">
        <v>42</v>
      </c>
      <c r="C4047">
        <v>7</v>
      </c>
      <c r="D4047" t="str">
        <f t="shared" si="63"/>
        <v>13/09/2025Gastroenterology</v>
      </c>
    </row>
    <row r="4048" spans="1:4">
      <c r="A4048" s="1">
        <v>45913</v>
      </c>
      <c r="B4048" t="s">
        <v>98</v>
      </c>
      <c r="C4048">
        <v>6</v>
      </c>
      <c r="D4048" t="str">
        <f t="shared" si="63"/>
        <v>13/09/2025Endocrinology</v>
      </c>
    </row>
    <row r="4049" spans="1:4">
      <c r="A4049" s="1">
        <v>45913</v>
      </c>
      <c r="B4049" t="s">
        <v>100</v>
      </c>
      <c r="C4049">
        <v>8</v>
      </c>
      <c r="D4049" t="str">
        <f t="shared" si="63"/>
        <v>13/09/2025Urology</v>
      </c>
    </row>
    <row r="4050" spans="1:4">
      <c r="A4050" s="1">
        <v>45913</v>
      </c>
      <c r="B4050" t="s">
        <v>41</v>
      </c>
      <c r="C4050">
        <v>10</v>
      </c>
      <c r="D4050" t="str">
        <f t="shared" si="63"/>
        <v>13/09/2025ENT</v>
      </c>
    </row>
    <row r="4051" spans="1:4">
      <c r="A4051" s="1">
        <v>45913</v>
      </c>
      <c r="B4051" t="s">
        <v>44</v>
      </c>
      <c r="C4051">
        <v>12</v>
      </c>
      <c r="D4051" t="str">
        <f t="shared" si="63"/>
        <v>13/09/2025Geriatrics</v>
      </c>
    </row>
    <row r="4052" spans="1:4">
      <c r="A4052" s="1">
        <v>45914</v>
      </c>
      <c r="B4052" t="s">
        <v>39</v>
      </c>
      <c r="C4052">
        <v>19</v>
      </c>
      <c r="D4052" t="str">
        <f t="shared" si="63"/>
        <v>14/09/2025A&amp;E (Emergency)</v>
      </c>
    </row>
    <row r="4053" spans="1:4">
      <c r="A4053" s="1">
        <v>45914</v>
      </c>
      <c r="B4053" t="s">
        <v>40</v>
      </c>
      <c r="C4053">
        <v>11</v>
      </c>
      <c r="D4053" t="str">
        <f t="shared" si="63"/>
        <v>14/09/2025Cardiology</v>
      </c>
    </row>
    <row r="4054" spans="1:4">
      <c r="A4054" s="1">
        <v>45914</v>
      </c>
      <c r="B4054" t="s">
        <v>51</v>
      </c>
      <c r="C4054">
        <v>9</v>
      </c>
      <c r="D4054" t="str">
        <f t="shared" si="63"/>
        <v>14/09/2025Respiratory</v>
      </c>
    </row>
    <row r="4055" spans="1:4">
      <c r="A4055" s="1">
        <v>45914</v>
      </c>
      <c r="B4055" t="s">
        <v>43</v>
      </c>
      <c r="C4055">
        <v>14</v>
      </c>
      <c r="D4055" t="str">
        <f t="shared" si="63"/>
        <v>14/09/2025General Surgery</v>
      </c>
    </row>
    <row r="4056" spans="1:4">
      <c r="A4056" s="1">
        <v>45914</v>
      </c>
      <c r="B4056" t="s">
        <v>48</v>
      </c>
      <c r="C4056">
        <v>10</v>
      </c>
      <c r="D4056" t="str">
        <f t="shared" si="63"/>
        <v>14/09/2025Orthopaedics</v>
      </c>
    </row>
    <row r="4057" spans="1:4">
      <c r="A4057" s="1">
        <v>45914</v>
      </c>
      <c r="B4057" t="s">
        <v>46</v>
      </c>
      <c r="C4057">
        <v>9</v>
      </c>
      <c r="D4057" t="str">
        <f t="shared" si="63"/>
        <v>14/09/2025Neurology</v>
      </c>
    </row>
    <row r="4058" spans="1:4">
      <c r="A4058" s="1">
        <v>45914</v>
      </c>
      <c r="B4058" t="s">
        <v>47</v>
      </c>
      <c r="C4058">
        <v>12</v>
      </c>
      <c r="D4058" t="str">
        <f t="shared" si="63"/>
        <v>14/09/2025Oncology</v>
      </c>
    </row>
    <row r="4059" spans="1:4">
      <c r="A4059" s="1">
        <v>45914</v>
      </c>
      <c r="B4059" t="s">
        <v>49</v>
      </c>
      <c r="C4059">
        <v>8</v>
      </c>
      <c r="D4059" t="str">
        <f t="shared" si="63"/>
        <v>14/09/2025Paediatrics</v>
      </c>
    </row>
    <row r="4060" spans="1:4">
      <c r="A4060" s="1">
        <v>45914</v>
      </c>
      <c r="B4060" t="s">
        <v>45</v>
      </c>
      <c r="C4060">
        <v>9</v>
      </c>
      <c r="D4060" t="str">
        <f t="shared" si="63"/>
        <v>14/09/2025Maternity</v>
      </c>
    </row>
    <row r="4061" spans="1:4">
      <c r="A4061" s="1">
        <v>45914</v>
      </c>
      <c r="B4061" t="s">
        <v>50</v>
      </c>
      <c r="C4061">
        <v>17</v>
      </c>
      <c r="D4061" t="str">
        <f t="shared" si="63"/>
        <v>14/09/2025Renal Medicine</v>
      </c>
    </row>
    <row r="4062" spans="1:4">
      <c r="A4062" s="1">
        <v>45914</v>
      </c>
      <c r="B4062" t="s">
        <v>42</v>
      </c>
      <c r="C4062">
        <v>7</v>
      </c>
      <c r="D4062" t="str">
        <f t="shared" si="63"/>
        <v>14/09/2025Gastroenterology</v>
      </c>
    </row>
    <row r="4063" spans="1:4">
      <c r="A4063" s="1">
        <v>45914</v>
      </c>
      <c r="B4063" t="s">
        <v>98</v>
      </c>
      <c r="C4063">
        <v>6</v>
      </c>
      <c r="D4063" t="str">
        <f t="shared" si="63"/>
        <v>14/09/2025Endocrinology</v>
      </c>
    </row>
    <row r="4064" spans="1:4">
      <c r="A4064" s="1">
        <v>45914</v>
      </c>
      <c r="B4064" t="s">
        <v>100</v>
      </c>
      <c r="C4064">
        <v>8</v>
      </c>
      <c r="D4064" t="str">
        <f t="shared" si="63"/>
        <v>14/09/2025Urology</v>
      </c>
    </row>
    <row r="4065" spans="1:4">
      <c r="A4065" s="1">
        <v>45914</v>
      </c>
      <c r="B4065" t="s">
        <v>41</v>
      </c>
      <c r="C4065">
        <v>10</v>
      </c>
      <c r="D4065" t="str">
        <f t="shared" si="63"/>
        <v>14/09/2025ENT</v>
      </c>
    </row>
    <row r="4066" spans="1:4">
      <c r="A4066" s="1">
        <v>45914</v>
      </c>
      <c r="B4066" t="s">
        <v>44</v>
      </c>
      <c r="C4066">
        <v>12</v>
      </c>
      <c r="D4066" t="str">
        <f t="shared" si="63"/>
        <v>14/09/2025Geriatrics</v>
      </c>
    </row>
    <row r="4067" spans="1:4">
      <c r="A4067" s="1">
        <v>45915</v>
      </c>
      <c r="B4067" t="s">
        <v>39</v>
      </c>
      <c r="C4067">
        <v>28</v>
      </c>
      <c r="D4067" t="str">
        <f t="shared" si="63"/>
        <v>15/09/2025A&amp;E (Emergency)</v>
      </c>
    </row>
    <row r="4068" spans="1:4">
      <c r="A4068" s="1">
        <v>45915</v>
      </c>
      <c r="B4068" t="s">
        <v>40</v>
      </c>
      <c r="C4068">
        <v>18</v>
      </c>
      <c r="D4068" t="str">
        <f t="shared" si="63"/>
        <v>15/09/2025Cardiology</v>
      </c>
    </row>
    <row r="4069" spans="1:4">
      <c r="A4069" s="1">
        <v>45915</v>
      </c>
      <c r="B4069" t="s">
        <v>51</v>
      </c>
      <c r="C4069">
        <v>15</v>
      </c>
      <c r="D4069" t="str">
        <f t="shared" si="63"/>
        <v>15/09/2025Respiratory</v>
      </c>
    </row>
    <row r="4070" spans="1:4">
      <c r="A4070" s="1">
        <v>45915</v>
      </c>
      <c r="B4070" t="s">
        <v>43</v>
      </c>
      <c r="C4070">
        <v>22</v>
      </c>
      <c r="D4070" t="str">
        <f t="shared" si="63"/>
        <v>15/09/2025General Surgery</v>
      </c>
    </row>
    <row r="4071" spans="1:4">
      <c r="A4071" s="1">
        <v>45915</v>
      </c>
      <c r="B4071" t="s">
        <v>48</v>
      </c>
      <c r="C4071">
        <v>16</v>
      </c>
      <c r="D4071" t="str">
        <f t="shared" si="63"/>
        <v>15/09/2025Orthopaedics</v>
      </c>
    </row>
    <row r="4072" spans="1:4">
      <c r="A4072" s="1">
        <v>45915</v>
      </c>
      <c r="B4072" t="s">
        <v>46</v>
      </c>
      <c r="C4072">
        <v>14</v>
      </c>
      <c r="D4072" t="str">
        <f t="shared" si="63"/>
        <v>15/09/2025Neurology</v>
      </c>
    </row>
    <row r="4073" spans="1:4">
      <c r="A4073" s="1">
        <v>45915</v>
      </c>
      <c r="B4073" t="s">
        <v>47</v>
      </c>
      <c r="C4073">
        <v>18</v>
      </c>
      <c r="D4073" t="str">
        <f t="shared" si="63"/>
        <v>15/09/2025Oncology</v>
      </c>
    </row>
    <row r="4074" spans="1:4">
      <c r="A4074" s="1">
        <v>45915</v>
      </c>
      <c r="B4074" t="s">
        <v>49</v>
      </c>
      <c r="C4074">
        <v>13</v>
      </c>
      <c r="D4074" t="str">
        <f t="shared" si="63"/>
        <v>15/09/2025Paediatrics</v>
      </c>
    </row>
    <row r="4075" spans="1:4">
      <c r="A4075" s="1">
        <v>45915</v>
      </c>
      <c r="B4075" t="s">
        <v>45</v>
      </c>
      <c r="C4075">
        <v>13</v>
      </c>
      <c r="D4075" t="str">
        <f t="shared" si="63"/>
        <v>15/09/2025Maternity</v>
      </c>
    </row>
    <row r="4076" spans="1:4">
      <c r="A4076" s="1">
        <v>45915</v>
      </c>
      <c r="B4076" t="s">
        <v>50</v>
      </c>
      <c r="C4076">
        <v>21</v>
      </c>
      <c r="D4076" t="str">
        <f t="shared" si="63"/>
        <v>15/09/2025Renal Medicine</v>
      </c>
    </row>
    <row r="4077" spans="1:4">
      <c r="A4077" s="1">
        <v>45915</v>
      </c>
      <c r="B4077" t="s">
        <v>42</v>
      </c>
      <c r="C4077">
        <v>12</v>
      </c>
      <c r="D4077" t="str">
        <f t="shared" si="63"/>
        <v>15/09/2025Gastroenterology</v>
      </c>
    </row>
    <row r="4078" spans="1:4">
      <c r="A4078" s="1">
        <v>45915</v>
      </c>
      <c r="B4078" t="s">
        <v>98</v>
      </c>
      <c r="C4078">
        <v>10</v>
      </c>
      <c r="D4078" t="str">
        <f t="shared" si="63"/>
        <v>15/09/2025Endocrinology</v>
      </c>
    </row>
    <row r="4079" spans="1:4">
      <c r="A4079" s="1">
        <v>45915</v>
      </c>
      <c r="B4079" t="s">
        <v>100</v>
      </c>
      <c r="C4079">
        <v>11</v>
      </c>
      <c r="D4079" t="str">
        <f t="shared" si="63"/>
        <v>15/09/2025Urology</v>
      </c>
    </row>
    <row r="4080" spans="1:4">
      <c r="A4080" s="1">
        <v>45915</v>
      </c>
      <c r="B4080" t="s">
        <v>41</v>
      </c>
      <c r="C4080">
        <v>13</v>
      </c>
      <c r="D4080" t="str">
        <f t="shared" si="63"/>
        <v>15/09/2025ENT</v>
      </c>
    </row>
    <row r="4081" spans="1:4">
      <c r="A4081" s="1">
        <v>45915</v>
      </c>
      <c r="B4081" t="s">
        <v>44</v>
      </c>
      <c r="C4081">
        <v>16</v>
      </c>
      <c r="D4081" t="str">
        <f t="shared" si="63"/>
        <v>15/09/2025Geriatrics</v>
      </c>
    </row>
    <row r="4082" spans="1:4">
      <c r="A4082" s="1">
        <v>45916</v>
      </c>
      <c r="B4082" t="s">
        <v>39</v>
      </c>
      <c r="C4082">
        <v>25</v>
      </c>
      <c r="D4082" t="str">
        <f t="shared" si="63"/>
        <v>16/09/2025A&amp;E (Emergency)</v>
      </c>
    </row>
    <row r="4083" spans="1:4">
      <c r="A4083" s="1">
        <v>45916</v>
      </c>
      <c r="B4083" t="s">
        <v>40</v>
      </c>
      <c r="C4083">
        <v>17</v>
      </c>
      <c r="D4083" t="str">
        <f t="shared" si="63"/>
        <v>16/09/2025Cardiology</v>
      </c>
    </row>
    <row r="4084" spans="1:4">
      <c r="A4084" s="1">
        <v>45916</v>
      </c>
      <c r="B4084" t="s">
        <v>51</v>
      </c>
      <c r="C4084">
        <v>14</v>
      </c>
      <c r="D4084" t="str">
        <f t="shared" si="63"/>
        <v>16/09/2025Respiratory</v>
      </c>
    </row>
    <row r="4085" spans="1:4">
      <c r="A4085" s="1">
        <v>45916</v>
      </c>
      <c r="B4085" t="s">
        <v>43</v>
      </c>
      <c r="C4085">
        <v>20</v>
      </c>
      <c r="D4085" t="str">
        <f t="shared" si="63"/>
        <v>16/09/2025General Surgery</v>
      </c>
    </row>
    <row r="4086" spans="1:4">
      <c r="A4086" s="1">
        <v>45916</v>
      </c>
      <c r="B4086" t="s">
        <v>48</v>
      </c>
      <c r="C4086">
        <v>15</v>
      </c>
      <c r="D4086" t="str">
        <f t="shared" si="63"/>
        <v>16/09/2025Orthopaedics</v>
      </c>
    </row>
    <row r="4087" spans="1:4">
      <c r="A4087" s="1">
        <v>45916</v>
      </c>
      <c r="B4087" t="s">
        <v>46</v>
      </c>
      <c r="C4087">
        <v>13</v>
      </c>
      <c r="D4087" t="str">
        <f t="shared" si="63"/>
        <v>16/09/2025Neurology</v>
      </c>
    </row>
    <row r="4088" spans="1:4">
      <c r="A4088" s="1">
        <v>45916</v>
      </c>
      <c r="B4088" t="s">
        <v>47</v>
      </c>
      <c r="C4088">
        <v>17</v>
      </c>
      <c r="D4088" t="str">
        <f t="shared" si="63"/>
        <v>16/09/2025Oncology</v>
      </c>
    </row>
    <row r="4089" spans="1:4">
      <c r="A4089" s="1">
        <v>45916</v>
      </c>
      <c r="B4089" t="s">
        <v>49</v>
      </c>
      <c r="C4089">
        <v>12</v>
      </c>
      <c r="D4089" t="str">
        <f t="shared" si="63"/>
        <v>16/09/2025Paediatrics</v>
      </c>
    </row>
    <row r="4090" spans="1:4">
      <c r="A4090" s="1">
        <v>45916</v>
      </c>
      <c r="B4090" t="s">
        <v>45</v>
      </c>
      <c r="C4090">
        <v>12</v>
      </c>
      <c r="D4090" t="str">
        <f t="shared" si="63"/>
        <v>16/09/2025Maternity</v>
      </c>
    </row>
    <row r="4091" spans="1:4">
      <c r="A4091" s="1">
        <v>45916</v>
      </c>
      <c r="B4091" t="s">
        <v>50</v>
      </c>
      <c r="C4091">
        <v>20</v>
      </c>
      <c r="D4091" t="str">
        <f t="shared" si="63"/>
        <v>16/09/2025Renal Medicine</v>
      </c>
    </row>
    <row r="4092" spans="1:4">
      <c r="A4092" s="1">
        <v>45916</v>
      </c>
      <c r="B4092" t="s">
        <v>42</v>
      </c>
      <c r="C4092">
        <v>11</v>
      </c>
      <c r="D4092" t="str">
        <f t="shared" si="63"/>
        <v>16/09/2025Gastroenterology</v>
      </c>
    </row>
    <row r="4093" spans="1:4">
      <c r="A4093" s="1">
        <v>45916</v>
      </c>
      <c r="B4093" t="s">
        <v>98</v>
      </c>
      <c r="C4093">
        <v>9</v>
      </c>
      <c r="D4093" t="str">
        <f t="shared" si="63"/>
        <v>16/09/2025Endocrinology</v>
      </c>
    </row>
    <row r="4094" spans="1:4">
      <c r="A4094" s="1">
        <v>45916</v>
      </c>
      <c r="B4094" t="s">
        <v>100</v>
      </c>
      <c r="C4094">
        <v>10</v>
      </c>
      <c r="D4094" t="str">
        <f t="shared" si="63"/>
        <v>16/09/2025Urology</v>
      </c>
    </row>
    <row r="4095" spans="1:4">
      <c r="A4095" s="1">
        <v>45916</v>
      </c>
      <c r="B4095" t="s">
        <v>41</v>
      </c>
      <c r="C4095">
        <v>12</v>
      </c>
      <c r="D4095" t="str">
        <f t="shared" si="63"/>
        <v>16/09/2025ENT</v>
      </c>
    </row>
    <row r="4096" spans="1:4">
      <c r="A4096" s="1">
        <v>45916</v>
      </c>
      <c r="B4096" t="s">
        <v>44</v>
      </c>
      <c r="C4096">
        <v>15</v>
      </c>
      <c r="D4096" t="str">
        <f t="shared" si="63"/>
        <v>16/09/2025Geriatrics</v>
      </c>
    </row>
    <row r="4097" spans="1:4">
      <c r="A4097" s="1">
        <v>45917</v>
      </c>
      <c r="B4097" t="s">
        <v>39</v>
      </c>
      <c r="C4097">
        <v>24</v>
      </c>
      <c r="D4097" t="str">
        <f t="shared" si="63"/>
        <v>17/09/2025A&amp;E (Emergency)</v>
      </c>
    </row>
    <row r="4098" spans="1:4">
      <c r="A4098" s="1">
        <v>45917</v>
      </c>
      <c r="B4098" t="s">
        <v>40</v>
      </c>
      <c r="C4098">
        <v>16</v>
      </c>
      <c r="D4098" t="str">
        <f t="shared" si="63"/>
        <v>17/09/2025Cardiology</v>
      </c>
    </row>
    <row r="4099" spans="1:4">
      <c r="A4099" s="1">
        <v>45917</v>
      </c>
      <c r="B4099" t="s">
        <v>51</v>
      </c>
      <c r="C4099">
        <v>13</v>
      </c>
      <c r="D4099" t="str">
        <f t="shared" ref="D4099:D4162" si="64">TEXT(A4099, "dd/mm/yyyy")&amp;B4099</f>
        <v>17/09/2025Respiratory</v>
      </c>
    </row>
    <row r="4100" spans="1:4">
      <c r="A4100" s="1">
        <v>45917</v>
      </c>
      <c r="B4100" t="s">
        <v>43</v>
      </c>
      <c r="C4100">
        <v>19</v>
      </c>
      <c r="D4100" t="str">
        <f t="shared" si="64"/>
        <v>17/09/2025General Surgery</v>
      </c>
    </row>
    <row r="4101" spans="1:4">
      <c r="A4101" s="1">
        <v>45917</v>
      </c>
      <c r="B4101" t="s">
        <v>48</v>
      </c>
      <c r="C4101">
        <v>14</v>
      </c>
      <c r="D4101" t="str">
        <f t="shared" si="64"/>
        <v>17/09/2025Orthopaedics</v>
      </c>
    </row>
    <row r="4102" spans="1:4">
      <c r="A4102" s="1">
        <v>45917</v>
      </c>
      <c r="B4102" t="s">
        <v>46</v>
      </c>
      <c r="C4102">
        <v>12</v>
      </c>
      <c r="D4102" t="str">
        <f t="shared" si="64"/>
        <v>17/09/2025Neurology</v>
      </c>
    </row>
    <row r="4103" spans="1:4">
      <c r="A4103" s="1">
        <v>45917</v>
      </c>
      <c r="B4103" t="s">
        <v>47</v>
      </c>
      <c r="C4103">
        <v>16</v>
      </c>
      <c r="D4103" t="str">
        <f t="shared" si="64"/>
        <v>17/09/2025Oncology</v>
      </c>
    </row>
    <row r="4104" spans="1:4">
      <c r="A4104" s="1">
        <v>45917</v>
      </c>
      <c r="B4104" t="s">
        <v>49</v>
      </c>
      <c r="C4104">
        <v>11</v>
      </c>
      <c r="D4104" t="str">
        <f t="shared" si="64"/>
        <v>17/09/2025Paediatrics</v>
      </c>
    </row>
    <row r="4105" spans="1:4">
      <c r="A4105" s="1">
        <v>45917</v>
      </c>
      <c r="B4105" t="s">
        <v>45</v>
      </c>
      <c r="C4105">
        <v>12</v>
      </c>
      <c r="D4105" t="str">
        <f t="shared" si="64"/>
        <v>17/09/2025Maternity</v>
      </c>
    </row>
    <row r="4106" spans="1:4">
      <c r="A4106" s="1">
        <v>45917</v>
      </c>
      <c r="B4106" t="s">
        <v>50</v>
      </c>
      <c r="C4106">
        <v>19</v>
      </c>
      <c r="D4106" t="str">
        <f t="shared" si="64"/>
        <v>17/09/2025Renal Medicine</v>
      </c>
    </row>
    <row r="4107" spans="1:4">
      <c r="A4107" s="1">
        <v>45917</v>
      </c>
      <c r="B4107" t="s">
        <v>42</v>
      </c>
      <c r="C4107">
        <v>10</v>
      </c>
      <c r="D4107" t="str">
        <f t="shared" si="64"/>
        <v>17/09/2025Gastroenterology</v>
      </c>
    </row>
    <row r="4108" spans="1:4">
      <c r="A4108" s="1">
        <v>45917</v>
      </c>
      <c r="B4108" t="s">
        <v>98</v>
      </c>
      <c r="C4108">
        <v>8</v>
      </c>
      <c r="D4108" t="str">
        <f t="shared" si="64"/>
        <v>17/09/2025Endocrinology</v>
      </c>
    </row>
    <row r="4109" spans="1:4">
      <c r="A4109" s="1">
        <v>45917</v>
      </c>
      <c r="B4109" t="s">
        <v>100</v>
      </c>
      <c r="C4109">
        <v>10</v>
      </c>
      <c r="D4109" t="str">
        <f t="shared" si="64"/>
        <v>17/09/2025Urology</v>
      </c>
    </row>
    <row r="4110" spans="1:4">
      <c r="A4110" s="1">
        <v>45917</v>
      </c>
      <c r="B4110" t="s">
        <v>41</v>
      </c>
      <c r="C4110">
        <v>12</v>
      </c>
      <c r="D4110" t="str">
        <f t="shared" si="64"/>
        <v>17/09/2025ENT</v>
      </c>
    </row>
    <row r="4111" spans="1:4">
      <c r="A4111" s="1">
        <v>45917</v>
      </c>
      <c r="B4111" t="s">
        <v>44</v>
      </c>
      <c r="C4111">
        <v>14</v>
      </c>
      <c r="D4111" t="str">
        <f t="shared" si="64"/>
        <v>17/09/2025Geriatrics</v>
      </c>
    </row>
    <row r="4112" spans="1:4">
      <c r="A4112" s="1">
        <v>45918</v>
      </c>
      <c r="B4112" t="s">
        <v>39</v>
      </c>
      <c r="C4112">
        <v>23</v>
      </c>
      <c r="D4112" t="str">
        <f t="shared" si="64"/>
        <v>18/09/2025A&amp;E (Emergency)</v>
      </c>
    </row>
    <row r="4113" spans="1:4">
      <c r="A4113" s="1">
        <v>45918</v>
      </c>
      <c r="B4113" t="s">
        <v>40</v>
      </c>
      <c r="C4113">
        <v>16</v>
      </c>
      <c r="D4113" t="str">
        <f t="shared" si="64"/>
        <v>18/09/2025Cardiology</v>
      </c>
    </row>
    <row r="4114" spans="1:4">
      <c r="A4114" s="1">
        <v>45918</v>
      </c>
      <c r="B4114" t="s">
        <v>51</v>
      </c>
      <c r="C4114">
        <v>13</v>
      </c>
      <c r="D4114" t="str">
        <f t="shared" si="64"/>
        <v>18/09/2025Respiratory</v>
      </c>
    </row>
    <row r="4115" spans="1:4">
      <c r="A4115" s="1">
        <v>45918</v>
      </c>
      <c r="B4115" t="s">
        <v>43</v>
      </c>
      <c r="C4115">
        <v>19</v>
      </c>
      <c r="D4115" t="str">
        <f t="shared" si="64"/>
        <v>18/09/2025General Surgery</v>
      </c>
    </row>
    <row r="4116" spans="1:4">
      <c r="A4116" s="1">
        <v>45918</v>
      </c>
      <c r="B4116" t="s">
        <v>48</v>
      </c>
      <c r="C4116">
        <v>14</v>
      </c>
      <c r="D4116" t="str">
        <f t="shared" si="64"/>
        <v>18/09/2025Orthopaedics</v>
      </c>
    </row>
    <row r="4117" spans="1:4">
      <c r="A4117" s="1">
        <v>45918</v>
      </c>
      <c r="B4117" t="s">
        <v>46</v>
      </c>
      <c r="C4117">
        <v>12</v>
      </c>
      <c r="D4117" t="str">
        <f t="shared" si="64"/>
        <v>18/09/2025Neurology</v>
      </c>
    </row>
    <row r="4118" spans="1:4">
      <c r="A4118" s="1">
        <v>45918</v>
      </c>
      <c r="B4118" t="s">
        <v>47</v>
      </c>
      <c r="C4118">
        <v>16</v>
      </c>
      <c r="D4118" t="str">
        <f t="shared" si="64"/>
        <v>18/09/2025Oncology</v>
      </c>
    </row>
    <row r="4119" spans="1:4">
      <c r="A4119" s="1">
        <v>45918</v>
      </c>
      <c r="B4119" t="s">
        <v>49</v>
      </c>
      <c r="C4119">
        <v>11</v>
      </c>
      <c r="D4119" t="str">
        <f t="shared" si="64"/>
        <v>18/09/2025Paediatrics</v>
      </c>
    </row>
    <row r="4120" spans="1:4">
      <c r="A4120" s="1">
        <v>45918</v>
      </c>
      <c r="B4120" t="s">
        <v>45</v>
      </c>
      <c r="C4120">
        <v>12</v>
      </c>
      <c r="D4120" t="str">
        <f t="shared" si="64"/>
        <v>18/09/2025Maternity</v>
      </c>
    </row>
    <row r="4121" spans="1:4">
      <c r="A4121" s="1">
        <v>45918</v>
      </c>
      <c r="B4121" t="s">
        <v>50</v>
      </c>
      <c r="C4121">
        <v>19</v>
      </c>
      <c r="D4121" t="str">
        <f t="shared" si="64"/>
        <v>18/09/2025Renal Medicine</v>
      </c>
    </row>
    <row r="4122" spans="1:4">
      <c r="A4122" s="1">
        <v>45918</v>
      </c>
      <c r="B4122" t="s">
        <v>42</v>
      </c>
      <c r="C4122">
        <v>10</v>
      </c>
      <c r="D4122" t="str">
        <f t="shared" si="64"/>
        <v>18/09/2025Gastroenterology</v>
      </c>
    </row>
    <row r="4123" spans="1:4">
      <c r="A4123" s="1">
        <v>45918</v>
      </c>
      <c r="B4123" t="s">
        <v>98</v>
      </c>
      <c r="C4123">
        <v>8</v>
      </c>
      <c r="D4123" t="str">
        <f t="shared" si="64"/>
        <v>18/09/2025Endocrinology</v>
      </c>
    </row>
    <row r="4124" spans="1:4">
      <c r="A4124" s="1">
        <v>45918</v>
      </c>
      <c r="B4124" t="s">
        <v>100</v>
      </c>
      <c r="C4124">
        <v>10</v>
      </c>
      <c r="D4124" t="str">
        <f t="shared" si="64"/>
        <v>18/09/2025Urology</v>
      </c>
    </row>
    <row r="4125" spans="1:4">
      <c r="A4125" s="1">
        <v>45918</v>
      </c>
      <c r="B4125" t="s">
        <v>41</v>
      </c>
      <c r="C4125">
        <v>12</v>
      </c>
      <c r="D4125" t="str">
        <f t="shared" si="64"/>
        <v>18/09/2025ENT</v>
      </c>
    </row>
    <row r="4126" spans="1:4">
      <c r="A4126" s="1">
        <v>45918</v>
      </c>
      <c r="B4126" t="s">
        <v>44</v>
      </c>
      <c r="C4126">
        <v>14</v>
      </c>
      <c r="D4126" t="str">
        <f t="shared" si="64"/>
        <v>18/09/2025Geriatrics</v>
      </c>
    </row>
    <row r="4127" spans="1:4">
      <c r="A4127" s="1">
        <v>45919</v>
      </c>
      <c r="B4127" t="s">
        <v>39</v>
      </c>
      <c r="C4127">
        <v>22</v>
      </c>
      <c r="D4127" t="str">
        <f t="shared" si="64"/>
        <v>19/09/2025A&amp;E (Emergency)</v>
      </c>
    </row>
    <row r="4128" spans="1:4">
      <c r="A4128" s="1">
        <v>45919</v>
      </c>
      <c r="B4128" t="s">
        <v>40</v>
      </c>
      <c r="C4128">
        <v>15</v>
      </c>
      <c r="D4128" t="str">
        <f t="shared" si="64"/>
        <v>19/09/2025Cardiology</v>
      </c>
    </row>
    <row r="4129" spans="1:4">
      <c r="A4129" s="1">
        <v>45919</v>
      </c>
      <c r="B4129" t="s">
        <v>51</v>
      </c>
      <c r="C4129">
        <v>12</v>
      </c>
      <c r="D4129" t="str">
        <f t="shared" si="64"/>
        <v>19/09/2025Respiratory</v>
      </c>
    </row>
    <row r="4130" spans="1:4">
      <c r="A4130" s="1">
        <v>45919</v>
      </c>
      <c r="B4130" t="s">
        <v>43</v>
      </c>
      <c r="C4130">
        <v>18</v>
      </c>
      <c r="D4130" t="str">
        <f t="shared" si="64"/>
        <v>19/09/2025General Surgery</v>
      </c>
    </row>
    <row r="4131" spans="1:4">
      <c r="A4131" s="1">
        <v>45919</v>
      </c>
      <c r="B4131" t="s">
        <v>48</v>
      </c>
      <c r="C4131">
        <v>13</v>
      </c>
      <c r="D4131" t="str">
        <f t="shared" si="64"/>
        <v>19/09/2025Orthopaedics</v>
      </c>
    </row>
    <row r="4132" spans="1:4">
      <c r="A4132" s="1">
        <v>45919</v>
      </c>
      <c r="B4132" t="s">
        <v>46</v>
      </c>
      <c r="C4132">
        <v>11</v>
      </c>
      <c r="D4132" t="str">
        <f t="shared" si="64"/>
        <v>19/09/2025Neurology</v>
      </c>
    </row>
    <row r="4133" spans="1:4">
      <c r="A4133" s="1">
        <v>45919</v>
      </c>
      <c r="B4133" t="s">
        <v>47</v>
      </c>
      <c r="C4133">
        <v>15</v>
      </c>
      <c r="D4133" t="str">
        <f t="shared" si="64"/>
        <v>19/09/2025Oncology</v>
      </c>
    </row>
    <row r="4134" spans="1:4">
      <c r="A4134" s="1">
        <v>45919</v>
      </c>
      <c r="B4134" t="s">
        <v>49</v>
      </c>
      <c r="C4134">
        <v>10</v>
      </c>
      <c r="D4134" t="str">
        <f t="shared" si="64"/>
        <v>19/09/2025Paediatrics</v>
      </c>
    </row>
    <row r="4135" spans="1:4">
      <c r="A4135" s="1">
        <v>45919</v>
      </c>
      <c r="B4135" t="s">
        <v>45</v>
      </c>
      <c r="C4135">
        <v>11</v>
      </c>
      <c r="D4135" t="str">
        <f t="shared" si="64"/>
        <v>19/09/2025Maternity</v>
      </c>
    </row>
    <row r="4136" spans="1:4">
      <c r="A4136" s="1">
        <v>45919</v>
      </c>
      <c r="B4136" t="s">
        <v>50</v>
      </c>
      <c r="C4136">
        <v>18</v>
      </c>
      <c r="D4136" t="str">
        <f t="shared" si="64"/>
        <v>19/09/2025Renal Medicine</v>
      </c>
    </row>
    <row r="4137" spans="1:4">
      <c r="A4137" s="1">
        <v>45919</v>
      </c>
      <c r="B4137" t="s">
        <v>42</v>
      </c>
      <c r="C4137">
        <v>9</v>
      </c>
      <c r="D4137" t="str">
        <f t="shared" si="64"/>
        <v>19/09/2025Gastroenterology</v>
      </c>
    </row>
    <row r="4138" spans="1:4">
      <c r="A4138" s="1">
        <v>45919</v>
      </c>
      <c r="B4138" t="s">
        <v>98</v>
      </c>
      <c r="C4138">
        <v>7</v>
      </c>
      <c r="D4138" t="str">
        <f t="shared" si="64"/>
        <v>19/09/2025Endocrinology</v>
      </c>
    </row>
    <row r="4139" spans="1:4">
      <c r="A4139" s="1">
        <v>45919</v>
      </c>
      <c r="B4139" t="s">
        <v>100</v>
      </c>
      <c r="C4139">
        <v>9</v>
      </c>
      <c r="D4139" t="str">
        <f t="shared" si="64"/>
        <v>19/09/2025Urology</v>
      </c>
    </row>
    <row r="4140" spans="1:4">
      <c r="A4140" s="1">
        <v>45919</v>
      </c>
      <c r="B4140" t="s">
        <v>41</v>
      </c>
      <c r="C4140">
        <v>11</v>
      </c>
      <c r="D4140" t="str">
        <f t="shared" si="64"/>
        <v>19/09/2025ENT</v>
      </c>
    </row>
    <row r="4141" spans="1:4">
      <c r="A4141" s="1">
        <v>45919</v>
      </c>
      <c r="B4141" t="s">
        <v>44</v>
      </c>
      <c r="C4141">
        <v>13</v>
      </c>
      <c r="D4141" t="str">
        <f t="shared" si="64"/>
        <v>19/09/2025Geriatrics</v>
      </c>
    </row>
    <row r="4142" spans="1:4">
      <c r="A4142" s="1">
        <v>45920</v>
      </c>
      <c r="B4142" t="s">
        <v>39</v>
      </c>
      <c r="C4142">
        <v>20</v>
      </c>
      <c r="D4142" t="str">
        <f t="shared" si="64"/>
        <v>20/09/2025A&amp;E (Emergency)</v>
      </c>
    </row>
    <row r="4143" spans="1:4">
      <c r="A4143" s="1">
        <v>45920</v>
      </c>
      <c r="B4143" t="s">
        <v>40</v>
      </c>
      <c r="C4143">
        <v>12</v>
      </c>
      <c r="D4143" t="str">
        <f t="shared" si="64"/>
        <v>20/09/2025Cardiology</v>
      </c>
    </row>
    <row r="4144" spans="1:4">
      <c r="A4144" s="1">
        <v>45920</v>
      </c>
      <c r="B4144" t="s">
        <v>51</v>
      </c>
      <c r="C4144">
        <v>9</v>
      </c>
      <c r="D4144" t="str">
        <f t="shared" si="64"/>
        <v>20/09/2025Respiratory</v>
      </c>
    </row>
    <row r="4145" spans="1:4">
      <c r="A4145" s="1">
        <v>45920</v>
      </c>
      <c r="B4145" t="s">
        <v>43</v>
      </c>
      <c r="C4145">
        <v>15</v>
      </c>
      <c r="D4145" t="str">
        <f t="shared" si="64"/>
        <v>20/09/2025General Surgery</v>
      </c>
    </row>
    <row r="4146" spans="1:4">
      <c r="A4146" s="1">
        <v>45920</v>
      </c>
      <c r="B4146" t="s">
        <v>48</v>
      </c>
      <c r="C4146">
        <v>11</v>
      </c>
      <c r="D4146" t="str">
        <f t="shared" si="64"/>
        <v>20/09/2025Orthopaedics</v>
      </c>
    </row>
    <row r="4147" spans="1:4">
      <c r="A4147" s="1">
        <v>45920</v>
      </c>
      <c r="B4147" t="s">
        <v>46</v>
      </c>
      <c r="C4147">
        <v>9</v>
      </c>
      <c r="D4147" t="str">
        <f t="shared" si="64"/>
        <v>20/09/2025Neurology</v>
      </c>
    </row>
    <row r="4148" spans="1:4">
      <c r="A4148" s="1">
        <v>45920</v>
      </c>
      <c r="B4148" t="s">
        <v>47</v>
      </c>
      <c r="C4148">
        <v>13</v>
      </c>
      <c r="D4148" t="str">
        <f t="shared" si="64"/>
        <v>20/09/2025Oncology</v>
      </c>
    </row>
    <row r="4149" spans="1:4">
      <c r="A4149" s="1">
        <v>45920</v>
      </c>
      <c r="B4149" t="s">
        <v>49</v>
      </c>
      <c r="C4149">
        <v>9</v>
      </c>
      <c r="D4149" t="str">
        <f t="shared" si="64"/>
        <v>20/09/2025Paediatrics</v>
      </c>
    </row>
    <row r="4150" spans="1:4">
      <c r="A4150" s="1">
        <v>45920</v>
      </c>
      <c r="B4150" t="s">
        <v>45</v>
      </c>
      <c r="C4150">
        <v>10</v>
      </c>
      <c r="D4150" t="str">
        <f t="shared" si="64"/>
        <v>20/09/2025Maternity</v>
      </c>
    </row>
    <row r="4151" spans="1:4">
      <c r="A4151" s="1">
        <v>45920</v>
      </c>
      <c r="B4151" t="s">
        <v>50</v>
      </c>
      <c r="C4151">
        <v>17</v>
      </c>
      <c r="D4151" t="str">
        <f t="shared" si="64"/>
        <v>20/09/2025Renal Medicine</v>
      </c>
    </row>
    <row r="4152" spans="1:4">
      <c r="A4152" s="1">
        <v>45920</v>
      </c>
      <c r="B4152" t="s">
        <v>42</v>
      </c>
      <c r="C4152">
        <v>7</v>
      </c>
      <c r="D4152" t="str">
        <f t="shared" si="64"/>
        <v>20/09/2025Gastroenterology</v>
      </c>
    </row>
    <row r="4153" spans="1:4">
      <c r="A4153" s="1">
        <v>45920</v>
      </c>
      <c r="B4153" t="s">
        <v>98</v>
      </c>
      <c r="C4153">
        <v>6</v>
      </c>
      <c r="D4153" t="str">
        <f t="shared" si="64"/>
        <v>20/09/2025Endocrinology</v>
      </c>
    </row>
    <row r="4154" spans="1:4">
      <c r="A4154" s="1">
        <v>45920</v>
      </c>
      <c r="B4154" t="s">
        <v>100</v>
      </c>
      <c r="C4154">
        <v>8</v>
      </c>
      <c r="D4154" t="str">
        <f t="shared" si="64"/>
        <v>20/09/2025Urology</v>
      </c>
    </row>
    <row r="4155" spans="1:4">
      <c r="A4155" s="1">
        <v>45920</v>
      </c>
      <c r="B4155" t="s">
        <v>41</v>
      </c>
      <c r="C4155">
        <v>10</v>
      </c>
      <c r="D4155" t="str">
        <f t="shared" si="64"/>
        <v>20/09/2025ENT</v>
      </c>
    </row>
    <row r="4156" spans="1:4">
      <c r="A4156" s="1">
        <v>45920</v>
      </c>
      <c r="B4156" t="s">
        <v>44</v>
      </c>
      <c r="C4156">
        <v>12</v>
      </c>
      <c r="D4156" t="str">
        <f t="shared" si="64"/>
        <v>20/09/2025Geriatrics</v>
      </c>
    </row>
    <row r="4157" spans="1:4">
      <c r="A4157" s="1">
        <v>45921</v>
      </c>
      <c r="B4157" t="s">
        <v>39</v>
      </c>
      <c r="C4157">
        <v>19</v>
      </c>
      <c r="D4157" t="str">
        <f t="shared" si="64"/>
        <v>21/09/2025A&amp;E (Emergency)</v>
      </c>
    </row>
    <row r="4158" spans="1:4">
      <c r="A4158" s="1">
        <v>45921</v>
      </c>
      <c r="B4158" t="s">
        <v>40</v>
      </c>
      <c r="C4158">
        <v>11</v>
      </c>
      <c r="D4158" t="str">
        <f t="shared" si="64"/>
        <v>21/09/2025Cardiology</v>
      </c>
    </row>
    <row r="4159" spans="1:4">
      <c r="A4159" s="1">
        <v>45921</v>
      </c>
      <c r="B4159" t="s">
        <v>51</v>
      </c>
      <c r="C4159">
        <v>9</v>
      </c>
      <c r="D4159" t="str">
        <f t="shared" si="64"/>
        <v>21/09/2025Respiratory</v>
      </c>
    </row>
    <row r="4160" spans="1:4">
      <c r="A4160" s="1">
        <v>45921</v>
      </c>
      <c r="B4160" t="s">
        <v>43</v>
      </c>
      <c r="C4160">
        <v>14</v>
      </c>
      <c r="D4160" t="str">
        <f t="shared" si="64"/>
        <v>21/09/2025General Surgery</v>
      </c>
    </row>
    <row r="4161" spans="1:4">
      <c r="A4161" s="1">
        <v>45921</v>
      </c>
      <c r="B4161" t="s">
        <v>48</v>
      </c>
      <c r="C4161">
        <v>10</v>
      </c>
      <c r="D4161" t="str">
        <f t="shared" si="64"/>
        <v>21/09/2025Orthopaedics</v>
      </c>
    </row>
    <row r="4162" spans="1:4">
      <c r="A4162" s="1">
        <v>45921</v>
      </c>
      <c r="B4162" t="s">
        <v>46</v>
      </c>
      <c r="C4162">
        <v>9</v>
      </c>
      <c r="D4162" t="str">
        <f t="shared" si="64"/>
        <v>21/09/2025Neurology</v>
      </c>
    </row>
    <row r="4163" spans="1:4">
      <c r="A4163" s="1">
        <v>45921</v>
      </c>
      <c r="B4163" t="s">
        <v>47</v>
      </c>
      <c r="C4163">
        <v>12</v>
      </c>
      <c r="D4163" t="str">
        <f t="shared" ref="D4163:D4186" si="65">TEXT(A4163, "dd/mm/yyyy")&amp;B4163</f>
        <v>21/09/2025Oncology</v>
      </c>
    </row>
    <row r="4164" spans="1:4">
      <c r="A4164" s="1">
        <v>45921</v>
      </c>
      <c r="B4164" t="s">
        <v>49</v>
      </c>
      <c r="C4164">
        <v>8</v>
      </c>
      <c r="D4164" t="str">
        <f t="shared" si="65"/>
        <v>21/09/2025Paediatrics</v>
      </c>
    </row>
    <row r="4165" spans="1:4">
      <c r="A4165" s="1">
        <v>45921</v>
      </c>
      <c r="B4165" t="s">
        <v>45</v>
      </c>
      <c r="C4165">
        <v>9</v>
      </c>
      <c r="D4165" t="str">
        <f t="shared" si="65"/>
        <v>21/09/2025Maternity</v>
      </c>
    </row>
    <row r="4166" spans="1:4">
      <c r="A4166" s="1">
        <v>45921</v>
      </c>
      <c r="B4166" t="s">
        <v>50</v>
      </c>
      <c r="C4166">
        <v>17</v>
      </c>
      <c r="D4166" t="str">
        <f t="shared" si="65"/>
        <v>21/09/2025Renal Medicine</v>
      </c>
    </row>
    <row r="4167" spans="1:4">
      <c r="A4167" s="1">
        <v>45921</v>
      </c>
      <c r="B4167" t="s">
        <v>42</v>
      </c>
      <c r="C4167">
        <v>7</v>
      </c>
      <c r="D4167" t="str">
        <f t="shared" si="65"/>
        <v>21/09/2025Gastroenterology</v>
      </c>
    </row>
    <row r="4168" spans="1:4">
      <c r="A4168" s="1">
        <v>45921</v>
      </c>
      <c r="B4168" t="s">
        <v>98</v>
      </c>
      <c r="C4168">
        <v>6</v>
      </c>
      <c r="D4168" t="str">
        <f t="shared" si="65"/>
        <v>21/09/2025Endocrinology</v>
      </c>
    </row>
    <row r="4169" spans="1:4">
      <c r="A4169" s="1">
        <v>45921</v>
      </c>
      <c r="B4169" t="s">
        <v>100</v>
      </c>
      <c r="C4169">
        <v>8</v>
      </c>
      <c r="D4169" t="str">
        <f t="shared" si="65"/>
        <v>21/09/2025Urology</v>
      </c>
    </row>
    <row r="4170" spans="1:4">
      <c r="A4170" s="1">
        <v>45921</v>
      </c>
      <c r="B4170" t="s">
        <v>41</v>
      </c>
      <c r="C4170">
        <v>10</v>
      </c>
      <c r="D4170" t="str">
        <f t="shared" si="65"/>
        <v>21/09/2025ENT</v>
      </c>
    </row>
    <row r="4171" spans="1:4">
      <c r="A4171" s="1">
        <v>45921</v>
      </c>
      <c r="B4171" t="s">
        <v>44</v>
      </c>
      <c r="C4171">
        <v>12</v>
      </c>
      <c r="D4171" t="str">
        <f t="shared" si="65"/>
        <v>21/09/2025Geriatrics</v>
      </c>
    </row>
    <row r="4172" spans="1:4">
      <c r="A4172" s="1">
        <v>45922</v>
      </c>
      <c r="B4172" t="s">
        <v>39</v>
      </c>
      <c r="C4172">
        <v>28</v>
      </c>
      <c r="D4172" t="str">
        <f t="shared" si="65"/>
        <v>22/09/2025A&amp;E (Emergency)</v>
      </c>
    </row>
    <row r="4173" spans="1:4">
      <c r="A4173" s="1">
        <v>45922</v>
      </c>
      <c r="B4173" t="s">
        <v>40</v>
      </c>
      <c r="C4173">
        <v>18</v>
      </c>
      <c r="D4173" t="str">
        <f t="shared" si="65"/>
        <v>22/09/2025Cardiology</v>
      </c>
    </row>
    <row r="4174" spans="1:4">
      <c r="A4174" s="1">
        <v>45922</v>
      </c>
      <c r="B4174" t="s">
        <v>51</v>
      </c>
      <c r="C4174">
        <v>15</v>
      </c>
      <c r="D4174" t="str">
        <f t="shared" si="65"/>
        <v>22/09/2025Respiratory</v>
      </c>
    </row>
    <row r="4175" spans="1:4">
      <c r="A4175" s="1">
        <v>45922</v>
      </c>
      <c r="B4175" t="s">
        <v>43</v>
      </c>
      <c r="C4175">
        <v>22</v>
      </c>
      <c r="D4175" t="str">
        <f t="shared" si="65"/>
        <v>22/09/2025General Surgery</v>
      </c>
    </row>
    <row r="4176" spans="1:4">
      <c r="A4176" s="1">
        <v>45922</v>
      </c>
      <c r="B4176" t="s">
        <v>48</v>
      </c>
      <c r="C4176">
        <v>16</v>
      </c>
      <c r="D4176" t="str">
        <f t="shared" si="65"/>
        <v>22/09/2025Orthopaedics</v>
      </c>
    </row>
    <row r="4177" spans="1:4">
      <c r="A4177" s="1">
        <v>45922</v>
      </c>
      <c r="B4177" t="s">
        <v>46</v>
      </c>
      <c r="C4177">
        <v>14</v>
      </c>
      <c r="D4177" t="str">
        <f t="shared" si="65"/>
        <v>22/09/2025Neurology</v>
      </c>
    </row>
    <row r="4178" spans="1:4">
      <c r="A4178" s="1">
        <v>45922</v>
      </c>
      <c r="B4178" t="s">
        <v>47</v>
      </c>
      <c r="C4178">
        <v>18</v>
      </c>
      <c r="D4178" t="str">
        <f t="shared" si="65"/>
        <v>22/09/2025Oncology</v>
      </c>
    </row>
    <row r="4179" spans="1:4">
      <c r="A4179" s="1">
        <v>45922</v>
      </c>
      <c r="B4179" t="s">
        <v>49</v>
      </c>
      <c r="C4179">
        <v>13</v>
      </c>
      <c r="D4179" t="str">
        <f t="shared" si="65"/>
        <v>22/09/2025Paediatrics</v>
      </c>
    </row>
    <row r="4180" spans="1:4">
      <c r="A4180" s="1">
        <v>45922</v>
      </c>
      <c r="B4180" t="s">
        <v>45</v>
      </c>
      <c r="C4180">
        <v>13</v>
      </c>
      <c r="D4180" t="str">
        <f t="shared" si="65"/>
        <v>22/09/2025Maternity</v>
      </c>
    </row>
    <row r="4181" spans="1:4">
      <c r="A4181" s="1">
        <v>45922</v>
      </c>
      <c r="B4181" t="s">
        <v>50</v>
      </c>
      <c r="C4181">
        <v>21</v>
      </c>
      <c r="D4181" t="str">
        <f t="shared" si="65"/>
        <v>22/09/2025Renal Medicine</v>
      </c>
    </row>
    <row r="4182" spans="1:4">
      <c r="A4182" s="1">
        <v>45922</v>
      </c>
      <c r="B4182" t="s">
        <v>42</v>
      </c>
      <c r="C4182">
        <v>12</v>
      </c>
      <c r="D4182" t="str">
        <f t="shared" si="65"/>
        <v>22/09/2025Gastroenterology</v>
      </c>
    </row>
    <row r="4183" spans="1:4">
      <c r="A4183" s="1">
        <v>45922</v>
      </c>
      <c r="B4183" t="s">
        <v>98</v>
      </c>
      <c r="C4183">
        <v>10</v>
      </c>
      <c r="D4183" t="str">
        <f t="shared" si="65"/>
        <v>22/09/2025Endocrinology</v>
      </c>
    </row>
    <row r="4184" spans="1:4">
      <c r="A4184" s="1">
        <v>45922</v>
      </c>
      <c r="B4184" t="s">
        <v>100</v>
      </c>
      <c r="C4184">
        <v>11</v>
      </c>
      <c r="D4184" t="str">
        <f t="shared" si="65"/>
        <v>22/09/2025Urology</v>
      </c>
    </row>
    <row r="4185" spans="1:4">
      <c r="A4185" s="1">
        <v>45922</v>
      </c>
      <c r="B4185" t="s">
        <v>41</v>
      </c>
      <c r="C4185">
        <v>13</v>
      </c>
      <c r="D4185" t="str">
        <f t="shared" si="65"/>
        <v>22/09/2025ENT</v>
      </c>
    </row>
    <row r="4186" spans="1:4">
      <c r="A4186" s="1">
        <v>45922</v>
      </c>
      <c r="B4186" t="s">
        <v>44</v>
      </c>
      <c r="C4186">
        <v>16</v>
      </c>
      <c r="D4186" t="str">
        <f t="shared" si="65"/>
        <v>22/09/2025Geriatrics</v>
      </c>
    </row>
  </sheetData>
  <autoFilter ref="A1:D4186" xr:uid="{68411F54-9F57-46A9-A233-61FA5296E63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C0E0-0230-46E3-8D8D-FEF9A761414C}">
  <dimension ref="A1:B4186"/>
  <sheetViews>
    <sheetView workbookViewId="0"/>
  </sheetViews>
  <sheetFormatPr defaultRowHeight="15"/>
  <cols>
    <col min="1" max="1" width="27.7109375" customWidth="1"/>
    <col min="2" max="2" width="14.42578125" customWidth="1"/>
  </cols>
  <sheetData>
    <row r="1" spans="1:2">
      <c r="A1" s="2" t="s">
        <v>71</v>
      </c>
      <c r="B1" s="2" t="s">
        <v>62</v>
      </c>
    </row>
    <row r="2" spans="1:2">
      <c r="A2" t="s">
        <v>105</v>
      </c>
      <c r="B2">
        <v>24</v>
      </c>
    </row>
    <row r="3" spans="1:2">
      <c r="A3" t="s">
        <v>106</v>
      </c>
      <c r="B3">
        <v>16</v>
      </c>
    </row>
    <row r="4" spans="1:2">
      <c r="A4" t="s">
        <v>107</v>
      </c>
      <c r="B4">
        <v>12</v>
      </c>
    </row>
    <row r="5" spans="1:2">
      <c r="A5" t="s">
        <v>108</v>
      </c>
      <c r="B5">
        <v>19</v>
      </c>
    </row>
    <row r="6" spans="1:2">
      <c r="A6" t="s">
        <v>109</v>
      </c>
      <c r="B6">
        <v>14</v>
      </c>
    </row>
    <row r="7" spans="1:2">
      <c r="A7" t="s">
        <v>110</v>
      </c>
      <c r="B7">
        <v>12</v>
      </c>
    </row>
    <row r="8" spans="1:2">
      <c r="A8" t="s">
        <v>111</v>
      </c>
      <c r="B8">
        <v>17</v>
      </c>
    </row>
    <row r="9" spans="1:2">
      <c r="A9" t="s">
        <v>112</v>
      </c>
      <c r="B9">
        <v>11</v>
      </c>
    </row>
    <row r="10" spans="1:2">
      <c r="A10" t="s">
        <v>113</v>
      </c>
      <c r="B10">
        <v>12</v>
      </c>
    </row>
    <row r="11" spans="1:2">
      <c r="A11" t="s">
        <v>114</v>
      </c>
      <c r="B11">
        <v>20</v>
      </c>
    </row>
    <row r="12" spans="1:2">
      <c r="A12" t="s">
        <v>115</v>
      </c>
      <c r="B12">
        <v>10</v>
      </c>
    </row>
    <row r="13" spans="1:2">
      <c r="A13" t="s">
        <v>116</v>
      </c>
      <c r="B13">
        <v>8</v>
      </c>
    </row>
    <row r="14" spans="1:2">
      <c r="A14" t="s">
        <v>117</v>
      </c>
      <c r="B14">
        <v>10</v>
      </c>
    </row>
    <row r="15" spans="1:2">
      <c r="A15" t="s">
        <v>118</v>
      </c>
      <c r="B15">
        <v>12</v>
      </c>
    </row>
    <row r="16" spans="1:2">
      <c r="A16" t="s">
        <v>119</v>
      </c>
      <c r="B16">
        <v>15</v>
      </c>
    </row>
    <row r="17" spans="1:2">
      <c r="A17" t="s">
        <v>120</v>
      </c>
      <c r="B17">
        <v>23</v>
      </c>
    </row>
    <row r="18" spans="1:2">
      <c r="A18" t="s">
        <v>121</v>
      </c>
      <c r="B18">
        <v>15</v>
      </c>
    </row>
    <row r="19" spans="1:2">
      <c r="A19" t="s">
        <v>122</v>
      </c>
      <c r="B19">
        <v>11</v>
      </c>
    </row>
    <row r="20" spans="1:2">
      <c r="A20" t="s">
        <v>123</v>
      </c>
      <c r="B20">
        <v>18</v>
      </c>
    </row>
    <row r="21" spans="1:2">
      <c r="A21" t="s">
        <v>124</v>
      </c>
      <c r="B21">
        <v>13</v>
      </c>
    </row>
    <row r="22" spans="1:2">
      <c r="A22" t="s">
        <v>125</v>
      </c>
      <c r="B22">
        <v>11</v>
      </c>
    </row>
    <row r="23" spans="1:2">
      <c r="A23" t="s">
        <v>126</v>
      </c>
      <c r="B23">
        <v>16</v>
      </c>
    </row>
    <row r="24" spans="1:2">
      <c r="A24" t="s">
        <v>127</v>
      </c>
      <c r="B24">
        <v>10</v>
      </c>
    </row>
    <row r="25" spans="1:2">
      <c r="A25" t="s">
        <v>128</v>
      </c>
      <c r="B25">
        <v>11</v>
      </c>
    </row>
    <row r="26" spans="1:2">
      <c r="A26" t="s">
        <v>129</v>
      </c>
      <c r="B26">
        <v>19</v>
      </c>
    </row>
    <row r="27" spans="1:2">
      <c r="A27" t="s">
        <v>130</v>
      </c>
      <c r="B27">
        <v>9</v>
      </c>
    </row>
    <row r="28" spans="1:2">
      <c r="A28" t="s">
        <v>131</v>
      </c>
      <c r="B28">
        <v>7</v>
      </c>
    </row>
    <row r="29" spans="1:2">
      <c r="A29" t="s">
        <v>132</v>
      </c>
      <c r="B29">
        <v>9</v>
      </c>
    </row>
    <row r="30" spans="1:2">
      <c r="A30" t="s">
        <v>133</v>
      </c>
      <c r="B30">
        <v>11</v>
      </c>
    </row>
    <row r="31" spans="1:2">
      <c r="A31" t="s">
        <v>134</v>
      </c>
      <c r="B31">
        <v>14</v>
      </c>
    </row>
    <row r="32" spans="1:2">
      <c r="A32" t="s">
        <v>135</v>
      </c>
      <c r="B32">
        <v>22</v>
      </c>
    </row>
    <row r="33" spans="1:2">
      <c r="A33" t="s">
        <v>136</v>
      </c>
      <c r="B33">
        <v>15</v>
      </c>
    </row>
    <row r="34" spans="1:2">
      <c r="A34" t="s">
        <v>137</v>
      </c>
      <c r="B34">
        <v>12</v>
      </c>
    </row>
    <row r="35" spans="1:2">
      <c r="A35" t="s">
        <v>138</v>
      </c>
      <c r="B35">
        <v>18</v>
      </c>
    </row>
    <row r="36" spans="1:2">
      <c r="A36" t="s">
        <v>139</v>
      </c>
      <c r="B36">
        <v>14</v>
      </c>
    </row>
    <row r="37" spans="1:2">
      <c r="A37" t="s">
        <v>140</v>
      </c>
      <c r="B37">
        <v>12</v>
      </c>
    </row>
    <row r="38" spans="1:2">
      <c r="A38" t="s">
        <v>141</v>
      </c>
      <c r="B38">
        <v>17</v>
      </c>
    </row>
    <row r="39" spans="1:2">
      <c r="A39" t="s">
        <v>142</v>
      </c>
      <c r="B39">
        <v>11</v>
      </c>
    </row>
    <row r="40" spans="1:2">
      <c r="A40" t="s">
        <v>143</v>
      </c>
      <c r="B40">
        <v>12</v>
      </c>
    </row>
    <row r="41" spans="1:2">
      <c r="A41" t="s">
        <v>144</v>
      </c>
      <c r="B41">
        <v>19</v>
      </c>
    </row>
    <row r="42" spans="1:2">
      <c r="A42" t="s">
        <v>145</v>
      </c>
      <c r="B42">
        <v>10</v>
      </c>
    </row>
    <row r="43" spans="1:2">
      <c r="A43" t="s">
        <v>146</v>
      </c>
      <c r="B43">
        <v>8</v>
      </c>
    </row>
    <row r="44" spans="1:2">
      <c r="A44" t="s">
        <v>147</v>
      </c>
      <c r="B44">
        <v>10</v>
      </c>
    </row>
    <row r="45" spans="1:2">
      <c r="A45" t="s">
        <v>148</v>
      </c>
      <c r="B45">
        <v>12</v>
      </c>
    </row>
    <row r="46" spans="1:2">
      <c r="A46" t="s">
        <v>149</v>
      </c>
      <c r="B46">
        <v>15</v>
      </c>
    </row>
    <row r="47" spans="1:2">
      <c r="A47" t="s">
        <v>150</v>
      </c>
      <c r="B47">
        <v>21</v>
      </c>
    </row>
    <row r="48" spans="1:2">
      <c r="A48" t="s">
        <v>151</v>
      </c>
      <c r="B48">
        <v>12</v>
      </c>
    </row>
    <row r="49" spans="1:2">
      <c r="A49" t="s">
        <v>152</v>
      </c>
      <c r="B49">
        <v>9</v>
      </c>
    </row>
    <row r="50" spans="1:2">
      <c r="A50" t="s">
        <v>153</v>
      </c>
      <c r="B50">
        <v>15</v>
      </c>
    </row>
    <row r="51" spans="1:2">
      <c r="A51" t="s">
        <v>154</v>
      </c>
      <c r="B51">
        <v>11</v>
      </c>
    </row>
    <row r="52" spans="1:2">
      <c r="A52" t="s">
        <v>155</v>
      </c>
      <c r="B52">
        <v>9</v>
      </c>
    </row>
    <row r="53" spans="1:2">
      <c r="A53" t="s">
        <v>156</v>
      </c>
      <c r="B53">
        <v>13</v>
      </c>
    </row>
    <row r="54" spans="1:2">
      <c r="A54" t="s">
        <v>157</v>
      </c>
      <c r="B54">
        <v>9</v>
      </c>
    </row>
    <row r="55" spans="1:2">
      <c r="A55" t="s">
        <v>158</v>
      </c>
      <c r="B55">
        <v>10</v>
      </c>
    </row>
    <row r="56" spans="1:2">
      <c r="A56" t="s">
        <v>159</v>
      </c>
      <c r="B56">
        <v>18</v>
      </c>
    </row>
    <row r="57" spans="1:2">
      <c r="A57" t="s">
        <v>160</v>
      </c>
      <c r="B57">
        <v>7</v>
      </c>
    </row>
    <row r="58" spans="1:2">
      <c r="A58" t="s">
        <v>161</v>
      </c>
      <c r="B58">
        <v>6</v>
      </c>
    </row>
    <row r="59" spans="1:2">
      <c r="A59" t="s">
        <v>162</v>
      </c>
      <c r="B59">
        <v>8</v>
      </c>
    </row>
    <row r="60" spans="1:2">
      <c r="A60" t="s">
        <v>163</v>
      </c>
      <c r="B60">
        <v>10</v>
      </c>
    </row>
    <row r="61" spans="1:2">
      <c r="A61" t="s">
        <v>164</v>
      </c>
      <c r="B61">
        <v>12</v>
      </c>
    </row>
    <row r="62" spans="1:2">
      <c r="A62" t="s">
        <v>165</v>
      </c>
      <c r="B62">
        <v>20</v>
      </c>
    </row>
    <row r="63" spans="1:2">
      <c r="A63" t="s">
        <v>166</v>
      </c>
      <c r="B63">
        <v>11</v>
      </c>
    </row>
    <row r="64" spans="1:2">
      <c r="A64" t="s">
        <v>167</v>
      </c>
      <c r="B64">
        <v>9</v>
      </c>
    </row>
    <row r="65" spans="1:2">
      <c r="A65" t="s">
        <v>168</v>
      </c>
      <c r="B65">
        <v>14</v>
      </c>
    </row>
    <row r="66" spans="1:2">
      <c r="A66" t="s">
        <v>169</v>
      </c>
      <c r="B66">
        <v>10</v>
      </c>
    </row>
    <row r="67" spans="1:2">
      <c r="A67" t="s">
        <v>170</v>
      </c>
      <c r="B67">
        <v>9</v>
      </c>
    </row>
    <row r="68" spans="1:2">
      <c r="A68" t="s">
        <v>171</v>
      </c>
      <c r="B68">
        <v>12</v>
      </c>
    </row>
    <row r="69" spans="1:2">
      <c r="A69" t="s">
        <v>172</v>
      </c>
      <c r="B69">
        <v>8</v>
      </c>
    </row>
    <row r="70" spans="1:2">
      <c r="A70" t="s">
        <v>173</v>
      </c>
      <c r="B70">
        <v>9</v>
      </c>
    </row>
    <row r="71" spans="1:2">
      <c r="A71" t="s">
        <v>174</v>
      </c>
      <c r="B71">
        <v>17</v>
      </c>
    </row>
    <row r="72" spans="1:2">
      <c r="A72" t="s">
        <v>175</v>
      </c>
      <c r="B72">
        <v>7</v>
      </c>
    </row>
    <row r="73" spans="1:2">
      <c r="A73" t="s">
        <v>176</v>
      </c>
      <c r="B73">
        <v>6</v>
      </c>
    </row>
    <row r="74" spans="1:2">
      <c r="A74" t="s">
        <v>177</v>
      </c>
      <c r="B74">
        <v>8</v>
      </c>
    </row>
    <row r="75" spans="1:2">
      <c r="A75" t="s">
        <v>178</v>
      </c>
      <c r="B75">
        <v>10</v>
      </c>
    </row>
    <row r="76" spans="1:2">
      <c r="A76" t="s">
        <v>179</v>
      </c>
      <c r="B76">
        <v>12</v>
      </c>
    </row>
    <row r="77" spans="1:2">
      <c r="A77" t="s">
        <v>180</v>
      </c>
      <c r="B77">
        <v>27</v>
      </c>
    </row>
    <row r="78" spans="1:2">
      <c r="A78" t="s">
        <v>181</v>
      </c>
      <c r="B78">
        <v>18</v>
      </c>
    </row>
    <row r="79" spans="1:2">
      <c r="A79" t="s">
        <v>182</v>
      </c>
      <c r="B79">
        <v>15</v>
      </c>
    </row>
    <row r="80" spans="1:2">
      <c r="A80" t="s">
        <v>183</v>
      </c>
      <c r="B80">
        <v>21</v>
      </c>
    </row>
    <row r="81" spans="1:2">
      <c r="A81" t="s">
        <v>184</v>
      </c>
      <c r="B81">
        <v>16</v>
      </c>
    </row>
    <row r="82" spans="1:2">
      <c r="A82" t="s">
        <v>185</v>
      </c>
      <c r="B82">
        <v>14</v>
      </c>
    </row>
    <row r="83" spans="1:2">
      <c r="A83" t="s">
        <v>186</v>
      </c>
      <c r="B83">
        <v>18</v>
      </c>
    </row>
    <row r="84" spans="1:2">
      <c r="A84" t="s">
        <v>187</v>
      </c>
      <c r="B84">
        <v>13</v>
      </c>
    </row>
    <row r="85" spans="1:2">
      <c r="A85" t="s">
        <v>188</v>
      </c>
      <c r="B85">
        <v>13</v>
      </c>
    </row>
    <row r="86" spans="1:2">
      <c r="A86" t="s">
        <v>189</v>
      </c>
      <c r="B86">
        <v>21</v>
      </c>
    </row>
    <row r="87" spans="1:2">
      <c r="A87" t="s">
        <v>190</v>
      </c>
      <c r="B87">
        <v>12</v>
      </c>
    </row>
    <row r="88" spans="1:2">
      <c r="A88" t="s">
        <v>191</v>
      </c>
      <c r="B88">
        <v>10</v>
      </c>
    </row>
    <row r="89" spans="1:2">
      <c r="A89" t="s">
        <v>192</v>
      </c>
      <c r="B89">
        <v>11</v>
      </c>
    </row>
    <row r="90" spans="1:2">
      <c r="A90" t="s">
        <v>193</v>
      </c>
      <c r="B90">
        <v>13</v>
      </c>
    </row>
    <row r="91" spans="1:2">
      <c r="A91" t="s">
        <v>194</v>
      </c>
      <c r="B91">
        <v>16</v>
      </c>
    </row>
    <row r="92" spans="1:2">
      <c r="A92" t="s">
        <v>195</v>
      </c>
      <c r="B92">
        <v>25</v>
      </c>
    </row>
    <row r="93" spans="1:2">
      <c r="A93" t="s">
        <v>196</v>
      </c>
      <c r="B93">
        <v>17</v>
      </c>
    </row>
    <row r="94" spans="1:2">
      <c r="A94" t="s">
        <v>197</v>
      </c>
      <c r="B94">
        <v>14</v>
      </c>
    </row>
    <row r="95" spans="1:2">
      <c r="A95" t="s">
        <v>198</v>
      </c>
      <c r="B95">
        <v>20</v>
      </c>
    </row>
    <row r="96" spans="1:2">
      <c r="A96" t="s">
        <v>199</v>
      </c>
      <c r="B96">
        <v>15</v>
      </c>
    </row>
    <row r="97" spans="1:2">
      <c r="A97" t="s">
        <v>200</v>
      </c>
      <c r="B97">
        <v>13</v>
      </c>
    </row>
    <row r="98" spans="1:2">
      <c r="A98" t="s">
        <v>201</v>
      </c>
      <c r="B98">
        <v>17</v>
      </c>
    </row>
    <row r="99" spans="1:2">
      <c r="A99" t="s">
        <v>202</v>
      </c>
      <c r="B99">
        <v>12</v>
      </c>
    </row>
    <row r="100" spans="1:2">
      <c r="A100" t="s">
        <v>203</v>
      </c>
      <c r="B100">
        <v>12</v>
      </c>
    </row>
    <row r="101" spans="1:2">
      <c r="A101" t="s">
        <v>204</v>
      </c>
      <c r="B101">
        <v>20</v>
      </c>
    </row>
    <row r="102" spans="1:2">
      <c r="A102" t="s">
        <v>205</v>
      </c>
      <c r="B102">
        <v>11</v>
      </c>
    </row>
    <row r="103" spans="1:2">
      <c r="A103" t="s">
        <v>206</v>
      </c>
      <c r="B103">
        <v>9</v>
      </c>
    </row>
    <row r="104" spans="1:2">
      <c r="A104" t="s">
        <v>207</v>
      </c>
      <c r="B104">
        <v>10</v>
      </c>
    </row>
    <row r="105" spans="1:2">
      <c r="A105" t="s">
        <v>208</v>
      </c>
      <c r="B105">
        <v>12</v>
      </c>
    </row>
    <row r="106" spans="1:2">
      <c r="A106" t="s">
        <v>209</v>
      </c>
      <c r="B106">
        <v>15</v>
      </c>
    </row>
    <row r="107" spans="1:2">
      <c r="A107" t="s">
        <v>210</v>
      </c>
      <c r="B107">
        <v>24</v>
      </c>
    </row>
    <row r="108" spans="1:2">
      <c r="A108" t="s">
        <v>211</v>
      </c>
      <c r="B108">
        <v>16</v>
      </c>
    </row>
    <row r="109" spans="1:2">
      <c r="A109" t="s">
        <v>212</v>
      </c>
      <c r="B109">
        <v>13</v>
      </c>
    </row>
    <row r="110" spans="1:2">
      <c r="A110" t="s">
        <v>213</v>
      </c>
      <c r="B110">
        <v>19</v>
      </c>
    </row>
    <row r="111" spans="1:2">
      <c r="A111" t="s">
        <v>214</v>
      </c>
      <c r="B111">
        <v>14</v>
      </c>
    </row>
    <row r="112" spans="1:2">
      <c r="A112" t="s">
        <v>215</v>
      </c>
      <c r="B112">
        <v>12</v>
      </c>
    </row>
    <row r="113" spans="1:2">
      <c r="A113" t="s">
        <v>216</v>
      </c>
      <c r="B113">
        <v>16</v>
      </c>
    </row>
    <row r="114" spans="1:2">
      <c r="A114" t="s">
        <v>217</v>
      </c>
      <c r="B114">
        <v>11</v>
      </c>
    </row>
    <row r="115" spans="1:2">
      <c r="A115" t="s">
        <v>218</v>
      </c>
      <c r="B115">
        <v>12</v>
      </c>
    </row>
    <row r="116" spans="1:2">
      <c r="A116" t="s">
        <v>219</v>
      </c>
      <c r="B116">
        <v>19</v>
      </c>
    </row>
    <row r="117" spans="1:2">
      <c r="A117" t="s">
        <v>220</v>
      </c>
      <c r="B117">
        <v>10</v>
      </c>
    </row>
    <row r="118" spans="1:2">
      <c r="A118" t="s">
        <v>221</v>
      </c>
      <c r="B118">
        <v>8</v>
      </c>
    </row>
    <row r="119" spans="1:2">
      <c r="A119" t="s">
        <v>222</v>
      </c>
      <c r="B119">
        <v>10</v>
      </c>
    </row>
    <row r="120" spans="1:2">
      <c r="A120" t="s">
        <v>223</v>
      </c>
      <c r="B120">
        <v>12</v>
      </c>
    </row>
    <row r="121" spans="1:2">
      <c r="A121" t="s">
        <v>224</v>
      </c>
      <c r="B121">
        <v>14</v>
      </c>
    </row>
    <row r="122" spans="1:2">
      <c r="A122" t="s">
        <v>225</v>
      </c>
      <c r="B122">
        <v>23</v>
      </c>
    </row>
    <row r="123" spans="1:2">
      <c r="A123" t="s">
        <v>226</v>
      </c>
      <c r="B123">
        <v>16</v>
      </c>
    </row>
    <row r="124" spans="1:2">
      <c r="A124" t="s">
        <v>227</v>
      </c>
      <c r="B124">
        <v>13</v>
      </c>
    </row>
    <row r="125" spans="1:2">
      <c r="A125" t="s">
        <v>228</v>
      </c>
      <c r="B125">
        <v>19</v>
      </c>
    </row>
    <row r="126" spans="1:2">
      <c r="A126" t="s">
        <v>229</v>
      </c>
      <c r="B126">
        <v>14</v>
      </c>
    </row>
    <row r="127" spans="1:2">
      <c r="A127" t="s">
        <v>230</v>
      </c>
      <c r="B127">
        <v>12</v>
      </c>
    </row>
    <row r="128" spans="1:2">
      <c r="A128" t="s">
        <v>231</v>
      </c>
      <c r="B128">
        <v>16</v>
      </c>
    </row>
    <row r="129" spans="1:2">
      <c r="A129" t="s">
        <v>232</v>
      </c>
      <c r="B129">
        <v>11</v>
      </c>
    </row>
    <row r="130" spans="1:2">
      <c r="A130" t="s">
        <v>233</v>
      </c>
      <c r="B130">
        <v>12</v>
      </c>
    </row>
    <row r="131" spans="1:2">
      <c r="A131" t="s">
        <v>234</v>
      </c>
      <c r="B131">
        <v>19</v>
      </c>
    </row>
    <row r="132" spans="1:2">
      <c r="A132" t="s">
        <v>235</v>
      </c>
      <c r="B132">
        <v>10</v>
      </c>
    </row>
    <row r="133" spans="1:2">
      <c r="A133" t="s">
        <v>236</v>
      </c>
      <c r="B133">
        <v>8</v>
      </c>
    </row>
    <row r="134" spans="1:2">
      <c r="A134" t="s">
        <v>237</v>
      </c>
      <c r="B134">
        <v>10</v>
      </c>
    </row>
    <row r="135" spans="1:2">
      <c r="A135" t="s">
        <v>238</v>
      </c>
      <c r="B135">
        <v>12</v>
      </c>
    </row>
    <row r="136" spans="1:2">
      <c r="A136" t="s">
        <v>239</v>
      </c>
      <c r="B136">
        <v>14</v>
      </c>
    </row>
    <row r="137" spans="1:2">
      <c r="A137" t="s">
        <v>240</v>
      </c>
      <c r="B137">
        <v>22</v>
      </c>
    </row>
    <row r="138" spans="1:2">
      <c r="A138" t="s">
        <v>241</v>
      </c>
      <c r="B138">
        <v>15</v>
      </c>
    </row>
    <row r="139" spans="1:2">
      <c r="A139" t="s">
        <v>242</v>
      </c>
      <c r="B139">
        <v>12</v>
      </c>
    </row>
    <row r="140" spans="1:2">
      <c r="A140" t="s">
        <v>243</v>
      </c>
      <c r="B140">
        <v>18</v>
      </c>
    </row>
    <row r="141" spans="1:2">
      <c r="A141" t="s">
        <v>244</v>
      </c>
      <c r="B141">
        <v>13</v>
      </c>
    </row>
    <row r="142" spans="1:2">
      <c r="A142" t="s">
        <v>245</v>
      </c>
      <c r="B142">
        <v>11</v>
      </c>
    </row>
    <row r="143" spans="1:2">
      <c r="A143" t="s">
        <v>246</v>
      </c>
      <c r="B143">
        <v>15</v>
      </c>
    </row>
    <row r="144" spans="1:2">
      <c r="A144" t="s">
        <v>247</v>
      </c>
      <c r="B144">
        <v>10</v>
      </c>
    </row>
    <row r="145" spans="1:2">
      <c r="A145" t="s">
        <v>248</v>
      </c>
      <c r="B145">
        <v>11</v>
      </c>
    </row>
    <row r="146" spans="1:2">
      <c r="A146" t="s">
        <v>249</v>
      </c>
      <c r="B146">
        <v>18</v>
      </c>
    </row>
    <row r="147" spans="1:2">
      <c r="A147" t="s">
        <v>250</v>
      </c>
      <c r="B147">
        <v>9</v>
      </c>
    </row>
    <row r="148" spans="1:2">
      <c r="A148" t="s">
        <v>251</v>
      </c>
      <c r="B148">
        <v>7</v>
      </c>
    </row>
    <row r="149" spans="1:2">
      <c r="A149" t="s">
        <v>252</v>
      </c>
      <c r="B149">
        <v>9</v>
      </c>
    </row>
    <row r="150" spans="1:2">
      <c r="A150" t="s">
        <v>253</v>
      </c>
      <c r="B150">
        <v>11</v>
      </c>
    </row>
    <row r="151" spans="1:2">
      <c r="A151" t="s">
        <v>254</v>
      </c>
      <c r="B151">
        <v>13</v>
      </c>
    </row>
    <row r="152" spans="1:2">
      <c r="A152" t="s">
        <v>255</v>
      </c>
      <c r="B152">
        <v>20</v>
      </c>
    </row>
    <row r="153" spans="1:2">
      <c r="A153" t="s">
        <v>256</v>
      </c>
      <c r="B153">
        <v>12</v>
      </c>
    </row>
    <row r="154" spans="1:2">
      <c r="A154" t="s">
        <v>257</v>
      </c>
      <c r="B154">
        <v>9</v>
      </c>
    </row>
    <row r="155" spans="1:2">
      <c r="A155" t="s">
        <v>258</v>
      </c>
      <c r="B155">
        <v>15</v>
      </c>
    </row>
    <row r="156" spans="1:2">
      <c r="A156" t="s">
        <v>259</v>
      </c>
      <c r="B156">
        <v>11</v>
      </c>
    </row>
    <row r="157" spans="1:2">
      <c r="A157" t="s">
        <v>260</v>
      </c>
      <c r="B157">
        <v>9</v>
      </c>
    </row>
    <row r="158" spans="1:2">
      <c r="A158" t="s">
        <v>261</v>
      </c>
      <c r="B158">
        <v>13</v>
      </c>
    </row>
    <row r="159" spans="1:2">
      <c r="A159" t="s">
        <v>262</v>
      </c>
      <c r="B159">
        <v>9</v>
      </c>
    </row>
    <row r="160" spans="1:2">
      <c r="A160" t="s">
        <v>263</v>
      </c>
      <c r="B160">
        <v>10</v>
      </c>
    </row>
    <row r="161" spans="1:2">
      <c r="A161" t="s">
        <v>264</v>
      </c>
      <c r="B161">
        <v>17</v>
      </c>
    </row>
    <row r="162" spans="1:2">
      <c r="A162" t="s">
        <v>265</v>
      </c>
      <c r="B162">
        <v>7</v>
      </c>
    </row>
    <row r="163" spans="1:2">
      <c r="A163" t="s">
        <v>266</v>
      </c>
      <c r="B163">
        <v>6</v>
      </c>
    </row>
    <row r="164" spans="1:2">
      <c r="A164" t="s">
        <v>267</v>
      </c>
      <c r="B164">
        <v>8</v>
      </c>
    </row>
    <row r="165" spans="1:2">
      <c r="A165" t="s">
        <v>268</v>
      </c>
      <c r="B165">
        <v>10</v>
      </c>
    </row>
    <row r="166" spans="1:2">
      <c r="A166" t="s">
        <v>269</v>
      </c>
      <c r="B166">
        <v>12</v>
      </c>
    </row>
    <row r="167" spans="1:2">
      <c r="A167" t="s">
        <v>270</v>
      </c>
      <c r="B167">
        <v>19</v>
      </c>
    </row>
    <row r="168" spans="1:2">
      <c r="A168" t="s">
        <v>271</v>
      </c>
      <c r="B168">
        <v>11</v>
      </c>
    </row>
    <row r="169" spans="1:2">
      <c r="A169" t="s">
        <v>272</v>
      </c>
      <c r="B169">
        <v>9</v>
      </c>
    </row>
    <row r="170" spans="1:2">
      <c r="A170" t="s">
        <v>273</v>
      </c>
      <c r="B170">
        <v>14</v>
      </c>
    </row>
    <row r="171" spans="1:2">
      <c r="A171" t="s">
        <v>274</v>
      </c>
      <c r="B171">
        <v>10</v>
      </c>
    </row>
    <row r="172" spans="1:2">
      <c r="A172" t="s">
        <v>275</v>
      </c>
      <c r="B172">
        <v>9</v>
      </c>
    </row>
    <row r="173" spans="1:2">
      <c r="A173" t="s">
        <v>276</v>
      </c>
      <c r="B173">
        <v>12</v>
      </c>
    </row>
    <row r="174" spans="1:2">
      <c r="A174" t="s">
        <v>277</v>
      </c>
      <c r="B174">
        <v>8</v>
      </c>
    </row>
    <row r="175" spans="1:2">
      <c r="A175" t="s">
        <v>278</v>
      </c>
      <c r="B175">
        <v>9</v>
      </c>
    </row>
    <row r="176" spans="1:2">
      <c r="A176" t="s">
        <v>279</v>
      </c>
      <c r="B176">
        <v>17</v>
      </c>
    </row>
    <row r="177" spans="1:2">
      <c r="A177" t="s">
        <v>280</v>
      </c>
      <c r="B177">
        <v>7</v>
      </c>
    </row>
    <row r="178" spans="1:2">
      <c r="A178" t="s">
        <v>281</v>
      </c>
      <c r="B178">
        <v>6</v>
      </c>
    </row>
    <row r="179" spans="1:2">
      <c r="A179" t="s">
        <v>282</v>
      </c>
      <c r="B179">
        <v>8</v>
      </c>
    </row>
    <row r="180" spans="1:2">
      <c r="A180" t="s">
        <v>283</v>
      </c>
      <c r="B180">
        <v>10</v>
      </c>
    </row>
    <row r="181" spans="1:2">
      <c r="A181" t="s">
        <v>284</v>
      </c>
      <c r="B181">
        <v>12</v>
      </c>
    </row>
    <row r="182" spans="1:2">
      <c r="A182" t="s">
        <v>285</v>
      </c>
      <c r="B182">
        <v>27</v>
      </c>
    </row>
    <row r="183" spans="1:2">
      <c r="A183" t="s">
        <v>286</v>
      </c>
      <c r="B183">
        <v>18</v>
      </c>
    </row>
    <row r="184" spans="1:2">
      <c r="A184" t="s">
        <v>287</v>
      </c>
      <c r="B184">
        <v>15</v>
      </c>
    </row>
    <row r="185" spans="1:2">
      <c r="A185" t="s">
        <v>288</v>
      </c>
      <c r="B185">
        <v>21</v>
      </c>
    </row>
    <row r="186" spans="1:2">
      <c r="A186" t="s">
        <v>289</v>
      </c>
      <c r="B186">
        <v>16</v>
      </c>
    </row>
    <row r="187" spans="1:2">
      <c r="A187" t="s">
        <v>290</v>
      </c>
      <c r="B187">
        <v>14</v>
      </c>
    </row>
    <row r="188" spans="1:2">
      <c r="A188" t="s">
        <v>291</v>
      </c>
      <c r="B188">
        <v>18</v>
      </c>
    </row>
    <row r="189" spans="1:2">
      <c r="A189" t="s">
        <v>292</v>
      </c>
      <c r="B189">
        <v>13</v>
      </c>
    </row>
    <row r="190" spans="1:2">
      <c r="A190" t="s">
        <v>293</v>
      </c>
      <c r="B190">
        <v>13</v>
      </c>
    </row>
    <row r="191" spans="1:2">
      <c r="A191" t="s">
        <v>294</v>
      </c>
      <c r="B191">
        <v>21</v>
      </c>
    </row>
    <row r="192" spans="1:2">
      <c r="A192" t="s">
        <v>295</v>
      </c>
      <c r="B192">
        <v>12</v>
      </c>
    </row>
    <row r="193" spans="1:2">
      <c r="A193" t="s">
        <v>296</v>
      </c>
      <c r="B193">
        <v>10</v>
      </c>
    </row>
    <row r="194" spans="1:2">
      <c r="A194" t="s">
        <v>297</v>
      </c>
      <c r="B194">
        <v>11</v>
      </c>
    </row>
    <row r="195" spans="1:2">
      <c r="A195" t="s">
        <v>298</v>
      </c>
      <c r="B195">
        <v>13</v>
      </c>
    </row>
    <row r="196" spans="1:2">
      <c r="A196" t="s">
        <v>299</v>
      </c>
      <c r="B196">
        <v>16</v>
      </c>
    </row>
    <row r="197" spans="1:2">
      <c r="A197" t="s">
        <v>300</v>
      </c>
      <c r="B197">
        <v>25</v>
      </c>
    </row>
    <row r="198" spans="1:2">
      <c r="A198" t="s">
        <v>301</v>
      </c>
      <c r="B198">
        <v>17</v>
      </c>
    </row>
    <row r="199" spans="1:2">
      <c r="A199" t="s">
        <v>302</v>
      </c>
      <c r="B199">
        <v>14</v>
      </c>
    </row>
    <row r="200" spans="1:2">
      <c r="A200" t="s">
        <v>303</v>
      </c>
      <c r="B200">
        <v>20</v>
      </c>
    </row>
    <row r="201" spans="1:2">
      <c r="A201" t="s">
        <v>304</v>
      </c>
      <c r="B201">
        <v>15</v>
      </c>
    </row>
    <row r="202" spans="1:2">
      <c r="A202" t="s">
        <v>305</v>
      </c>
      <c r="B202">
        <v>13</v>
      </c>
    </row>
    <row r="203" spans="1:2">
      <c r="A203" t="s">
        <v>306</v>
      </c>
      <c r="B203">
        <v>17</v>
      </c>
    </row>
    <row r="204" spans="1:2">
      <c r="A204" t="s">
        <v>307</v>
      </c>
      <c r="B204">
        <v>12</v>
      </c>
    </row>
    <row r="205" spans="1:2">
      <c r="A205" t="s">
        <v>308</v>
      </c>
      <c r="B205">
        <v>12</v>
      </c>
    </row>
    <row r="206" spans="1:2">
      <c r="A206" t="s">
        <v>309</v>
      </c>
      <c r="B206">
        <v>20</v>
      </c>
    </row>
    <row r="207" spans="1:2">
      <c r="A207" t="s">
        <v>310</v>
      </c>
      <c r="B207">
        <v>11</v>
      </c>
    </row>
    <row r="208" spans="1:2">
      <c r="A208" t="s">
        <v>311</v>
      </c>
      <c r="B208">
        <v>9</v>
      </c>
    </row>
    <row r="209" spans="1:2">
      <c r="A209" t="s">
        <v>312</v>
      </c>
      <c r="B209">
        <v>10</v>
      </c>
    </row>
    <row r="210" spans="1:2">
      <c r="A210" t="s">
        <v>313</v>
      </c>
      <c r="B210">
        <v>12</v>
      </c>
    </row>
    <row r="211" spans="1:2">
      <c r="A211" t="s">
        <v>314</v>
      </c>
      <c r="B211">
        <v>15</v>
      </c>
    </row>
    <row r="212" spans="1:2">
      <c r="A212" t="s">
        <v>315</v>
      </c>
      <c r="B212">
        <v>24</v>
      </c>
    </row>
    <row r="213" spans="1:2">
      <c r="A213" t="s">
        <v>316</v>
      </c>
      <c r="B213">
        <v>16</v>
      </c>
    </row>
    <row r="214" spans="1:2">
      <c r="A214" t="s">
        <v>317</v>
      </c>
      <c r="B214">
        <v>13</v>
      </c>
    </row>
    <row r="215" spans="1:2">
      <c r="A215" t="s">
        <v>318</v>
      </c>
      <c r="B215">
        <v>19</v>
      </c>
    </row>
    <row r="216" spans="1:2">
      <c r="A216" t="s">
        <v>319</v>
      </c>
      <c r="B216">
        <v>14</v>
      </c>
    </row>
    <row r="217" spans="1:2">
      <c r="A217" t="s">
        <v>320</v>
      </c>
      <c r="B217">
        <v>12</v>
      </c>
    </row>
    <row r="218" spans="1:2">
      <c r="A218" t="s">
        <v>321</v>
      </c>
      <c r="B218">
        <v>16</v>
      </c>
    </row>
    <row r="219" spans="1:2">
      <c r="A219" t="s">
        <v>322</v>
      </c>
      <c r="B219">
        <v>11</v>
      </c>
    </row>
    <row r="220" spans="1:2">
      <c r="A220" t="s">
        <v>323</v>
      </c>
      <c r="B220">
        <v>12</v>
      </c>
    </row>
    <row r="221" spans="1:2">
      <c r="A221" t="s">
        <v>324</v>
      </c>
      <c r="B221">
        <v>19</v>
      </c>
    </row>
    <row r="222" spans="1:2">
      <c r="A222" t="s">
        <v>325</v>
      </c>
      <c r="B222">
        <v>10</v>
      </c>
    </row>
    <row r="223" spans="1:2">
      <c r="A223" t="s">
        <v>326</v>
      </c>
      <c r="B223">
        <v>8</v>
      </c>
    </row>
    <row r="224" spans="1:2">
      <c r="A224" t="s">
        <v>327</v>
      </c>
      <c r="B224">
        <v>10</v>
      </c>
    </row>
    <row r="225" spans="1:2">
      <c r="A225" t="s">
        <v>328</v>
      </c>
      <c r="B225">
        <v>12</v>
      </c>
    </row>
    <row r="226" spans="1:2">
      <c r="A226" t="s">
        <v>329</v>
      </c>
      <c r="B226">
        <v>14</v>
      </c>
    </row>
    <row r="227" spans="1:2">
      <c r="A227" t="s">
        <v>330</v>
      </c>
      <c r="B227">
        <v>23</v>
      </c>
    </row>
    <row r="228" spans="1:2">
      <c r="A228" t="s">
        <v>331</v>
      </c>
      <c r="B228">
        <v>16</v>
      </c>
    </row>
    <row r="229" spans="1:2">
      <c r="A229" t="s">
        <v>332</v>
      </c>
      <c r="B229">
        <v>13</v>
      </c>
    </row>
    <row r="230" spans="1:2">
      <c r="A230" t="s">
        <v>333</v>
      </c>
      <c r="B230">
        <v>19</v>
      </c>
    </row>
    <row r="231" spans="1:2">
      <c r="A231" t="s">
        <v>334</v>
      </c>
      <c r="B231">
        <v>14</v>
      </c>
    </row>
    <row r="232" spans="1:2">
      <c r="A232" t="s">
        <v>335</v>
      </c>
      <c r="B232">
        <v>12</v>
      </c>
    </row>
    <row r="233" spans="1:2">
      <c r="A233" t="s">
        <v>336</v>
      </c>
      <c r="B233">
        <v>16</v>
      </c>
    </row>
    <row r="234" spans="1:2">
      <c r="A234" t="s">
        <v>337</v>
      </c>
      <c r="B234">
        <v>11</v>
      </c>
    </row>
    <row r="235" spans="1:2">
      <c r="A235" t="s">
        <v>338</v>
      </c>
      <c r="B235">
        <v>12</v>
      </c>
    </row>
    <row r="236" spans="1:2">
      <c r="A236" t="s">
        <v>339</v>
      </c>
      <c r="B236">
        <v>19</v>
      </c>
    </row>
    <row r="237" spans="1:2">
      <c r="A237" t="s">
        <v>340</v>
      </c>
      <c r="B237">
        <v>10</v>
      </c>
    </row>
    <row r="238" spans="1:2">
      <c r="A238" t="s">
        <v>341</v>
      </c>
      <c r="B238">
        <v>8</v>
      </c>
    </row>
    <row r="239" spans="1:2">
      <c r="A239" t="s">
        <v>342</v>
      </c>
      <c r="B239">
        <v>10</v>
      </c>
    </row>
    <row r="240" spans="1:2">
      <c r="A240" t="s">
        <v>343</v>
      </c>
      <c r="B240">
        <v>12</v>
      </c>
    </row>
    <row r="241" spans="1:2">
      <c r="A241" t="s">
        <v>344</v>
      </c>
      <c r="B241">
        <v>14</v>
      </c>
    </row>
    <row r="242" spans="1:2">
      <c r="A242" t="s">
        <v>345</v>
      </c>
      <c r="B242">
        <v>22</v>
      </c>
    </row>
    <row r="243" spans="1:2">
      <c r="A243" t="s">
        <v>346</v>
      </c>
      <c r="B243">
        <v>15</v>
      </c>
    </row>
    <row r="244" spans="1:2">
      <c r="A244" t="s">
        <v>347</v>
      </c>
      <c r="B244">
        <v>12</v>
      </c>
    </row>
    <row r="245" spans="1:2">
      <c r="A245" t="s">
        <v>348</v>
      </c>
      <c r="B245">
        <v>18</v>
      </c>
    </row>
    <row r="246" spans="1:2">
      <c r="A246" t="s">
        <v>349</v>
      </c>
      <c r="B246">
        <v>13</v>
      </c>
    </row>
    <row r="247" spans="1:2">
      <c r="A247" t="s">
        <v>350</v>
      </c>
      <c r="B247">
        <v>11</v>
      </c>
    </row>
    <row r="248" spans="1:2">
      <c r="A248" t="s">
        <v>351</v>
      </c>
      <c r="B248">
        <v>15</v>
      </c>
    </row>
    <row r="249" spans="1:2">
      <c r="A249" t="s">
        <v>352</v>
      </c>
      <c r="B249">
        <v>10</v>
      </c>
    </row>
    <row r="250" spans="1:2">
      <c r="A250" t="s">
        <v>353</v>
      </c>
      <c r="B250">
        <v>11</v>
      </c>
    </row>
    <row r="251" spans="1:2">
      <c r="A251" t="s">
        <v>354</v>
      </c>
      <c r="B251">
        <v>18</v>
      </c>
    </row>
    <row r="252" spans="1:2">
      <c r="A252" t="s">
        <v>355</v>
      </c>
      <c r="B252">
        <v>9</v>
      </c>
    </row>
    <row r="253" spans="1:2">
      <c r="A253" t="s">
        <v>356</v>
      </c>
      <c r="B253">
        <v>7</v>
      </c>
    </row>
    <row r="254" spans="1:2">
      <c r="A254" t="s">
        <v>357</v>
      </c>
      <c r="B254">
        <v>9</v>
      </c>
    </row>
    <row r="255" spans="1:2">
      <c r="A255" t="s">
        <v>358</v>
      </c>
      <c r="B255">
        <v>11</v>
      </c>
    </row>
    <row r="256" spans="1:2">
      <c r="A256" t="s">
        <v>359</v>
      </c>
      <c r="B256">
        <v>13</v>
      </c>
    </row>
    <row r="257" spans="1:2">
      <c r="A257" t="s">
        <v>360</v>
      </c>
      <c r="B257">
        <v>20</v>
      </c>
    </row>
    <row r="258" spans="1:2">
      <c r="A258" t="s">
        <v>361</v>
      </c>
      <c r="B258">
        <v>12</v>
      </c>
    </row>
    <row r="259" spans="1:2">
      <c r="A259" t="s">
        <v>362</v>
      </c>
      <c r="B259">
        <v>9</v>
      </c>
    </row>
    <row r="260" spans="1:2">
      <c r="A260" t="s">
        <v>363</v>
      </c>
      <c r="B260">
        <v>15</v>
      </c>
    </row>
    <row r="261" spans="1:2">
      <c r="A261" t="s">
        <v>364</v>
      </c>
      <c r="B261">
        <v>11</v>
      </c>
    </row>
    <row r="262" spans="1:2">
      <c r="A262" t="s">
        <v>365</v>
      </c>
      <c r="B262">
        <v>9</v>
      </c>
    </row>
    <row r="263" spans="1:2">
      <c r="A263" t="s">
        <v>366</v>
      </c>
      <c r="B263">
        <v>13</v>
      </c>
    </row>
    <row r="264" spans="1:2">
      <c r="A264" t="s">
        <v>367</v>
      </c>
      <c r="B264">
        <v>9</v>
      </c>
    </row>
    <row r="265" spans="1:2">
      <c r="A265" t="s">
        <v>368</v>
      </c>
      <c r="B265">
        <v>10</v>
      </c>
    </row>
    <row r="266" spans="1:2">
      <c r="A266" t="s">
        <v>369</v>
      </c>
      <c r="B266">
        <v>17</v>
      </c>
    </row>
    <row r="267" spans="1:2">
      <c r="A267" t="s">
        <v>370</v>
      </c>
      <c r="B267">
        <v>7</v>
      </c>
    </row>
    <row r="268" spans="1:2">
      <c r="A268" t="s">
        <v>371</v>
      </c>
      <c r="B268">
        <v>6</v>
      </c>
    </row>
    <row r="269" spans="1:2">
      <c r="A269" t="s">
        <v>372</v>
      </c>
      <c r="B269">
        <v>8</v>
      </c>
    </row>
    <row r="270" spans="1:2">
      <c r="A270" t="s">
        <v>373</v>
      </c>
      <c r="B270">
        <v>10</v>
      </c>
    </row>
    <row r="271" spans="1:2">
      <c r="A271" t="s">
        <v>374</v>
      </c>
      <c r="B271">
        <v>12</v>
      </c>
    </row>
    <row r="272" spans="1:2">
      <c r="A272" t="s">
        <v>375</v>
      </c>
      <c r="B272">
        <v>19</v>
      </c>
    </row>
    <row r="273" spans="1:2">
      <c r="A273" t="s">
        <v>376</v>
      </c>
      <c r="B273">
        <v>11</v>
      </c>
    </row>
    <row r="274" spans="1:2">
      <c r="A274" t="s">
        <v>377</v>
      </c>
      <c r="B274">
        <v>9</v>
      </c>
    </row>
    <row r="275" spans="1:2">
      <c r="A275" t="s">
        <v>378</v>
      </c>
      <c r="B275">
        <v>14</v>
      </c>
    </row>
    <row r="276" spans="1:2">
      <c r="A276" t="s">
        <v>379</v>
      </c>
      <c r="B276">
        <v>10</v>
      </c>
    </row>
    <row r="277" spans="1:2">
      <c r="A277" t="s">
        <v>380</v>
      </c>
      <c r="B277">
        <v>9</v>
      </c>
    </row>
    <row r="278" spans="1:2">
      <c r="A278" t="s">
        <v>381</v>
      </c>
      <c r="B278">
        <v>12</v>
      </c>
    </row>
    <row r="279" spans="1:2">
      <c r="A279" t="s">
        <v>382</v>
      </c>
      <c r="B279">
        <v>8</v>
      </c>
    </row>
    <row r="280" spans="1:2">
      <c r="A280" t="s">
        <v>383</v>
      </c>
      <c r="B280">
        <v>9</v>
      </c>
    </row>
    <row r="281" spans="1:2">
      <c r="A281" t="s">
        <v>384</v>
      </c>
      <c r="B281">
        <v>17</v>
      </c>
    </row>
    <row r="282" spans="1:2">
      <c r="A282" t="s">
        <v>385</v>
      </c>
      <c r="B282">
        <v>7</v>
      </c>
    </row>
    <row r="283" spans="1:2">
      <c r="A283" t="s">
        <v>386</v>
      </c>
      <c r="B283">
        <v>6</v>
      </c>
    </row>
    <row r="284" spans="1:2">
      <c r="A284" t="s">
        <v>387</v>
      </c>
      <c r="B284">
        <v>8</v>
      </c>
    </row>
    <row r="285" spans="1:2">
      <c r="A285" t="s">
        <v>388</v>
      </c>
      <c r="B285">
        <v>10</v>
      </c>
    </row>
    <row r="286" spans="1:2">
      <c r="A286" t="s">
        <v>389</v>
      </c>
      <c r="B286">
        <v>12</v>
      </c>
    </row>
    <row r="287" spans="1:2">
      <c r="A287" t="s">
        <v>390</v>
      </c>
      <c r="B287">
        <v>28</v>
      </c>
    </row>
    <row r="288" spans="1:2">
      <c r="A288" t="s">
        <v>391</v>
      </c>
      <c r="B288">
        <v>18</v>
      </c>
    </row>
    <row r="289" spans="1:2">
      <c r="A289" t="s">
        <v>392</v>
      </c>
      <c r="B289">
        <v>15</v>
      </c>
    </row>
    <row r="290" spans="1:2">
      <c r="A290" t="s">
        <v>393</v>
      </c>
      <c r="B290">
        <v>22</v>
      </c>
    </row>
    <row r="291" spans="1:2">
      <c r="A291" t="s">
        <v>394</v>
      </c>
      <c r="B291">
        <v>16</v>
      </c>
    </row>
    <row r="292" spans="1:2">
      <c r="A292" t="s">
        <v>395</v>
      </c>
      <c r="B292">
        <v>14</v>
      </c>
    </row>
    <row r="293" spans="1:2">
      <c r="A293" t="s">
        <v>396</v>
      </c>
      <c r="B293">
        <v>18</v>
      </c>
    </row>
    <row r="294" spans="1:2">
      <c r="A294" t="s">
        <v>397</v>
      </c>
      <c r="B294">
        <v>13</v>
      </c>
    </row>
    <row r="295" spans="1:2">
      <c r="A295" t="s">
        <v>398</v>
      </c>
      <c r="B295">
        <v>13</v>
      </c>
    </row>
    <row r="296" spans="1:2">
      <c r="A296" t="s">
        <v>399</v>
      </c>
      <c r="B296">
        <v>21</v>
      </c>
    </row>
    <row r="297" spans="1:2">
      <c r="A297" t="s">
        <v>400</v>
      </c>
      <c r="B297">
        <v>12</v>
      </c>
    </row>
    <row r="298" spans="1:2">
      <c r="A298" t="s">
        <v>401</v>
      </c>
      <c r="B298">
        <v>10</v>
      </c>
    </row>
    <row r="299" spans="1:2">
      <c r="A299" t="s">
        <v>402</v>
      </c>
      <c r="B299">
        <v>11</v>
      </c>
    </row>
    <row r="300" spans="1:2">
      <c r="A300" t="s">
        <v>403</v>
      </c>
      <c r="B300">
        <v>13</v>
      </c>
    </row>
    <row r="301" spans="1:2">
      <c r="A301" t="s">
        <v>404</v>
      </c>
      <c r="B301">
        <v>16</v>
      </c>
    </row>
    <row r="302" spans="1:2">
      <c r="A302" t="s">
        <v>405</v>
      </c>
      <c r="B302">
        <v>25</v>
      </c>
    </row>
    <row r="303" spans="1:2">
      <c r="A303" t="s">
        <v>406</v>
      </c>
      <c r="B303">
        <v>17</v>
      </c>
    </row>
    <row r="304" spans="1:2">
      <c r="A304" t="s">
        <v>407</v>
      </c>
      <c r="B304">
        <v>14</v>
      </c>
    </row>
    <row r="305" spans="1:2">
      <c r="A305" t="s">
        <v>408</v>
      </c>
      <c r="B305">
        <v>20</v>
      </c>
    </row>
    <row r="306" spans="1:2">
      <c r="A306" t="s">
        <v>409</v>
      </c>
      <c r="B306">
        <v>15</v>
      </c>
    </row>
    <row r="307" spans="1:2">
      <c r="A307" t="s">
        <v>410</v>
      </c>
      <c r="B307">
        <v>13</v>
      </c>
    </row>
    <row r="308" spans="1:2">
      <c r="A308" t="s">
        <v>411</v>
      </c>
      <c r="B308">
        <v>17</v>
      </c>
    </row>
    <row r="309" spans="1:2">
      <c r="A309" t="s">
        <v>412</v>
      </c>
      <c r="B309">
        <v>12</v>
      </c>
    </row>
    <row r="310" spans="1:2">
      <c r="A310" t="s">
        <v>413</v>
      </c>
      <c r="B310">
        <v>12</v>
      </c>
    </row>
    <row r="311" spans="1:2">
      <c r="A311" t="s">
        <v>414</v>
      </c>
      <c r="B311">
        <v>20</v>
      </c>
    </row>
    <row r="312" spans="1:2">
      <c r="A312" t="s">
        <v>415</v>
      </c>
      <c r="B312">
        <v>11</v>
      </c>
    </row>
    <row r="313" spans="1:2">
      <c r="A313" t="s">
        <v>416</v>
      </c>
      <c r="B313">
        <v>9</v>
      </c>
    </row>
    <row r="314" spans="1:2">
      <c r="A314" t="s">
        <v>417</v>
      </c>
      <c r="B314">
        <v>10</v>
      </c>
    </row>
    <row r="315" spans="1:2">
      <c r="A315" t="s">
        <v>418</v>
      </c>
      <c r="B315">
        <v>12</v>
      </c>
    </row>
    <row r="316" spans="1:2">
      <c r="A316" t="s">
        <v>419</v>
      </c>
      <c r="B316">
        <v>15</v>
      </c>
    </row>
    <row r="317" spans="1:2">
      <c r="A317" t="s">
        <v>420</v>
      </c>
      <c r="B317">
        <v>24</v>
      </c>
    </row>
    <row r="318" spans="1:2">
      <c r="A318" t="s">
        <v>421</v>
      </c>
      <c r="B318">
        <v>16</v>
      </c>
    </row>
    <row r="319" spans="1:2">
      <c r="A319" t="s">
        <v>422</v>
      </c>
      <c r="B319">
        <v>13</v>
      </c>
    </row>
    <row r="320" spans="1:2">
      <c r="A320" t="s">
        <v>423</v>
      </c>
      <c r="B320">
        <v>19</v>
      </c>
    </row>
    <row r="321" spans="1:2">
      <c r="A321" t="s">
        <v>424</v>
      </c>
      <c r="B321">
        <v>14</v>
      </c>
    </row>
    <row r="322" spans="1:2">
      <c r="A322" t="s">
        <v>425</v>
      </c>
      <c r="B322">
        <v>12</v>
      </c>
    </row>
    <row r="323" spans="1:2">
      <c r="A323" t="s">
        <v>426</v>
      </c>
      <c r="B323">
        <v>16</v>
      </c>
    </row>
    <row r="324" spans="1:2">
      <c r="A324" t="s">
        <v>427</v>
      </c>
      <c r="B324">
        <v>11</v>
      </c>
    </row>
    <row r="325" spans="1:2">
      <c r="A325" t="s">
        <v>428</v>
      </c>
      <c r="B325">
        <v>12</v>
      </c>
    </row>
    <row r="326" spans="1:2">
      <c r="A326" t="s">
        <v>429</v>
      </c>
      <c r="B326">
        <v>19</v>
      </c>
    </row>
    <row r="327" spans="1:2">
      <c r="A327" t="s">
        <v>430</v>
      </c>
      <c r="B327">
        <v>10</v>
      </c>
    </row>
    <row r="328" spans="1:2">
      <c r="A328" t="s">
        <v>431</v>
      </c>
      <c r="B328">
        <v>8</v>
      </c>
    </row>
    <row r="329" spans="1:2">
      <c r="A329" t="s">
        <v>432</v>
      </c>
      <c r="B329">
        <v>10</v>
      </c>
    </row>
    <row r="330" spans="1:2">
      <c r="A330" t="s">
        <v>433</v>
      </c>
      <c r="B330">
        <v>12</v>
      </c>
    </row>
    <row r="331" spans="1:2">
      <c r="A331" t="s">
        <v>434</v>
      </c>
      <c r="B331">
        <v>14</v>
      </c>
    </row>
    <row r="332" spans="1:2">
      <c r="A332" t="s">
        <v>435</v>
      </c>
      <c r="B332">
        <v>23</v>
      </c>
    </row>
    <row r="333" spans="1:2">
      <c r="A333" t="s">
        <v>436</v>
      </c>
      <c r="B333">
        <v>16</v>
      </c>
    </row>
    <row r="334" spans="1:2">
      <c r="A334" t="s">
        <v>437</v>
      </c>
      <c r="B334">
        <v>13</v>
      </c>
    </row>
    <row r="335" spans="1:2">
      <c r="A335" t="s">
        <v>438</v>
      </c>
      <c r="B335">
        <v>19</v>
      </c>
    </row>
    <row r="336" spans="1:2">
      <c r="A336" t="s">
        <v>439</v>
      </c>
      <c r="B336">
        <v>14</v>
      </c>
    </row>
    <row r="337" spans="1:2">
      <c r="A337" t="s">
        <v>440</v>
      </c>
      <c r="B337">
        <v>12</v>
      </c>
    </row>
    <row r="338" spans="1:2">
      <c r="A338" t="s">
        <v>441</v>
      </c>
      <c r="B338">
        <v>16</v>
      </c>
    </row>
    <row r="339" spans="1:2">
      <c r="A339" t="s">
        <v>442</v>
      </c>
      <c r="B339">
        <v>11</v>
      </c>
    </row>
    <row r="340" spans="1:2">
      <c r="A340" t="s">
        <v>443</v>
      </c>
      <c r="B340">
        <v>12</v>
      </c>
    </row>
    <row r="341" spans="1:2">
      <c r="A341" t="s">
        <v>444</v>
      </c>
      <c r="B341">
        <v>19</v>
      </c>
    </row>
    <row r="342" spans="1:2">
      <c r="A342" t="s">
        <v>445</v>
      </c>
      <c r="B342">
        <v>10</v>
      </c>
    </row>
    <row r="343" spans="1:2">
      <c r="A343" t="s">
        <v>446</v>
      </c>
      <c r="B343">
        <v>8</v>
      </c>
    </row>
    <row r="344" spans="1:2">
      <c r="A344" t="s">
        <v>447</v>
      </c>
      <c r="B344">
        <v>10</v>
      </c>
    </row>
    <row r="345" spans="1:2">
      <c r="A345" t="s">
        <v>448</v>
      </c>
      <c r="B345">
        <v>12</v>
      </c>
    </row>
    <row r="346" spans="1:2">
      <c r="A346" t="s">
        <v>449</v>
      </c>
      <c r="B346">
        <v>14</v>
      </c>
    </row>
    <row r="347" spans="1:2">
      <c r="A347" t="s">
        <v>450</v>
      </c>
      <c r="B347">
        <v>22</v>
      </c>
    </row>
    <row r="348" spans="1:2">
      <c r="A348" t="s">
        <v>451</v>
      </c>
      <c r="B348">
        <v>15</v>
      </c>
    </row>
    <row r="349" spans="1:2">
      <c r="A349" t="s">
        <v>452</v>
      </c>
      <c r="B349">
        <v>12</v>
      </c>
    </row>
    <row r="350" spans="1:2">
      <c r="A350" t="s">
        <v>453</v>
      </c>
      <c r="B350">
        <v>18</v>
      </c>
    </row>
    <row r="351" spans="1:2">
      <c r="A351" t="s">
        <v>454</v>
      </c>
      <c r="B351">
        <v>13</v>
      </c>
    </row>
    <row r="352" spans="1:2">
      <c r="A352" t="s">
        <v>455</v>
      </c>
      <c r="B352">
        <v>11</v>
      </c>
    </row>
    <row r="353" spans="1:2">
      <c r="A353" t="s">
        <v>456</v>
      </c>
      <c r="B353">
        <v>15</v>
      </c>
    </row>
    <row r="354" spans="1:2">
      <c r="A354" t="s">
        <v>457</v>
      </c>
      <c r="B354">
        <v>10</v>
      </c>
    </row>
    <row r="355" spans="1:2">
      <c r="A355" t="s">
        <v>458</v>
      </c>
      <c r="B355">
        <v>11</v>
      </c>
    </row>
    <row r="356" spans="1:2">
      <c r="A356" t="s">
        <v>459</v>
      </c>
      <c r="B356">
        <v>18</v>
      </c>
    </row>
    <row r="357" spans="1:2">
      <c r="A357" t="s">
        <v>460</v>
      </c>
      <c r="B357">
        <v>9</v>
      </c>
    </row>
    <row r="358" spans="1:2">
      <c r="A358" t="s">
        <v>461</v>
      </c>
      <c r="B358">
        <v>7</v>
      </c>
    </row>
    <row r="359" spans="1:2">
      <c r="A359" t="s">
        <v>462</v>
      </c>
      <c r="B359">
        <v>9</v>
      </c>
    </row>
    <row r="360" spans="1:2">
      <c r="A360" t="s">
        <v>463</v>
      </c>
      <c r="B360">
        <v>11</v>
      </c>
    </row>
    <row r="361" spans="1:2">
      <c r="A361" t="s">
        <v>464</v>
      </c>
      <c r="B361">
        <v>13</v>
      </c>
    </row>
    <row r="362" spans="1:2">
      <c r="A362" t="s">
        <v>465</v>
      </c>
      <c r="B362">
        <v>20</v>
      </c>
    </row>
    <row r="363" spans="1:2">
      <c r="A363" t="s">
        <v>466</v>
      </c>
      <c r="B363">
        <v>12</v>
      </c>
    </row>
    <row r="364" spans="1:2">
      <c r="A364" t="s">
        <v>467</v>
      </c>
      <c r="B364">
        <v>9</v>
      </c>
    </row>
    <row r="365" spans="1:2">
      <c r="A365" t="s">
        <v>468</v>
      </c>
      <c r="B365">
        <v>15</v>
      </c>
    </row>
    <row r="366" spans="1:2">
      <c r="A366" t="s">
        <v>469</v>
      </c>
      <c r="B366">
        <v>11</v>
      </c>
    </row>
    <row r="367" spans="1:2">
      <c r="A367" t="s">
        <v>470</v>
      </c>
      <c r="B367">
        <v>9</v>
      </c>
    </row>
    <row r="368" spans="1:2">
      <c r="A368" t="s">
        <v>471</v>
      </c>
      <c r="B368">
        <v>13</v>
      </c>
    </row>
    <row r="369" spans="1:2">
      <c r="A369" t="s">
        <v>472</v>
      </c>
      <c r="B369">
        <v>9</v>
      </c>
    </row>
    <row r="370" spans="1:2">
      <c r="A370" t="s">
        <v>473</v>
      </c>
      <c r="B370">
        <v>10</v>
      </c>
    </row>
    <row r="371" spans="1:2">
      <c r="A371" t="s">
        <v>474</v>
      </c>
      <c r="B371">
        <v>17</v>
      </c>
    </row>
    <row r="372" spans="1:2">
      <c r="A372" t="s">
        <v>475</v>
      </c>
      <c r="B372">
        <v>7</v>
      </c>
    </row>
    <row r="373" spans="1:2">
      <c r="A373" t="s">
        <v>476</v>
      </c>
      <c r="B373">
        <v>6</v>
      </c>
    </row>
    <row r="374" spans="1:2">
      <c r="A374" t="s">
        <v>477</v>
      </c>
      <c r="B374">
        <v>8</v>
      </c>
    </row>
    <row r="375" spans="1:2">
      <c r="A375" t="s">
        <v>478</v>
      </c>
      <c r="B375">
        <v>10</v>
      </c>
    </row>
    <row r="376" spans="1:2">
      <c r="A376" t="s">
        <v>479</v>
      </c>
      <c r="B376">
        <v>12</v>
      </c>
    </row>
    <row r="377" spans="1:2">
      <c r="A377" t="s">
        <v>480</v>
      </c>
      <c r="B377">
        <v>19</v>
      </c>
    </row>
    <row r="378" spans="1:2">
      <c r="A378" t="s">
        <v>481</v>
      </c>
      <c r="B378">
        <v>11</v>
      </c>
    </row>
    <row r="379" spans="1:2">
      <c r="A379" t="s">
        <v>482</v>
      </c>
      <c r="B379">
        <v>9</v>
      </c>
    </row>
    <row r="380" spans="1:2">
      <c r="A380" t="s">
        <v>483</v>
      </c>
      <c r="B380">
        <v>14</v>
      </c>
    </row>
    <row r="381" spans="1:2">
      <c r="A381" t="s">
        <v>484</v>
      </c>
      <c r="B381">
        <v>10</v>
      </c>
    </row>
    <row r="382" spans="1:2">
      <c r="A382" t="s">
        <v>485</v>
      </c>
      <c r="B382">
        <v>9</v>
      </c>
    </row>
    <row r="383" spans="1:2">
      <c r="A383" t="s">
        <v>486</v>
      </c>
      <c r="B383">
        <v>12</v>
      </c>
    </row>
    <row r="384" spans="1:2">
      <c r="A384" t="s">
        <v>487</v>
      </c>
      <c r="B384">
        <v>8</v>
      </c>
    </row>
    <row r="385" spans="1:2">
      <c r="A385" t="s">
        <v>488</v>
      </c>
      <c r="B385">
        <v>9</v>
      </c>
    </row>
    <row r="386" spans="1:2">
      <c r="A386" t="s">
        <v>489</v>
      </c>
      <c r="B386">
        <v>17</v>
      </c>
    </row>
    <row r="387" spans="1:2">
      <c r="A387" t="s">
        <v>490</v>
      </c>
      <c r="B387">
        <v>7</v>
      </c>
    </row>
    <row r="388" spans="1:2">
      <c r="A388" t="s">
        <v>491</v>
      </c>
      <c r="B388">
        <v>6</v>
      </c>
    </row>
    <row r="389" spans="1:2">
      <c r="A389" t="s">
        <v>492</v>
      </c>
      <c r="B389">
        <v>8</v>
      </c>
    </row>
    <row r="390" spans="1:2">
      <c r="A390" t="s">
        <v>493</v>
      </c>
      <c r="B390">
        <v>10</v>
      </c>
    </row>
    <row r="391" spans="1:2">
      <c r="A391" t="s">
        <v>494</v>
      </c>
      <c r="B391">
        <v>12</v>
      </c>
    </row>
    <row r="392" spans="1:2">
      <c r="A392" t="s">
        <v>495</v>
      </c>
      <c r="B392">
        <v>27</v>
      </c>
    </row>
    <row r="393" spans="1:2">
      <c r="A393" t="s">
        <v>496</v>
      </c>
      <c r="B393">
        <v>18</v>
      </c>
    </row>
    <row r="394" spans="1:2">
      <c r="A394" t="s">
        <v>497</v>
      </c>
      <c r="B394">
        <v>15</v>
      </c>
    </row>
    <row r="395" spans="1:2">
      <c r="A395" t="s">
        <v>498</v>
      </c>
      <c r="B395">
        <v>21</v>
      </c>
    </row>
    <row r="396" spans="1:2">
      <c r="A396" t="s">
        <v>499</v>
      </c>
      <c r="B396">
        <v>16</v>
      </c>
    </row>
    <row r="397" spans="1:2">
      <c r="A397" t="s">
        <v>500</v>
      </c>
      <c r="B397">
        <v>14</v>
      </c>
    </row>
    <row r="398" spans="1:2">
      <c r="A398" t="s">
        <v>501</v>
      </c>
      <c r="B398">
        <v>18</v>
      </c>
    </row>
    <row r="399" spans="1:2">
      <c r="A399" t="s">
        <v>502</v>
      </c>
      <c r="B399">
        <v>13</v>
      </c>
    </row>
    <row r="400" spans="1:2">
      <c r="A400" t="s">
        <v>503</v>
      </c>
      <c r="B400">
        <v>13</v>
      </c>
    </row>
    <row r="401" spans="1:2">
      <c r="A401" t="s">
        <v>504</v>
      </c>
      <c r="B401">
        <v>21</v>
      </c>
    </row>
    <row r="402" spans="1:2">
      <c r="A402" t="s">
        <v>505</v>
      </c>
      <c r="B402">
        <v>12</v>
      </c>
    </row>
    <row r="403" spans="1:2">
      <c r="A403" t="s">
        <v>506</v>
      </c>
      <c r="B403">
        <v>10</v>
      </c>
    </row>
    <row r="404" spans="1:2">
      <c r="A404" t="s">
        <v>507</v>
      </c>
      <c r="B404">
        <v>11</v>
      </c>
    </row>
    <row r="405" spans="1:2">
      <c r="A405" t="s">
        <v>508</v>
      </c>
      <c r="B405">
        <v>13</v>
      </c>
    </row>
    <row r="406" spans="1:2">
      <c r="A406" t="s">
        <v>509</v>
      </c>
      <c r="B406">
        <v>16</v>
      </c>
    </row>
    <row r="407" spans="1:2">
      <c r="A407" t="s">
        <v>510</v>
      </c>
      <c r="B407">
        <v>25</v>
      </c>
    </row>
    <row r="408" spans="1:2">
      <c r="A408" t="s">
        <v>511</v>
      </c>
      <c r="B408">
        <v>17</v>
      </c>
    </row>
    <row r="409" spans="1:2">
      <c r="A409" t="s">
        <v>512</v>
      </c>
      <c r="B409">
        <v>14</v>
      </c>
    </row>
    <row r="410" spans="1:2">
      <c r="A410" t="s">
        <v>513</v>
      </c>
      <c r="B410">
        <v>20</v>
      </c>
    </row>
    <row r="411" spans="1:2">
      <c r="A411" t="s">
        <v>514</v>
      </c>
      <c r="B411">
        <v>15</v>
      </c>
    </row>
    <row r="412" spans="1:2">
      <c r="A412" t="s">
        <v>515</v>
      </c>
      <c r="B412">
        <v>13</v>
      </c>
    </row>
    <row r="413" spans="1:2">
      <c r="A413" t="s">
        <v>516</v>
      </c>
      <c r="B413">
        <v>17</v>
      </c>
    </row>
    <row r="414" spans="1:2">
      <c r="A414" t="s">
        <v>517</v>
      </c>
      <c r="B414">
        <v>12</v>
      </c>
    </row>
    <row r="415" spans="1:2">
      <c r="A415" t="s">
        <v>518</v>
      </c>
      <c r="B415">
        <v>12</v>
      </c>
    </row>
    <row r="416" spans="1:2">
      <c r="A416" t="s">
        <v>519</v>
      </c>
      <c r="B416">
        <v>20</v>
      </c>
    </row>
    <row r="417" spans="1:2">
      <c r="A417" t="s">
        <v>520</v>
      </c>
      <c r="B417">
        <v>11</v>
      </c>
    </row>
    <row r="418" spans="1:2">
      <c r="A418" t="s">
        <v>521</v>
      </c>
      <c r="B418">
        <v>9</v>
      </c>
    </row>
    <row r="419" spans="1:2">
      <c r="A419" t="s">
        <v>522</v>
      </c>
      <c r="B419">
        <v>10</v>
      </c>
    </row>
    <row r="420" spans="1:2">
      <c r="A420" t="s">
        <v>523</v>
      </c>
      <c r="B420">
        <v>12</v>
      </c>
    </row>
    <row r="421" spans="1:2">
      <c r="A421" t="s">
        <v>524</v>
      </c>
      <c r="B421">
        <v>15</v>
      </c>
    </row>
    <row r="422" spans="1:2">
      <c r="A422" t="s">
        <v>525</v>
      </c>
      <c r="B422">
        <v>24</v>
      </c>
    </row>
    <row r="423" spans="1:2">
      <c r="A423" t="s">
        <v>526</v>
      </c>
      <c r="B423">
        <v>16</v>
      </c>
    </row>
    <row r="424" spans="1:2">
      <c r="A424" t="s">
        <v>527</v>
      </c>
      <c r="B424">
        <v>13</v>
      </c>
    </row>
    <row r="425" spans="1:2">
      <c r="A425" t="s">
        <v>528</v>
      </c>
      <c r="B425">
        <v>19</v>
      </c>
    </row>
    <row r="426" spans="1:2">
      <c r="A426" t="s">
        <v>529</v>
      </c>
      <c r="B426">
        <v>14</v>
      </c>
    </row>
    <row r="427" spans="1:2">
      <c r="A427" t="s">
        <v>530</v>
      </c>
      <c r="B427">
        <v>12</v>
      </c>
    </row>
    <row r="428" spans="1:2">
      <c r="A428" t="s">
        <v>531</v>
      </c>
      <c r="B428">
        <v>16</v>
      </c>
    </row>
    <row r="429" spans="1:2">
      <c r="A429" t="s">
        <v>532</v>
      </c>
      <c r="B429">
        <v>11</v>
      </c>
    </row>
    <row r="430" spans="1:2">
      <c r="A430" t="s">
        <v>533</v>
      </c>
      <c r="B430">
        <v>12</v>
      </c>
    </row>
    <row r="431" spans="1:2">
      <c r="A431" t="s">
        <v>534</v>
      </c>
      <c r="B431">
        <v>19</v>
      </c>
    </row>
    <row r="432" spans="1:2">
      <c r="A432" t="s">
        <v>535</v>
      </c>
      <c r="B432">
        <v>10</v>
      </c>
    </row>
    <row r="433" spans="1:2">
      <c r="A433" t="s">
        <v>536</v>
      </c>
      <c r="B433">
        <v>8</v>
      </c>
    </row>
    <row r="434" spans="1:2">
      <c r="A434" t="s">
        <v>537</v>
      </c>
      <c r="B434">
        <v>10</v>
      </c>
    </row>
    <row r="435" spans="1:2">
      <c r="A435" t="s">
        <v>538</v>
      </c>
      <c r="B435">
        <v>12</v>
      </c>
    </row>
    <row r="436" spans="1:2">
      <c r="A436" t="s">
        <v>539</v>
      </c>
      <c r="B436">
        <v>14</v>
      </c>
    </row>
    <row r="437" spans="1:2">
      <c r="A437" t="s">
        <v>540</v>
      </c>
      <c r="B437">
        <v>23</v>
      </c>
    </row>
    <row r="438" spans="1:2">
      <c r="A438" t="s">
        <v>541</v>
      </c>
      <c r="B438">
        <v>16</v>
      </c>
    </row>
    <row r="439" spans="1:2">
      <c r="A439" t="s">
        <v>542</v>
      </c>
      <c r="B439">
        <v>13</v>
      </c>
    </row>
    <row r="440" spans="1:2">
      <c r="A440" t="s">
        <v>543</v>
      </c>
      <c r="B440">
        <v>19</v>
      </c>
    </row>
    <row r="441" spans="1:2">
      <c r="A441" t="s">
        <v>544</v>
      </c>
      <c r="B441">
        <v>14</v>
      </c>
    </row>
    <row r="442" spans="1:2">
      <c r="A442" t="s">
        <v>545</v>
      </c>
      <c r="B442">
        <v>12</v>
      </c>
    </row>
    <row r="443" spans="1:2">
      <c r="A443" t="s">
        <v>546</v>
      </c>
      <c r="B443">
        <v>16</v>
      </c>
    </row>
    <row r="444" spans="1:2">
      <c r="A444" t="s">
        <v>547</v>
      </c>
      <c r="B444">
        <v>11</v>
      </c>
    </row>
    <row r="445" spans="1:2">
      <c r="A445" t="s">
        <v>548</v>
      </c>
      <c r="B445">
        <v>12</v>
      </c>
    </row>
    <row r="446" spans="1:2">
      <c r="A446" t="s">
        <v>549</v>
      </c>
      <c r="B446">
        <v>19</v>
      </c>
    </row>
    <row r="447" spans="1:2">
      <c r="A447" t="s">
        <v>550</v>
      </c>
      <c r="B447">
        <v>10</v>
      </c>
    </row>
    <row r="448" spans="1:2">
      <c r="A448" t="s">
        <v>551</v>
      </c>
      <c r="B448">
        <v>8</v>
      </c>
    </row>
    <row r="449" spans="1:2">
      <c r="A449" t="s">
        <v>552</v>
      </c>
      <c r="B449">
        <v>10</v>
      </c>
    </row>
    <row r="450" spans="1:2">
      <c r="A450" t="s">
        <v>553</v>
      </c>
      <c r="B450">
        <v>12</v>
      </c>
    </row>
    <row r="451" spans="1:2">
      <c r="A451" t="s">
        <v>554</v>
      </c>
      <c r="B451">
        <v>14</v>
      </c>
    </row>
    <row r="452" spans="1:2">
      <c r="A452" t="s">
        <v>555</v>
      </c>
      <c r="B452">
        <v>22</v>
      </c>
    </row>
    <row r="453" spans="1:2">
      <c r="A453" t="s">
        <v>556</v>
      </c>
      <c r="B453">
        <v>15</v>
      </c>
    </row>
    <row r="454" spans="1:2">
      <c r="A454" t="s">
        <v>557</v>
      </c>
      <c r="B454">
        <v>12</v>
      </c>
    </row>
    <row r="455" spans="1:2">
      <c r="A455" t="s">
        <v>558</v>
      </c>
      <c r="B455">
        <v>18</v>
      </c>
    </row>
    <row r="456" spans="1:2">
      <c r="A456" t="s">
        <v>559</v>
      </c>
      <c r="B456">
        <v>13</v>
      </c>
    </row>
    <row r="457" spans="1:2">
      <c r="A457" t="s">
        <v>560</v>
      </c>
      <c r="B457">
        <v>11</v>
      </c>
    </row>
    <row r="458" spans="1:2">
      <c r="A458" t="s">
        <v>561</v>
      </c>
      <c r="B458">
        <v>15</v>
      </c>
    </row>
    <row r="459" spans="1:2">
      <c r="A459" t="s">
        <v>562</v>
      </c>
      <c r="B459">
        <v>10</v>
      </c>
    </row>
    <row r="460" spans="1:2">
      <c r="A460" t="s">
        <v>563</v>
      </c>
      <c r="B460">
        <v>11</v>
      </c>
    </row>
    <row r="461" spans="1:2">
      <c r="A461" t="s">
        <v>564</v>
      </c>
      <c r="B461">
        <v>18</v>
      </c>
    </row>
    <row r="462" spans="1:2">
      <c r="A462" t="s">
        <v>565</v>
      </c>
      <c r="B462">
        <v>9</v>
      </c>
    </row>
    <row r="463" spans="1:2">
      <c r="A463" t="s">
        <v>566</v>
      </c>
      <c r="B463">
        <v>7</v>
      </c>
    </row>
    <row r="464" spans="1:2">
      <c r="A464" t="s">
        <v>567</v>
      </c>
      <c r="B464">
        <v>9</v>
      </c>
    </row>
    <row r="465" spans="1:2">
      <c r="A465" t="s">
        <v>568</v>
      </c>
      <c r="B465">
        <v>11</v>
      </c>
    </row>
    <row r="466" spans="1:2">
      <c r="A466" t="s">
        <v>569</v>
      </c>
      <c r="B466">
        <v>13</v>
      </c>
    </row>
    <row r="467" spans="1:2">
      <c r="A467" t="s">
        <v>570</v>
      </c>
      <c r="B467">
        <v>20</v>
      </c>
    </row>
    <row r="468" spans="1:2">
      <c r="A468" t="s">
        <v>571</v>
      </c>
      <c r="B468">
        <v>12</v>
      </c>
    </row>
    <row r="469" spans="1:2">
      <c r="A469" t="s">
        <v>572</v>
      </c>
      <c r="B469">
        <v>9</v>
      </c>
    </row>
    <row r="470" spans="1:2">
      <c r="A470" t="s">
        <v>573</v>
      </c>
      <c r="B470">
        <v>15</v>
      </c>
    </row>
    <row r="471" spans="1:2">
      <c r="A471" t="s">
        <v>574</v>
      </c>
      <c r="B471">
        <v>11</v>
      </c>
    </row>
    <row r="472" spans="1:2">
      <c r="A472" t="s">
        <v>575</v>
      </c>
      <c r="B472">
        <v>9</v>
      </c>
    </row>
    <row r="473" spans="1:2">
      <c r="A473" t="s">
        <v>576</v>
      </c>
      <c r="B473">
        <v>13</v>
      </c>
    </row>
    <row r="474" spans="1:2">
      <c r="A474" t="s">
        <v>577</v>
      </c>
      <c r="B474">
        <v>9</v>
      </c>
    </row>
    <row r="475" spans="1:2">
      <c r="A475" t="s">
        <v>578</v>
      </c>
      <c r="B475">
        <v>10</v>
      </c>
    </row>
    <row r="476" spans="1:2">
      <c r="A476" t="s">
        <v>579</v>
      </c>
      <c r="B476">
        <v>17</v>
      </c>
    </row>
    <row r="477" spans="1:2">
      <c r="A477" t="s">
        <v>580</v>
      </c>
      <c r="B477">
        <v>7</v>
      </c>
    </row>
    <row r="478" spans="1:2">
      <c r="A478" t="s">
        <v>581</v>
      </c>
      <c r="B478">
        <v>6</v>
      </c>
    </row>
    <row r="479" spans="1:2">
      <c r="A479" t="s">
        <v>582</v>
      </c>
      <c r="B479">
        <v>8</v>
      </c>
    </row>
    <row r="480" spans="1:2">
      <c r="A480" t="s">
        <v>583</v>
      </c>
      <c r="B480">
        <v>10</v>
      </c>
    </row>
    <row r="481" spans="1:2">
      <c r="A481" t="s">
        <v>584</v>
      </c>
      <c r="B481">
        <v>12</v>
      </c>
    </row>
    <row r="482" spans="1:2">
      <c r="A482" t="s">
        <v>585</v>
      </c>
      <c r="B482">
        <v>19</v>
      </c>
    </row>
    <row r="483" spans="1:2">
      <c r="A483" t="s">
        <v>586</v>
      </c>
      <c r="B483">
        <v>11</v>
      </c>
    </row>
    <row r="484" spans="1:2">
      <c r="A484" t="s">
        <v>587</v>
      </c>
      <c r="B484">
        <v>9</v>
      </c>
    </row>
    <row r="485" spans="1:2">
      <c r="A485" t="s">
        <v>588</v>
      </c>
      <c r="B485">
        <v>14</v>
      </c>
    </row>
    <row r="486" spans="1:2">
      <c r="A486" t="s">
        <v>589</v>
      </c>
      <c r="B486">
        <v>10</v>
      </c>
    </row>
    <row r="487" spans="1:2">
      <c r="A487" t="s">
        <v>590</v>
      </c>
      <c r="B487">
        <v>9</v>
      </c>
    </row>
    <row r="488" spans="1:2">
      <c r="A488" t="s">
        <v>591</v>
      </c>
      <c r="B488">
        <v>12</v>
      </c>
    </row>
    <row r="489" spans="1:2">
      <c r="A489" t="s">
        <v>592</v>
      </c>
      <c r="B489">
        <v>8</v>
      </c>
    </row>
    <row r="490" spans="1:2">
      <c r="A490" t="s">
        <v>593</v>
      </c>
      <c r="B490">
        <v>9</v>
      </c>
    </row>
    <row r="491" spans="1:2">
      <c r="A491" t="s">
        <v>594</v>
      </c>
      <c r="B491">
        <v>17</v>
      </c>
    </row>
    <row r="492" spans="1:2">
      <c r="A492" t="s">
        <v>595</v>
      </c>
      <c r="B492">
        <v>7</v>
      </c>
    </row>
    <row r="493" spans="1:2">
      <c r="A493" t="s">
        <v>596</v>
      </c>
      <c r="B493">
        <v>6</v>
      </c>
    </row>
    <row r="494" spans="1:2">
      <c r="A494" t="s">
        <v>597</v>
      </c>
      <c r="B494">
        <v>8</v>
      </c>
    </row>
    <row r="495" spans="1:2">
      <c r="A495" t="s">
        <v>598</v>
      </c>
      <c r="B495">
        <v>10</v>
      </c>
    </row>
    <row r="496" spans="1:2">
      <c r="A496" t="s">
        <v>599</v>
      </c>
      <c r="B496">
        <v>12</v>
      </c>
    </row>
    <row r="497" spans="1:2">
      <c r="A497" t="s">
        <v>600</v>
      </c>
      <c r="B497">
        <v>28</v>
      </c>
    </row>
    <row r="498" spans="1:2">
      <c r="A498" t="s">
        <v>601</v>
      </c>
      <c r="B498">
        <v>18</v>
      </c>
    </row>
    <row r="499" spans="1:2">
      <c r="A499" t="s">
        <v>602</v>
      </c>
      <c r="B499">
        <v>15</v>
      </c>
    </row>
    <row r="500" spans="1:2">
      <c r="A500" t="s">
        <v>603</v>
      </c>
      <c r="B500">
        <v>22</v>
      </c>
    </row>
    <row r="501" spans="1:2">
      <c r="A501" t="s">
        <v>604</v>
      </c>
      <c r="B501">
        <v>16</v>
      </c>
    </row>
    <row r="502" spans="1:2">
      <c r="A502" t="s">
        <v>605</v>
      </c>
      <c r="B502">
        <v>14</v>
      </c>
    </row>
    <row r="503" spans="1:2">
      <c r="A503" t="s">
        <v>606</v>
      </c>
      <c r="B503">
        <v>18</v>
      </c>
    </row>
    <row r="504" spans="1:2">
      <c r="A504" t="s">
        <v>607</v>
      </c>
      <c r="B504">
        <v>13</v>
      </c>
    </row>
    <row r="505" spans="1:2">
      <c r="A505" t="s">
        <v>608</v>
      </c>
      <c r="B505">
        <v>13</v>
      </c>
    </row>
    <row r="506" spans="1:2">
      <c r="A506" t="s">
        <v>609</v>
      </c>
      <c r="B506">
        <v>21</v>
      </c>
    </row>
    <row r="507" spans="1:2">
      <c r="A507" t="s">
        <v>610</v>
      </c>
      <c r="B507">
        <v>12</v>
      </c>
    </row>
    <row r="508" spans="1:2">
      <c r="A508" t="s">
        <v>611</v>
      </c>
      <c r="B508">
        <v>10</v>
      </c>
    </row>
    <row r="509" spans="1:2">
      <c r="A509" t="s">
        <v>612</v>
      </c>
      <c r="B509">
        <v>11</v>
      </c>
    </row>
    <row r="510" spans="1:2">
      <c r="A510" t="s">
        <v>613</v>
      </c>
      <c r="B510">
        <v>13</v>
      </c>
    </row>
    <row r="511" spans="1:2">
      <c r="A511" t="s">
        <v>614</v>
      </c>
      <c r="B511">
        <v>16</v>
      </c>
    </row>
    <row r="512" spans="1:2">
      <c r="A512" t="s">
        <v>615</v>
      </c>
      <c r="B512">
        <v>25</v>
      </c>
    </row>
    <row r="513" spans="1:2">
      <c r="A513" t="s">
        <v>616</v>
      </c>
      <c r="B513">
        <v>17</v>
      </c>
    </row>
    <row r="514" spans="1:2">
      <c r="A514" t="s">
        <v>617</v>
      </c>
      <c r="B514">
        <v>14</v>
      </c>
    </row>
    <row r="515" spans="1:2">
      <c r="A515" t="s">
        <v>618</v>
      </c>
      <c r="B515">
        <v>20</v>
      </c>
    </row>
    <row r="516" spans="1:2">
      <c r="A516" t="s">
        <v>619</v>
      </c>
      <c r="B516">
        <v>15</v>
      </c>
    </row>
    <row r="517" spans="1:2">
      <c r="A517" t="s">
        <v>620</v>
      </c>
      <c r="B517">
        <v>13</v>
      </c>
    </row>
    <row r="518" spans="1:2">
      <c r="A518" t="s">
        <v>621</v>
      </c>
      <c r="B518">
        <v>17</v>
      </c>
    </row>
    <row r="519" spans="1:2">
      <c r="A519" t="s">
        <v>622</v>
      </c>
      <c r="B519">
        <v>12</v>
      </c>
    </row>
    <row r="520" spans="1:2">
      <c r="A520" t="s">
        <v>623</v>
      </c>
      <c r="B520">
        <v>12</v>
      </c>
    </row>
    <row r="521" spans="1:2">
      <c r="A521" t="s">
        <v>624</v>
      </c>
      <c r="B521">
        <v>20</v>
      </c>
    </row>
    <row r="522" spans="1:2">
      <c r="A522" t="s">
        <v>625</v>
      </c>
      <c r="B522">
        <v>11</v>
      </c>
    </row>
    <row r="523" spans="1:2">
      <c r="A523" t="s">
        <v>626</v>
      </c>
      <c r="B523">
        <v>9</v>
      </c>
    </row>
    <row r="524" spans="1:2">
      <c r="A524" t="s">
        <v>627</v>
      </c>
      <c r="B524">
        <v>10</v>
      </c>
    </row>
    <row r="525" spans="1:2">
      <c r="A525" t="s">
        <v>628</v>
      </c>
      <c r="B525">
        <v>12</v>
      </c>
    </row>
    <row r="526" spans="1:2">
      <c r="A526" t="s">
        <v>629</v>
      </c>
      <c r="B526">
        <v>15</v>
      </c>
    </row>
    <row r="527" spans="1:2">
      <c r="A527" t="s">
        <v>630</v>
      </c>
      <c r="B527">
        <v>24</v>
      </c>
    </row>
    <row r="528" spans="1:2">
      <c r="A528" t="s">
        <v>631</v>
      </c>
      <c r="B528">
        <v>16</v>
      </c>
    </row>
    <row r="529" spans="1:2">
      <c r="A529" t="s">
        <v>632</v>
      </c>
      <c r="B529">
        <v>13</v>
      </c>
    </row>
    <row r="530" spans="1:2">
      <c r="A530" t="s">
        <v>633</v>
      </c>
      <c r="B530">
        <v>19</v>
      </c>
    </row>
    <row r="531" spans="1:2">
      <c r="A531" t="s">
        <v>634</v>
      </c>
      <c r="B531">
        <v>14</v>
      </c>
    </row>
    <row r="532" spans="1:2">
      <c r="A532" t="s">
        <v>635</v>
      </c>
      <c r="B532">
        <v>12</v>
      </c>
    </row>
    <row r="533" spans="1:2">
      <c r="A533" t="s">
        <v>636</v>
      </c>
      <c r="B533">
        <v>16</v>
      </c>
    </row>
    <row r="534" spans="1:2">
      <c r="A534" t="s">
        <v>637</v>
      </c>
      <c r="B534">
        <v>11</v>
      </c>
    </row>
    <row r="535" spans="1:2">
      <c r="A535" t="s">
        <v>638</v>
      </c>
      <c r="B535">
        <v>12</v>
      </c>
    </row>
    <row r="536" spans="1:2">
      <c r="A536" t="s">
        <v>639</v>
      </c>
      <c r="B536">
        <v>19</v>
      </c>
    </row>
    <row r="537" spans="1:2">
      <c r="A537" t="s">
        <v>640</v>
      </c>
      <c r="B537">
        <v>10</v>
      </c>
    </row>
    <row r="538" spans="1:2">
      <c r="A538" t="s">
        <v>641</v>
      </c>
      <c r="B538">
        <v>8</v>
      </c>
    </row>
    <row r="539" spans="1:2">
      <c r="A539" t="s">
        <v>642</v>
      </c>
      <c r="B539">
        <v>10</v>
      </c>
    </row>
    <row r="540" spans="1:2">
      <c r="A540" t="s">
        <v>643</v>
      </c>
      <c r="B540">
        <v>12</v>
      </c>
    </row>
    <row r="541" spans="1:2">
      <c r="A541" t="s">
        <v>644</v>
      </c>
      <c r="B541">
        <v>14</v>
      </c>
    </row>
    <row r="542" spans="1:2">
      <c r="A542" t="s">
        <v>645</v>
      </c>
      <c r="B542">
        <v>23</v>
      </c>
    </row>
    <row r="543" spans="1:2">
      <c r="A543" t="s">
        <v>646</v>
      </c>
      <c r="B543">
        <v>16</v>
      </c>
    </row>
    <row r="544" spans="1:2">
      <c r="A544" t="s">
        <v>647</v>
      </c>
      <c r="B544">
        <v>13</v>
      </c>
    </row>
    <row r="545" spans="1:2">
      <c r="A545" t="s">
        <v>648</v>
      </c>
      <c r="B545">
        <v>19</v>
      </c>
    </row>
    <row r="546" spans="1:2">
      <c r="A546" t="s">
        <v>649</v>
      </c>
      <c r="B546">
        <v>14</v>
      </c>
    </row>
    <row r="547" spans="1:2">
      <c r="A547" t="s">
        <v>650</v>
      </c>
      <c r="B547">
        <v>12</v>
      </c>
    </row>
    <row r="548" spans="1:2">
      <c r="A548" t="s">
        <v>651</v>
      </c>
      <c r="B548">
        <v>16</v>
      </c>
    </row>
    <row r="549" spans="1:2">
      <c r="A549" t="s">
        <v>652</v>
      </c>
      <c r="B549">
        <v>11</v>
      </c>
    </row>
    <row r="550" spans="1:2">
      <c r="A550" t="s">
        <v>653</v>
      </c>
      <c r="B550">
        <v>12</v>
      </c>
    </row>
    <row r="551" spans="1:2">
      <c r="A551" t="s">
        <v>654</v>
      </c>
      <c r="B551">
        <v>19</v>
      </c>
    </row>
    <row r="552" spans="1:2">
      <c r="A552" t="s">
        <v>655</v>
      </c>
      <c r="B552">
        <v>10</v>
      </c>
    </row>
    <row r="553" spans="1:2">
      <c r="A553" t="s">
        <v>656</v>
      </c>
      <c r="B553">
        <v>8</v>
      </c>
    </row>
    <row r="554" spans="1:2">
      <c r="A554" t="s">
        <v>657</v>
      </c>
      <c r="B554">
        <v>10</v>
      </c>
    </row>
    <row r="555" spans="1:2">
      <c r="A555" t="s">
        <v>658</v>
      </c>
      <c r="B555">
        <v>12</v>
      </c>
    </row>
    <row r="556" spans="1:2">
      <c r="A556" t="s">
        <v>659</v>
      </c>
      <c r="B556">
        <v>14</v>
      </c>
    </row>
    <row r="557" spans="1:2">
      <c r="A557" t="s">
        <v>660</v>
      </c>
      <c r="B557">
        <v>22</v>
      </c>
    </row>
    <row r="558" spans="1:2">
      <c r="A558" t="s">
        <v>661</v>
      </c>
      <c r="B558">
        <v>15</v>
      </c>
    </row>
    <row r="559" spans="1:2">
      <c r="A559" t="s">
        <v>662</v>
      </c>
      <c r="B559">
        <v>12</v>
      </c>
    </row>
    <row r="560" spans="1:2">
      <c r="A560" t="s">
        <v>663</v>
      </c>
      <c r="B560">
        <v>18</v>
      </c>
    </row>
    <row r="561" spans="1:2">
      <c r="A561" t="s">
        <v>664</v>
      </c>
      <c r="B561">
        <v>13</v>
      </c>
    </row>
    <row r="562" spans="1:2">
      <c r="A562" t="s">
        <v>665</v>
      </c>
      <c r="B562">
        <v>11</v>
      </c>
    </row>
    <row r="563" spans="1:2">
      <c r="A563" t="s">
        <v>666</v>
      </c>
      <c r="B563">
        <v>15</v>
      </c>
    </row>
    <row r="564" spans="1:2">
      <c r="A564" t="s">
        <v>667</v>
      </c>
      <c r="B564">
        <v>10</v>
      </c>
    </row>
    <row r="565" spans="1:2">
      <c r="A565" t="s">
        <v>668</v>
      </c>
      <c r="B565">
        <v>11</v>
      </c>
    </row>
    <row r="566" spans="1:2">
      <c r="A566" t="s">
        <v>669</v>
      </c>
      <c r="B566">
        <v>18</v>
      </c>
    </row>
    <row r="567" spans="1:2">
      <c r="A567" t="s">
        <v>670</v>
      </c>
      <c r="B567">
        <v>9</v>
      </c>
    </row>
    <row r="568" spans="1:2">
      <c r="A568" t="s">
        <v>671</v>
      </c>
      <c r="B568">
        <v>7</v>
      </c>
    </row>
    <row r="569" spans="1:2">
      <c r="A569" t="s">
        <v>672</v>
      </c>
      <c r="B569">
        <v>9</v>
      </c>
    </row>
    <row r="570" spans="1:2">
      <c r="A570" t="s">
        <v>673</v>
      </c>
      <c r="B570">
        <v>11</v>
      </c>
    </row>
    <row r="571" spans="1:2">
      <c r="A571" t="s">
        <v>674</v>
      </c>
      <c r="B571">
        <v>13</v>
      </c>
    </row>
    <row r="572" spans="1:2">
      <c r="A572" t="s">
        <v>675</v>
      </c>
      <c r="B572">
        <v>20</v>
      </c>
    </row>
    <row r="573" spans="1:2">
      <c r="A573" t="s">
        <v>676</v>
      </c>
      <c r="B573">
        <v>12</v>
      </c>
    </row>
    <row r="574" spans="1:2">
      <c r="A574" t="s">
        <v>677</v>
      </c>
      <c r="B574">
        <v>9</v>
      </c>
    </row>
    <row r="575" spans="1:2">
      <c r="A575" t="s">
        <v>678</v>
      </c>
      <c r="B575">
        <v>15</v>
      </c>
    </row>
    <row r="576" spans="1:2">
      <c r="A576" t="s">
        <v>679</v>
      </c>
      <c r="B576">
        <v>11</v>
      </c>
    </row>
    <row r="577" spans="1:2">
      <c r="A577" t="s">
        <v>680</v>
      </c>
      <c r="B577">
        <v>9</v>
      </c>
    </row>
    <row r="578" spans="1:2">
      <c r="A578" t="s">
        <v>681</v>
      </c>
      <c r="B578">
        <v>13</v>
      </c>
    </row>
    <row r="579" spans="1:2">
      <c r="A579" t="s">
        <v>682</v>
      </c>
      <c r="B579">
        <v>9</v>
      </c>
    </row>
    <row r="580" spans="1:2">
      <c r="A580" t="s">
        <v>683</v>
      </c>
      <c r="B580">
        <v>10</v>
      </c>
    </row>
    <row r="581" spans="1:2">
      <c r="A581" t="s">
        <v>684</v>
      </c>
      <c r="B581">
        <v>17</v>
      </c>
    </row>
    <row r="582" spans="1:2">
      <c r="A582" t="s">
        <v>685</v>
      </c>
      <c r="B582">
        <v>7</v>
      </c>
    </row>
    <row r="583" spans="1:2">
      <c r="A583" t="s">
        <v>686</v>
      </c>
      <c r="B583">
        <v>6</v>
      </c>
    </row>
    <row r="584" spans="1:2">
      <c r="A584" t="s">
        <v>687</v>
      </c>
      <c r="B584">
        <v>8</v>
      </c>
    </row>
    <row r="585" spans="1:2">
      <c r="A585" t="s">
        <v>688</v>
      </c>
      <c r="B585">
        <v>10</v>
      </c>
    </row>
    <row r="586" spans="1:2">
      <c r="A586" t="s">
        <v>689</v>
      </c>
      <c r="B586">
        <v>12</v>
      </c>
    </row>
    <row r="587" spans="1:2">
      <c r="A587" t="s">
        <v>690</v>
      </c>
      <c r="B587">
        <v>19</v>
      </c>
    </row>
    <row r="588" spans="1:2">
      <c r="A588" t="s">
        <v>691</v>
      </c>
      <c r="B588">
        <v>11</v>
      </c>
    </row>
    <row r="589" spans="1:2">
      <c r="A589" t="s">
        <v>692</v>
      </c>
      <c r="B589">
        <v>9</v>
      </c>
    </row>
    <row r="590" spans="1:2">
      <c r="A590" t="s">
        <v>693</v>
      </c>
      <c r="B590">
        <v>14</v>
      </c>
    </row>
    <row r="591" spans="1:2">
      <c r="A591" t="s">
        <v>694</v>
      </c>
      <c r="B591">
        <v>10</v>
      </c>
    </row>
    <row r="592" spans="1:2">
      <c r="A592" t="s">
        <v>695</v>
      </c>
      <c r="B592">
        <v>9</v>
      </c>
    </row>
    <row r="593" spans="1:2">
      <c r="A593" t="s">
        <v>696</v>
      </c>
      <c r="B593">
        <v>12</v>
      </c>
    </row>
    <row r="594" spans="1:2">
      <c r="A594" t="s">
        <v>697</v>
      </c>
      <c r="B594">
        <v>8</v>
      </c>
    </row>
    <row r="595" spans="1:2">
      <c r="A595" t="s">
        <v>698</v>
      </c>
      <c r="B595">
        <v>9</v>
      </c>
    </row>
    <row r="596" spans="1:2">
      <c r="A596" t="s">
        <v>699</v>
      </c>
      <c r="B596">
        <v>17</v>
      </c>
    </row>
    <row r="597" spans="1:2">
      <c r="A597" t="s">
        <v>700</v>
      </c>
      <c r="B597">
        <v>7</v>
      </c>
    </row>
    <row r="598" spans="1:2">
      <c r="A598" t="s">
        <v>701</v>
      </c>
      <c r="B598">
        <v>6</v>
      </c>
    </row>
    <row r="599" spans="1:2">
      <c r="A599" t="s">
        <v>702</v>
      </c>
      <c r="B599">
        <v>8</v>
      </c>
    </row>
    <row r="600" spans="1:2">
      <c r="A600" t="s">
        <v>703</v>
      </c>
      <c r="B600">
        <v>10</v>
      </c>
    </row>
    <row r="601" spans="1:2">
      <c r="A601" t="s">
        <v>704</v>
      </c>
      <c r="B601">
        <v>12</v>
      </c>
    </row>
    <row r="602" spans="1:2">
      <c r="A602" t="s">
        <v>705</v>
      </c>
      <c r="B602">
        <v>27</v>
      </c>
    </row>
    <row r="603" spans="1:2">
      <c r="A603" t="s">
        <v>706</v>
      </c>
      <c r="B603">
        <v>18</v>
      </c>
    </row>
    <row r="604" spans="1:2">
      <c r="A604" t="s">
        <v>707</v>
      </c>
      <c r="B604">
        <v>15</v>
      </c>
    </row>
    <row r="605" spans="1:2">
      <c r="A605" t="s">
        <v>708</v>
      </c>
      <c r="B605">
        <v>21</v>
      </c>
    </row>
    <row r="606" spans="1:2">
      <c r="A606" t="s">
        <v>709</v>
      </c>
      <c r="B606">
        <v>16</v>
      </c>
    </row>
    <row r="607" spans="1:2">
      <c r="A607" t="s">
        <v>710</v>
      </c>
      <c r="B607">
        <v>14</v>
      </c>
    </row>
    <row r="608" spans="1:2">
      <c r="A608" t="s">
        <v>711</v>
      </c>
      <c r="B608">
        <v>18</v>
      </c>
    </row>
    <row r="609" spans="1:2">
      <c r="A609" t="s">
        <v>712</v>
      </c>
      <c r="B609">
        <v>13</v>
      </c>
    </row>
    <row r="610" spans="1:2">
      <c r="A610" t="s">
        <v>713</v>
      </c>
      <c r="B610">
        <v>13</v>
      </c>
    </row>
    <row r="611" spans="1:2">
      <c r="A611" t="s">
        <v>714</v>
      </c>
      <c r="B611">
        <v>21</v>
      </c>
    </row>
    <row r="612" spans="1:2">
      <c r="A612" t="s">
        <v>715</v>
      </c>
      <c r="B612">
        <v>12</v>
      </c>
    </row>
    <row r="613" spans="1:2">
      <c r="A613" t="s">
        <v>716</v>
      </c>
      <c r="B613">
        <v>10</v>
      </c>
    </row>
    <row r="614" spans="1:2">
      <c r="A614" t="s">
        <v>717</v>
      </c>
      <c r="B614">
        <v>11</v>
      </c>
    </row>
    <row r="615" spans="1:2">
      <c r="A615" t="s">
        <v>718</v>
      </c>
      <c r="B615">
        <v>13</v>
      </c>
    </row>
    <row r="616" spans="1:2">
      <c r="A616" t="s">
        <v>719</v>
      </c>
      <c r="B616">
        <v>16</v>
      </c>
    </row>
    <row r="617" spans="1:2">
      <c r="A617" t="s">
        <v>720</v>
      </c>
      <c r="B617">
        <v>25</v>
      </c>
    </row>
    <row r="618" spans="1:2">
      <c r="A618" t="s">
        <v>721</v>
      </c>
      <c r="B618">
        <v>17</v>
      </c>
    </row>
    <row r="619" spans="1:2">
      <c r="A619" t="s">
        <v>722</v>
      </c>
      <c r="B619">
        <v>14</v>
      </c>
    </row>
    <row r="620" spans="1:2">
      <c r="A620" t="s">
        <v>723</v>
      </c>
      <c r="B620">
        <v>20</v>
      </c>
    </row>
    <row r="621" spans="1:2">
      <c r="A621" t="s">
        <v>724</v>
      </c>
      <c r="B621">
        <v>15</v>
      </c>
    </row>
    <row r="622" spans="1:2">
      <c r="A622" t="s">
        <v>725</v>
      </c>
      <c r="B622">
        <v>13</v>
      </c>
    </row>
    <row r="623" spans="1:2">
      <c r="A623" t="s">
        <v>726</v>
      </c>
      <c r="B623">
        <v>17</v>
      </c>
    </row>
    <row r="624" spans="1:2">
      <c r="A624" t="s">
        <v>727</v>
      </c>
      <c r="B624">
        <v>12</v>
      </c>
    </row>
    <row r="625" spans="1:2">
      <c r="A625" t="s">
        <v>728</v>
      </c>
      <c r="B625">
        <v>12</v>
      </c>
    </row>
    <row r="626" spans="1:2">
      <c r="A626" t="s">
        <v>729</v>
      </c>
      <c r="B626">
        <v>20</v>
      </c>
    </row>
    <row r="627" spans="1:2">
      <c r="A627" t="s">
        <v>730</v>
      </c>
      <c r="B627">
        <v>11</v>
      </c>
    </row>
    <row r="628" spans="1:2">
      <c r="A628" t="s">
        <v>731</v>
      </c>
      <c r="B628">
        <v>9</v>
      </c>
    </row>
    <row r="629" spans="1:2">
      <c r="A629" t="s">
        <v>732</v>
      </c>
      <c r="B629">
        <v>10</v>
      </c>
    </row>
    <row r="630" spans="1:2">
      <c r="A630" t="s">
        <v>733</v>
      </c>
      <c r="B630">
        <v>12</v>
      </c>
    </row>
    <row r="631" spans="1:2">
      <c r="A631" t="s">
        <v>734</v>
      </c>
      <c r="B631">
        <v>15</v>
      </c>
    </row>
    <row r="632" spans="1:2">
      <c r="A632" t="s">
        <v>735</v>
      </c>
      <c r="B632">
        <v>24</v>
      </c>
    </row>
    <row r="633" spans="1:2">
      <c r="A633" t="s">
        <v>736</v>
      </c>
      <c r="B633">
        <v>16</v>
      </c>
    </row>
    <row r="634" spans="1:2">
      <c r="A634" t="s">
        <v>737</v>
      </c>
      <c r="B634">
        <v>13</v>
      </c>
    </row>
    <row r="635" spans="1:2">
      <c r="A635" t="s">
        <v>738</v>
      </c>
      <c r="B635">
        <v>19</v>
      </c>
    </row>
    <row r="636" spans="1:2">
      <c r="A636" t="s">
        <v>739</v>
      </c>
      <c r="B636">
        <v>14</v>
      </c>
    </row>
    <row r="637" spans="1:2">
      <c r="A637" t="s">
        <v>740</v>
      </c>
      <c r="B637">
        <v>12</v>
      </c>
    </row>
    <row r="638" spans="1:2">
      <c r="A638" t="s">
        <v>741</v>
      </c>
      <c r="B638">
        <v>16</v>
      </c>
    </row>
    <row r="639" spans="1:2">
      <c r="A639" t="s">
        <v>742</v>
      </c>
      <c r="B639">
        <v>11</v>
      </c>
    </row>
    <row r="640" spans="1:2">
      <c r="A640" t="s">
        <v>743</v>
      </c>
      <c r="B640">
        <v>12</v>
      </c>
    </row>
    <row r="641" spans="1:2">
      <c r="A641" t="s">
        <v>744</v>
      </c>
      <c r="B641">
        <v>19</v>
      </c>
    </row>
    <row r="642" spans="1:2">
      <c r="A642" t="s">
        <v>745</v>
      </c>
      <c r="B642">
        <v>10</v>
      </c>
    </row>
    <row r="643" spans="1:2">
      <c r="A643" t="s">
        <v>746</v>
      </c>
      <c r="B643">
        <v>8</v>
      </c>
    </row>
    <row r="644" spans="1:2">
      <c r="A644" t="s">
        <v>747</v>
      </c>
      <c r="B644">
        <v>10</v>
      </c>
    </row>
    <row r="645" spans="1:2">
      <c r="A645" t="s">
        <v>748</v>
      </c>
      <c r="B645">
        <v>12</v>
      </c>
    </row>
    <row r="646" spans="1:2">
      <c r="A646" t="s">
        <v>749</v>
      </c>
      <c r="B646">
        <v>14</v>
      </c>
    </row>
    <row r="647" spans="1:2">
      <c r="A647" t="s">
        <v>750</v>
      </c>
      <c r="B647">
        <v>23</v>
      </c>
    </row>
    <row r="648" spans="1:2">
      <c r="A648" t="s">
        <v>751</v>
      </c>
      <c r="B648">
        <v>16</v>
      </c>
    </row>
    <row r="649" spans="1:2">
      <c r="A649" t="s">
        <v>752</v>
      </c>
      <c r="B649">
        <v>13</v>
      </c>
    </row>
    <row r="650" spans="1:2">
      <c r="A650" t="s">
        <v>753</v>
      </c>
      <c r="B650">
        <v>19</v>
      </c>
    </row>
    <row r="651" spans="1:2">
      <c r="A651" t="s">
        <v>754</v>
      </c>
      <c r="B651">
        <v>14</v>
      </c>
    </row>
    <row r="652" spans="1:2">
      <c r="A652" t="s">
        <v>755</v>
      </c>
      <c r="B652">
        <v>12</v>
      </c>
    </row>
    <row r="653" spans="1:2">
      <c r="A653" t="s">
        <v>756</v>
      </c>
      <c r="B653">
        <v>16</v>
      </c>
    </row>
    <row r="654" spans="1:2">
      <c r="A654" t="s">
        <v>757</v>
      </c>
      <c r="B654">
        <v>11</v>
      </c>
    </row>
    <row r="655" spans="1:2">
      <c r="A655" t="s">
        <v>758</v>
      </c>
      <c r="B655">
        <v>12</v>
      </c>
    </row>
    <row r="656" spans="1:2">
      <c r="A656" t="s">
        <v>759</v>
      </c>
      <c r="B656">
        <v>19</v>
      </c>
    </row>
    <row r="657" spans="1:2">
      <c r="A657" t="s">
        <v>760</v>
      </c>
      <c r="B657">
        <v>10</v>
      </c>
    </row>
    <row r="658" spans="1:2">
      <c r="A658" t="s">
        <v>761</v>
      </c>
      <c r="B658">
        <v>8</v>
      </c>
    </row>
    <row r="659" spans="1:2">
      <c r="A659" t="s">
        <v>762</v>
      </c>
      <c r="B659">
        <v>10</v>
      </c>
    </row>
    <row r="660" spans="1:2">
      <c r="A660" t="s">
        <v>763</v>
      </c>
      <c r="B660">
        <v>12</v>
      </c>
    </row>
    <row r="661" spans="1:2">
      <c r="A661" t="s">
        <v>764</v>
      </c>
      <c r="B661">
        <v>14</v>
      </c>
    </row>
    <row r="662" spans="1:2">
      <c r="A662" t="s">
        <v>765</v>
      </c>
      <c r="B662">
        <v>22</v>
      </c>
    </row>
    <row r="663" spans="1:2">
      <c r="A663" t="s">
        <v>766</v>
      </c>
      <c r="B663">
        <v>15</v>
      </c>
    </row>
    <row r="664" spans="1:2">
      <c r="A664" t="s">
        <v>767</v>
      </c>
      <c r="B664">
        <v>12</v>
      </c>
    </row>
    <row r="665" spans="1:2">
      <c r="A665" t="s">
        <v>768</v>
      </c>
      <c r="B665">
        <v>18</v>
      </c>
    </row>
    <row r="666" spans="1:2">
      <c r="A666" t="s">
        <v>769</v>
      </c>
      <c r="B666">
        <v>13</v>
      </c>
    </row>
    <row r="667" spans="1:2">
      <c r="A667" t="s">
        <v>770</v>
      </c>
      <c r="B667">
        <v>11</v>
      </c>
    </row>
    <row r="668" spans="1:2">
      <c r="A668" t="s">
        <v>771</v>
      </c>
      <c r="B668">
        <v>15</v>
      </c>
    </row>
    <row r="669" spans="1:2">
      <c r="A669" t="s">
        <v>772</v>
      </c>
      <c r="B669">
        <v>10</v>
      </c>
    </row>
    <row r="670" spans="1:2">
      <c r="A670" t="s">
        <v>773</v>
      </c>
      <c r="B670">
        <v>11</v>
      </c>
    </row>
    <row r="671" spans="1:2">
      <c r="A671" t="s">
        <v>774</v>
      </c>
      <c r="B671">
        <v>18</v>
      </c>
    </row>
    <row r="672" spans="1:2">
      <c r="A672" t="s">
        <v>775</v>
      </c>
      <c r="B672">
        <v>9</v>
      </c>
    </row>
    <row r="673" spans="1:2">
      <c r="A673" t="s">
        <v>776</v>
      </c>
      <c r="B673">
        <v>7</v>
      </c>
    </row>
    <row r="674" spans="1:2">
      <c r="A674" t="s">
        <v>777</v>
      </c>
      <c r="B674">
        <v>9</v>
      </c>
    </row>
    <row r="675" spans="1:2">
      <c r="A675" t="s">
        <v>778</v>
      </c>
      <c r="B675">
        <v>11</v>
      </c>
    </row>
    <row r="676" spans="1:2">
      <c r="A676" t="s">
        <v>779</v>
      </c>
      <c r="B676">
        <v>13</v>
      </c>
    </row>
    <row r="677" spans="1:2">
      <c r="A677" t="s">
        <v>780</v>
      </c>
      <c r="B677">
        <v>20</v>
      </c>
    </row>
    <row r="678" spans="1:2">
      <c r="A678" t="s">
        <v>781</v>
      </c>
      <c r="B678">
        <v>12</v>
      </c>
    </row>
    <row r="679" spans="1:2">
      <c r="A679" t="s">
        <v>782</v>
      </c>
      <c r="B679">
        <v>9</v>
      </c>
    </row>
    <row r="680" spans="1:2">
      <c r="A680" t="s">
        <v>783</v>
      </c>
      <c r="B680">
        <v>15</v>
      </c>
    </row>
    <row r="681" spans="1:2">
      <c r="A681" t="s">
        <v>784</v>
      </c>
      <c r="B681">
        <v>11</v>
      </c>
    </row>
    <row r="682" spans="1:2">
      <c r="A682" t="s">
        <v>785</v>
      </c>
      <c r="B682">
        <v>9</v>
      </c>
    </row>
    <row r="683" spans="1:2">
      <c r="A683" t="s">
        <v>786</v>
      </c>
      <c r="B683">
        <v>13</v>
      </c>
    </row>
    <row r="684" spans="1:2">
      <c r="A684" t="s">
        <v>787</v>
      </c>
      <c r="B684">
        <v>9</v>
      </c>
    </row>
    <row r="685" spans="1:2">
      <c r="A685" t="s">
        <v>788</v>
      </c>
      <c r="B685">
        <v>10</v>
      </c>
    </row>
    <row r="686" spans="1:2">
      <c r="A686" t="s">
        <v>789</v>
      </c>
      <c r="B686">
        <v>17</v>
      </c>
    </row>
    <row r="687" spans="1:2">
      <c r="A687" t="s">
        <v>790</v>
      </c>
      <c r="B687">
        <v>7</v>
      </c>
    </row>
    <row r="688" spans="1:2">
      <c r="A688" t="s">
        <v>791</v>
      </c>
      <c r="B688">
        <v>6</v>
      </c>
    </row>
    <row r="689" spans="1:2">
      <c r="A689" t="s">
        <v>792</v>
      </c>
      <c r="B689">
        <v>8</v>
      </c>
    </row>
    <row r="690" spans="1:2">
      <c r="A690" t="s">
        <v>793</v>
      </c>
      <c r="B690">
        <v>10</v>
      </c>
    </row>
    <row r="691" spans="1:2">
      <c r="A691" t="s">
        <v>794</v>
      </c>
      <c r="B691">
        <v>12</v>
      </c>
    </row>
    <row r="692" spans="1:2">
      <c r="A692" t="s">
        <v>795</v>
      </c>
      <c r="B692">
        <v>19</v>
      </c>
    </row>
    <row r="693" spans="1:2">
      <c r="A693" t="s">
        <v>796</v>
      </c>
      <c r="B693">
        <v>11</v>
      </c>
    </row>
    <row r="694" spans="1:2">
      <c r="A694" t="s">
        <v>797</v>
      </c>
      <c r="B694">
        <v>9</v>
      </c>
    </row>
    <row r="695" spans="1:2">
      <c r="A695" t="s">
        <v>798</v>
      </c>
      <c r="B695">
        <v>14</v>
      </c>
    </row>
    <row r="696" spans="1:2">
      <c r="A696" t="s">
        <v>799</v>
      </c>
      <c r="B696">
        <v>10</v>
      </c>
    </row>
    <row r="697" spans="1:2">
      <c r="A697" t="s">
        <v>800</v>
      </c>
      <c r="B697">
        <v>9</v>
      </c>
    </row>
    <row r="698" spans="1:2">
      <c r="A698" t="s">
        <v>801</v>
      </c>
      <c r="B698">
        <v>12</v>
      </c>
    </row>
    <row r="699" spans="1:2">
      <c r="A699" t="s">
        <v>802</v>
      </c>
      <c r="B699">
        <v>8</v>
      </c>
    </row>
    <row r="700" spans="1:2">
      <c r="A700" t="s">
        <v>803</v>
      </c>
      <c r="B700">
        <v>9</v>
      </c>
    </row>
    <row r="701" spans="1:2">
      <c r="A701" t="s">
        <v>804</v>
      </c>
      <c r="B701">
        <v>17</v>
      </c>
    </row>
    <row r="702" spans="1:2">
      <c r="A702" t="s">
        <v>805</v>
      </c>
      <c r="B702">
        <v>7</v>
      </c>
    </row>
    <row r="703" spans="1:2">
      <c r="A703" t="s">
        <v>806</v>
      </c>
      <c r="B703">
        <v>6</v>
      </c>
    </row>
    <row r="704" spans="1:2">
      <c r="A704" t="s">
        <v>807</v>
      </c>
      <c r="B704">
        <v>8</v>
      </c>
    </row>
    <row r="705" spans="1:2">
      <c r="A705" t="s">
        <v>808</v>
      </c>
      <c r="B705">
        <v>10</v>
      </c>
    </row>
    <row r="706" spans="1:2">
      <c r="A706" t="s">
        <v>809</v>
      </c>
      <c r="B706">
        <v>12</v>
      </c>
    </row>
    <row r="707" spans="1:2">
      <c r="A707" t="s">
        <v>810</v>
      </c>
      <c r="B707">
        <v>27</v>
      </c>
    </row>
    <row r="708" spans="1:2">
      <c r="A708" t="s">
        <v>811</v>
      </c>
      <c r="B708">
        <v>18</v>
      </c>
    </row>
    <row r="709" spans="1:2">
      <c r="A709" t="s">
        <v>812</v>
      </c>
      <c r="B709">
        <v>15</v>
      </c>
    </row>
    <row r="710" spans="1:2">
      <c r="A710" t="s">
        <v>813</v>
      </c>
      <c r="B710">
        <v>21</v>
      </c>
    </row>
    <row r="711" spans="1:2">
      <c r="A711" t="s">
        <v>814</v>
      </c>
      <c r="B711">
        <v>16</v>
      </c>
    </row>
    <row r="712" spans="1:2">
      <c r="A712" t="s">
        <v>815</v>
      </c>
      <c r="B712">
        <v>14</v>
      </c>
    </row>
    <row r="713" spans="1:2">
      <c r="A713" t="s">
        <v>816</v>
      </c>
      <c r="B713">
        <v>18</v>
      </c>
    </row>
    <row r="714" spans="1:2">
      <c r="A714" t="s">
        <v>817</v>
      </c>
      <c r="B714">
        <v>13</v>
      </c>
    </row>
    <row r="715" spans="1:2">
      <c r="A715" t="s">
        <v>818</v>
      </c>
      <c r="B715">
        <v>13</v>
      </c>
    </row>
    <row r="716" spans="1:2">
      <c r="A716" t="s">
        <v>819</v>
      </c>
      <c r="B716">
        <v>21</v>
      </c>
    </row>
    <row r="717" spans="1:2">
      <c r="A717" t="s">
        <v>820</v>
      </c>
      <c r="B717">
        <v>12</v>
      </c>
    </row>
    <row r="718" spans="1:2">
      <c r="A718" t="s">
        <v>821</v>
      </c>
      <c r="B718">
        <v>10</v>
      </c>
    </row>
    <row r="719" spans="1:2">
      <c r="A719" t="s">
        <v>822</v>
      </c>
      <c r="B719">
        <v>11</v>
      </c>
    </row>
    <row r="720" spans="1:2">
      <c r="A720" t="s">
        <v>823</v>
      </c>
      <c r="B720">
        <v>13</v>
      </c>
    </row>
    <row r="721" spans="1:2">
      <c r="A721" t="s">
        <v>824</v>
      </c>
      <c r="B721">
        <v>16</v>
      </c>
    </row>
    <row r="722" spans="1:2">
      <c r="A722" t="s">
        <v>825</v>
      </c>
      <c r="B722">
        <v>25</v>
      </c>
    </row>
    <row r="723" spans="1:2">
      <c r="A723" t="s">
        <v>826</v>
      </c>
      <c r="B723">
        <v>17</v>
      </c>
    </row>
    <row r="724" spans="1:2">
      <c r="A724" t="s">
        <v>827</v>
      </c>
      <c r="B724">
        <v>14</v>
      </c>
    </row>
    <row r="725" spans="1:2">
      <c r="A725" t="s">
        <v>828</v>
      </c>
      <c r="B725">
        <v>20</v>
      </c>
    </row>
    <row r="726" spans="1:2">
      <c r="A726" t="s">
        <v>829</v>
      </c>
      <c r="B726">
        <v>15</v>
      </c>
    </row>
    <row r="727" spans="1:2">
      <c r="A727" t="s">
        <v>830</v>
      </c>
      <c r="B727">
        <v>13</v>
      </c>
    </row>
    <row r="728" spans="1:2">
      <c r="A728" t="s">
        <v>831</v>
      </c>
      <c r="B728">
        <v>17</v>
      </c>
    </row>
    <row r="729" spans="1:2">
      <c r="A729" t="s">
        <v>832</v>
      </c>
      <c r="B729">
        <v>12</v>
      </c>
    </row>
    <row r="730" spans="1:2">
      <c r="A730" t="s">
        <v>833</v>
      </c>
      <c r="B730">
        <v>12</v>
      </c>
    </row>
    <row r="731" spans="1:2">
      <c r="A731" t="s">
        <v>834</v>
      </c>
      <c r="B731">
        <v>20</v>
      </c>
    </row>
    <row r="732" spans="1:2">
      <c r="A732" t="s">
        <v>835</v>
      </c>
      <c r="B732">
        <v>11</v>
      </c>
    </row>
    <row r="733" spans="1:2">
      <c r="A733" t="s">
        <v>836</v>
      </c>
      <c r="B733">
        <v>9</v>
      </c>
    </row>
    <row r="734" spans="1:2">
      <c r="A734" t="s">
        <v>837</v>
      </c>
      <c r="B734">
        <v>10</v>
      </c>
    </row>
    <row r="735" spans="1:2">
      <c r="A735" t="s">
        <v>838</v>
      </c>
      <c r="B735">
        <v>12</v>
      </c>
    </row>
    <row r="736" spans="1:2">
      <c r="A736" t="s">
        <v>839</v>
      </c>
      <c r="B736">
        <v>15</v>
      </c>
    </row>
    <row r="737" spans="1:2">
      <c r="A737" t="s">
        <v>840</v>
      </c>
      <c r="B737">
        <v>24</v>
      </c>
    </row>
    <row r="738" spans="1:2">
      <c r="A738" t="s">
        <v>841</v>
      </c>
      <c r="B738">
        <v>16</v>
      </c>
    </row>
    <row r="739" spans="1:2">
      <c r="A739" t="s">
        <v>842</v>
      </c>
      <c r="B739">
        <v>13</v>
      </c>
    </row>
    <row r="740" spans="1:2">
      <c r="A740" t="s">
        <v>843</v>
      </c>
      <c r="B740">
        <v>19</v>
      </c>
    </row>
    <row r="741" spans="1:2">
      <c r="A741" t="s">
        <v>844</v>
      </c>
      <c r="B741">
        <v>14</v>
      </c>
    </row>
    <row r="742" spans="1:2">
      <c r="A742" t="s">
        <v>845</v>
      </c>
      <c r="B742">
        <v>12</v>
      </c>
    </row>
    <row r="743" spans="1:2">
      <c r="A743" t="s">
        <v>846</v>
      </c>
      <c r="B743">
        <v>16</v>
      </c>
    </row>
    <row r="744" spans="1:2">
      <c r="A744" t="s">
        <v>847</v>
      </c>
      <c r="B744">
        <v>11</v>
      </c>
    </row>
    <row r="745" spans="1:2">
      <c r="A745" t="s">
        <v>848</v>
      </c>
      <c r="B745">
        <v>12</v>
      </c>
    </row>
    <row r="746" spans="1:2">
      <c r="A746" t="s">
        <v>849</v>
      </c>
      <c r="B746">
        <v>19</v>
      </c>
    </row>
    <row r="747" spans="1:2">
      <c r="A747" t="s">
        <v>850</v>
      </c>
      <c r="B747">
        <v>10</v>
      </c>
    </row>
    <row r="748" spans="1:2">
      <c r="A748" t="s">
        <v>851</v>
      </c>
      <c r="B748">
        <v>8</v>
      </c>
    </row>
    <row r="749" spans="1:2">
      <c r="A749" t="s">
        <v>852</v>
      </c>
      <c r="B749">
        <v>10</v>
      </c>
    </row>
    <row r="750" spans="1:2">
      <c r="A750" t="s">
        <v>853</v>
      </c>
      <c r="B750">
        <v>12</v>
      </c>
    </row>
    <row r="751" spans="1:2">
      <c r="A751" t="s">
        <v>854</v>
      </c>
      <c r="B751">
        <v>14</v>
      </c>
    </row>
    <row r="752" spans="1:2">
      <c r="A752" t="s">
        <v>855</v>
      </c>
      <c r="B752">
        <v>23</v>
      </c>
    </row>
    <row r="753" spans="1:2">
      <c r="A753" t="s">
        <v>856</v>
      </c>
      <c r="B753">
        <v>16</v>
      </c>
    </row>
    <row r="754" spans="1:2">
      <c r="A754" t="s">
        <v>857</v>
      </c>
      <c r="B754">
        <v>13</v>
      </c>
    </row>
    <row r="755" spans="1:2">
      <c r="A755" t="s">
        <v>858</v>
      </c>
      <c r="B755">
        <v>19</v>
      </c>
    </row>
    <row r="756" spans="1:2">
      <c r="A756" t="s">
        <v>859</v>
      </c>
      <c r="B756">
        <v>14</v>
      </c>
    </row>
    <row r="757" spans="1:2">
      <c r="A757" t="s">
        <v>860</v>
      </c>
      <c r="B757">
        <v>12</v>
      </c>
    </row>
    <row r="758" spans="1:2">
      <c r="A758" t="s">
        <v>861</v>
      </c>
      <c r="B758">
        <v>16</v>
      </c>
    </row>
    <row r="759" spans="1:2">
      <c r="A759" t="s">
        <v>862</v>
      </c>
      <c r="B759">
        <v>11</v>
      </c>
    </row>
    <row r="760" spans="1:2">
      <c r="A760" t="s">
        <v>863</v>
      </c>
      <c r="B760">
        <v>12</v>
      </c>
    </row>
    <row r="761" spans="1:2">
      <c r="A761" t="s">
        <v>864</v>
      </c>
      <c r="B761">
        <v>19</v>
      </c>
    </row>
    <row r="762" spans="1:2">
      <c r="A762" t="s">
        <v>865</v>
      </c>
      <c r="B762">
        <v>10</v>
      </c>
    </row>
    <row r="763" spans="1:2">
      <c r="A763" t="s">
        <v>866</v>
      </c>
      <c r="B763">
        <v>8</v>
      </c>
    </row>
    <row r="764" spans="1:2">
      <c r="A764" t="s">
        <v>867</v>
      </c>
      <c r="B764">
        <v>10</v>
      </c>
    </row>
    <row r="765" spans="1:2">
      <c r="A765" t="s">
        <v>868</v>
      </c>
      <c r="B765">
        <v>12</v>
      </c>
    </row>
    <row r="766" spans="1:2">
      <c r="A766" t="s">
        <v>869</v>
      </c>
      <c r="B766">
        <v>14</v>
      </c>
    </row>
    <row r="767" spans="1:2">
      <c r="A767" t="s">
        <v>870</v>
      </c>
      <c r="B767">
        <v>22</v>
      </c>
    </row>
    <row r="768" spans="1:2">
      <c r="A768" t="s">
        <v>871</v>
      </c>
      <c r="B768">
        <v>15</v>
      </c>
    </row>
    <row r="769" spans="1:2">
      <c r="A769" t="s">
        <v>872</v>
      </c>
      <c r="B769">
        <v>12</v>
      </c>
    </row>
    <row r="770" spans="1:2">
      <c r="A770" t="s">
        <v>873</v>
      </c>
      <c r="B770">
        <v>18</v>
      </c>
    </row>
    <row r="771" spans="1:2">
      <c r="A771" t="s">
        <v>874</v>
      </c>
      <c r="B771">
        <v>13</v>
      </c>
    </row>
    <row r="772" spans="1:2">
      <c r="A772" t="s">
        <v>875</v>
      </c>
      <c r="B772">
        <v>11</v>
      </c>
    </row>
    <row r="773" spans="1:2">
      <c r="A773" t="s">
        <v>876</v>
      </c>
      <c r="B773">
        <v>15</v>
      </c>
    </row>
    <row r="774" spans="1:2">
      <c r="A774" t="s">
        <v>877</v>
      </c>
      <c r="B774">
        <v>10</v>
      </c>
    </row>
    <row r="775" spans="1:2">
      <c r="A775" t="s">
        <v>878</v>
      </c>
      <c r="B775">
        <v>11</v>
      </c>
    </row>
    <row r="776" spans="1:2">
      <c r="A776" t="s">
        <v>879</v>
      </c>
      <c r="B776">
        <v>18</v>
      </c>
    </row>
    <row r="777" spans="1:2">
      <c r="A777" t="s">
        <v>880</v>
      </c>
      <c r="B777">
        <v>9</v>
      </c>
    </row>
    <row r="778" spans="1:2">
      <c r="A778" t="s">
        <v>881</v>
      </c>
      <c r="B778">
        <v>7</v>
      </c>
    </row>
    <row r="779" spans="1:2">
      <c r="A779" t="s">
        <v>882</v>
      </c>
      <c r="B779">
        <v>9</v>
      </c>
    </row>
    <row r="780" spans="1:2">
      <c r="A780" t="s">
        <v>883</v>
      </c>
      <c r="B780">
        <v>11</v>
      </c>
    </row>
    <row r="781" spans="1:2">
      <c r="A781" t="s">
        <v>884</v>
      </c>
      <c r="B781">
        <v>13</v>
      </c>
    </row>
    <row r="782" spans="1:2">
      <c r="A782" t="s">
        <v>885</v>
      </c>
      <c r="B782">
        <v>20</v>
      </c>
    </row>
    <row r="783" spans="1:2">
      <c r="A783" t="s">
        <v>886</v>
      </c>
      <c r="B783">
        <v>12</v>
      </c>
    </row>
    <row r="784" spans="1:2">
      <c r="A784" t="s">
        <v>887</v>
      </c>
      <c r="B784">
        <v>9</v>
      </c>
    </row>
    <row r="785" spans="1:2">
      <c r="A785" t="s">
        <v>888</v>
      </c>
      <c r="B785">
        <v>15</v>
      </c>
    </row>
    <row r="786" spans="1:2">
      <c r="A786" t="s">
        <v>889</v>
      </c>
      <c r="B786">
        <v>11</v>
      </c>
    </row>
    <row r="787" spans="1:2">
      <c r="A787" t="s">
        <v>890</v>
      </c>
      <c r="B787">
        <v>9</v>
      </c>
    </row>
    <row r="788" spans="1:2">
      <c r="A788" t="s">
        <v>891</v>
      </c>
      <c r="B788">
        <v>13</v>
      </c>
    </row>
    <row r="789" spans="1:2">
      <c r="A789" t="s">
        <v>892</v>
      </c>
      <c r="B789">
        <v>9</v>
      </c>
    </row>
    <row r="790" spans="1:2">
      <c r="A790" t="s">
        <v>893</v>
      </c>
      <c r="B790">
        <v>10</v>
      </c>
    </row>
    <row r="791" spans="1:2">
      <c r="A791" t="s">
        <v>894</v>
      </c>
      <c r="B791">
        <v>17</v>
      </c>
    </row>
    <row r="792" spans="1:2">
      <c r="A792" t="s">
        <v>895</v>
      </c>
      <c r="B792">
        <v>7</v>
      </c>
    </row>
    <row r="793" spans="1:2">
      <c r="A793" t="s">
        <v>896</v>
      </c>
      <c r="B793">
        <v>6</v>
      </c>
    </row>
    <row r="794" spans="1:2">
      <c r="A794" t="s">
        <v>897</v>
      </c>
      <c r="B794">
        <v>8</v>
      </c>
    </row>
    <row r="795" spans="1:2">
      <c r="A795" t="s">
        <v>898</v>
      </c>
      <c r="B795">
        <v>10</v>
      </c>
    </row>
    <row r="796" spans="1:2">
      <c r="A796" t="s">
        <v>899</v>
      </c>
      <c r="B796">
        <v>12</v>
      </c>
    </row>
    <row r="797" spans="1:2">
      <c r="A797" t="s">
        <v>900</v>
      </c>
      <c r="B797">
        <v>19</v>
      </c>
    </row>
    <row r="798" spans="1:2">
      <c r="A798" t="s">
        <v>901</v>
      </c>
      <c r="B798">
        <v>11</v>
      </c>
    </row>
    <row r="799" spans="1:2">
      <c r="A799" t="s">
        <v>902</v>
      </c>
      <c r="B799">
        <v>9</v>
      </c>
    </row>
    <row r="800" spans="1:2">
      <c r="A800" t="s">
        <v>903</v>
      </c>
      <c r="B800">
        <v>14</v>
      </c>
    </row>
    <row r="801" spans="1:2">
      <c r="A801" t="s">
        <v>904</v>
      </c>
      <c r="B801">
        <v>10</v>
      </c>
    </row>
    <row r="802" spans="1:2">
      <c r="A802" t="s">
        <v>905</v>
      </c>
      <c r="B802">
        <v>9</v>
      </c>
    </row>
    <row r="803" spans="1:2">
      <c r="A803" t="s">
        <v>906</v>
      </c>
      <c r="B803">
        <v>12</v>
      </c>
    </row>
    <row r="804" spans="1:2">
      <c r="A804" t="s">
        <v>907</v>
      </c>
      <c r="B804">
        <v>8</v>
      </c>
    </row>
    <row r="805" spans="1:2">
      <c r="A805" t="s">
        <v>908</v>
      </c>
      <c r="B805">
        <v>9</v>
      </c>
    </row>
    <row r="806" spans="1:2">
      <c r="A806" t="s">
        <v>909</v>
      </c>
      <c r="B806">
        <v>17</v>
      </c>
    </row>
    <row r="807" spans="1:2">
      <c r="A807" t="s">
        <v>910</v>
      </c>
      <c r="B807">
        <v>7</v>
      </c>
    </row>
    <row r="808" spans="1:2">
      <c r="A808" t="s">
        <v>911</v>
      </c>
      <c r="B808">
        <v>6</v>
      </c>
    </row>
    <row r="809" spans="1:2">
      <c r="A809" t="s">
        <v>912</v>
      </c>
      <c r="B809">
        <v>8</v>
      </c>
    </row>
    <row r="810" spans="1:2">
      <c r="A810" t="s">
        <v>913</v>
      </c>
      <c r="B810">
        <v>10</v>
      </c>
    </row>
    <row r="811" spans="1:2">
      <c r="A811" t="s">
        <v>914</v>
      </c>
      <c r="B811">
        <v>12</v>
      </c>
    </row>
    <row r="812" spans="1:2">
      <c r="A812" t="s">
        <v>915</v>
      </c>
      <c r="B812">
        <v>27</v>
      </c>
    </row>
    <row r="813" spans="1:2">
      <c r="A813" t="s">
        <v>916</v>
      </c>
      <c r="B813">
        <v>18</v>
      </c>
    </row>
    <row r="814" spans="1:2">
      <c r="A814" t="s">
        <v>917</v>
      </c>
      <c r="B814">
        <v>15</v>
      </c>
    </row>
    <row r="815" spans="1:2">
      <c r="A815" t="s">
        <v>918</v>
      </c>
      <c r="B815">
        <v>21</v>
      </c>
    </row>
    <row r="816" spans="1:2">
      <c r="A816" t="s">
        <v>919</v>
      </c>
      <c r="B816">
        <v>16</v>
      </c>
    </row>
    <row r="817" spans="1:2">
      <c r="A817" t="s">
        <v>920</v>
      </c>
      <c r="B817">
        <v>14</v>
      </c>
    </row>
    <row r="818" spans="1:2">
      <c r="A818" t="s">
        <v>921</v>
      </c>
      <c r="B818">
        <v>18</v>
      </c>
    </row>
    <row r="819" spans="1:2">
      <c r="A819" t="s">
        <v>922</v>
      </c>
      <c r="B819">
        <v>13</v>
      </c>
    </row>
    <row r="820" spans="1:2">
      <c r="A820" t="s">
        <v>923</v>
      </c>
      <c r="B820">
        <v>13</v>
      </c>
    </row>
    <row r="821" spans="1:2">
      <c r="A821" t="s">
        <v>924</v>
      </c>
      <c r="B821">
        <v>21</v>
      </c>
    </row>
    <row r="822" spans="1:2">
      <c r="A822" t="s">
        <v>925</v>
      </c>
      <c r="B822">
        <v>12</v>
      </c>
    </row>
    <row r="823" spans="1:2">
      <c r="A823" t="s">
        <v>926</v>
      </c>
      <c r="B823">
        <v>10</v>
      </c>
    </row>
    <row r="824" spans="1:2">
      <c r="A824" t="s">
        <v>927</v>
      </c>
      <c r="B824">
        <v>11</v>
      </c>
    </row>
    <row r="825" spans="1:2">
      <c r="A825" t="s">
        <v>928</v>
      </c>
      <c r="B825">
        <v>13</v>
      </c>
    </row>
    <row r="826" spans="1:2">
      <c r="A826" t="s">
        <v>929</v>
      </c>
      <c r="B826">
        <v>16</v>
      </c>
    </row>
    <row r="827" spans="1:2">
      <c r="A827" t="s">
        <v>930</v>
      </c>
      <c r="B827">
        <v>25</v>
      </c>
    </row>
    <row r="828" spans="1:2">
      <c r="A828" t="s">
        <v>931</v>
      </c>
      <c r="B828">
        <v>17</v>
      </c>
    </row>
    <row r="829" spans="1:2">
      <c r="A829" t="s">
        <v>932</v>
      </c>
      <c r="B829">
        <v>14</v>
      </c>
    </row>
    <row r="830" spans="1:2">
      <c r="A830" t="s">
        <v>933</v>
      </c>
      <c r="B830">
        <v>20</v>
      </c>
    </row>
    <row r="831" spans="1:2">
      <c r="A831" t="s">
        <v>934</v>
      </c>
      <c r="B831">
        <v>15</v>
      </c>
    </row>
    <row r="832" spans="1:2">
      <c r="A832" t="s">
        <v>935</v>
      </c>
      <c r="B832">
        <v>13</v>
      </c>
    </row>
    <row r="833" spans="1:2">
      <c r="A833" t="s">
        <v>936</v>
      </c>
      <c r="B833">
        <v>17</v>
      </c>
    </row>
    <row r="834" spans="1:2">
      <c r="A834" t="s">
        <v>937</v>
      </c>
      <c r="B834">
        <v>12</v>
      </c>
    </row>
    <row r="835" spans="1:2">
      <c r="A835" t="s">
        <v>938</v>
      </c>
      <c r="B835">
        <v>12</v>
      </c>
    </row>
    <row r="836" spans="1:2">
      <c r="A836" t="s">
        <v>939</v>
      </c>
      <c r="B836">
        <v>20</v>
      </c>
    </row>
    <row r="837" spans="1:2">
      <c r="A837" t="s">
        <v>940</v>
      </c>
      <c r="B837">
        <v>11</v>
      </c>
    </row>
    <row r="838" spans="1:2">
      <c r="A838" t="s">
        <v>941</v>
      </c>
      <c r="B838">
        <v>9</v>
      </c>
    </row>
    <row r="839" spans="1:2">
      <c r="A839" t="s">
        <v>942</v>
      </c>
      <c r="B839">
        <v>10</v>
      </c>
    </row>
    <row r="840" spans="1:2">
      <c r="A840" t="s">
        <v>943</v>
      </c>
      <c r="B840">
        <v>12</v>
      </c>
    </row>
    <row r="841" spans="1:2">
      <c r="A841" t="s">
        <v>944</v>
      </c>
      <c r="B841">
        <v>15</v>
      </c>
    </row>
    <row r="842" spans="1:2">
      <c r="A842" t="s">
        <v>945</v>
      </c>
      <c r="B842">
        <v>24</v>
      </c>
    </row>
    <row r="843" spans="1:2">
      <c r="A843" t="s">
        <v>946</v>
      </c>
      <c r="B843">
        <v>16</v>
      </c>
    </row>
    <row r="844" spans="1:2">
      <c r="A844" t="s">
        <v>947</v>
      </c>
      <c r="B844">
        <v>13</v>
      </c>
    </row>
    <row r="845" spans="1:2">
      <c r="A845" t="s">
        <v>948</v>
      </c>
      <c r="B845">
        <v>19</v>
      </c>
    </row>
    <row r="846" spans="1:2">
      <c r="A846" t="s">
        <v>949</v>
      </c>
      <c r="B846">
        <v>14</v>
      </c>
    </row>
    <row r="847" spans="1:2">
      <c r="A847" t="s">
        <v>950</v>
      </c>
      <c r="B847">
        <v>12</v>
      </c>
    </row>
    <row r="848" spans="1:2">
      <c r="A848" t="s">
        <v>951</v>
      </c>
      <c r="B848">
        <v>16</v>
      </c>
    </row>
    <row r="849" spans="1:2">
      <c r="A849" t="s">
        <v>952</v>
      </c>
      <c r="B849">
        <v>11</v>
      </c>
    </row>
    <row r="850" spans="1:2">
      <c r="A850" t="s">
        <v>953</v>
      </c>
      <c r="B850">
        <v>12</v>
      </c>
    </row>
    <row r="851" spans="1:2">
      <c r="A851" t="s">
        <v>954</v>
      </c>
      <c r="B851">
        <v>19</v>
      </c>
    </row>
    <row r="852" spans="1:2">
      <c r="A852" t="s">
        <v>955</v>
      </c>
      <c r="B852">
        <v>10</v>
      </c>
    </row>
    <row r="853" spans="1:2">
      <c r="A853" t="s">
        <v>956</v>
      </c>
      <c r="B853">
        <v>8</v>
      </c>
    </row>
    <row r="854" spans="1:2">
      <c r="A854" t="s">
        <v>957</v>
      </c>
      <c r="B854">
        <v>10</v>
      </c>
    </row>
    <row r="855" spans="1:2">
      <c r="A855" t="s">
        <v>958</v>
      </c>
      <c r="B855">
        <v>12</v>
      </c>
    </row>
    <row r="856" spans="1:2">
      <c r="A856" t="s">
        <v>959</v>
      </c>
      <c r="B856">
        <v>14</v>
      </c>
    </row>
    <row r="857" spans="1:2">
      <c r="A857" t="s">
        <v>960</v>
      </c>
      <c r="B857">
        <v>23</v>
      </c>
    </row>
    <row r="858" spans="1:2">
      <c r="A858" t="s">
        <v>961</v>
      </c>
      <c r="B858">
        <v>16</v>
      </c>
    </row>
    <row r="859" spans="1:2">
      <c r="A859" t="s">
        <v>962</v>
      </c>
      <c r="B859">
        <v>13</v>
      </c>
    </row>
    <row r="860" spans="1:2">
      <c r="A860" t="s">
        <v>963</v>
      </c>
      <c r="B860">
        <v>19</v>
      </c>
    </row>
    <row r="861" spans="1:2">
      <c r="A861" t="s">
        <v>964</v>
      </c>
      <c r="B861">
        <v>14</v>
      </c>
    </row>
    <row r="862" spans="1:2">
      <c r="A862" t="s">
        <v>965</v>
      </c>
      <c r="B862">
        <v>12</v>
      </c>
    </row>
    <row r="863" spans="1:2">
      <c r="A863" t="s">
        <v>966</v>
      </c>
      <c r="B863">
        <v>16</v>
      </c>
    </row>
    <row r="864" spans="1:2">
      <c r="A864" t="s">
        <v>967</v>
      </c>
      <c r="B864">
        <v>11</v>
      </c>
    </row>
    <row r="865" spans="1:2">
      <c r="A865" t="s">
        <v>968</v>
      </c>
      <c r="B865">
        <v>12</v>
      </c>
    </row>
    <row r="866" spans="1:2">
      <c r="A866" t="s">
        <v>969</v>
      </c>
      <c r="B866">
        <v>19</v>
      </c>
    </row>
    <row r="867" spans="1:2">
      <c r="A867" t="s">
        <v>970</v>
      </c>
      <c r="B867">
        <v>10</v>
      </c>
    </row>
    <row r="868" spans="1:2">
      <c r="A868" t="s">
        <v>971</v>
      </c>
      <c r="B868">
        <v>8</v>
      </c>
    </row>
    <row r="869" spans="1:2">
      <c r="A869" t="s">
        <v>972</v>
      </c>
      <c r="B869">
        <v>10</v>
      </c>
    </row>
    <row r="870" spans="1:2">
      <c r="A870" t="s">
        <v>973</v>
      </c>
      <c r="B870">
        <v>12</v>
      </c>
    </row>
    <row r="871" spans="1:2">
      <c r="A871" t="s">
        <v>974</v>
      </c>
      <c r="B871">
        <v>14</v>
      </c>
    </row>
    <row r="872" spans="1:2">
      <c r="A872" t="s">
        <v>975</v>
      </c>
      <c r="B872">
        <v>22</v>
      </c>
    </row>
    <row r="873" spans="1:2">
      <c r="A873" t="s">
        <v>976</v>
      </c>
      <c r="B873">
        <v>15</v>
      </c>
    </row>
    <row r="874" spans="1:2">
      <c r="A874" t="s">
        <v>977</v>
      </c>
      <c r="B874">
        <v>12</v>
      </c>
    </row>
    <row r="875" spans="1:2">
      <c r="A875" t="s">
        <v>978</v>
      </c>
      <c r="B875">
        <v>18</v>
      </c>
    </row>
    <row r="876" spans="1:2">
      <c r="A876" t="s">
        <v>979</v>
      </c>
      <c r="B876">
        <v>13</v>
      </c>
    </row>
    <row r="877" spans="1:2">
      <c r="A877" t="s">
        <v>980</v>
      </c>
      <c r="B877">
        <v>11</v>
      </c>
    </row>
    <row r="878" spans="1:2">
      <c r="A878" t="s">
        <v>981</v>
      </c>
      <c r="B878">
        <v>15</v>
      </c>
    </row>
    <row r="879" spans="1:2">
      <c r="A879" t="s">
        <v>982</v>
      </c>
      <c r="B879">
        <v>10</v>
      </c>
    </row>
    <row r="880" spans="1:2">
      <c r="A880" t="s">
        <v>983</v>
      </c>
      <c r="B880">
        <v>11</v>
      </c>
    </row>
    <row r="881" spans="1:2">
      <c r="A881" t="s">
        <v>984</v>
      </c>
      <c r="B881">
        <v>18</v>
      </c>
    </row>
    <row r="882" spans="1:2">
      <c r="A882" t="s">
        <v>985</v>
      </c>
      <c r="B882">
        <v>9</v>
      </c>
    </row>
    <row r="883" spans="1:2">
      <c r="A883" t="s">
        <v>986</v>
      </c>
      <c r="B883">
        <v>7</v>
      </c>
    </row>
    <row r="884" spans="1:2">
      <c r="A884" t="s">
        <v>987</v>
      </c>
      <c r="B884">
        <v>9</v>
      </c>
    </row>
    <row r="885" spans="1:2">
      <c r="A885" t="s">
        <v>988</v>
      </c>
      <c r="B885">
        <v>11</v>
      </c>
    </row>
    <row r="886" spans="1:2">
      <c r="A886" t="s">
        <v>989</v>
      </c>
      <c r="B886">
        <v>13</v>
      </c>
    </row>
    <row r="887" spans="1:2">
      <c r="A887" t="s">
        <v>990</v>
      </c>
      <c r="B887">
        <v>20</v>
      </c>
    </row>
    <row r="888" spans="1:2">
      <c r="A888" t="s">
        <v>991</v>
      </c>
      <c r="B888">
        <v>12</v>
      </c>
    </row>
    <row r="889" spans="1:2">
      <c r="A889" t="s">
        <v>992</v>
      </c>
      <c r="B889">
        <v>9</v>
      </c>
    </row>
    <row r="890" spans="1:2">
      <c r="A890" t="s">
        <v>993</v>
      </c>
      <c r="B890">
        <v>15</v>
      </c>
    </row>
    <row r="891" spans="1:2">
      <c r="A891" t="s">
        <v>994</v>
      </c>
      <c r="B891">
        <v>11</v>
      </c>
    </row>
    <row r="892" spans="1:2">
      <c r="A892" t="s">
        <v>995</v>
      </c>
      <c r="B892">
        <v>9</v>
      </c>
    </row>
    <row r="893" spans="1:2">
      <c r="A893" t="s">
        <v>996</v>
      </c>
      <c r="B893">
        <v>13</v>
      </c>
    </row>
    <row r="894" spans="1:2">
      <c r="A894" t="s">
        <v>997</v>
      </c>
      <c r="B894">
        <v>9</v>
      </c>
    </row>
    <row r="895" spans="1:2">
      <c r="A895" t="s">
        <v>998</v>
      </c>
      <c r="B895">
        <v>10</v>
      </c>
    </row>
    <row r="896" spans="1:2">
      <c r="A896" t="s">
        <v>999</v>
      </c>
      <c r="B896">
        <v>17</v>
      </c>
    </row>
    <row r="897" spans="1:2">
      <c r="A897" t="s">
        <v>1000</v>
      </c>
      <c r="B897">
        <v>7</v>
      </c>
    </row>
    <row r="898" spans="1:2">
      <c r="A898" t="s">
        <v>1001</v>
      </c>
      <c r="B898">
        <v>6</v>
      </c>
    </row>
    <row r="899" spans="1:2">
      <c r="A899" t="s">
        <v>1002</v>
      </c>
      <c r="B899">
        <v>8</v>
      </c>
    </row>
    <row r="900" spans="1:2">
      <c r="A900" t="s">
        <v>1003</v>
      </c>
      <c r="B900">
        <v>10</v>
      </c>
    </row>
    <row r="901" spans="1:2">
      <c r="A901" t="s">
        <v>1004</v>
      </c>
      <c r="B901">
        <v>12</v>
      </c>
    </row>
    <row r="902" spans="1:2">
      <c r="A902" t="s">
        <v>1005</v>
      </c>
      <c r="B902">
        <v>19</v>
      </c>
    </row>
    <row r="903" spans="1:2">
      <c r="A903" t="s">
        <v>1006</v>
      </c>
      <c r="B903">
        <v>11</v>
      </c>
    </row>
    <row r="904" spans="1:2">
      <c r="A904" t="s">
        <v>1007</v>
      </c>
      <c r="B904">
        <v>9</v>
      </c>
    </row>
    <row r="905" spans="1:2">
      <c r="A905" t="s">
        <v>1008</v>
      </c>
      <c r="B905">
        <v>14</v>
      </c>
    </row>
    <row r="906" spans="1:2">
      <c r="A906" t="s">
        <v>1009</v>
      </c>
      <c r="B906">
        <v>10</v>
      </c>
    </row>
    <row r="907" spans="1:2">
      <c r="A907" t="s">
        <v>1010</v>
      </c>
      <c r="B907">
        <v>9</v>
      </c>
    </row>
    <row r="908" spans="1:2">
      <c r="A908" t="s">
        <v>1011</v>
      </c>
      <c r="B908">
        <v>12</v>
      </c>
    </row>
    <row r="909" spans="1:2">
      <c r="A909" t="s">
        <v>1012</v>
      </c>
      <c r="B909">
        <v>8</v>
      </c>
    </row>
    <row r="910" spans="1:2">
      <c r="A910" t="s">
        <v>1013</v>
      </c>
      <c r="B910">
        <v>9</v>
      </c>
    </row>
    <row r="911" spans="1:2">
      <c r="A911" t="s">
        <v>1014</v>
      </c>
      <c r="B911">
        <v>17</v>
      </c>
    </row>
    <row r="912" spans="1:2">
      <c r="A912" t="s">
        <v>1015</v>
      </c>
      <c r="B912">
        <v>7</v>
      </c>
    </row>
    <row r="913" spans="1:2">
      <c r="A913" t="s">
        <v>1016</v>
      </c>
      <c r="B913">
        <v>6</v>
      </c>
    </row>
    <row r="914" spans="1:2">
      <c r="A914" t="s">
        <v>1017</v>
      </c>
      <c r="B914">
        <v>8</v>
      </c>
    </row>
    <row r="915" spans="1:2">
      <c r="A915" t="s">
        <v>1018</v>
      </c>
      <c r="B915">
        <v>10</v>
      </c>
    </row>
    <row r="916" spans="1:2">
      <c r="A916" t="s">
        <v>1019</v>
      </c>
      <c r="B916">
        <v>12</v>
      </c>
    </row>
    <row r="917" spans="1:2">
      <c r="A917" t="s">
        <v>1020</v>
      </c>
      <c r="B917">
        <v>28</v>
      </c>
    </row>
    <row r="918" spans="1:2">
      <c r="A918" t="s">
        <v>1021</v>
      </c>
      <c r="B918">
        <v>18</v>
      </c>
    </row>
    <row r="919" spans="1:2">
      <c r="A919" t="s">
        <v>1022</v>
      </c>
      <c r="B919">
        <v>15</v>
      </c>
    </row>
    <row r="920" spans="1:2">
      <c r="A920" t="s">
        <v>1023</v>
      </c>
      <c r="B920">
        <v>22</v>
      </c>
    </row>
    <row r="921" spans="1:2">
      <c r="A921" t="s">
        <v>1024</v>
      </c>
      <c r="B921">
        <v>16</v>
      </c>
    </row>
    <row r="922" spans="1:2">
      <c r="A922" t="s">
        <v>1025</v>
      </c>
      <c r="B922">
        <v>14</v>
      </c>
    </row>
    <row r="923" spans="1:2">
      <c r="A923" t="s">
        <v>1026</v>
      </c>
      <c r="B923">
        <v>18</v>
      </c>
    </row>
    <row r="924" spans="1:2">
      <c r="A924" t="s">
        <v>1027</v>
      </c>
      <c r="B924">
        <v>13</v>
      </c>
    </row>
    <row r="925" spans="1:2">
      <c r="A925" t="s">
        <v>1028</v>
      </c>
      <c r="B925">
        <v>13</v>
      </c>
    </row>
    <row r="926" spans="1:2">
      <c r="A926" t="s">
        <v>1029</v>
      </c>
      <c r="B926">
        <v>21</v>
      </c>
    </row>
    <row r="927" spans="1:2">
      <c r="A927" t="s">
        <v>1030</v>
      </c>
      <c r="B927">
        <v>12</v>
      </c>
    </row>
    <row r="928" spans="1:2">
      <c r="A928" t="s">
        <v>1031</v>
      </c>
      <c r="B928">
        <v>10</v>
      </c>
    </row>
    <row r="929" spans="1:2">
      <c r="A929" t="s">
        <v>1032</v>
      </c>
      <c r="B929">
        <v>11</v>
      </c>
    </row>
    <row r="930" spans="1:2">
      <c r="A930" t="s">
        <v>1033</v>
      </c>
      <c r="B930">
        <v>13</v>
      </c>
    </row>
    <row r="931" spans="1:2">
      <c r="A931" t="s">
        <v>1034</v>
      </c>
      <c r="B931">
        <v>16</v>
      </c>
    </row>
    <row r="932" spans="1:2">
      <c r="A932" t="s">
        <v>1035</v>
      </c>
      <c r="B932">
        <v>25</v>
      </c>
    </row>
    <row r="933" spans="1:2">
      <c r="A933" t="s">
        <v>1036</v>
      </c>
      <c r="B933">
        <v>17</v>
      </c>
    </row>
    <row r="934" spans="1:2">
      <c r="A934" t="s">
        <v>1037</v>
      </c>
      <c r="B934">
        <v>14</v>
      </c>
    </row>
    <row r="935" spans="1:2">
      <c r="A935" t="s">
        <v>1038</v>
      </c>
      <c r="B935">
        <v>20</v>
      </c>
    </row>
    <row r="936" spans="1:2">
      <c r="A936" t="s">
        <v>1039</v>
      </c>
      <c r="B936">
        <v>15</v>
      </c>
    </row>
    <row r="937" spans="1:2">
      <c r="A937" t="s">
        <v>1040</v>
      </c>
      <c r="B937">
        <v>13</v>
      </c>
    </row>
    <row r="938" spans="1:2">
      <c r="A938" t="s">
        <v>1041</v>
      </c>
      <c r="B938">
        <v>17</v>
      </c>
    </row>
    <row r="939" spans="1:2">
      <c r="A939" t="s">
        <v>1042</v>
      </c>
      <c r="B939">
        <v>12</v>
      </c>
    </row>
    <row r="940" spans="1:2">
      <c r="A940" t="s">
        <v>1043</v>
      </c>
      <c r="B940">
        <v>12</v>
      </c>
    </row>
    <row r="941" spans="1:2">
      <c r="A941" t="s">
        <v>1044</v>
      </c>
      <c r="B941">
        <v>20</v>
      </c>
    </row>
    <row r="942" spans="1:2">
      <c r="A942" t="s">
        <v>1045</v>
      </c>
      <c r="B942">
        <v>11</v>
      </c>
    </row>
    <row r="943" spans="1:2">
      <c r="A943" t="s">
        <v>1046</v>
      </c>
      <c r="B943">
        <v>9</v>
      </c>
    </row>
    <row r="944" spans="1:2">
      <c r="A944" t="s">
        <v>1047</v>
      </c>
      <c r="B944">
        <v>10</v>
      </c>
    </row>
    <row r="945" spans="1:2">
      <c r="A945" t="s">
        <v>1048</v>
      </c>
      <c r="B945">
        <v>12</v>
      </c>
    </row>
    <row r="946" spans="1:2">
      <c r="A946" t="s">
        <v>1049</v>
      </c>
      <c r="B946">
        <v>15</v>
      </c>
    </row>
    <row r="947" spans="1:2">
      <c r="A947" t="s">
        <v>1050</v>
      </c>
      <c r="B947">
        <v>24</v>
      </c>
    </row>
    <row r="948" spans="1:2">
      <c r="A948" t="s">
        <v>1051</v>
      </c>
      <c r="B948">
        <v>16</v>
      </c>
    </row>
    <row r="949" spans="1:2">
      <c r="A949" t="s">
        <v>1052</v>
      </c>
      <c r="B949">
        <v>13</v>
      </c>
    </row>
    <row r="950" spans="1:2">
      <c r="A950" t="s">
        <v>1053</v>
      </c>
      <c r="B950">
        <v>19</v>
      </c>
    </row>
    <row r="951" spans="1:2">
      <c r="A951" t="s">
        <v>1054</v>
      </c>
      <c r="B951">
        <v>14</v>
      </c>
    </row>
    <row r="952" spans="1:2">
      <c r="A952" t="s">
        <v>1055</v>
      </c>
      <c r="B952">
        <v>12</v>
      </c>
    </row>
    <row r="953" spans="1:2">
      <c r="A953" t="s">
        <v>1056</v>
      </c>
      <c r="B953">
        <v>16</v>
      </c>
    </row>
    <row r="954" spans="1:2">
      <c r="A954" t="s">
        <v>1057</v>
      </c>
      <c r="B954">
        <v>11</v>
      </c>
    </row>
    <row r="955" spans="1:2">
      <c r="A955" t="s">
        <v>1058</v>
      </c>
      <c r="B955">
        <v>12</v>
      </c>
    </row>
    <row r="956" spans="1:2">
      <c r="A956" t="s">
        <v>1059</v>
      </c>
      <c r="B956">
        <v>19</v>
      </c>
    </row>
    <row r="957" spans="1:2">
      <c r="A957" t="s">
        <v>1060</v>
      </c>
      <c r="B957">
        <v>10</v>
      </c>
    </row>
    <row r="958" spans="1:2">
      <c r="A958" t="s">
        <v>1061</v>
      </c>
      <c r="B958">
        <v>8</v>
      </c>
    </row>
    <row r="959" spans="1:2">
      <c r="A959" t="s">
        <v>1062</v>
      </c>
      <c r="B959">
        <v>10</v>
      </c>
    </row>
    <row r="960" spans="1:2">
      <c r="A960" t="s">
        <v>1063</v>
      </c>
      <c r="B960">
        <v>12</v>
      </c>
    </row>
    <row r="961" spans="1:2">
      <c r="A961" t="s">
        <v>1064</v>
      </c>
      <c r="B961">
        <v>14</v>
      </c>
    </row>
    <row r="962" spans="1:2">
      <c r="A962" t="s">
        <v>1065</v>
      </c>
      <c r="B962">
        <v>23</v>
      </c>
    </row>
    <row r="963" spans="1:2">
      <c r="A963" t="s">
        <v>1066</v>
      </c>
      <c r="B963">
        <v>16</v>
      </c>
    </row>
    <row r="964" spans="1:2">
      <c r="A964" t="s">
        <v>1067</v>
      </c>
      <c r="B964">
        <v>13</v>
      </c>
    </row>
    <row r="965" spans="1:2">
      <c r="A965" t="s">
        <v>1068</v>
      </c>
      <c r="B965">
        <v>19</v>
      </c>
    </row>
    <row r="966" spans="1:2">
      <c r="A966" t="s">
        <v>1069</v>
      </c>
      <c r="B966">
        <v>14</v>
      </c>
    </row>
    <row r="967" spans="1:2">
      <c r="A967" t="s">
        <v>1070</v>
      </c>
      <c r="B967">
        <v>12</v>
      </c>
    </row>
    <row r="968" spans="1:2">
      <c r="A968" t="s">
        <v>1071</v>
      </c>
      <c r="B968">
        <v>16</v>
      </c>
    </row>
    <row r="969" spans="1:2">
      <c r="A969" t="s">
        <v>1072</v>
      </c>
      <c r="B969">
        <v>11</v>
      </c>
    </row>
    <row r="970" spans="1:2">
      <c r="A970" t="s">
        <v>1073</v>
      </c>
      <c r="B970">
        <v>12</v>
      </c>
    </row>
    <row r="971" spans="1:2">
      <c r="A971" t="s">
        <v>1074</v>
      </c>
      <c r="B971">
        <v>19</v>
      </c>
    </row>
    <row r="972" spans="1:2">
      <c r="A972" t="s">
        <v>1075</v>
      </c>
      <c r="B972">
        <v>10</v>
      </c>
    </row>
    <row r="973" spans="1:2">
      <c r="A973" t="s">
        <v>1076</v>
      </c>
      <c r="B973">
        <v>8</v>
      </c>
    </row>
    <row r="974" spans="1:2">
      <c r="A974" t="s">
        <v>1077</v>
      </c>
      <c r="B974">
        <v>10</v>
      </c>
    </row>
    <row r="975" spans="1:2">
      <c r="A975" t="s">
        <v>1078</v>
      </c>
      <c r="B975">
        <v>12</v>
      </c>
    </row>
    <row r="976" spans="1:2">
      <c r="A976" t="s">
        <v>1079</v>
      </c>
      <c r="B976">
        <v>14</v>
      </c>
    </row>
    <row r="977" spans="1:2">
      <c r="A977" t="s">
        <v>1080</v>
      </c>
      <c r="B977">
        <v>22</v>
      </c>
    </row>
    <row r="978" spans="1:2">
      <c r="A978" t="s">
        <v>1081</v>
      </c>
      <c r="B978">
        <v>15</v>
      </c>
    </row>
    <row r="979" spans="1:2">
      <c r="A979" t="s">
        <v>1082</v>
      </c>
      <c r="B979">
        <v>12</v>
      </c>
    </row>
    <row r="980" spans="1:2">
      <c r="A980" t="s">
        <v>1083</v>
      </c>
      <c r="B980">
        <v>18</v>
      </c>
    </row>
    <row r="981" spans="1:2">
      <c r="A981" t="s">
        <v>1084</v>
      </c>
      <c r="B981">
        <v>13</v>
      </c>
    </row>
    <row r="982" spans="1:2">
      <c r="A982" t="s">
        <v>1085</v>
      </c>
      <c r="B982">
        <v>11</v>
      </c>
    </row>
    <row r="983" spans="1:2">
      <c r="A983" t="s">
        <v>1086</v>
      </c>
      <c r="B983">
        <v>15</v>
      </c>
    </row>
    <row r="984" spans="1:2">
      <c r="A984" t="s">
        <v>1087</v>
      </c>
      <c r="B984">
        <v>10</v>
      </c>
    </row>
    <row r="985" spans="1:2">
      <c r="A985" t="s">
        <v>1088</v>
      </c>
      <c r="B985">
        <v>11</v>
      </c>
    </row>
    <row r="986" spans="1:2">
      <c r="A986" t="s">
        <v>1089</v>
      </c>
      <c r="B986">
        <v>18</v>
      </c>
    </row>
    <row r="987" spans="1:2">
      <c r="A987" t="s">
        <v>1090</v>
      </c>
      <c r="B987">
        <v>9</v>
      </c>
    </row>
    <row r="988" spans="1:2">
      <c r="A988" t="s">
        <v>1091</v>
      </c>
      <c r="B988">
        <v>7</v>
      </c>
    </row>
    <row r="989" spans="1:2">
      <c r="A989" t="s">
        <v>1092</v>
      </c>
      <c r="B989">
        <v>9</v>
      </c>
    </row>
    <row r="990" spans="1:2">
      <c r="A990" t="s">
        <v>1093</v>
      </c>
      <c r="B990">
        <v>11</v>
      </c>
    </row>
    <row r="991" spans="1:2">
      <c r="A991" t="s">
        <v>1094</v>
      </c>
      <c r="B991">
        <v>13</v>
      </c>
    </row>
    <row r="992" spans="1:2">
      <c r="A992" t="s">
        <v>1095</v>
      </c>
      <c r="B992">
        <v>20</v>
      </c>
    </row>
    <row r="993" spans="1:2">
      <c r="A993" t="s">
        <v>1096</v>
      </c>
      <c r="B993">
        <v>12</v>
      </c>
    </row>
    <row r="994" spans="1:2">
      <c r="A994" t="s">
        <v>1097</v>
      </c>
      <c r="B994">
        <v>9</v>
      </c>
    </row>
    <row r="995" spans="1:2">
      <c r="A995" t="s">
        <v>1098</v>
      </c>
      <c r="B995">
        <v>15</v>
      </c>
    </row>
    <row r="996" spans="1:2">
      <c r="A996" t="s">
        <v>1099</v>
      </c>
      <c r="B996">
        <v>11</v>
      </c>
    </row>
    <row r="997" spans="1:2">
      <c r="A997" t="s">
        <v>1100</v>
      </c>
      <c r="B997">
        <v>9</v>
      </c>
    </row>
    <row r="998" spans="1:2">
      <c r="A998" t="s">
        <v>1101</v>
      </c>
      <c r="B998">
        <v>13</v>
      </c>
    </row>
    <row r="999" spans="1:2">
      <c r="A999" t="s">
        <v>1102</v>
      </c>
      <c r="B999">
        <v>9</v>
      </c>
    </row>
    <row r="1000" spans="1:2">
      <c r="A1000" t="s">
        <v>1103</v>
      </c>
      <c r="B1000">
        <v>10</v>
      </c>
    </row>
    <row r="1001" spans="1:2">
      <c r="A1001" t="s">
        <v>1104</v>
      </c>
      <c r="B1001">
        <v>17</v>
      </c>
    </row>
    <row r="1002" spans="1:2">
      <c r="A1002" t="s">
        <v>1105</v>
      </c>
      <c r="B1002">
        <v>7</v>
      </c>
    </row>
    <row r="1003" spans="1:2">
      <c r="A1003" t="s">
        <v>1106</v>
      </c>
      <c r="B1003">
        <v>6</v>
      </c>
    </row>
    <row r="1004" spans="1:2">
      <c r="A1004" t="s">
        <v>1107</v>
      </c>
      <c r="B1004">
        <v>8</v>
      </c>
    </row>
    <row r="1005" spans="1:2">
      <c r="A1005" t="s">
        <v>1108</v>
      </c>
      <c r="B1005">
        <v>10</v>
      </c>
    </row>
    <row r="1006" spans="1:2">
      <c r="A1006" t="s">
        <v>1109</v>
      </c>
      <c r="B1006">
        <v>12</v>
      </c>
    </row>
    <row r="1007" spans="1:2">
      <c r="A1007" t="s">
        <v>1110</v>
      </c>
      <c r="B1007">
        <v>19</v>
      </c>
    </row>
    <row r="1008" spans="1:2">
      <c r="A1008" t="s">
        <v>1111</v>
      </c>
      <c r="B1008">
        <v>11</v>
      </c>
    </row>
    <row r="1009" spans="1:2">
      <c r="A1009" t="s">
        <v>1112</v>
      </c>
      <c r="B1009">
        <v>9</v>
      </c>
    </row>
    <row r="1010" spans="1:2">
      <c r="A1010" t="s">
        <v>1113</v>
      </c>
      <c r="B1010">
        <v>14</v>
      </c>
    </row>
    <row r="1011" spans="1:2">
      <c r="A1011" t="s">
        <v>1114</v>
      </c>
      <c r="B1011">
        <v>10</v>
      </c>
    </row>
    <row r="1012" spans="1:2">
      <c r="A1012" t="s">
        <v>1115</v>
      </c>
      <c r="B1012">
        <v>9</v>
      </c>
    </row>
    <row r="1013" spans="1:2">
      <c r="A1013" t="s">
        <v>1116</v>
      </c>
      <c r="B1013">
        <v>12</v>
      </c>
    </row>
    <row r="1014" spans="1:2">
      <c r="A1014" t="s">
        <v>1117</v>
      </c>
      <c r="B1014">
        <v>8</v>
      </c>
    </row>
    <row r="1015" spans="1:2">
      <c r="A1015" t="s">
        <v>1118</v>
      </c>
      <c r="B1015">
        <v>9</v>
      </c>
    </row>
    <row r="1016" spans="1:2">
      <c r="A1016" t="s">
        <v>1119</v>
      </c>
      <c r="B1016">
        <v>17</v>
      </c>
    </row>
    <row r="1017" spans="1:2">
      <c r="A1017" t="s">
        <v>1120</v>
      </c>
      <c r="B1017">
        <v>7</v>
      </c>
    </row>
    <row r="1018" spans="1:2">
      <c r="A1018" t="s">
        <v>1121</v>
      </c>
      <c r="B1018">
        <v>6</v>
      </c>
    </row>
    <row r="1019" spans="1:2">
      <c r="A1019" t="s">
        <v>1122</v>
      </c>
      <c r="B1019">
        <v>8</v>
      </c>
    </row>
    <row r="1020" spans="1:2">
      <c r="A1020" t="s">
        <v>1123</v>
      </c>
      <c r="B1020">
        <v>10</v>
      </c>
    </row>
    <row r="1021" spans="1:2">
      <c r="A1021" t="s">
        <v>1124</v>
      </c>
      <c r="B1021">
        <v>12</v>
      </c>
    </row>
    <row r="1022" spans="1:2">
      <c r="A1022" t="s">
        <v>1125</v>
      </c>
      <c r="B1022">
        <v>27</v>
      </c>
    </row>
    <row r="1023" spans="1:2">
      <c r="A1023" t="s">
        <v>1126</v>
      </c>
      <c r="B1023">
        <v>18</v>
      </c>
    </row>
    <row r="1024" spans="1:2">
      <c r="A1024" t="s">
        <v>1127</v>
      </c>
      <c r="B1024">
        <v>15</v>
      </c>
    </row>
    <row r="1025" spans="1:2">
      <c r="A1025" t="s">
        <v>1128</v>
      </c>
      <c r="B1025">
        <v>21</v>
      </c>
    </row>
    <row r="1026" spans="1:2">
      <c r="A1026" t="s">
        <v>1129</v>
      </c>
      <c r="B1026">
        <v>16</v>
      </c>
    </row>
    <row r="1027" spans="1:2">
      <c r="A1027" t="s">
        <v>1130</v>
      </c>
      <c r="B1027">
        <v>14</v>
      </c>
    </row>
    <row r="1028" spans="1:2">
      <c r="A1028" t="s">
        <v>1131</v>
      </c>
      <c r="B1028">
        <v>18</v>
      </c>
    </row>
    <row r="1029" spans="1:2">
      <c r="A1029" t="s">
        <v>1132</v>
      </c>
      <c r="B1029">
        <v>13</v>
      </c>
    </row>
    <row r="1030" spans="1:2">
      <c r="A1030" t="s">
        <v>1133</v>
      </c>
      <c r="B1030">
        <v>13</v>
      </c>
    </row>
    <row r="1031" spans="1:2">
      <c r="A1031" t="s">
        <v>1134</v>
      </c>
      <c r="B1031">
        <v>21</v>
      </c>
    </row>
    <row r="1032" spans="1:2">
      <c r="A1032" t="s">
        <v>1135</v>
      </c>
      <c r="B1032">
        <v>12</v>
      </c>
    </row>
    <row r="1033" spans="1:2">
      <c r="A1033" t="s">
        <v>1136</v>
      </c>
      <c r="B1033">
        <v>10</v>
      </c>
    </row>
    <row r="1034" spans="1:2">
      <c r="A1034" t="s">
        <v>1137</v>
      </c>
      <c r="B1034">
        <v>11</v>
      </c>
    </row>
    <row r="1035" spans="1:2">
      <c r="A1035" t="s">
        <v>1138</v>
      </c>
      <c r="B1035">
        <v>13</v>
      </c>
    </row>
    <row r="1036" spans="1:2">
      <c r="A1036" t="s">
        <v>1139</v>
      </c>
      <c r="B1036">
        <v>16</v>
      </c>
    </row>
    <row r="1037" spans="1:2">
      <c r="A1037" t="s">
        <v>1140</v>
      </c>
      <c r="B1037">
        <v>25</v>
      </c>
    </row>
    <row r="1038" spans="1:2">
      <c r="A1038" t="s">
        <v>1141</v>
      </c>
      <c r="B1038">
        <v>17</v>
      </c>
    </row>
    <row r="1039" spans="1:2">
      <c r="A1039" t="s">
        <v>1142</v>
      </c>
      <c r="B1039">
        <v>14</v>
      </c>
    </row>
    <row r="1040" spans="1:2">
      <c r="A1040" t="s">
        <v>1143</v>
      </c>
      <c r="B1040">
        <v>20</v>
      </c>
    </row>
    <row r="1041" spans="1:2">
      <c r="A1041" t="s">
        <v>1144</v>
      </c>
      <c r="B1041">
        <v>15</v>
      </c>
    </row>
    <row r="1042" spans="1:2">
      <c r="A1042" t="s">
        <v>1145</v>
      </c>
      <c r="B1042">
        <v>13</v>
      </c>
    </row>
    <row r="1043" spans="1:2">
      <c r="A1043" t="s">
        <v>1146</v>
      </c>
      <c r="B1043">
        <v>17</v>
      </c>
    </row>
    <row r="1044" spans="1:2">
      <c r="A1044" t="s">
        <v>1147</v>
      </c>
      <c r="B1044">
        <v>12</v>
      </c>
    </row>
    <row r="1045" spans="1:2">
      <c r="A1045" t="s">
        <v>1148</v>
      </c>
      <c r="B1045">
        <v>12</v>
      </c>
    </row>
    <row r="1046" spans="1:2">
      <c r="A1046" t="s">
        <v>1149</v>
      </c>
      <c r="B1046">
        <v>20</v>
      </c>
    </row>
    <row r="1047" spans="1:2">
      <c r="A1047" t="s">
        <v>1150</v>
      </c>
      <c r="B1047">
        <v>11</v>
      </c>
    </row>
    <row r="1048" spans="1:2">
      <c r="A1048" t="s">
        <v>1151</v>
      </c>
      <c r="B1048">
        <v>9</v>
      </c>
    </row>
    <row r="1049" spans="1:2">
      <c r="A1049" t="s">
        <v>1152</v>
      </c>
      <c r="B1049">
        <v>10</v>
      </c>
    </row>
    <row r="1050" spans="1:2">
      <c r="A1050" t="s">
        <v>1153</v>
      </c>
      <c r="B1050">
        <v>12</v>
      </c>
    </row>
    <row r="1051" spans="1:2">
      <c r="A1051" t="s">
        <v>1154</v>
      </c>
      <c r="B1051">
        <v>15</v>
      </c>
    </row>
    <row r="1052" spans="1:2">
      <c r="A1052" t="s">
        <v>1155</v>
      </c>
      <c r="B1052">
        <v>24</v>
      </c>
    </row>
    <row r="1053" spans="1:2">
      <c r="A1053" t="s">
        <v>1156</v>
      </c>
      <c r="B1053">
        <v>16</v>
      </c>
    </row>
    <row r="1054" spans="1:2">
      <c r="A1054" t="s">
        <v>1157</v>
      </c>
      <c r="B1054">
        <v>13</v>
      </c>
    </row>
    <row r="1055" spans="1:2">
      <c r="A1055" t="s">
        <v>1158</v>
      </c>
      <c r="B1055">
        <v>19</v>
      </c>
    </row>
    <row r="1056" spans="1:2">
      <c r="A1056" t="s">
        <v>1159</v>
      </c>
      <c r="B1056">
        <v>14</v>
      </c>
    </row>
    <row r="1057" spans="1:2">
      <c r="A1057" t="s">
        <v>1160</v>
      </c>
      <c r="B1057">
        <v>12</v>
      </c>
    </row>
    <row r="1058" spans="1:2">
      <c r="A1058" t="s">
        <v>1161</v>
      </c>
      <c r="B1058">
        <v>16</v>
      </c>
    </row>
    <row r="1059" spans="1:2">
      <c r="A1059" t="s">
        <v>1162</v>
      </c>
      <c r="B1059">
        <v>11</v>
      </c>
    </row>
    <row r="1060" spans="1:2">
      <c r="A1060" t="s">
        <v>1163</v>
      </c>
      <c r="B1060">
        <v>12</v>
      </c>
    </row>
    <row r="1061" spans="1:2">
      <c r="A1061" t="s">
        <v>1164</v>
      </c>
      <c r="B1061">
        <v>19</v>
      </c>
    </row>
    <row r="1062" spans="1:2">
      <c r="A1062" t="s">
        <v>1165</v>
      </c>
      <c r="B1062">
        <v>10</v>
      </c>
    </row>
    <row r="1063" spans="1:2">
      <c r="A1063" t="s">
        <v>1166</v>
      </c>
      <c r="B1063">
        <v>8</v>
      </c>
    </row>
    <row r="1064" spans="1:2">
      <c r="A1064" t="s">
        <v>1167</v>
      </c>
      <c r="B1064">
        <v>10</v>
      </c>
    </row>
    <row r="1065" spans="1:2">
      <c r="A1065" t="s">
        <v>1168</v>
      </c>
      <c r="B1065">
        <v>12</v>
      </c>
    </row>
    <row r="1066" spans="1:2">
      <c r="A1066" t="s">
        <v>1169</v>
      </c>
      <c r="B1066">
        <v>14</v>
      </c>
    </row>
    <row r="1067" spans="1:2">
      <c r="A1067" t="s">
        <v>1170</v>
      </c>
      <c r="B1067">
        <v>23</v>
      </c>
    </row>
    <row r="1068" spans="1:2">
      <c r="A1068" t="s">
        <v>1171</v>
      </c>
      <c r="B1068">
        <v>16</v>
      </c>
    </row>
    <row r="1069" spans="1:2">
      <c r="A1069" t="s">
        <v>1172</v>
      </c>
      <c r="B1069">
        <v>13</v>
      </c>
    </row>
    <row r="1070" spans="1:2">
      <c r="A1070" t="s">
        <v>1173</v>
      </c>
      <c r="B1070">
        <v>19</v>
      </c>
    </row>
    <row r="1071" spans="1:2">
      <c r="A1071" t="s">
        <v>1174</v>
      </c>
      <c r="B1071">
        <v>14</v>
      </c>
    </row>
    <row r="1072" spans="1:2">
      <c r="A1072" t="s">
        <v>1175</v>
      </c>
      <c r="B1072">
        <v>12</v>
      </c>
    </row>
    <row r="1073" spans="1:2">
      <c r="A1073" t="s">
        <v>1176</v>
      </c>
      <c r="B1073">
        <v>16</v>
      </c>
    </row>
    <row r="1074" spans="1:2">
      <c r="A1074" t="s">
        <v>1177</v>
      </c>
      <c r="B1074">
        <v>11</v>
      </c>
    </row>
    <row r="1075" spans="1:2">
      <c r="A1075" t="s">
        <v>1178</v>
      </c>
      <c r="B1075">
        <v>12</v>
      </c>
    </row>
    <row r="1076" spans="1:2">
      <c r="A1076" t="s">
        <v>1179</v>
      </c>
      <c r="B1076">
        <v>19</v>
      </c>
    </row>
    <row r="1077" spans="1:2">
      <c r="A1077" t="s">
        <v>1180</v>
      </c>
      <c r="B1077">
        <v>10</v>
      </c>
    </row>
    <row r="1078" spans="1:2">
      <c r="A1078" t="s">
        <v>1181</v>
      </c>
      <c r="B1078">
        <v>8</v>
      </c>
    </row>
    <row r="1079" spans="1:2">
      <c r="A1079" t="s">
        <v>1182</v>
      </c>
      <c r="B1079">
        <v>10</v>
      </c>
    </row>
    <row r="1080" spans="1:2">
      <c r="A1080" t="s">
        <v>1183</v>
      </c>
      <c r="B1080">
        <v>12</v>
      </c>
    </row>
    <row r="1081" spans="1:2">
      <c r="A1081" t="s">
        <v>1184</v>
      </c>
      <c r="B1081">
        <v>14</v>
      </c>
    </row>
    <row r="1082" spans="1:2">
      <c r="A1082" t="s">
        <v>1185</v>
      </c>
      <c r="B1082">
        <v>22</v>
      </c>
    </row>
    <row r="1083" spans="1:2">
      <c r="A1083" t="s">
        <v>1186</v>
      </c>
      <c r="B1083">
        <v>15</v>
      </c>
    </row>
    <row r="1084" spans="1:2">
      <c r="A1084" t="s">
        <v>1187</v>
      </c>
      <c r="B1084">
        <v>12</v>
      </c>
    </row>
    <row r="1085" spans="1:2">
      <c r="A1085" t="s">
        <v>1188</v>
      </c>
      <c r="B1085">
        <v>18</v>
      </c>
    </row>
    <row r="1086" spans="1:2">
      <c r="A1086" t="s">
        <v>1189</v>
      </c>
      <c r="B1086">
        <v>13</v>
      </c>
    </row>
    <row r="1087" spans="1:2">
      <c r="A1087" t="s">
        <v>1190</v>
      </c>
      <c r="B1087">
        <v>11</v>
      </c>
    </row>
    <row r="1088" spans="1:2">
      <c r="A1088" t="s">
        <v>1191</v>
      </c>
      <c r="B1088">
        <v>15</v>
      </c>
    </row>
    <row r="1089" spans="1:2">
      <c r="A1089" t="s">
        <v>1192</v>
      </c>
      <c r="B1089">
        <v>10</v>
      </c>
    </row>
    <row r="1090" spans="1:2">
      <c r="A1090" t="s">
        <v>1193</v>
      </c>
      <c r="B1090">
        <v>11</v>
      </c>
    </row>
    <row r="1091" spans="1:2">
      <c r="A1091" t="s">
        <v>1194</v>
      </c>
      <c r="B1091">
        <v>18</v>
      </c>
    </row>
    <row r="1092" spans="1:2">
      <c r="A1092" t="s">
        <v>1195</v>
      </c>
      <c r="B1092">
        <v>9</v>
      </c>
    </row>
    <row r="1093" spans="1:2">
      <c r="A1093" t="s">
        <v>1196</v>
      </c>
      <c r="B1093">
        <v>7</v>
      </c>
    </row>
    <row r="1094" spans="1:2">
      <c r="A1094" t="s">
        <v>1197</v>
      </c>
      <c r="B1094">
        <v>9</v>
      </c>
    </row>
    <row r="1095" spans="1:2">
      <c r="A1095" t="s">
        <v>1198</v>
      </c>
      <c r="B1095">
        <v>11</v>
      </c>
    </row>
    <row r="1096" spans="1:2">
      <c r="A1096" t="s">
        <v>1199</v>
      </c>
      <c r="B1096">
        <v>13</v>
      </c>
    </row>
    <row r="1097" spans="1:2">
      <c r="A1097" t="s">
        <v>1200</v>
      </c>
      <c r="B1097">
        <v>20</v>
      </c>
    </row>
    <row r="1098" spans="1:2">
      <c r="A1098" t="s">
        <v>1201</v>
      </c>
      <c r="B1098">
        <v>12</v>
      </c>
    </row>
    <row r="1099" spans="1:2">
      <c r="A1099" t="s">
        <v>1202</v>
      </c>
      <c r="B1099">
        <v>9</v>
      </c>
    </row>
    <row r="1100" spans="1:2">
      <c r="A1100" t="s">
        <v>1203</v>
      </c>
      <c r="B1100">
        <v>15</v>
      </c>
    </row>
    <row r="1101" spans="1:2">
      <c r="A1101" t="s">
        <v>1204</v>
      </c>
      <c r="B1101">
        <v>11</v>
      </c>
    </row>
    <row r="1102" spans="1:2">
      <c r="A1102" t="s">
        <v>1205</v>
      </c>
      <c r="B1102">
        <v>9</v>
      </c>
    </row>
    <row r="1103" spans="1:2">
      <c r="A1103" t="s">
        <v>1206</v>
      </c>
      <c r="B1103">
        <v>13</v>
      </c>
    </row>
    <row r="1104" spans="1:2">
      <c r="A1104" t="s">
        <v>1207</v>
      </c>
      <c r="B1104">
        <v>9</v>
      </c>
    </row>
    <row r="1105" spans="1:2">
      <c r="A1105" t="s">
        <v>1208</v>
      </c>
      <c r="B1105">
        <v>10</v>
      </c>
    </row>
    <row r="1106" spans="1:2">
      <c r="A1106" t="s">
        <v>1209</v>
      </c>
      <c r="B1106">
        <v>17</v>
      </c>
    </row>
    <row r="1107" spans="1:2">
      <c r="A1107" t="s">
        <v>1210</v>
      </c>
      <c r="B1107">
        <v>7</v>
      </c>
    </row>
    <row r="1108" spans="1:2">
      <c r="A1108" t="s">
        <v>1211</v>
      </c>
      <c r="B1108">
        <v>6</v>
      </c>
    </row>
    <row r="1109" spans="1:2">
      <c r="A1109" t="s">
        <v>1212</v>
      </c>
      <c r="B1109">
        <v>8</v>
      </c>
    </row>
    <row r="1110" spans="1:2">
      <c r="A1110" t="s">
        <v>1213</v>
      </c>
      <c r="B1110">
        <v>10</v>
      </c>
    </row>
    <row r="1111" spans="1:2">
      <c r="A1111" t="s">
        <v>1214</v>
      </c>
      <c r="B1111">
        <v>12</v>
      </c>
    </row>
    <row r="1112" spans="1:2">
      <c r="A1112" t="s">
        <v>1215</v>
      </c>
      <c r="B1112">
        <v>19</v>
      </c>
    </row>
    <row r="1113" spans="1:2">
      <c r="A1113" t="s">
        <v>1216</v>
      </c>
      <c r="B1113">
        <v>11</v>
      </c>
    </row>
    <row r="1114" spans="1:2">
      <c r="A1114" t="s">
        <v>1217</v>
      </c>
      <c r="B1114">
        <v>9</v>
      </c>
    </row>
    <row r="1115" spans="1:2">
      <c r="A1115" t="s">
        <v>1218</v>
      </c>
      <c r="B1115">
        <v>14</v>
      </c>
    </row>
    <row r="1116" spans="1:2">
      <c r="A1116" t="s">
        <v>1219</v>
      </c>
      <c r="B1116">
        <v>10</v>
      </c>
    </row>
    <row r="1117" spans="1:2">
      <c r="A1117" t="s">
        <v>1220</v>
      </c>
      <c r="B1117">
        <v>9</v>
      </c>
    </row>
    <row r="1118" spans="1:2">
      <c r="A1118" t="s">
        <v>1221</v>
      </c>
      <c r="B1118">
        <v>12</v>
      </c>
    </row>
    <row r="1119" spans="1:2">
      <c r="A1119" t="s">
        <v>1222</v>
      </c>
      <c r="B1119">
        <v>8</v>
      </c>
    </row>
    <row r="1120" spans="1:2">
      <c r="A1120" t="s">
        <v>1223</v>
      </c>
      <c r="B1120">
        <v>9</v>
      </c>
    </row>
    <row r="1121" spans="1:2">
      <c r="A1121" t="s">
        <v>1224</v>
      </c>
      <c r="B1121">
        <v>17</v>
      </c>
    </row>
    <row r="1122" spans="1:2">
      <c r="A1122" t="s">
        <v>1225</v>
      </c>
      <c r="B1122">
        <v>7</v>
      </c>
    </row>
    <row r="1123" spans="1:2">
      <c r="A1123" t="s">
        <v>1226</v>
      </c>
      <c r="B1123">
        <v>6</v>
      </c>
    </row>
    <row r="1124" spans="1:2">
      <c r="A1124" t="s">
        <v>1227</v>
      </c>
      <c r="B1124">
        <v>8</v>
      </c>
    </row>
    <row r="1125" spans="1:2">
      <c r="A1125" t="s">
        <v>1228</v>
      </c>
      <c r="B1125">
        <v>10</v>
      </c>
    </row>
    <row r="1126" spans="1:2">
      <c r="A1126" t="s">
        <v>1229</v>
      </c>
      <c r="B1126">
        <v>12</v>
      </c>
    </row>
    <row r="1127" spans="1:2">
      <c r="A1127" t="s">
        <v>1230</v>
      </c>
      <c r="B1127">
        <v>28</v>
      </c>
    </row>
    <row r="1128" spans="1:2">
      <c r="A1128" t="s">
        <v>1231</v>
      </c>
      <c r="B1128">
        <v>18</v>
      </c>
    </row>
    <row r="1129" spans="1:2">
      <c r="A1129" t="s">
        <v>1232</v>
      </c>
      <c r="B1129">
        <v>15</v>
      </c>
    </row>
    <row r="1130" spans="1:2">
      <c r="A1130" t="s">
        <v>1233</v>
      </c>
      <c r="B1130">
        <v>22</v>
      </c>
    </row>
    <row r="1131" spans="1:2">
      <c r="A1131" t="s">
        <v>1234</v>
      </c>
      <c r="B1131">
        <v>16</v>
      </c>
    </row>
    <row r="1132" spans="1:2">
      <c r="A1132" t="s">
        <v>1235</v>
      </c>
      <c r="B1132">
        <v>14</v>
      </c>
    </row>
    <row r="1133" spans="1:2">
      <c r="A1133" t="s">
        <v>1236</v>
      </c>
      <c r="B1133">
        <v>18</v>
      </c>
    </row>
    <row r="1134" spans="1:2">
      <c r="A1134" t="s">
        <v>1237</v>
      </c>
      <c r="B1134">
        <v>13</v>
      </c>
    </row>
    <row r="1135" spans="1:2">
      <c r="A1135" t="s">
        <v>1238</v>
      </c>
      <c r="B1135">
        <v>13</v>
      </c>
    </row>
    <row r="1136" spans="1:2">
      <c r="A1136" t="s">
        <v>1239</v>
      </c>
      <c r="B1136">
        <v>21</v>
      </c>
    </row>
    <row r="1137" spans="1:2">
      <c r="A1137" t="s">
        <v>1240</v>
      </c>
      <c r="B1137">
        <v>12</v>
      </c>
    </row>
    <row r="1138" spans="1:2">
      <c r="A1138" t="s">
        <v>1241</v>
      </c>
      <c r="B1138">
        <v>10</v>
      </c>
    </row>
    <row r="1139" spans="1:2">
      <c r="A1139" t="s">
        <v>1242</v>
      </c>
      <c r="B1139">
        <v>11</v>
      </c>
    </row>
    <row r="1140" spans="1:2">
      <c r="A1140" t="s">
        <v>1243</v>
      </c>
      <c r="B1140">
        <v>13</v>
      </c>
    </row>
    <row r="1141" spans="1:2">
      <c r="A1141" t="s">
        <v>1244</v>
      </c>
      <c r="B1141">
        <v>16</v>
      </c>
    </row>
    <row r="1142" spans="1:2">
      <c r="A1142" t="s">
        <v>1245</v>
      </c>
      <c r="B1142">
        <v>25</v>
      </c>
    </row>
    <row r="1143" spans="1:2">
      <c r="A1143" t="s">
        <v>1246</v>
      </c>
      <c r="B1143">
        <v>17</v>
      </c>
    </row>
    <row r="1144" spans="1:2">
      <c r="A1144" t="s">
        <v>1247</v>
      </c>
      <c r="B1144">
        <v>14</v>
      </c>
    </row>
    <row r="1145" spans="1:2">
      <c r="A1145" t="s">
        <v>1248</v>
      </c>
      <c r="B1145">
        <v>20</v>
      </c>
    </row>
    <row r="1146" spans="1:2">
      <c r="A1146" t="s">
        <v>1249</v>
      </c>
      <c r="B1146">
        <v>15</v>
      </c>
    </row>
    <row r="1147" spans="1:2">
      <c r="A1147" t="s">
        <v>1250</v>
      </c>
      <c r="B1147">
        <v>13</v>
      </c>
    </row>
    <row r="1148" spans="1:2">
      <c r="A1148" t="s">
        <v>1251</v>
      </c>
      <c r="B1148">
        <v>17</v>
      </c>
    </row>
    <row r="1149" spans="1:2">
      <c r="A1149" t="s">
        <v>1252</v>
      </c>
      <c r="B1149">
        <v>12</v>
      </c>
    </row>
    <row r="1150" spans="1:2">
      <c r="A1150" t="s">
        <v>1253</v>
      </c>
      <c r="B1150">
        <v>12</v>
      </c>
    </row>
    <row r="1151" spans="1:2">
      <c r="A1151" t="s">
        <v>1254</v>
      </c>
      <c r="B1151">
        <v>20</v>
      </c>
    </row>
    <row r="1152" spans="1:2">
      <c r="A1152" t="s">
        <v>1255</v>
      </c>
      <c r="B1152">
        <v>11</v>
      </c>
    </row>
    <row r="1153" spans="1:2">
      <c r="A1153" t="s">
        <v>1256</v>
      </c>
      <c r="B1153">
        <v>9</v>
      </c>
    </row>
    <row r="1154" spans="1:2">
      <c r="A1154" t="s">
        <v>1257</v>
      </c>
      <c r="B1154">
        <v>10</v>
      </c>
    </row>
    <row r="1155" spans="1:2">
      <c r="A1155" t="s">
        <v>1258</v>
      </c>
      <c r="B1155">
        <v>12</v>
      </c>
    </row>
    <row r="1156" spans="1:2">
      <c r="A1156" t="s">
        <v>1259</v>
      </c>
      <c r="B1156">
        <v>15</v>
      </c>
    </row>
    <row r="1157" spans="1:2">
      <c r="A1157" t="s">
        <v>1260</v>
      </c>
      <c r="B1157">
        <v>24</v>
      </c>
    </row>
    <row r="1158" spans="1:2">
      <c r="A1158" t="s">
        <v>1261</v>
      </c>
      <c r="B1158">
        <v>16</v>
      </c>
    </row>
    <row r="1159" spans="1:2">
      <c r="A1159" t="s">
        <v>1262</v>
      </c>
      <c r="B1159">
        <v>13</v>
      </c>
    </row>
    <row r="1160" spans="1:2">
      <c r="A1160" t="s">
        <v>1263</v>
      </c>
      <c r="B1160">
        <v>19</v>
      </c>
    </row>
    <row r="1161" spans="1:2">
      <c r="A1161" t="s">
        <v>1264</v>
      </c>
      <c r="B1161">
        <v>14</v>
      </c>
    </row>
    <row r="1162" spans="1:2">
      <c r="A1162" t="s">
        <v>1265</v>
      </c>
      <c r="B1162">
        <v>12</v>
      </c>
    </row>
    <row r="1163" spans="1:2">
      <c r="A1163" t="s">
        <v>1266</v>
      </c>
      <c r="B1163">
        <v>16</v>
      </c>
    </row>
    <row r="1164" spans="1:2">
      <c r="A1164" t="s">
        <v>1267</v>
      </c>
      <c r="B1164">
        <v>11</v>
      </c>
    </row>
    <row r="1165" spans="1:2">
      <c r="A1165" t="s">
        <v>1268</v>
      </c>
      <c r="B1165">
        <v>12</v>
      </c>
    </row>
    <row r="1166" spans="1:2">
      <c r="A1166" t="s">
        <v>1269</v>
      </c>
      <c r="B1166">
        <v>19</v>
      </c>
    </row>
    <row r="1167" spans="1:2">
      <c r="A1167" t="s">
        <v>1270</v>
      </c>
      <c r="B1167">
        <v>10</v>
      </c>
    </row>
    <row r="1168" spans="1:2">
      <c r="A1168" t="s">
        <v>1271</v>
      </c>
      <c r="B1168">
        <v>8</v>
      </c>
    </row>
    <row r="1169" spans="1:2">
      <c r="A1169" t="s">
        <v>1272</v>
      </c>
      <c r="B1169">
        <v>10</v>
      </c>
    </row>
    <row r="1170" spans="1:2">
      <c r="A1170" t="s">
        <v>1273</v>
      </c>
      <c r="B1170">
        <v>12</v>
      </c>
    </row>
    <row r="1171" spans="1:2">
      <c r="A1171" t="s">
        <v>1274</v>
      </c>
      <c r="B1171">
        <v>14</v>
      </c>
    </row>
    <row r="1172" spans="1:2">
      <c r="A1172" t="s">
        <v>1275</v>
      </c>
      <c r="B1172">
        <v>23</v>
      </c>
    </row>
    <row r="1173" spans="1:2">
      <c r="A1173" t="s">
        <v>1276</v>
      </c>
      <c r="B1173">
        <v>16</v>
      </c>
    </row>
    <row r="1174" spans="1:2">
      <c r="A1174" t="s">
        <v>1277</v>
      </c>
      <c r="B1174">
        <v>13</v>
      </c>
    </row>
    <row r="1175" spans="1:2">
      <c r="A1175" t="s">
        <v>1278</v>
      </c>
      <c r="B1175">
        <v>19</v>
      </c>
    </row>
    <row r="1176" spans="1:2">
      <c r="A1176" t="s">
        <v>1279</v>
      </c>
      <c r="B1176">
        <v>14</v>
      </c>
    </row>
    <row r="1177" spans="1:2">
      <c r="A1177" t="s">
        <v>1280</v>
      </c>
      <c r="B1177">
        <v>12</v>
      </c>
    </row>
    <row r="1178" spans="1:2">
      <c r="A1178" t="s">
        <v>1281</v>
      </c>
      <c r="B1178">
        <v>16</v>
      </c>
    </row>
    <row r="1179" spans="1:2">
      <c r="A1179" t="s">
        <v>1282</v>
      </c>
      <c r="B1179">
        <v>11</v>
      </c>
    </row>
    <row r="1180" spans="1:2">
      <c r="A1180" t="s">
        <v>1283</v>
      </c>
      <c r="B1180">
        <v>12</v>
      </c>
    </row>
    <row r="1181" spans="1:2">
      <c r="A1181" t="s">
        <v>1284</v>
      </c>
      <c r="B1181">
        <v>19</v>
      </c>
    </row>
    <row r="1182" spans="1:2">
      <c r="A1182" t="s">
        <v>1285</v>
      </c>
      <c r="B1182">
        <v>10</v>
      </c>
    </row>
    <row r="1183" spans="1:2">
      <c r="A1183" t="s">
        <v>1286</v>
      </c>
      <c r="B1183">
        <v>8</v>
      </c>
    </row>
    <row r="1184" spans="1:2">
      <c r="A1184" t="s">
        <v>1287</v>
      </c>
      <c r="B1184">
        <v>10</v>
      </c>
    </row>
    <row r="1185" spans="1:2">
      <c r="A1185" t="s">
        <v>1288</v>
      </c>
      <c r="B1185">
        <v>12</v>
      </c>
    </row>
    <row r="1186" spans="1:2">
      <c r="A1186" t="s">
        <v>1289</v>
      </c>
      <c r="B1186">
        <v>14</v>
      </c>
    </row>
    <row r="1187" spans="1:2">
      <c r="A1187" t="s">
        <v>1290</v>
      </c>
      <c r="B1187">
        <v>22</v>
      </c>
    </row>
    <row r="1188" spans="1:2">
      <c r="A1188" t="s">
        <v>1291</v>
      </c>
      <c r="B1188">
        <v>15</v>
      </c>
    </row>
    <row r="1189" spans="1:2">
      <c r="A1189" t="s">
        <v>1292</v>
      </c>
      <c r="B1189">
        <v>12</v>
      </c>
    </row>
    <row r="1190" spans="1:2">
      <c r="A1190" t="s">
        <v>1293</v>
      </c>
      <c r="B1190">
        <v>18</v>
      </c>
    </row>
    <row r="1191" spans="1:2">
      <c r="A1191" t="s">
        <v>1294</v>
      </c>
      <c r="B1191">
        <v>13</v>
      </c>
    </row>
    <row r="1192" spans="1:2">
      <c r="A1192" t="s">
        <v>1295</v>
      </c>
      <c r="B1192">
        <v>11</v>
      </c>
    </row>
    <row r="1193" spans="1:2">
      <c r="A1193" t="s">
        <v>1296</v>
      </c>
      <c r="B1193">
        <v>15</v>
      </c>
    </row>
    <row r="1194" spans="1:2">
      <c r="A1194" t="s">
        <v>1297</v>
      </c>
      <c r="B1194">
        <v>10</v>
      </c>
    </row>
    <row r="1195" spans="1:2">
      <c r="A1195" t="s">
        <v>1298</v>
      </c>
      <c r="B1195">
        <v>11</v>
      </c>
    </row>
    <row r="1196" spans="1:2">
      <c r="A1196" t="s">
        <v>1299</v>
      </c>
      <c r="B1196">
        <v>18</v>
      </c>
    </row>
    <row r="1197" spans="1:2">
      <c r="A1197" t="s">
        <v>1300</v>
      </c>
      <c r="B1197">
        <v>9</v>
      </c>
    </row>
    <row r="1198" spans="1:2">
      <c r="A1198" t="s">
        <v>1301</v>
      </c>
      <c r="B1198">
        <v>7</v>
      </c>
    </row>
    <row r="1199" spans="1:2">
      <c r="A1199" t="s">
        <v>1302</v>
      </c>
      <c r="B1199">
        <v>9</v>
      </c>
    </row>
    <row r="1200" spans="1:2">
      <c r="A1200" t="s">
        <v>1303</v>
      </c>
      <c r="B1200">
        <v>11</v>
      </c>
    </row>
    <row r="1201" spans="1:2">
      <c r="A1201" t="s">
        <v>1304</v>
      </c>
      <c r="B1201">
        <v>13</v>
      </c>
    </row>
    <row r="1202" spans="1:2">
      <c r="A1202" t="s">
        <v>1305</v>
      </c>
      <c r="B1202">
        <v>20</v>
      </c>
    </row>
    <row r="1203" spans="1:2">
      <c r="A1203" t="s">
        <v>1306</v>
      </c>
      <c r="B1203">
        <v>12</v>
      </c>
    </row>
    <row r="1204" spans="1:2">
      <c r="A1204" t="s">
        <v>1307</v>
      </c>
      <c r="B1204">
        <v>9</v>
      </c>
    </row>
    <row r="1205" spans="1:2">
      <c r="A1205" t="s">
        <v>1308</v>
      </c>
      <c r="B1205">
        <v>15</v>
      </c>
    </row>
    <row r="1206" spans="1:2">
      <c r="A1206" t="s">
        <v>1309</v>
      </c>
      <c r="B1206">
        <v>11</v>
      </c>
    </row>
    <row r="1207" spans="1:2">
      <c r="A1207" t="s">
        <v>1310</v>
      </c>
      <c r="B1207">
        <v>9</v>
      </c>
    </row>
    <row r="1208" spans="1:2">
      <c r="A1208" t="s">
        <v>1311</v>
      </c>
      <c r="B1208">
        <v>13</v>
      </c>
    </row>
    <row r="1209" spans="1:2">
      <c r="A1209" t="s">
        <v>1312</v>
      </c>
      <c r="B1209">
        <v>9</v>
      </c>
    </row>
    <row r="1210" spans="1:2">
      <c r="A1210" t="s">
        <v>1313</v>
      </c>
      <c r="B1210">
        <v>10</v>
      </c>
    </row>
    <row r="1211" spans="1:2">
      <c r="A1211" t="s">
        <v>1314</v>
      </c>
      <c r="B1211">
        <v>17</v>
      </c>
    </row>
    <row r="1212" spans="1:2">
      <c r="A1212" t="s">
        <v>1315</v>
      </c>
      <c r="B1212">
        <v>7</v>
      </c>
    </row>
    <row r="1213" spans="1:2">
      <c r="A1213" t="s">
        <v>1316</v>
      </c>
      <c r="B1213">
        <v>6</v>
      </c>
    </row>
    <row r="1214" spans="1:2">
      <c r="A1214" t="s">
        <v>1317</v>
      </c>
      <c r="B1214">
        <v>8</v>
      </c>
    </row>
    <row r="1215" spans="1:2">
      <c r="A1215" t="s">
        <v>1318</v>
      </c>
      <c r="B1215">
        <v>10</v>
      </c>
    </row>
    <row r="1216" spans="1:2">
      <c r="A1216" t="s">
        <v>1319</v>
      </c>
      <c r="B1216">
        <v>12</v>
      </c>
    </row>
    <row r="1217" spans="1:2">
      <c r="A1217" t="s">
        <v>1320</v>
      </c>
      <c r="B1217">
        <v>19</v>
      </c>
    </row>
    <row r="1218" spans="1:2">
      <c r="A1218" t="s">
        <v>1321</v>
      </c>
      <c r="B1218">
        <v>11</v>
      </c>
    </row>
    <row r="1219" spans="1:2">
      <c r="A1219" t="s">
        <v>1322</v>
      </c>
      <c r="B1219">
        <v>9</v>
      </c>
    </row>
    <row r="1220" spans="1:2">
      <c r="A1220" t="s">
        <v>1323</v>
      </c>
      <c r="B1220">
        <v>14</v>
      </c>
    </row>
    <row r="1221" spans="1:2">
      <c r="A1221" t="s">
        <v>1324</v>
      </c>
      <c r="B1221">
        <v>10</v>
      </c>
    </row>
    <row r="1222" spans="1:2">
      <c r="A1222" t="s">
        <v>1325</v>
      </c>
      <c r="B1222">
        <v>9</v>
      </c>
    </row>
    <row r="1223" spans="1:2">
      <c r="A1223" t="s">
        <v>1326</v>
      </c>
      <c r="B1223">
        <v>12</v>
      </c>
    </row>
    <row r="1224" spans="1:2">
      <c r="A1224" t="s">
        <v>1327</v>
      </c>
      <c r="B1224">
        <v>8</v>
      </c>
    </row>
    <row r="1225" spans="1:2">
      <c r="A1225" t="s">
        <v>1328</v>
      </c>
      <c r="B1225">
        <v>9</v>
      </c>
    </row>
    <row r="1226" spans="1:2">
      <c r="A1226" t="s">
        <v>1329</v>
      </c>
      <c r="B1226">
        <v>17</v>
      </c>
    </row>
    <row r="1227" spans="1:2">
      <c r="A1227" t="s">
        <v>1330</v>
      </c>
      <c r="B1227">
        <v>7</v>
      </c>
    </row>
    <row r="1228" spans="1:2">
      <c r="A1228" t="s">
        <v>1331</v>
      </c>
      <c r="B1228">
        <v>6</v>
      </c>
    </row>
    <row r="1229" spans="1:2">
      <c r="A1229" t="s">
        <v>1332</v>
      </c>
      <c r="B1229">
        <v>8</v>
      </c>
    </row>
    <row r="1230" spans="1:2">
      <c r="A1230" t="s">
        <v>1333</v>
      </c>
      <c r="B1230">
        <v>10</v>
      </c>
    </row>
    <row r="1231" spans="1:2">
      <c r="A1231" t="s">
        <v>1334</v>
      </c>
      <c r="B1231">
        <v>12</v>
      </c>
    </row>
    <row r="1232" spans="1:2">
      <c r="A1232" t="s">
        <v>1335</v>
      </c>
      <c r="B1232">
        <v>27</v>
      </c>
    </row>
    <row r="1233" spans="1:2">
      <c r="A1233" t="s">
        <v>1336</v>
      </c>
      <c r="B1233">
        <v>18</v>
      </c>
    </row>
    <row r="1234" spans="1:2">
      <c r="A1234" t="s">
        <v>1337</v>
      </c>
      <c r="B1234">
        <v>15</v>
      </c>
    </row>
    <row r="1235" spans="1:2">
      <c r="A1235" t="s">
        <v>1338</v>
      </c>
      <c r="B1235">
        <v>21</v>
      </c>
    </row>
    <row r="1236" spans="1:2">
      <c r="A1236" t="s">
        <v>1339</v>
      </c>
      <c r="B1236">
        <v>16</v>
      </c>
    </row>
    <row r="1237" spans="1:2">
      <c r="A1237" t="s">
        <v>1340</v>
      </c>
      <c r="B1237">
        <v>14</v>
      </c>
    </row>
    <row r="1238" spans="1:2">
      <c r="A1238" t="s">
        <v>1341</v>
      </c>
      <c r="B1238">
        <v>18</v>
      </c>
    </row>
    <row r="1239" spans="1:2">
      <c r="A1239" t="s">
        <v>1342</v>
      </c>
      <c r="B1239">
        <v>13</v>
      </c>
    </row>
    <row r="1240" spans="1:2">
      <c r="A1240" t="s">
        <v>1343</v>
      </c>
      <c r="B1240">
        <v>13</v>
      </c>
    </row>
    <row r="1241" spans="1:2">
      <c r="A1241" t="s">
        <v>1344</v>
      </c>
      <c r="B1241">
        <v>21</v>
      </c>
    </row>
    <row r="1242" spans="1:2">
      <c r="A1242" t="s">
        <v>1345</v>
      </c>
      <c r="B1242">
        <v>12</v>
      </c>
    </row>
    <row r="1243" spans="1:2">
      <c r="A1243" t="s">
        <v>1346</v>
      </c>
      <c r="B1243">
        <v>10</v>
      </c>
    </row>
    <row r="1244" spans="1:2">
      <c r="A1244" t="s">
        <v>1347</v>
      </c>
      <c r="B1244">
        <v>11</v>
      </c>
    </row>
    <row r="1245" spans="1:2">
      <c r="A1245" t="s">
        <v>1348</v>
      </c>
      <c r="B1245">
        <v>13</v>
      </c>
    </row>
    <row r="1246" spans="1:2">
      <c r="A1246" t="s">
        <v>1349</v>
      </c>
      <c r="B1246">
        <v>16</v>
      </c>
    </row>
    <row r="1247" spans="1:2">
      <c r="A1247" t="s">
        <v>1350</v>
      </c>
      <c r="B1247">
        <v>25</v>
      </c>
    </row>
    <row r="1248" spans="1:2">
      <c r="A1248" t="s">
        <v>1351</v>
      </c>
      <c r="B1248">
        <v>17</v>
      </c>
    </row>
    <row r="1249" spans="1:2">
      <c r="A1249" t="s">
        <v>1352</v>
      </c>
      <c r="B1249">
        <v>14</v>
      </c>
    </row>
    <row r="1250" spans="1:2">
      <c r="A1250" t="s">
        <v>1353</v>
      </c>
      <c r="B1250">
        <v>20</v>
      </c>
    </row>
    <row r="1251" spans="1:2">
      <c r="A1251" t="s">
        <v>1354</v>
      </c>
      <c r="B1251">
        <v>15</v>
      </c>
    </row>
    <row r="1252" spans="1:2">
      <c r="A1252" t="s">
        <v>1355</v>
      </c>
      <c r="B1252">
        <v>13</v>
      </c>
    </row>
    <row r="1253" spans="1:2">
      <c r="A1253" t="s">
        <v>1356</v>
      </c>
      <c r="B1253">
        <v>17</v>
      </c>
    </row>
    <row r="1254" spans="1:2">
      <c r="A1254" t="s">
        <v>1357</v>
      </c>
      <c r="B1254">
        <v>12</v>
      </c>
    </row>
    <row r="1255" spans="1:2">
      <c r="A1255" t="s">
        <v>1358</v>
      </c>
      <c r="B1255">
        <v>12</v>
      </c>
    </row>
    <row r="1256" spans="1:2">
      <c r="A1256" t="s">
        <v>1359</v>
      </c>
      <c r="B1256">
        <v>20</v>
      </c>
    </row>
    <row r="1257" spans="1:2">
      <c r="A1257" t="s">
        <v>1360</v>
      </c>
      <c r="B1257">
        <v>11</v>
      </c>
    </row>
    <row r="1258" spans="1:2">
      <c r="A1258" t="s">
        <v>1361</v>
      </c>
      <c r="B1258">
        <v>9</v>
      </c>
    </row>
    <row r="1259" spans="1:2">
      <c r="A1259" t="s">
        <v>1362</v>
      </c>
      <c r="B1259">
        <v>10</v>
      </c>
    </row>
    <row r="1260" spans="1:2">
      <c r="A1260" t="s">
        <v>1363</v>
      </c>
      <c r="B1260">
        <v>12</v>
      </c>
    </row>
    <row r="1261" spans="1:2">
      <c r="A1261" t="s">
        <v>1364</v>
      </c>
      <c r="B1261">
        <v>15</v>
      </c>
    </row>
    <row r="1262" spans="1:2">
      <c r="A1262" t="s">
        <v>1365</v>
      </c>
      <c r="B1262">
        <v>24</v>
      </c>
    </row>
    <row r="1263" spans="1:2">
      <c r="A1263" t="s">
        <v>1366</v>
      </c>
      <c r="B1263">
        <v>16</v>
      </c>
    </row>
    <row r="1264" spans="1:2">
      <c r="A1264" t="s">
        <v>1367</v>
      </c>
      <c r="B1264">
        <v>13</v>
      </c>
    </row>
    <row r="1265" spans="1:2">
      <c r="A1265" t="s">
        <v>1368</v>
      </c>
      <c r="B1265">
        <v>19</v>
      </c>
    </row>
    <row r="1266" spans="1:2">
      <c r="A1266" t="s">
        <v>1369</v>
      </c>
      <c r="B1266">
        <v>14</v>
      </c>
    </row>
    <row r="1267" spans="1:2">
      <c r="A1267" t="s">
        <v>1370</v>
      </c>
      <c r="B1267">
        <v>12</v>
      </c>
    </row>
    <row r="1268" spans="1:2">
      <c r="A1268" t="s">
        <v>1371</v>
      </c>
      <c r="B1268">
        <v>16</v>
      </c>
    </row>
    <row r="1269" spans="1:2">
      <c r="A1269" t="s">
        <v>1372</v>
      </c>
      <c r="B1269">
        <v>11</v>
      </c>
    </row>
    <row r="1270" spans="1:2">
      <c r="A1270" t="s">
        <v>1373</v>
      </c>
      <c r="B1270">
        <v>12</v>
      </c>
    </row>
    <row r="1271" spans="1:2">
      <c r="A1271" t="s">
        <v>1374</v>
      </c>
      <c r="B1271">
        <v>19</v>
      </c>
    </row>
    <row r="1272" spans="1:2">
      <c r="A1272" t="s">
        <v>1375</v>
      </c>
      <c r="B1272">
        <v>10</v>
      </c>
    </row>
    <row r="1273" spans="1:2">
      <c r="A1273" t="s">
        <v>1376</v>
      </c>
      <c r="B1273">
        <v>8</v>
      </c>
    </row>
    <row r="1274" spans="1:2">
      <c r="A1274" t="s">
        <v>1377</v>
      </c>
      <c r="B1274">
        <v>10</v>
      </c>
    </row>
    <row r="1275" spans="1:2">
      <c r="A1275" t="s">
        <v>1378</v>
      </c>
      <c r="B1275">
        <v>12</v>
      </c>
    </row>
    <row r="1276" spans="1:2">
      <c r="A1276" t="s">
        <v>1379</v>
      </c>
      <c r="B1276">
        <v>14</v>
      </c>
    </row>
    <row r="1277" spans="1:2">
      <c r="A1277" t="s">
        <v>1380</v>
      </c>
      <c r="B1277">
        <v>23</v>
      </c>
    </row>
    <row r="1278" spans="1:2">
      <c r="A1278" t="s">
        <v>1381</v>
      </c>
      <c r="B1278">
        <v>16</v>
      </c>
    </row>
    <row r="1279" spans="1:2">
      <c r="A1279" t="s">
        <v>1382</v>
      </c>
      <c r="B1279">
        <v>13</v>
      </c>
    </row>
    <row r="1280" spans="1:2">
      <c r="A1280" t="s">
        <v>1383</v>
      </c>
      <c r="B1280">
        <v>19</v>
      </c>
    </row>
    <row r="1281" spans="1:2">
      <c r="A1281" t="s">
        <v>1384</v>
      </c>
      <c r="B1281">
        <v>14</v>
      </c>
    </row>
    <row r="1282" spans="1:2">
      <c r="A1282" t="s">
        <v>1385</v>
      </c>
      <c r="B1282">
        <v>12</v>
      </c>
    </row>
    <row r="1283" spans="1:2">
      <c r="A1283" t="s">
        <v>1386</v>
      </c>
      <c r="B1283">
        <v>16</v>
      </c>
    </row>
    <row r="1284" spans="1:2">
      <c r="A1284" t="s">
        <v>1387</v>
      </c>
      <c r="B1284">
        <v>11</v>
      </c>
    </row>
    <row r="1285" spans="1:2">
      <c r="A1285" t="s">
        <v>1388</v>
      </c>
      <c r="B1285">
        <v>12</v>
      </c>
    </row>
    <row r="1286" spans="1:2">
      <c r="A1286" t="s">
        <v>1389</v>
      </c>
      <c r="B1286">
        <v>19</v>
      </c>
    </row>
    <row r="1287" spans="1:2">
      <c r="A1287" t="s">
        <v>1390</v>
      </c>
      <c r="B1287">
        <v>10</v>
      </c>
    </row>
    <row r="1288" spans="1:2">
      <c r="A1288" t="s">
        <v>1391</v>
      </c>
      <c r="B1288">
        <v>8</v>
      </c>
    </row>
    <row r="1289" spans="1:2">
      <c r="A1289" t="s">
        <v>1392</v>
      </c>
      <c r="B1289">
        <v>10</v>
      </c>
    </row>
    <row r="1290" spans="1:2">
      <c r="A1290" t="s">
        <v>1393</v>
      </c>
      <c r="B1290">
        <v>12</v>
      </c>
    </row>
    <row r="1291" spans="1:2">
      <c r="A1291" t="s">
        <v>1394</v>
      </c>
      <c r="B1291">
        <v>14</v>
      </c>
    </row>
    <row r="1292" spans="1:2">
      <c r="A1292" t="s">
        <v>1395</v>
      </c>
      <c r="B1292">
        <v>22</v>
      </c>
    </row>
    <row r="1293" spans="1:2">
      <c r="A1293" t="s">
        <v>1396</v>
      </c>
      <c r="B1293">
        <v>15</v>
      </c>
    </row>
    <row r="1294" spans="1:2">
      <c r="A1294" t="s">
        <v>1397</v>
      </c>
      <c r="B1294">
        <v>12</v>
      </c>
    </row>
    <row r="1295" spans="1:2">
      <c r="A1295" t="s">
        <v>1398</v>
      </c>
      <c r="B1295">
        <v>18</v>
      </c>
    </row>
    <row r="1296" spans="1:2">
      <c r="A1296" t="s">
        <v>1399</v>
      </c>
      <c r="B1296">
        <v>13</v>
      </c>
    </row>
    <row r="1297" spans="1:2">
      <c r="A1297" t="s">
        <v>1400</v>
      </c>
      <c r="B1297">
        <v>11</v>
      </c>
    </row>
    <row r="1298" spans="1:2">
      <c r="A1298" t="s">
        <v>1401</v>
      </c>
      <c r="B1298">
        <v>15</v>
      </c>
    </row>
    <row r="1299" spans="1:2">
      <c r="A1299" t="s">
        <v>1402</v>
      </c>
      <c r="B1299">
        <v>10</v>
      </c>
    </row>
    <row r="1300" spans="1:2">
      <c r="A1300" t="s">
        <v>1403</v>
      </c>
      <c r="B1300">
        <v>11</v>
      </c>
    </row>
    <row r="1301" spans="1:2">
      <c r="A1301" t="s">
        <v>1404</v>
      </c>
      <c r="B1301">
        <v>18</v>
      </c>
    </row>
    <row r="1302" spans="1:2">
      <c r="A1302" t="s">
        <v>1405</v>
      </c>
      <c r="B1302">
        <v>9</v>
      </c>
    </row>
    <row r="1303" spans="1:2">
      <c r="A1303" t="s">
        <v>1406</v>
      </c>
      <c r="B1303">
        <v>7</v>
      </c>
    </row>
    <row r="1304" spans="1:2">
      <c r="A1304" t="s">
        <v>1407</v>
      </c>
      <c r="B1304">
        <v>9</v>
      </c>
    </row>
    <row r="1305" spans="1:2">
      <c r="A1305" t="s">
        <v>1408</v>
      </c>
      <c r="B1305">
        <v>11</v>
      </c>
    </row>
    <row r="1306" spans="1:2">
      <c r="A1306" t="s">
        <v>1409</v>
      </c>
      <c r="B1306">
        <v>13</v>
      </c>
    </row>
    <row r="1307" spans="1:2">
      <c r="A1307" t="s">
        <v>1410</v>
      </c>
      <c r="B1307">
        <v>20</v>
      </c>
    </row>
    <row r="1308" spans="1:2">
      <c r="A1308" t="s">
        <v>1411</v>
      </c>
      <c r="B1308">
        <v>12</v>
      </c>
    </row>
    <row r="1309" spans="1:2">
      <c r="A1309" t="s">
        <v>1412</v>
      </c>
      <c r="B1309">
        <v>9</v>
      </c>
    </row>
    <row r="1310" spans="1:2">
      <c r="A1310" t="s">
        <v>1413</v>
      </c>
      <c r="B1310">
        <v>15</v>
      </c>
    </row>
    <row r="1311" spans="1:2">
      <c r="A1311" t="s">
        <v>1414</v>
      </c>
      <c r="B1311">
        <v>11</v>
      </c>
    </row>
    <row r="1312" spans="1:2">
      <c r="A1312" t="s">
        <v>1415</v>
      </c>
      <c r="B1312">
        <v>9</v>
      </c>
    </row>
    <row r="1313" spans="1:2">
      <c r="A1313" t="s">
        <v>1416</v>
      </c>
      <c r="B1313">
        <v>13</v>
      </c>
    </row>
    <row r="1314" spans="1:2">
      <c r="A1314" t="s">
        <v>1417</v>
      </c>
      <c r="B1314">
        <v>9</v>
      </c>
    </row>
    <row r="1315" spans="1:2">
      <c r="A1315" t="s">
        <v>1418</v>
      </c>
      <c r="B1315">
        <v>10</v>
      </c>
    </row>
    <row r="1316" spans="1:2">
      <c r="A1316" t="s">
        <v>1419</v>
      </c>
      <c r="B1316">
        <v>17</v>
      </c>
    </row>
    <row r="1317" spans="1:2">
      <c r="A1317" t="s">
        <v>1420</v>
      </c>
      <c r="B1317">
        <v>7</v>
      </c>
    </row>
    <row r="1318" spans="1:2">
      <c r="A1318" t="s">
        <v>1421</v>
      </c>
      <c r="B1318">
        <v>6</v>
      </c>
    </row>
    <row r="1319" spans="1:2">
      <c r="A1319" t="s">
        <v>1422</v>
      </c>
      <c r="B1319">
        <v>8</v>
      </c>
    </row>
    <row r="1320" spans="1:2">
      <c r="A1320" t="s">
        <v>1423</v>
      </c>
      <c r="B1320">
        <v>10</v>
      </c>
    </row>
    <row r="1321" spans="1:2">
      <c r="A1321" t="s">
        <v>1424</v>
      </c>
      <c r="B1321">
        <v>12</v>
      </c>
    </row>
    <row r="1322" spans="1:2">
      <c r="A1322" t="s">
        <v>1425</v>
      </c>
      <c r="B1322">
        <v>19</v>
      </c>
    </row>
    <row r="1323" spans="1:2">
      <c r="A1323" t="s">
        <v>1426</v>
      </c>
      <c r="B1323">
        <v>11</v>
      </c>
    </row>
    <row r="1324" spans="1:2">
      <c r="A1324" t="s">
        <v>1427</v>
      </c>
      <c r="B1324">
        <v>9</v>
      </c>
    </row>
    <row r="1325" spans="1:2">
      <c r="A1325" t="s">
        <v>1428</v>
      </c>
      <c r="B1325">
        <v>14</v>
      </c>
    </row>
    <row r="1326" spans="1:2">
      <c r="A1326" t="s">
        <v>1429</v>
      </c>
      <c r="B1326">
        <v>10</v>
      </c>
    </row>
    <row r="1327" spans="1:2">
      <c r="A1327" t="s">
        <v>1430</v>
      </c>
      <c r="B1327">
        <v>9</v>
      </c>
    </row>
    <row r="1328" spans="1:2">
      <c r="A1328" t="s">
        <v>1431</v>
      </c>
      <c r="B1328">
        <v>12</v>
      </c>
    </row>
    <row r="1329" spans="1:2">
      <c r="A1329" t="s">
        <v>1432</v>
      </c>
      <c r="B1329">
        <v>8</v>
      </c>
    </row>
    <row r="1330" spans="1:2">
      <c r="A1330" t="s">
        <v>1433</v>
      </c>
      <c r="B1330">
        <v>9</v>
      </c>
    </row>
    <row r="1331" spans="1:2">
      <c r="A1331" t="s">
        <v>1434</v>
      </c>
      <c r="B1331">
        <v>17</v>
      </c>
    </row>
    <row r="1332" spans="1:2">
      <c r="A1332" t="s">
        <v>1435</v>
      </c>
      <c r="B1332">
        <v>7</v>
      </c>
    </row>
    <row r="1333" spans="1:2">
      <c r="A1333" t="s">
        <v>1436</v>
      </c>
      <c r="B1333">
        <v>6</v>
      </c>
    </row>
    <row r="1334" spans="1:2">
      <c r="A1334" t="s">
        <v>1437</v>
      </c>
      <c r="B1334">
        <v>8</v>
      </c>
    </row>
    <row r="1335" spans="1:2">
      <c r="A1335" t="s">
        <v>1438</v>
      </c>
      <c r="B1335">
        <v>10</v>
      </c>
    </row>
    <row r="1336" spans="1:2">
      <c r="A1336" t="s">
        <v>1439</v>
      </c>
      <c r="B1336">
        <v>12</v>
      </c>
    </row>
    <row r="1337" spans="1:2">
      <c r="A1337" t="s">
        <v>1440</v>
      </c>
      <c r="B1337">
        <v>28</v>
      </c>
    </row>
    <row r="1338" spans="1:2">
      <c r="A1338" t="s">
        <v>1441</v>
      </c>
      <c r="B1338">
        <v>18</v>
      </c>
    </row>
    <row r="1339" spans="1:2">
      <c r="A1339" t="s">
        <v>1442</v>
      </c>
      <c r="B1339">
        <v>15</v>
      </c>
    </row>
    <row r="1340" spans="1:2">
      <c r="A1340" t="s">
        <v>1443</v>
      </c>
      <c r="B1340">
        <v>22</v>
      </c>
    </row>
    <row r="1341" spans="1:2">
      <c r="A1341" t="s">
        <v>1444</v>
      </c>
      <c r="B1341">
        <v>16</v>
      </c>
    </row>
    <row r="1342" spans="1:2">
      <c r="A1342" t="s">
        <v>1445</v>
      </c>
      <c r="B1342">
        <v>14</v>
      </c>
    </row>
    <row r="1343" spans="1:2">
      <c r="A1343" t="s">
        <v>1446</v>
      </c>
      <c r="B1343">
        <v>18</v>
      </c>
    </row>
    <row r="1344" spans="1:2">
      <c r="A1344" t="s">
        <v>1447</v>
      </c>
      <c r="B1344">
        <v>13</v>
      </c>
    </row>
    <row r="1345" spans="1:2">
      <c r="A1345" t="s">
        <v>1448</v>
      </c>
      <c r="B1345">
        <v>13</v>
      </c>
    </row>
    <row r="1346" spans="1:2">
      <c r="A1346" t="s">
        <v>1449</v>
      </c>
      <c r="B1346">
        <v>21</v>
      </c>
    </row>
    <row r="1347" spans="1:2">
      <c r="A1347" t="s">
        <v>1450</v>
      </c>
      <c r="B1347">
        <v>12</v>
      </c>
    </row>
    <row r="1348" spans="1:2">
      <c r="A1348" t="s">
        <v>1451</v>
      </c>
      <c r="B1348">
        <v>10</v>
      </c>
    </row>
    <row r="1349" spans="1:2">
      <c r="A1349" t="s">
        <v>1452</v>
      </c>
      <c r="B1349">
        <v>11</v>
      </c>
    </row>
    <row r="1350" spans="1:2">
      <c r="A1350" t="s">
        <v>1453</v>
      </c>
      <c r="B1350">
        <v>13</v>
      </c>
    </row>
    <row r="1351" spans="1:2">
      <c r="A1351" t="s">
        <v>1454</v>
      </c>
      <c r="B1351">
        <v>16</v>
      </c>
    </row>
    <row r="1352" spans="1:2">
      <c r="A1352" t="s">
        <v>1455</v>
      </c>
      <c r="B1352">
        <v>25</v>
      </c>
    </row>
    <row r="1353" spans="1:2">
      <c r="A1353" t="s">
        <v>1456</v>
      </c>
      <c r="B1353">
        <v>17</v>
      </c>
    </row>
    <row r="1354" spans="1:2">
      <c r="A1354" t="s">
        <v>1457</v>
      </c>
      <c r="B1354">
        <v>14</v>
      </c>
    </row>
    <row r="1355" spans="1:2">
      <c r="A1355" t="s">
        <v>1458</v>
      </c>
      <c r="B1355">
        <v>20</v>
      </c>
    </row>
    <row r="1356" spans="1:2">
      <c r="A1356" t="s">
        <v>1459</v>
      </c>
      <c r="B1356">
        <v>15</v>
      </c>
    </row>
    <row r="1357" spans="1:2">
      <c r="A1357" t="s">
        <v>1460</v>
      </c>
      <c r="B1357">
        <v>13</v>
      </c>
    </row>
    <row r="1358" spans="1:2">
      <c r="A1358" t="s">
        <v>1461</v>
      </c>
      <c r="B1358">
        <v>17</v>
      </c>
    </row>
    <row r="1359" spans="1:2">
      <c r="A1359" t="s">
        <v>1462</v>
      </c>
      <c r="B1359">
        <v>12</v>
      </c>
    </row>
    <row r="1360" spans="1:2">
      <c r="A1360" t="s">
        <v>1463</v>
      </c>
      <c r="B1360">
        <v>12</v>
      </c>
    </row>
    <row r="1361" spans="1:2">
      <c r="A1361" t="s">
        <v>1464</v>
      </c>
      <c r="B1361">
        <v>20</v>
      </c>
    </row>
    <row r="1362" spans="1:2">
      <c r="A1362" t="s">
        <v>1465</v>
      </c>
      <c r="B1362">
        <v>11</v>
      </c>
    </row>
    <row r="1363" spans="1:2">
      <c r="A1363" t="s">
        <v>1466</v>
      </c>
      <c r="B1363">
        <v>9</v>
      </c>
    </row>
    <row r="1364" spans="1:2">
      <c r="A1364" t="s">
        <v>1467</v>
      </c>
      <c r="B1364">
        <v>10</v>
      </c>
    </row>
    <row r="1365" spans="1:2">
      <c r="A1365" t="s">
        <v>1468</v>
      </c>
      <c r="B1365">
        <v>12</v>
      </c>
    </row>
    <row r="1366" spans="1:2">
      <c r="A1366" t="s">
        <v>1469</v>
      </c>
      <c r="B1366">
        <v>15</v>
      </c>
    </row>
    <row r="1367" spans="1:2">
      <c r="A1367" t="s">
        <v>1470</v>
      </c>
      <c r="B1367">
        <v>24</v>
      </c>
    </row>
    <row r="1368" spans="1:2">
      <c r="A1368" t="s">
        <v>1471</v>
      </c>
      <c r="B1368">
        <v>16</v>
      </c>
    </row>
    <row r="1369" spans="1:2">
      <c r="A1369" t="s">
        <v>1472</v>
      </c>
      <c r="B1369">
        <v>13</v>
      </c>
    </row>
    <row r="1370" spans="1:2">
      <c r="A1370" t="s">
        <v>1473</v>
      </c>
      <c r="B1370">
        <v>19</v>
      </c>
    </row>
    <row r="1371" spans="1:2">
      <c r="A1371" t="s">
        <v>1474</v>
      </c>
      <c r="B1371">
        <v>14</v>
      </c>
    </row>
    <row r="1372" spans="1:2">
      <c r="A1372" t="s">
        <v>1475</v>
      </c>
      <c r="B1372">
        <v>12</v>
      </c>
    </row>
    <row r="1373" spans="1:2">
      <c r="A1373" t="s">
        <v>1476</v>
      </c>
      <c r="B1373">
        <v>16</v>
      </c>
    </row>
    <row r="1374" spans="1:2">
      <c r="A1374" t="s">
        <v>1477</v>
      </c>
      <c r="B1374">
        <v>11</v>
      </c>
    </row>
    <row r="1375" spans="1:2">
      <c r="A1375" t="s">
        <v>1478</v>
      </c>
      <c r="B1375">
        <v>12</v>
      </c>
    </row>
    <row r="1376" spans="1:2">
      <c r="A1376" t="s">
        <v>1479</v>
      </c>
      <c r="B1376">
        <v>19</v>
      </c>
    </row>
    <row r="1377" spans="1:2">
      <c r="A1377" t="s">
        <v>1480</v>
      </c>
      <c r="B1377">
        <v>10</v>
      </c>
    </row>
    <row r="1378" spans="1:2">
      <c r="A1378" t="s">
        <v>1481</v>
      </c>
      <c r="B1378">
        <v>8</v>
      </c>
    </row>
    <row r="1379" spans="1:2">
      <c r="A1379" t="s">
        <v>1482</v>
      </c>
      <c r="B1379">
        <v>10</v>
      </c>
    </row>
    <row r="1380" spans="1:2">
      <c r="A1380" t="s">
        <v>1483</v>
      </c>
      <c r="B1380">
        <v>12</v>
      </c>
    </row>
    <row r="1381" spans="1:2">
      <c r="A1381" t="s">
        <v>1484</v>
      </c>
      <c r="B1381">
        <v>14</v>
      </c>
    </row>
    <row r="1382" spans="1:2">
      <c r="A1382" t="s">
        <v>1485</v>
      </c>
      <c r="B1382">
        <v>23</v>
      </c>
    </row>
    <row r="1383" spans="1:2">
      <c r="A1383" t="s">
        <v>1486</v>
      </c>
      <c r="B1383">
        <v>16</v>
      </c>
    </row>
    <row r="1384" spans="1:2">
      <c r="A1384" t="s">
        <v>1487</v>
      </c>
      <c r="B1384">
        <v>13</v>
      </c>
    </row>
    <row r="1385" spans="1:2">
      <c r="A1385" t="s">
        <v>1488</v>
      </c>
      <c r="B1385">
        <v>19</v>
      </c>
    </row>
    <row r="1386" spans="1:2">
      <c r="A1386" t="s">
        <v>1489</v>
      </c>
      <c r="B1386">
        <v>14</v>
      </c>
    </row>
    <row r="1387" spans="1:2">
      <c r="A1387" t="s">
        <v>1490</v>
      </c>
      <c r="B1387">
        <v>12</v>
      </c>
    </row>
    <row r="1388" spans="1:2">
      <c r="A1388" t="s">
        <v>1491</v>
      </c>
      <c r="B1388">
        <v>16</v>
      </c>
    </row>
    <row r="1389" spans="1:2">
      <c r="A1389" t="s">
        <v>1492</v>
      </c>
      <c r="B1389">
        <v>11</v>
      </c>
    </row>
    <row r="1390" spans="1:2">
      <c r="A1390" t="s">
        <v>1493</v>
      </c>
      <c r="B1390">
        <v>12</v>
      </c>
    </row>
    <row r="1391" spans="1:2">
      <c r="A1391" t="s">
        <v>1494</v>
      </c>
      <c r="B1391">
        <v>19</v>
      </c>
    </row>
    <row r="1392" spans="1:2">
      <c r="A1392" t="s">
        <v>1495</v>
      </c>
      <c r="B1392">
        <v>10</v>
      </c>
    </row>
    <row r="1393" spans="1:2">
      <c r="A1393" t="s">
        <v>1496</v>
      </c>
      <c r="B1393">
        <v>8</v>
      </c>
    </row>
    <row r="1394" spans="1:2">
      <c r="A1394" t="s">
        <v>1497</v>
      </c>
      <c r="B1394">
        <v>10</v>
      </c>
    </row>
    <row r="1395" spans="1:2">
      <c r="A1395" t="s">
        <v>1498</v>
      </c>
      <c r="B1395">
        <v>12</v>
      </c>
    </row>
    <row r="1396" spans="1:2">
      <c r="A1396" t="s">
        <v>1499</v>
      </c>
      <c r="B1396">
        <v>14</v>
      </c>
    </row>
    <row r="1397" spans="1:2">
      <c r="A1397" t="s">
        <v>1500</v>
      </c>
      <c r="B1397">
        <v>22</v>
      </c>
    </row>
    <row r="1398" spans="1:2">
      <c r="A1398" t="s">
        <v>1501</v>
      </c>
      <c r="B1398">
        <v>15</v>
      </c>
    </row>
    <row r="1399" spans="1:2">
      <c r="A1399" t="s">
        <v>1502</v>
      </c>
      <c r="B1399">
        <v>12</v>
      </c>
    </row>
    <row r="1400" spans="1:2">
      <c r="A1400" t="s">
        <v>1503</v>
      </c>
      <c r="B1400">
        <v>18</v>
      </c>
    </row>
    <row r="1401" spans="1:2">
      <c r="A1401" t="s">
        <v>1504</v>
      </c>
      <c r="B1401">
        <v>13</v>
      </c>
    </row>
    <row r="1402" spans="1:2">
      <c r="A1402" t="s">
        <v>1505</v>
      </c>
      <c r="B1402">
        <v>11</v>
      </c>
    </row>
    <row r="1403" spans="1:2">
      <c r="A1403" t="s">
        <v>1506</v>
      </c>
      <c r="B1403">
        <v>15</v>
      </c>
    </row>
    <row r="1404" spans="1:2">
      <c r="A1404" t="s">
        <v>1507</v>
      </c>
      <c r="B1404">
        <v>10</v>
      </c>
    </row>
    <row r="1405" spans="1:2">
      <c r="A1405" t="s">
        <v>1508</v>
      </c>
      <c r="B1405">
        <v>11</v>
      </c>
    </row>
    <row r="1406" spans="1:2">
      <c r="A1406" t="s">
        <v>1509</v>
      </c>
      <c r="B1406">
        <v>18</v>
      </c>
    </row>
    <row r="1407" spans="1:2">
      <c r="A1407" t="s">
        <v>1510</v>
      </c>
      <c r="B1407">
        <v>9</v>
      </c>
    </row>
    <row r="1408" spans="1:2">
      <c r="A1408" t="s">
        <v>1511</v>
      </c>
      <c r="B1408">
        <v>7</v>
      </c>
    </row>
    <row r="1409" spans="1:2">
      <c r="A1409" t="s">
        <v>1512</v>
      </c>
      <c r="B1409">
        <v>9</v>
      </c>
    </row>
    <row r="1410" spans="1:2">
      <c r="A1410" t="s">
        <v>1513</v>
      </c>
      <c r="B1410">
        <v>11</v>
      </c>
    </row>
    <row r="1411" spans="1:2">
      <c r="A1411" t="s">
        <v>1514</v>
      </c>
      <c r="B1411">
        <v>13</v>
      </c>
    </row>
    <row r="1412" spans="1:2">
      <c r="A1412" t="s">
        <v>1515</v>
      </c>
      <c r="B1412">
        <v>20</v>
      </c>
    </row>
    <row r="1413" spans="1:2">
      <c r="A1413" t="s">
        <v>1516</v>
      </c>
      <c r="B1413">
        <v>12</v>
      </c>
    </row>
    <row r="1414" spans="1:2">
      <c r="A1414" t="s">
        <v>1517</v>
      </c>
      <c r="B1414">
        <v>9</v>
      </c>
    </row>
    <row r="1415" spans="1:2">
      <c r="A1415" t="s">
        <v>1518</v>
      </c>
      <c r="B1415">
        <v>15</v>
      </c>
    </row>
    <row r="1416" spans="1:2">
      <c r="A1416" t="s">
        <v>1519</v>
      </c>
      <c r="B1416">
        <v>11</v>
      </c>
    </row>
    <row r="1417" spans="1:2">
      <c r="A1417" t="s">
        <v>1520</v>
      </c>
      <c r="B1417">
        <v>9</v>
      </c>
    </row>
    <row r="1418" spans="1:2">
      <c r="A1418" t="s">
        <v>1521</v>
      </c>
      <c r="B1418">
        <v>13</v>
      </c>
    </row>
    <row r="1419" spans="1:2">
      <c r="A1419" t="s">
        <v>1522</v>
      </c>
      <c r="B1419">
        <v>9</v>
      </c>
    </row>
    <row r="1420" spans="1:2">
      <c r="A1420" t="s">
        <v>1523</v>
      </c>
      <c r="B1420">
        <v>10</v>
      </c>
    </row>
    <row r="1421" spans="1:2">
      <c r="A1421" t="s">
        <v>1524</v>
      </c>
      <c r="B1421">
        <v>17</v>
      </c>
    </row>
    <row r="1422" spans="1:2">
      <c r="A1422" t="s">
        <v>1525</v>
      </c>
      <c r="B1422">
        <v>7</v>
      </c>
    </row>
    <row r="1423" spans="1:2">
      <c r="A1423" t="s">
        <v>1526</v>
      </c>
      <c r="B1423">
        <v>6</v>
      </c>
    </row>
    <row r="1424" spans="1:2">
      <c r="A1424" t="s">
        <v>1527</v>
      </c>
      <c r="B1424">
        <v>8</v>
      </c>
    </row>
    <row r="1425" spans="1:2">
      <c r="A1425" t="s">
        <v>1528</v>
      </c>
      <c r="B1425">
        <v>10</v>
      </c>
    </row>
    <row r="1426" spans="1:2">
      <c r="A1426" t="s">
        <v>1529</v>
      </c>
      <c r="B1426">
        <v>12</v>
      </c>
    </row>
    <row r="1427" spans="1:2">
      <c r="A1427" t="s">
        <v>1530</v>
      </c>
      <c r="B1427">
        <v>19</v>
      </c>
    </row>
    <row r="1428" spans="1:2">
      <c r="A1428" t="s">
        <v>1531</v>
      </c>
      <c r="B1428">
        <v>11</v>
      </c>
    </row>
    <row r="1429" spans="1:2">
      <c r="A1429" t="s">
        <v>1532</v>
      </c>
      <c r="B1429">
        <v>9</v>
      </c>
    </row>
    <row r="1430" spans="1:2">
      <c r="A1430" t="s">
        <v>1533</v>
      </c>
      <c r="B1430">
        <v>14</v>
      </c>
    </row>
    <row r="1431" spans="1:2">
      <c r="A1431" t="s">
        <v>1534</v>
      </c>
      <c r="B1431">
        <v>10</v>
      </c>
    </row>
    <row r="1432" spans="1:2">
      <c r="A1432" t="s">
        <v>1535</v>
      </c>
      <c r="B1432">
        <v>9</v>
      </c>
    </row>
    <row r="1433" spans="1:2">
      <c r="A1433" t="s">
        <v>1536</v>
      </c>
      <c r="B1433">
        <v>12</v>
      </c>
    </row>
    <row r="1434" spans="1:2">
      <c r="A1434" t="s">
        <v>1537</v>
      </c>
      <c r="B1434">
        <v>8</v>
      </c>
    </row>
    <row r="1435" spans="1:2">
      <c r="A1435" t="s">
        <v>1538</v>
      </c>
      <c r="B1435">
        <v>9</v>
      </c>
    </row>
    <row r="1436" spans="1:2">
      <c r="A1436" t="s">
        <v>1539</v>
      </c>
      <c r="B1436">
        <v>17</v>
      </c>
    </row>
    <row r="1437" spans="1:2">
      <c r="A1437" t="s">
        <v>1540</v>
      </c>
      <c r="B1437">
        <v>7</v>
      </c>
    </row>
    <row r="1438" spans="1:2">
      <c r="A1438" t="s">
        <v>1541</v>
      </c>
      <c r="B1438">
        <v>6</v>
      </c>
    </row>
    <row r="1439" spans="1:2">
      <c r="A1439" t="s">
        <v>1542</v>
      </c>
      <c r="B1439">
        <v>8</v>
      </c>
    </row>
    <row r="1440" spans="1:2">
      <c r="A1440" t="s">
        <v>1543</v>
      </c>
      <c r="B1440">
        <v>10</v>
      </c>
    </row>
    <row r="1441" spans="1:2">
      <c r="A1441" t="s">
        <v>1544</v>
      </c>
      <c r="B1441">
        <v>12</v>
      </c>
    </row>
    <row r="1442" spans="1:2">
      <c r="A1442" t="s">
        <v>1545</v>
      </c>
      <c r="B1442">
        <v>28</v>
      </c>
    </row>
    <row r="1443" spans="1:2">
      <c r="A1443" t="s">
        <v>1546</v>
      </c>
      <c r="B1443">
        <v>18</v>
      </c>
    </row>
    <row r="1444" spans="1:2">
      <c r="A1444" t="s">
        <v>1547</v>
      </c>
      <c r="B1444">
        <v>15</v>
      </c>
    </row>
    <row r="1445" spans="1:2">
      <c r="A1445" t="s">
        <v>1548</v>
      </c>
      <c r="B1445">
        <v>22</v>
      </c>
    </row>
    <row r="1446" spans="1:2">
      <c r="A1446" t="s">
        <v>1549</v>
      </c>
      <c r="B1446">
        <v>16</v>
      </c>
    </row>
    <row r="1447" spans="1:2">
      <c r="A1447" t="s">
        <v>1550</v>
      </c>
      <c r="B1447">
        <v>14</v>
      </c>
    </row>
    <row r="1448" spans="1:2">
      <c r="A1448" t="s">
        <v>1551</v>
      </c>
      <c r="B1448">
        <v>18</v>
      </c>
    </row>
    <row r="1449" spans="1:2">
      <c r="A1449" t="s">
        <v>1552</v>
      </c>
      <c r="B1449">
        <v>13</v>
      </c>
    </row>
    <row r="1450" spans="1:2">
      <c r="A1450" t="s">
        <v>1553</v>
      </c>
      <c r="B1450">
        <v>13</v>
      </c>
    </row>
    <row r="1451" spans="1:2">
      <c r="A1451" t="s">
        <v>1554</v>
      </c>
      <c r="B1451">
        <v>21</v>
      </c>
    </row>
    <row r="1452" spans="1:2">
      <c r="A1452" t="s">
        <v>1555</v>
      </c>
      <c r="B1452">
        <v>12</v>
      </c>
    </row>
    <row r="1453" spans="1:2">
      <c r="A1453" t="s">
        <v>1556</v>
      </c>
      <c r="B1453">
        <v>10</v>
      </c>
    </row>
    <row r="1454" spans="1:2">
      <c r="A1454" t="s">
        <v>1557</v>
      </c>
      <c r="B1454">
        <v>11</v>
      </c>
    </row>
    <row r="1455" spans="1:2">
      <c r="A1455" t="s">
        <v>1558</v>
      </c>
      <c r="B1455">
        <v>13</v>
      </c>
    </row>
    <row r="1456" spans="1:2">
      <c r="A1456" t="s">
        <v>1559</v>
      </c>
      <c r="B1456">
        <v>16</v>
      </c>
    </row>
    <row r="1457" spans="1:2">
      <c r="A1457" t="s">
        <v>1560</v>
      </c>
      <c r="B1457">
        <v>25</v>
      </c>
    </row>
    <row r="1458" spans="1:2">
      <c r="A1458" t="s">
        <v>1561</v>
      </c>
      <c r="B1458">
        <v>17</v>
      </c>
    </row>
    <row r="1459" spans="1:2">
      <c r="A1459" t="s">
        <v>1562</v>
      </c>
      <c r="B1459">
        <v>14</v>
      </c>
    </row>
    <row r="1460" spans="1:2">
      <c r="A1460" t="s">
        <v>1563</v>
      </c>
      <c r="B1460">
        <v>20</v>
      </c>
    </row>
    <row r="1461" spans="1:2">
      <c r="A1461" t="s">
        <v>1564</v>
      </c>
      <c r="B1461">
        <v>15</v>
      </c>
    </row>
    <row r="1462" spans="1:2">
      <c r="A1462" t="s">
        <v>1565</v>
      </c>
      <c r="B1462">
        <v>13</v>
      </c>
    </row>
    <row r="1463" spans="1:2">
      <c r="A1463" t="s">
        <v>1566</v>
      </c>
      <c r="B1463">
        <v>17</v>
      </c>
    </row>
    <row r="1464" spans="1:2">
      <c r="A1464" t="s">
        <v>1567</v>
      </c>
      <c r="B1464">
        <v>12</v>
      </c>
    </row>
    <row r="1465" spans="1:2">
      <c r="A1465" t="s">
        <v>1568</v>
      </c>
      <c r="B1465">
        <v>12</v>
      </c>
    </row>
    <row r="1466" spans="1:2">
      <c r="A1466" t="s">
        <v>1569</v>
      </c>
      <c r="B1466">
        <v>20</v>
      </c>
    </row>
    <row r="1467" spans="1:2">
      <c r="A1467" t="s">
        <v>1570</v>
      </c>
      <c r="B1467">
        <v>11</v>
      </c>
    </row>
    <row r="1468" spans="1:2">
      <c r="A1468" t="s">
        <v>1571</v>
      </c>
      <c r="B1468">
        <v>9</v>
      </c>
    </row>
    <row r="1469" spans="1:2">
      <c r="A1469" t="s">
        <v>1572</v>
      </c>
      <c r="B1469">
        <v>10</v>
      </c>
    </row>
    <row r="1470" spans="1:2">
      <c r="A1470" t="s">
        <v>1573</v>
      </c>
      <c r="B1470">
        <v>12</v>
      </c>
    </row>
    <row r="1471" spans="1:2">
      <c r="A1471" t="s">
        <v>1574</v>
      </c>
      <c r="B1471">
        <v>15</v>
      </c>
    </row>
    <row r="1472" spans="1:2">
      <c r="A1472" t="s">
        <v>1575</v>
      </c>
      <c r="B1472">
        <v>24</v>
      </c>
    </row>
    <row r="1473" spans="1:2">
      <c r="A1473" t="s">
        <v>1576</v>
      </c>
      <c r="B1473">
        <v>16</v>
      </c>
    </row>
    <row r="1474" spans="1:2">
      <c r="A1474" t="s">
        <v>1577</v>
      </c>
      <c r="B1474">
        <v>13</v>
      </c>
    </row>
    <row r="1475" spans="1:2">
      <c r="A1475" t="s">
        <v>1578</v>
      </c>
      <c r="B1475">
        <v>19</v>
      </c>
    </row>
    <row r="1476" spans="1:2">
      <c r="A1476" t="s">
        <v>1579</v>
      </c>
      <c r="B1476">
        <v>14</v>
      </c>
    </row>
    <row r="1477" spans="1:2">
      <c r="A1477" t="s">
        <v>1580</v>
      </c>
      <c r="B1477">
        <v>12</v>
      </c>
    </row>
    <row r="1478" spans="1:2">
      <c r="A1478" t="s">
        <v>1581</v>
      </c>
      <c r="B1478">
        <v>16</v>
      </c>
    </row>
    <row r="1479" spans="1:2">
      <c r="A1479" t="s">
        <v>1582</v>
      </c>
      <c r="B1479">
        <v>11</v>
      </c>
    </row>
    <row r="1480" spans="1:2">
      <c r="A1480" t="s">
        <v>1583</v>
      </c>
      <c r="B1480">
        <v>12</v>
      </c>
    </row>
    <row r="1481" spans="1:2">
      <c r="A1481" t="s">
        <v>1584</v>
      </c>
      <c r="B1481">
        <v>19</v>
      </c>
    </row>
    <row r="1482" spans="1:2">
      <c r="A1482" t="s">
        <v>1585</v>
      </c>
      <c r="B1482">
        <v>10</v>
      </c>
    </row>
    <row r="1483" spans="1:2">
      <c r="A1483" t="s">
        <v>1586</v>
      </c>
      <c r="B1483">
        <v>8</v>
      </c>
    </row>
    <row r="1484" spans="1:2">
      <c r="A1484" t="s">
        <v>1587</v>
      </c>
      <c r="B1484">
        <v>10</v>
      </c>
    </row>
    <row r="1485" spans="1:2">
      <c r="A1485" t="s">
        <v>1588</v>
      </c>
      <c r="B1485">
        <v>12</v>
      </c>
    </row>
    <row r="1486" spans="1:2">
      <c r="A1486" t="s">
        <v>1589</v>
      </c>
      <c r="B1486">
        <v>14</v>
      </c>
    </row>
    <row r="1487" spans="1:2">
      <c r="A1487" t="s">
        <v>1590</v>
      </c>
      <c r="B1487">
        <v>23</v>
      </c>
    </row>
    <row r="1488" spans="1:2">
      <c r="A1488" t="s">
        <v>1591</v>
      </c>
      <c r="B1488">
        <v>16</v>
      </c>
    </row>
    <row r="1489" spans="1:2">
      <c r="A1489" t="s">
        <v>1592</v>
      </c>
      <c r="B1489">
        <v>13</v>
      </c>
    </row>
    <row r="1490" spans="1:2">
      <c r="A1490" t="s">
        <v>1593</v>
      </c>
      <c r="B1490">
        <v>19</v>
      </c>
    </row>
    <row r="1491" spans="1:2">
      <c r="A1491" t="s">
        <v>1594</v>
      </c>
      <c r="B1491">
        <v>14</v>
      </c>
    </row>
    <row r="1492" spans="1:2">
      <c r="A1492" t="s">
        <v>1595</v>
      </c>
      <c r="B1492">
        <v>12</v>
      </c>
    </row>
    <row r="1493" spans="1:2">
      <c r="A1493" t="s">
        <v>1596</v>
      </c>
      <c r="B1493">
        <v>16</v>
      </c>
    </row>
    <row r="1494" spans="1:2">
      <c r="A1494" t="s">
        <v>1597</v>
      </c>
      <c r="B1494">
        <v>11</v>
      </c>
    </row>
    <row r="1495" spans="1:2">
      <c r="A1495" t="s">
        <v>1598</v>
      </c>
      <c r="B1495">
        <v>12</v>
      </c>
    </row>
    <row r="1496" spans="1:2">
      <c r="A1496" t="s">
        <v>1599</v>
      </c>
      <c r="B1496">
        <v>19</v>
      </c>
    </row>
    <row r="1497" spans="1:2">
      <c r="A1497" t="s">
        <v>1600</v>
      </c>
      <c r="B1497">
        <v>10</v>
      </c>
    </row>
    <row r="1498" spans="1:2">
      <c r="A1498" t="s">
        <v>1601</v>
      </c>
      <c r="B1498">
        <v>8</v>
      </c>
    </row>
    <row r="1499" spans="1:2">
      <c r="A1499" t="s">
        <v>1602</v>
      </c>
      <c r="B1499">
        <v>10</v>
      </c>
    </row>
    <row r="1500" spans="1:2">
      <c r="A1500" t="s">
        <v>1603</v>
      </c>
      <c r="B1500">
        <v>12</v>
      </c>
    </row>
    <row r="1501" spans="1:2">
      <c r="A1501" t="s">
        <v>1604</v>
      </c>
      <c r="B1501">
        <v>14</v>
      </c>
    </row>
    <row r="1502" spans="1:2">
      <c r="A1502" t="s">
        <v>1605</v>
      </c>
      <c r="B1502">
        <v>22</v>
      </c>
    </row>
    <row r="1503" spans="1:2">
      <c r="A1503" t="s">
        <v>1606</v>
      </c>
      <c r="B1503">
        <v>15</v>
      </c>
    </row>
    <row r="1504" spans="1:2">
      <c r="A1504" t="s">
        <v>1607</v>
      </c>
      <c r="B1504">
        <v>12</v>
      </c>
    </row>
    <row r="1505" spans="1:2">
      <c r="A1505" t="s">
        <v>1608</v>
      </c>
      <c r="B1505">
        <v>18</v>
      </c>
    </row>
    <row r="1506" spans="1:2">
      <c r="A1506" t="s">
        <v>1609</v>
      </c>
      <c r="B1506">
        <v>13</v>
      </c>
    </row>
    <row r="1507" spans="1:2">
      <c r="A1507" t="s">
        <v>1610</v>
      </c>
      <c r="B1507">
        <v>11</v>
      </c>
    </row>
    <row r="1508" spans="1:2">
      <c r="A1508" t="s">
        <v>1611</v>
      </c>
      <c r="B1508">
        <v>15</v>
      </c>
    </row>
    <row r="1509" spans="1:2">
      <c r="A1509" t="s">
        <v>1612</v>
      </c>
      <c r="B1509">
        <v>10</v>
      </c>
    </row>
    <row r="1510" spans="1:2">
      <c r="A1510" t="s">
        <v>1613</v>
      </c>
      <c r="B1510">
        <v>11</v>
      </c>
    </row>
    <row r="1511" spans="1:2">
      <c r="A1511" t="s">
        <v>1614</v>
      </c>
      <c r="B1511">
        <v>18</v>
      </c>
    </row>
    <row r="1512" spans="1:2">
      <c r="A1512" t="s">
        <v>1615</v>
      </c>
      <c r="B1512">
        <v>9</v>
      </c>
    </row>
    <row r="1513" spans="1:2">
      <c r="A1513" t="s">
        <v>1616</v>
      </c>
      <c r="B1513">
        <v>7</v>
      </c>
    </row>
    <row r="1514" spans="1:2">
      <c r="A1514" t="s">
        <v>1617</v>
      </c>
      <c r="B1514">
        <v>9</v>
      </c>
    </row>
    <row r="1515" spans="1:2">
      <c r="A1515" t="s">
        <v>1618</v>
      </c>
      <c r="B1515">
        <v>11</v>
      </c>
    </row>
    <row r="1516" spans="1:2">
      <c r="A1516" t="s">
        <v>1619</v>
      </c>
      <c r="B1516">
        <v>13</v>
      </c>
    </row>
    <row r="1517" spans="1:2">
      <c r="A1517" t="s">
        <v>1620</v>
      </c>
      <c r="B1517">
        <v>20</v>
      </c>
    </row>
    <row r="1518" spans="1:2">
      <c r="A1518" t="s">
        <v>1621</v>
      </c>
      <c r="B1518">
        <v>12</v>
      </c>
    </row>
    <row r="1519" spans="1:2">
      <c r="A1519" t="s">
        <v>1622</v>
      </c>
      <c r="B1519">
        <v>9</v>
      </c>
    </row>
    <row r="1520" spans="1:2">
      <c r="A1520" t="s">
        <v>1623</v>
      </c>
      <c r="B1520">
        <v>15</v>
      </c>
    </row>
    <row r="1521" spans="1:2">
      <c r="A1521" t="s">
        <v>1624</v>
      </c>
      <c r="B1521">
        <v>11</v>
      </c>
    </row>
    <row r="1522" spans="1:2">
      <c r="A1522" t="s">
        <v>1625</v>
      </c>
      <c r="B1522">
        <v>9</v>
      </c>
    </row>
    <row r="1523" spans="1:2">
      <c r="A1523" t="s">
        <v>1626</v>
      </c>
      <c r="B1523">
        <v>13</v>
      </c>
    </row>
    <row r="1524" spans="1:2">
      <c r="A1524" t="s">
        <v>1627</v>
      </c>
      <c r="B1524">
        <v>9</v>
      </c>
    </row>
    <row r="1525" spans="1:2">
      <c r="A1525" t="s">
        <v>1628</v>
      </c>
      <c r="B1525">
        <v>10</v>
      </c>
    </row>
    <row r="1526" spans="1:2">
      <c r="A1526" t="s">
        <v>1629</v>
      </c>
      <c r="B1526">
        <v>17</v>
      </c>
    </row>
    <row r="1527" spans="1:2">
      <c r="A1527" t="s">
        <v>1630</v>
      </c>
      <c r="B1527">
        <v>7</v>
      </c>
    </row>
    <row r="1528" spans="1:2">
      <c r="A1528" t="s">
        <v>1631</v>
      </c>
      <c r="B1528">
        <v>6</v>
      </c>
    </row>
    <row r="1529" spans="1:2">
      <c r="A1529" t="s">
        <v>1632</v>
      </c>
      <c r="B1529">
        <v>8</v>
      </c>
    </row>
    <row r="1530" spans="1:2">
      <c r="A1530" t="s">
        <v>1633</v>
      </c>
      <c r="B1530">
        <v>10</v>
      </c>
    </row>
    <row r="1531" spans="1:2">
      <c r="A1531" t="s">
        <v>1634</v>
      </c>
      <c r="B1531">
        <v>12</v>
      </c>
    </row>
    <row r="1532" spans="1:2">
      <c r="A1532" t="s">
        <v>1635</v>
      </c>
      <c r="B1532">
        <v>19</v>
      </c>
    </row>
    <row r="1533" spans="1:2">
      <c r="A1533" t="s">
        <v>1636</v>
      </c>
      <c r="B1533">
        <v>11</v>
      </c>
    </row>
    <row r="1534" spans="1:2">
      <c r="A1534" t="s">
        <v>1637</v>
      </c>
      <c r="B1534">
        <v>9</v>
      </c>
    </row>
    <row r="1535" spans="1:2">
      <c r="A1535" t="s">
        <v>1638</v>
      </c>
      <c r="B1535">
        <v>14</v>
      </c>
    </row>
    <row r="1536" spans="1:2">
      <c r="A1536" t="s">
        <v>1639</v>
      </c>
      <c r="B1536">
        <v>10</v>
      </c>
    </row>
    <row r="1537" spans="1:2">
      <c r="A1537" t="s">
        <v>1640</v>
      </c>
      <c r="B1537">
        <v>9</v>
      </c>
    </row>
    <row r="1538" spans="1:2">
      <c r="A1538" t="s">
        <v>1641</v>
      </c>
      <c r="B1538">
        <v>12</v>
      </c>
    </row>
    <row r="1539" spans="1:2">
      <c r="A1539" t="s">
        <v>1642</v>
      </c>
      <c r="B1539">
        <v>8</v>
      </c>
    </row>
    <row r="1540" spans="1:2">
      <c r="A1540" t="s">
        <v>1643</v>
      </c>
      <c r="B1540">
        <v>9</v>
      </c>
    </row>
    <row r="1541" spans="1:2">
      <c r="A1541" t="s">
        <v>1644</v>
      </c>
      <c r="B1541">
        <v>17</v>
      </c>
    </row>
    <row r="1542" spans="1:2">
      <c r="A1542" t="s">
        <v>1645</v>
      </c>
      <c r="B1542">
        <v>7</v>
      </c>
    </row>
    <row r="1543" spans="1:2">
      <c r="A1543" t="s">
        <v>1646</v>
      </c>
      <c r="B1543">
        <v>6</v>
      </c>
    </row>
    <row r="1544" spans="1:2">
      <c r="A1544" t="s">
        <v>1647</v>
      </c>
      <c r="B1544">
        <v>8</v>
      </c>
    </row>
    <row r="1545" spans="1:2">
      <c r="A1545" t="s">
        <v>1648</v>
      </c>
      <c r="B1545">
        <v>10</v>
      </c>
    </row>
    <row r="1546" spans="1:2">
      <c r="A1546" t="s">
        <v>1649</v>
      </c>
      <c r="B1546">
        <v>12</v>
      </c>
    </row>
    <row r="1547" spans="1:2">
      <c r="A1547" t="s">
        <v>1650</v>
      </c>
      <c r="B1547">
        <v>28</v>
      </c>
    </row>
    <row r="1548" spans="1:2">
      <c r="A1548" t="s">
        <v>1651</v>
      </c>
      <c r="B1548">
        <v>18</v>
      </c>
    </row>
    <row r="1549" spans="1:2">
      <c r="A1549" t="s">
        <v>1652</v>
      </c>
      <c r="B1549">
        <v>15</v>
      </c>
    </row>
    <row r="1550" spans="1:2">
      <c r="A1550" t="s">
        <v>1653</v>
      </c>
      <c r="B1550">
        <v>22</v>
      </c>
    </row>
    <row r="1551" spans="1:2">
      <c r="A1551" t="s">
        <v>1654</v>
      </c>
      <c r="B1551">
        <v>16</v>
      </c>
    </row>
    <row r="1552" spans="1:2">
      <c r="A1552" t="s">
        <v>1655</v>
      </c>
      <c r="B1552">
        <v>14</v>
      </c>
    </row>
    <row r="1553" spans="1:2">
      <c r="A1553" t="s">
        <v>1656</v>
      </c>
      <c r="B1553">
        <v>18</v>
      </c>
    </row>
    <row r="1554" spans="1:2">
      <c r="A1554" t="s">
        <v>1657</v>
      </c>
      <c r="B1554">
        <v>13</v>
      </c>
    </row>
    <row r="1555" spans="1:2">
      <c r="A1555" t="s">
        <v>1658</v>
      </c>
      <c r="B1555">
        <v>13</v>
      </c>
    </row>
    <row r="1556" spans="1:2">
      <c r="A1556" t="s">
        <v>1659</v>
      </c>
      <c r="B1556">
        <v>21</v>
      </c>
    </row>
    <row r="1557" spans="1:2">
      <c r="A1557" t="s">
        <v>1660</v>
      </c>
      <c r="B1557">
        <v>12</v>
      </c>
    </row>
    <row r="1558" spans="1:2">
      <c r="A1558" t="s">
        <v>1661</v>
      </c>
      <c r="B1558">
        <v>10</v>
      </c>
    </row>
    <row r="1559" spans="1:2">
      <c r="A1559" t="s">
        <v>1662</v>
      </c>
      <c r="B1559">
        <v>11</v>
      </c>
    </row>
    <row r="1560" spans="1:2">
      <c r="A1560" t="s">
        <v>1663</v>
      </c>
      <c r="B1560">
        <v>13</v>
      </c>
    </row>
    <row r="1561" spans="1:2">
      <c r="A1561" t="s">
        <v>1664</v>
      </c>
      <c r="B1561">
        <v>16</v>
      </c>
    </row>
    <row r="1562" spans="1:2">
      <c r="A1562" t="s">
        <v>1665</v>
      </c>
      <c r="B1562">
        <v>25</v>
      </c>
    </row>
    <row r="1563" spans="1:2">
      <c r="A1563" t="s">
        <v>1666</v>
      </c>
      <c r="B1563">
        <v>17</v>
      </c>
    </row>
    <row r="1564" spans="1:2">
      <c r="A1564" t="s">
        <v>1667</v>
      </c>
      <c r="B1564">
        <v>14</v>
      </c>
    </row>
    <row r="1565" spans="1:2">
      <c r="A1565" t="s">
        <v>1668</v>
      </c>
      <c r="B1565">
        <v>20</v>
      </c>
    </row>
    <row r="1566" spans="1:2">
      <c r="A1566" t="s">
        <v>1669</v>
      </c>
      <c r="B1566">
        <v>15</v>
      </c>
    </row>
    <row r="1567" spans="1:2">
      <c r="A1567" t="s">
        <v>1670</v>
      </c>
      <c r="B1567">
        <v>13</v>
      </c>
    </row>
    <row r="1568" spans="1:2">
      <c r="A1568" t="s">
        <v>1671</v>
      </c>
      <c r="B1568">
        <v>17</v>
      </c>
    </row>
    <row r="1569" spans="1:2">
      <c r="A1569" t="s">
        <v>1672</v>
      </c>
      <c r="B1569">
        <v>12</v>
      </c>
    </row>
    <row r="1570" spans="1:2">
      <c r="A1570" t="s">
        <v>1673</v>
      </c>
      <c r="B1570">
        <v>12</v>
      </c>
    </row>
    <row r="1571" spans="1:2">
      <c r="A1571" t="s">
        <v>1674</v>
      </c>
      <c r="B1571">
        <v>20</v>
      </c>
    </row>
    <row r="1572" spans="1:2">
      <c r="A1572" t="s">
        <v>1675</v>
      </c>
      <c r="B1572">
        <v>11</v>
      </c>
    </row>
    <row r="1573" spans="1:2">
      <c r="A1573" t="s">
        <v>1676</v>
      </c>
      <c r="B1573">
        <v>9</v>
      </c>
    </row>
    <row r="1574" spans="1:2">
      <c r="A1574" t="s">
        <v>1677</v>
      </c>
      <c r="B1574">
        <v>10</v>
      </c>
    </row>
    <row r="1575" spans="1:2">
      <c r="A1575" t="s">
        <v>1678</v>
      </c>
      <c r="B1575">
        <v>12</v>
      </c>
    </row>
    <row r="1576" spans="1:2">
      <c r="A1576" t="s">
        <v>1679</v>
      </c>
      <c r="B1576">
        <v>15</v>
      </c>
    </row>
    <row r="1577" spans="1:2">
      <c r="A1577" t="s">
        <v>1680</v>
      </c>
      <c r="B1577">
        <v>24</v>
      </c>
    </row>
    <row r="1578" spans="1:2">
      <c r="A1578" t="s">
        <v>1681</v>
      </c>
      <c r="B1578">
        <v>16</v>
      </c>
    </row>
    <row r="1579" spans="1:2">
      <c r="A1579" t="s">
        <v>1682</v>
      </c>
      <c r="B1579">
        <v>13</v>
      </c>
    </row>
    <row r="1580" spans="1:2">
      <c r="A1580" t="s">
        <v>1683</v>
      </c>
      <c r="B1580">
        <v>19</v>
      </c>
    </row>
    <row r="1581" spans="1:2">
      <c r="A1581" t="s">
        <v>1684</v>
      </c>
      <c r="B1581">
        <v>14</v>
      </c>
    </row>
    <row r="1582" spans="1:2">
      <c r="A1582" t="s">
        <v>1685</v>
      </c>
      <c r="B1582">
        <v>12</v>
      </c>
    </row>
    <row r="1583" spans="1:2">
      <c r="A1583" t="s">
        <v>1686</v>
      </c>
      <c r="B1583">
        <v>16</v>
      </c>
    </row>
    <row r="1584" spans="1:2">
      <c r="A1584" t="s">
        <v>1687</v>
      </c>
      <c r="B1584">
        <v>11</v>
      </c>
    </row>
    <row r="1585" spans="1:2">
      <c r="A1585" t="s">
        <v>1688</v>
      </c>
      <c r="B1585">
        <v>12</v>
      </c>
    </row>
    <row r="1586" spans="1:2">
      <c r="A1586" t="s">
        <v>1689</v>
      </c>
      <c r="B1586">
        <v>19</v>
      </c>
    </row>
    <row r="1587" spans="1:2">
      <c r="A1587" t="s">
        <v>1690</v>
      </c>
      <c r="B1587">
        <v>10</v>
      </c>
    </row>
    <row r="1588" spans="1:2">
      <c r="A1588" t="s">
        <v>1691</v>
      </c>
      <c r="B1588">
        <v>8</v>
      </c>
    </row>
    <row r="1589" spans="1:2">
      <c r="A1589" t="s">
        <v>1692</v>
      </c>
      <c r="B1589">
        <v>10</v>
      </c>
    </row>
    <row r="1590" spans="1:2">
      <c r="A1590" t="s">
        <v>1693</v>
      </c>
      <c r="B1590">
        <v>12</v>
      </c>
    </row>
    <row r="1591" spans="1:2">
      <c r="A1591" t="s">
        <v>1694</v>
      </c>
      <c r="B1591">
        <v>14</v>
      </c>
    </row>
    <row r="1592" spans="1:2">
      <c r="A1592" t="s">
        <v>1695</v>
      </c>
      <c r="B1592">
        <v>23</v>
      </c>
    </row>
    <row r="1593" spans="1:2">
      <c r="A1593" t="s">
        <v>1696</v>
      </c>
      <c r="B1593">
        <v>16</v>
      </c>
    </row>
    <row r="1594" spans="1:2">
      <c r="A1594" t="s">
        <v>1697</v>
      </c>
      <c r="B1594">
        <v>13</v>
      </c>
    </row>
    <row r="1595" spans="1:2">
      <c r="A1595" t="s">
        <v>1698</v>
      </c>
      <c r="B1595">
        <v>19</v>
      </c>
    </row>
    <row r="1596" spans="1:2">
      <c r="A1596" t="s">
        <v>1699</v>
      </c>
      <c r="B1596">
        <v>14</v>
      </c>
    </row>
    <row r="1597" spans="1:2">
      <c r="A1597" t="s">
        <v>1700</v>
      </c>
      <c r="B1597">
        <v>12</v>
      </c>
    </row>
    <row r="1598" spans="1:2">
      <c r="A1598" t="s">
        <v>1701</v>
      </c>
      <c r="B1598">
        <v>16</v>
      </c>
    </row>
    <row r="1599" spans="1:2">
      <c r="A1599" t="s">
        <v>1702</v>
      </c>
      <c r="B1599">
        <v>11</v>
      </c>
    </row>
    <row r="1600" spans="1:2">
      <c r="A1600" t="s">
        <v>1703</v>
      </c>
      <c r="B1600">
        <v>12</v>
      </c>
    </row>
    <row r="1601" spans="1:2">
      <c r="A1601" t="s">
        <v>1704</v>
      </c>
      <c r="B1601">
        <v>19</v>
      </c>
    </row>
    <row r="1602" spans="1:2">
      <c r="A1602" t="s">
        <v>1705</v>
      </c>
      <c r="B1602">
        <v>10</v>
      </c>
    </row>
    <row r="1603" spans="1:2">
      <c r="A1603" t="s">
        <v>1706</v>
      </c>
      <c r="B1603">
        <v>8</v>
      </c>
    </row>
    <row r="1604" spans="1:2">
      <c r="A1604" t="s">
        <v>1707</v>
      </c>
      <c r="B1604">
        <v>10</v>
      </c>
    </row>
    <row r="1605" spans="1:2">
      <c r="A1605" t="s">
        <v>1708</v>
      </c>
      <c r="B1605">
        <v>12</v>
      </c>
    </row>
    <row r="1606" spans="1:2">
      <c r="A1606" t="s">
        <v>1709</v>
      </c>
      <c r="B1606">
        <v>14</v>
      </c>
    </row>
    <row r="1607" spans="1:2">
      <c r="A1607" t="s">
        <v>1710</v>
      </c>
      <c r="B1607">
        <v>22</v>
      </c>
    </row>
    <row r="1608" spans="1:2">
      <c r="A1608" t="s">
        <v>1711</v>
      </c>
      <c r="B1608">
        <v>15</v>
      </c>
    </row>
    <row r="1609" spans="1:2">
      <c r="A1609" t="s">
        <v>1712</v>
      </c>
      <c r="B1609">
        <v>12</v>
      </c>
    </row>
    <row r="1610" spans="1:2">
      <c r="A1610" t="s">
        <v>1713</v>
      </c>
      <c r="B1610">
        <v>18</v>
      </c>
    </row>
    <row r="1611" spans="1:2">
      <c r="A1611" t="s">
        <v>1714</v>
      </c>
      <c r="B1611">
        <v>13</v>
      </c>
    </row>
    <row r="1612" spans="1:2">
      <c r="A1612" t="s">
        <v>1715</v>
      </c>
      <c r="B1612">
        <v>11</v>
      </c>
    </row>
    <row r="1613" spans="1:2">
      <c r="A1613" t="s">
        <v>1716</v>
      </c>
      <c r="B1613">
        <v>15</v>
      </c>
    </row>
    <row r="1614" spans="1:2">
      <c r="A1614" t="s">
        <v>1717</v>
      </c>
      <c r="B1614">
        <v>10</v>
      </c>
    </row>
    <row r="1615" spans="1:2">
      <c r="A1615" t="s">
        <v>1718</v>
      </c>
      <c r="B1615">
        <v>11</v>
      </c>
    </row>
    <row r="1616" spans="1:2">
      <c r="A1616" t="s">
        <v>1719</v>
      </c>
      <c r="B1616">
        <v>18</v>
      </c>
    </row>
    <row r="1617" spans="1:2">
      <c r="A1617" t="s">
        <v>1720</v>
      </c>
      <c r="B1617">
        <v>9</v>
      </c>
    </row>
    <row r="1618" spans="1:2">
      <c r="A1618" t="s">
        <v>1721</v>
      </c>
      <c r="B1618">
        <v>7</v>
      </c>
    </row>
    <row r="1619" spans="1:2">
      <c r="A1619" t="s">
        <v>1722</v>
      </c>
      <c r="B1619">
        <v>9</v>
      </c>
    </row>
    <row r="1620" spans="1:2">
      <c r="A1620" t="s">
        <v>1723</v>
      </c>
      <c r="B1620">
        <v>11</v>
      </c>
    </row>
    <row r="1621" spans="1:2">
      <c r="A1621" t="s">
        <v>1724</v>
      </c>
      <c r="B1621">
        <v>13</v>
      </c>
    </row>
    <row r="1622" spans="1:2">
      <c r="A1622" t="s">
        <v>1725</v>
      </c>
      <c r="B1622">
        <v>20</v>
      </c>
    </row>
    <row r="1623" spans="1:2">
      <c r="A1623" t="s">
        <v>1726</v>
      </c>
      <c r="B1623">
        <v>12</v>
      </c>
    </row>
    <row r="1624" spans="1:2">
      <c r="A1624" t="s">
        <v>1727</v>
      </c>
      <c r="B1624">
        <v>9</v>
      </c>
    </row>
    <row r="1625" spans="1:2">
      <c r="A1625" t="s">
        <v>1728</v>
      </c>
      <c r="B1625">
        <v>15</v>
      </c>
    </row>
    <row r="1626" spans="1:2">
      <c r="A1626" t="s">
        <v>1729</v>
      </c>
      <c r="B1626">
        <v>11</v>
      </c>
    </row>
    <row r="1627" spans="1:2">
      <c r="A1627" t="s">
        <v>1730</v>
      </c>
      <c r="B1627">
        <v>9</v>
      </c>
    </row>
    <row r="1628" spans="1:2">
      <c r="A1628" t="s">
        <v>1731</v>
      </c>
      <c r="B1628">
        <v>13</v>
      </c>
    </row>
    <row r="1629" spans="1:2">
      <c r="A1629" t="s">
        <v>1732</v>
      </c>
      <c r="B1629">
        <v>9</v>
      </c>
    </row>
    <row r="1630" spans="1:2">
      <c r="A1630" t="s">
        <v>1733</v>
      </c>
      <c r="B1630">
        <v>10</v>
      </c>
    </row>
    <row r="1631" spans="1:2">
      <c r="A1631" t="s">
        <v>1734</v>
      </c>
      <c r="B1631">
        <v>17</v>
      </c>
    </row>
    <row r="1632" spans="1:2">
      <c r="A1632" t="s">
        <v>1735</v>
      </c>
      <c r="B1632">
        <v>7</v>
      </c>
    </row>
    <row r="1633" spans="1:2">
      <c r="A1633" t="s">
        <v>1736</v>
      </c>
      <c r="B1633">
        <v>6</v>
      </c>
    </row>
    <row r="1634" spans="1:2">
      <c r="A1634" t="s">
        <v>1737</v>
      </c>
      <c r="B1634">
        <v>8</v>
      </c>
    </row>
    <row r="1635" spans="1:2">
      <c r="A1635" t="s">
        <v>1738</v>
      </c>
      <c r="B1635">
        <v>10</v>
      </c>
    </row>
    <row r="1636" spans="1:2">
      <c r="A1636" t="s">
        <v>1739</v>
      </c>
      <c r="B1636">
        <v>12</v>
      </c>
    </row>
    <row r="1637" spans="1:2">
      <c r="A1637" t="s">
        <v>1740</v>
      </c>
      <c r="B1637">
        <v>19</v>
      </c>
    </row>
    <row r="1638" spans="1:2">
      <c r="A1638" t="s">
        <v>1741</v>
      </c>
      <c r="B1638">
        <v>11</v>
      </c>
    </row>
    <row r="1639" spans="1:2">
      <c r="A1639" t="s">
        <v>1742</v>
      </c>
      <c r="B1639">
        <v>9</v>
      </c>
    </row>
    <row r="1640" spans="1:2">
      <c r="A1640" t="s">
        <v>1743</v>
      </c>
      <c r="B1640">
        <v>14</v>
      </c>
    </row>
    <row r="1641" spans="1:2">
      <c r="A1641" t="s">
        <v>1744</v>
      </c>
      <c r="B1641">
        <v>10</v>
      </c>
    </row>
    <row r="1642" spans="1:2">
      <c r="A1642" t="s">
        <v>1745</v>
      </c>
      <c r="B1642">
        <v>9</v>
      </c>
    </row>
    <row r="1643" spans="1:2">
      <c r="A1643" t="s">
        <v>1746</v>
      </c>
      <c r="B1643">
        <v>12</v>
      </c>
    </row>
    <row r="1644" spans="1:2">
      <c r="A1644" t="s">
        <v>1747</v>
      </c>
      <c r="B1644">
        <v>8</v>
      </c>
    </row>
    <row r="1645" spans="1:2">
      <c r="A1645" t="s">
        <v>1748</v>
      </c>
      <c r="B1645">
        <v>9</v>
      </c>
    </row>
    <row r="1646" spans="1:2">
      <c r="A1646" t="s">
        <v>1749</v>
      </c>
      <c r="B1646">
        <v>17</v>
      </c>
    </row>
    <row r="1647" spans="1:2">
      <c r="A1647" t="s">
        <v>1750</v>
      </c>
      <c r="B1647">
        <v>7</v>
      </c>
    </row>
    <row r="1648" spans="1:2">
      <c r="A1648" t="s">
        <v>1751</v>
      </c>
      <c r="B1648">
        <v>6</v>
      </c>
    </row>
    <row r="1649" spans="1:2">
      <c r="A1649" t="s">
        <v>1752</v>
      </c>
      <c r="B1649">
        <v>8</v>
      </c>
    </row>
    <row r="1650" spans="1:2">
      <c r="A1650" t="s">
        <v>1753</v>
      </c>
      <c r="B1650">
        <v>10</v>
      </c>
    </row>
    <row r="1651" spans="1:2">
      <c r="A1651" t="s">
        <v>1754</v>
      </c>
      <c r="B1651">
        <v>12</v>
      </c>
    </row>
    <row r="1652" spans="1:2">
      <c r="A1652" t="s">
        <v>1755</v>
      </c>
      <c r="B1652">
        <v>28</v>
      </c>
    </row>
    <row r="1653" spans="1:2">
      <c r="A1653" t="s">
        <v>1756</v>
      </c>
      <c r="B1653">
        <v>18</v>
      </c>
    </row>
    <row r="1654" spans="1:2">
      <c r="A1654" t="s">
        <v>1757</v>
      </c>
      <c r="B1654">
        <v>15</v>
      </c>
    </row>
    <row r="1655" spans="1:2">
      <c r="A1655" t="s">
        <v>1758</v>
      </c>
      <c r="B1655">
        <v>22</v>
      </c>
    </row>
    <row r="1656" spans="1:2">
      <c r="A1656" t="s">
        <v>1759</v>
      </c>
      <c r="B1656">
        <v>16</v>
      </c>
    </row>
    <row r="1657" spans="1:2">
      <c r="A1657" t="s">
        <v>1760</v>
      </c>
      <c r="B1657">
        <v>14</v>
      </c>
    </row>
    <row r="1658" spans="1:2">
      <c r="A1658" t="s">
        <v>1761</v>
      </c>
      <c r="B1658">
        <v>18</v>
      </c>
    </row>
    <row r="1659" spans="1:2">
      <c r="A1659" t="s">
        <v>1762</v>
      </c>
      <c r="B1659">
        <v>13</v>
      </c>
    </row>
    <row r="1660" spans="1:2">
      <c r="A1660" t="s">
        <v>1763</v>
      </c>
      <c r="B1660">
        <v>13</v>
      </c>
    </row>
    <row r="1661" spans="1:2">
      <c r="A1661" t="s">
        <v>1764</v>
      </c>
      <c r="B1661">
        <v>21</v>
      </c>
    </row>
    <row r="1662" spans="1:2">
      <c r="A1662" t="s">
        <v>1765</v>
      </c>
      <c r="B1662">
        <v>12</v>
      </c>
    </row>
    <row r="1663" spans="1:2">
      <c r="A1663" t="s">
        <v>1766</v>
      </c>
      <c r="B1663">
        <v>10</v>
      </c>
    </row>
    <row r="1664" spans="1:2">
      <c r="A1664" t="s">
        <v>1767</v>
      </c>
      <c r="B1664">
        <v>11</v>
      </c>
    </row>
    <row r="1665" spans="1:2">
      <c r="A1665" t="s">
        <v>1768</v>
      </c>
      <c r="B1665">
        <v>13</v>
      </c>
    </row>
    <row r="1666" spans="1:2">
      <c r="A1666" t="s">
        <v>1769</v>
      </c>
      <c r="B1666">
        <v>16</v>
      </c>
    </row>
    <row r="1667" spans="1:2">
      <c r="A1667" t="s">
        <v>1770</v>
      </c>
      <c r="B1667">
        <v>25</v>
      </c>
    </row>
    <row r="1668" spans="1:2">
      <c r="A1668" t="s">
        <v>1771</v>
      </c>
      <c r="B1668">
        <v>17</v>
      </c>
    </row>
    <row r="1669" spans="1:2">
      <c r="A1669" t="s">
        <v>1772</v>
      </c>
      <c r="B1669">
        <v>14</v>
      </c>
    </row>
    <row r="1670" spans="1:2">
      <c r="A1670" t="s">
        <v>1773</v>
      </c>
      <c r="B1670">
        <v>20</v>
      </c>
    </row>
    <row r="1671" spans="1:2">
      <c r="A1671" t="s">
        <v>1774</v>
      </c>
      <c r="B1671">
        <v>15</v>
      </c>
    </row>
    <row r="1672" spans="1:2">
      <c r="A1672" t="s">
        <v>1775</v>
      </c>
      <c r="B1672">
        <v>13</v>
      </c>
    </row>
    <row r="1673" spans="1:2">
      <c r="A1673" t="s">
        <v>1776</v>
      </c>
      <c r="B1673">
        <v>17</v>
      </c>
    </row>
    <row r="1674" spans="1:2">
      <c r="A1674" t="s">
        <v>1777</v>
      </c>
      <c r="B1674">
        <v>12</v>
      </c>
    </row>
    <row r="1675" spans="1:2">
      <c r="A1675" t="s">
        <v>1778</v>
      </c>
      <c r="B1675">
        <v>12</v>
      </c>
    </row>
    <row r="1676" spans="1:2">
      <c r="A1676" t="s">
        <v>1779</v>
      </c>
      <c r="B1676">
        <v>20</v>
      </c>
    </row>
    <row r="1677" spans="1:2">
      <c r="A1677" t="s">
        <v>1780</v>
      </c>
      <c r="B1677">
        <v>11</v>
      </c>
    </row>
    <row r="1678" spans="1:2">
      <c r="A1678" t="s">
        <v>1781</v>
      </c>
      <c r="B1678">
        <v>9</v>
      </c>
    </row>
    <row r="1679" spans="1:2">
      <c r="A1679" t="s">
        <v>1782</v>
      </c>
      <c r="B1679">
        <v>10</v>
      </c>
    </row>
    <row r="1680" spans="1:2">
      <c r="A1680" t="s">
        <v>1783</v>
      </c>
      <c r="B1680">
        <v>12</v>
      </c>
    </row>
    <row r="1681" spans="1:2">
      <c r="A1681" t="s">
        <v>1784</v>
      </c>
      <c r="B1681">
        <v>15</v>
      </c>
    </row>
    <row r="1682" spans="1:2">
      <c r="A1682" t="s">
        <v>1785</v>
      </c>
      <c r="B1682">
        <v>24</v>
      </c>
    </row>
    <row r="1683" spans="1:2">
      <c r="A1683" t="s">
        <v>1786</v>
      </c>
      <c r="B1683">
        <v>16</v>
      </c>
    </row>
    <row r="1684" spans="1:2">
      <c r="A1684" t="s">
        <v>1787</v>
      </c>
      <c r="B1684">
        <v>13</v>
      </c>
    </row>
    <row r="1685" spans="1:2">
      <c r="A1685" t="s">
        <v>1788</v>
      </c>
      <c r="B1685">
        <v>19</v>
      </c>
    </row>
    <row r="1686" spans="1:2">
      <c r="A1686" t="s">
        <v>1789</v>
      </c>
      <c r="B1686">
        <v>14</v>
      </c>
    </row>
    <row r="1687" spans="1:2">
      <c r="A1687" t="s">
        <v>1790</v>
      </c>
      <c r="B1687">
        <v>12</v>
      </c>
    </row>
    <row r="1688" spans="1:2">
      <c r="A1688" t="s">
        <v>1791</v>
      </c>
      <c r="B1688">
        <v>16</v>
      </c>
    </row>
    <row r="1689" spans="1:2">
      <c r="A1689" t="s">
        <v>1792</v>
      </c>
      <c r="B1689">
        <v>11</v>
      </c>
    </row>
    <row r="1690" spans="1:2">
      <c r="A1690" t="s">
        <v>1793</v>
      </c>
      <c r="B1690">
        <v>12</v>
      </c>
    </row>
    <row r="1691" spans="1:2">
      <c r="A1691" t="s">
        <v>1794</v>
      </c>
      <c r="B1691">
        <v>19</v>
      </c>
    </row>
    <row r="1692" spans="1:2">
      <c r="A1692" t="s">
        <v>1795</v>
      </c>
      <c r="B1692">
        <v>10</v>
      </c>
    </row>
    <row r="1693" spans="1:2">
      <c r="A1693" t="s">
        <v>1796</v>
      </c>
      <c r="B1693">
        <v>8</v>
      </c>
    </row>
    <row r="1694" spans="1:2">
      <c r="A1694" t="s">
        <v>1797</v>
      </c>
      <c r="B1694">
        <v>10</v>
      </c>
    </row>
    <row r="1695" spans="1:2">
      <c r="A1695" t="s">
        <v>1798</v>
      </c>
      <c r="B1695">
        <v>12</v>
      </c>
    </row>
    <row r="1696" spans="1:2">
      <c r="A1696" t="s">
        <v>1799</v>
      </c>
      <c r="B1696">
        <v>14</v>
      </c>
    </row>
    <row r="1697" spans="1:2">
      <c r="A1697" t="s">
        <v>1800</v>
      </c>
      <c r="B1697">
        <v>23</v>
      </c>
    </row>
    <row r="1698" spans="1:2">
      <c r="A1698" t="s">
        <v>1801</v>
      </c>
      <c r="B1698">
        <v>16</v>
      </c>
    </row>
    <row r="1699" spans="1:2">
      <c r="A1699" t="s">
        <v>1802</v>
      </c>
      <c r="B1699">
        <v>13</v>
      </c>
    </row>
    <row r="1700" spans="1:2">
      <c r="A1700" t="s">
        <v>1803</v>
      </c>
      <c r="B1700">
        <v>19</v>
      </c>
    </row>
    <row r="1701" spans="1:2">
      <c r="A1701" t="s">
        <v>1804</v>
      </c>
      <c r="B1701">
        <v>14</v>
      </c>
    </row>
    <row r="1702" spans="1:2">
      <c r="A1702" t="s">
        <v>1805</v>
      </c>
      <c r="B1702">
        <v>12</v>
      </c>
    </row>
    <row r="1703" spans="1:2">
      <c r="A1703" t="s">
        <v>1806</v>
      </c>
      <c r="B1703">
        <v>16</v>
      </c>
    </row>
    <row r="1704" spans="1:2">
      <c r="A1704" t="s">
        <v>1807</v>
      </c>
      <c r="B1704">
        <v>11</v>
      </c>
    </row>
    <row r="1705" spans="1:2">
      <c r="A1705" t="s">
        <v>1808</v>
      </c>
      <c r="B1705">
        <v>12</v>
      </c>
    </row>
    <row r="1706" spans="1:2">
      <c r="A1706" t="s">
        <v>1809</v>
      </c>
      <c r="B1706">
        <v>19</v>
      </c>
    </row>
    <row r="1707" spans="1:2">
      <c r="A1707" t="s">
        <v>1810</v>
      </c>
      <c r="B1707">
        <v>10</v>
      </c>
    </row>
    <row r="1708" spans="1:2">
      <c r="A1708" t="s">
        <v>1811</v>
      </c>
      <c r="B1708">
        <v>8</v>
      </c>
    </row>
    <row r="1709" spans="1:2">
      <c r="A1709" t="s">
        <v>1812</v>
      </c>
      <c r="B1709">
        <v>10</v>
      </c>
    </row>
    <row r="1710" spans="1:2">
      <c r="A1710" t="s">
        <v>1813</v>
      </c>
      <c r="B1710">
        <v>12</v>
      </c>
    </row>
    <row r="1711" spans="1:2">
      <c r="A1711" t="s">
        <v>1814</v>
      </c>
      <c r="B1711">
        <v>14</v>
      </c>
    </row>
    <row r="1712" spans="1:2">
      <c r="A1712" t="s">
        <v>1815</v>
      </c>
      <c r="B1712">
        <v>22</v>
      </c>
    </row>
    <row r="1713" spans="1:2">
      <c r="A1713" t="s">
        <v>1816</v>
      </c>
      <c r="B1713">
        <v>15</v>
      </c>
    </row>
    <row r="1714" spans="1:2">
      <c r="A1714" t="s">
        <v>1817</v>
      </c>
      <c r="B1714">
        <v>12</v>
      </c>
    </row>
    <row r="1715" spans="1:2">
      <c r="A1715" t="s">
        <v>1818</v>
      </c>
      <c r="B1715">
        <v>18</v>
      </c>
    </row>
    <row r="1716" spans="1:2">
      <c r="A1716" t="s">
        <v>1819</v>
      </c>
      <c r="B1716">
        <v>13</v>
      </c>
    </row>
    <row r="1717" spans="1:2">
      <c r="A1717" t="s">
        <v>1820</v>
      </c>
      <c r="B1717">
        <v>11</v>
      </c>
    </row>
    <row r="1718" spans="1:2">
      <c r="A1718" t="s">
        <v>1821</v>
      </c>
      <c r="B1718">
        <v>15</v>
      </c>
    </row>
    <row r="1719" spans="1:2">
      <c r="A1719" t="s">
        <v>1822</v>
      </c>
      <c r="B1719">
        <v>10</v>
      </c>
    </row>
    <row r="1720" spans="1:2">
      <c r="A1720" t="s">
        <v>1823</v>
      </c>
      <c r="B1720">
        <v>11</v>
      </c>
    </row>
    <row r="1721" spans="1:2">
      <c r="A1721" t="s">
        <v>1824</v>
      </c>
      <c r="B1721">
        <v>18</v>
      </c>
    </row>
    <row r="1722" spans="1:2">
      <c r="A1722" t="s">
        <v>1825</v>
      </c>
      <c r="B1722">
        <v>9</v>
      </c>
    </row>
    <row r="1723" spans="1:2">
      <c r="A1723" t="s">
        <v>1826</v>
      </c>
      <c r="B1723">
        <v>7</v>
      </c>
    </row>
    <row r="1724" spans="1:2">
      <c r="A1724" t="s">
        <v>1827</v>
      </c>
      <c r="B1724">
        <v>9</v>
      </c>
    </row>
    <row r="1725" spans="1:2">
      <c r="A1725" t="s">
        <v>1828</v>
      </c>
      <c r="B1725">
        <v>11</v>
      </c>
    </row>
    <row r="1726" spans="1:2">
      <c r="A1726" t="s">
        <v>1829</v>
      </c>
      <c r="B1726">
        <v>13</v>
      </c>
    </row>
    <row r="1727" spans="1:2">
      <c r="A1727" t="s">
        <v>1830</v>
      </c>
      <c r="B1727">
        <v>20</v>
      </c>
    </row>
    <row r="1728" spans="1:2">
      <c r="A1728" t="s">
        <v>1831</v>
      </c>
      <c r="B1728">
        <v>12</v>
      </c>
    </row>
    <row r="1729" spans="1:2">
      <c r="A1729" t="s">
        <v>1832</v>
      </c>
      <c r="B1729">
        <v>9</v>
      </c>
    </row>
    <row r="1730" spans="1:2">
      <c r="A1730" t="s">
        <v>1833</v>
      </c>
      <c r="B1730">
        <v>15</v>
      </c>
    </row>
    <row r="1731" spans="1:2">
      <c r="A1731" t="s">
        <v>1834</v>
      </c>
      <c r="B1731">
        <v>11</v>
      </c>
    </row>
    <row r="1732" spans="1:2">
      <c r="A1732" t="s">
        <v>1835</v>
      </c>
      <c r="B1732">
        <v>9</v>
      </c>
    </row>
    <row r="1733" spans="1:2">
      <c r="A1733" t="s">
        <v>1836</v>
      </c>
      <c r="B1733">
        <v>13</v>
      </c>
    </row>
    <row r="1734" spans="1:2">
      <c r="A1734" t="s">
        <v>1837</v>
      </c>
      <c r="B1734">
        <v>9</v>
      </c>
    </row>
    <row r="1735" spans="1:2">
      <c r="A1735" t="s">
        <v>1838</v>
      </c>
      <c r="B1735">
        <v>10</v>
      </c>
    </row>
    <row r="1736" spans="1:2">
      <c r="A1736" t="s">
        <v>1839</v>
      </c>
      <c r="B1736">
        <v>17</v>
      </c>
    </row>
    <row r="1737" spans="1:2">
      <c r="A1737" t="s">
        <v>1840</v>
      </c>
      <c r="B1737">
        <v>7</v>
      </c>
    </row>
    <row r="1738" spans="1:2">
      <c r="A1738" t="s">
        <v>1841</v>
      </c>
      <c r="B1738">
        <v>6</v>
      </c>
    </row>
    <row r="1739" spans="1:2">
      <c r="A1739" t="s">
        <v>1842</v>
      </c>
      <c r="B1739">
        <v>8</v>
      </c>
    </row>
    <row r="1740" spans="1:2">
      <c r="A1740" t="s">
        <v>1843</v>
      </c>
      <c r="B1740">
        <v>10</v>
      </c>
    </row>
    <row r="1741" spans="1:2">
      <c r="A1741" t="s">
        <v>1844</v>
      </c>
      <c r="B1741">
        <v>12</v>
      </c>
    </row>
    <row r="1742" spans="1:2">
      <c r="A1742" t="s">
        <v>1845</v>
      </c>
      <c r="B1742">
        <v>19</v>
      </c>
    </row>
    <row r="1743" spans="1:2">
      <c r="A1743" t="s">
        <v>1846</v>
      </c>
      <c r="B1743">
        <v>11</v>
      </c>
    </row>
    <row r="1744" spans="1:2">
      <c r="A1744" t="s">
        <v>1847</v>
      </c>
      <c r="B1744">
        <v>9</v>
      </c>
    </row>
    <row r="1745" spans="1:2">
      <c r="A1745" t="s">
        <v>1848</v>
      </c>
      <c r="B1745">
        <v>14</v>
      </c>
    </row>
    <row r="1746" spans="1:2">
      <c r="A1746" t="s">
        <v>1849</v>
      </c>
      <c r="B1746">
        <v>10</v>
      </c>
    </row>
    <row r="1747" spans="1:2">
      <c r="A1747" t="s">
        <v>1850</v>
      </c>
      <c r="B1747">
        <v>9</v>
      </c>
    </row>
    <row r="1748" spans="1:2">
      <c r="A1748" t="s">
        <v>1851</v>
      </c>
      <c r="B1748">
        <v>12</v>
      </c>
    </row>
    <row r="1749" spans="1:2">
      <c r="A1749" t="s">
        <v>1852</v>
      </c>
      <c r="B1749">
        <v>8</v>
      </c>
    </row>
    <row r="1750" spans="1:2">
      <c r="A1750" t="s">
        <v>1853</v>
      </c>
      <c r="B1750">
        <v>9</v>
      </c>
    </row>
    <row r="1751" spans="1:2">
      <c r="A1751" t="s">
        <v>1854</v>
      </c>
      <c r="B1751">
        <v>17</v>
      </c>
    </row>
    <row r="1752" spans="1:2">
      <c r="A1752" t="s">
        <v>1855</v>
      </c>
      <c r="B1752">
        <v>7</v>
      </c>
    </row>
    <row r="1753" spans="1:2">
      <c r="A1753" t="s">
        <v>1856</v>
      </c>
      <c r="B1753">
        <v>6</v>
      </c>
    </row>
    <row r="1754" spans="1:2">
      <c r="A1754" t="s">
        <v>1857</v>
      </c>
      <c r="B1754">
        <v>8</v>
      </c>
    </row>
    <row r="1755" spans="1:2">
      <c r="A1755" t="s">
        <v>1858</v>
      </c>
      <c r="B1755">
        <v>10</v>
      </c>
    </row>
    <row r="1756" spans="1:2">
      <c r="A1756" t="s">
        <v>1859</v>
      </c>
      <c r="B1756">
        <v>12</v>
      </c>
    </row>
    <row r="1757" spans="1:2">
      <c r="A1757" t="s">
        <v>1860</v>
      </c>
      <c r="B1757">
        <v>28</v>
      </c>
    </row>
    <row r="1758" spans="1:2">
      <c r="A1758" t="s">
        <v>1861</v>
      </c>
      <c r="B1758">
        <v>18</v>
      </c>
    </row>
    <row r="1759" spans="1:2">
      <c r="A1759" t="s">
        <v>1862</v>
      </c>
      <c r="B1759">
        <v>15</v>
      </c>
    </row>
    <row r="1760" spans="1:2">
      <c r="A1760" t="s">
        <v>1863</v>
      </c>
      <c r="B1760">
        <v>22</v>
      </c>
    </row>
    <row r="1761" spans="1:2">
      <c r="A1761" t="s">
        <v>1864</v>
      </c>
      <c r="B1761">
        <v>16</v>
      </c>
    </row>
    <row r="1762" spans="1:2">
      <c r="A1762" t="s">
        <v>1865</v>
      </c>
      <c r="B1762">
        <v>14</v>
      </c>
    </row>
    <row r="1763" spans="1:2">
      <c r="A1763" t="s">
        <v>1866</v>
      </c>
      <c r="B1763">
        <v>18</v>
      </c>
    </row>
    <row r="1764" spans="1:2">
      <c r="A1764" t="s">
        <v>1867</v>
      </c>
      <c r="B1764">
        <v>13</v>
      </c>
    </row>
    <row r="1765" spans="1:2">
      <c r="A1765" t="s">
        <v>1868</v>
      </c>
      <c r="B1765">
        <v>13</v>
      </c>
    </row>
    <row r="1766" spans="1:2">
      <c r="A1766" t="s">
        <v>1869</v>
      </c>
      <c r="B1766">
        <v>21</v>
      </c>
    </row>
    <row r="1767" spans="1:2">
      <c r="A1767" t="s">
        <v>1870</v>
      </c>
      <c r="B1767">
        <v>12</v>
      </c>
    </row>
    <row r="1768" spans="1:2">
      <c r="A1768" t="s">
        <v>1871</v>
      </c>
      <c r="B1768">
        <v>10</v>
      </c>
    </row>
    <row r="1769" spans="1:2">
      <c r="A1769" t="s">
        <v>1872</v>
      </c>
      <c r="B1769">
        <v>11</v>
      </c>
    </row>
    <row r="1770" spans="1:2">
      <c r="A1770" t="s">
        <v>1873</v>
      </c>
      <c r="B1770">
        <v>13</v>
      </c>
    </row>
    <row r="1771" spans="1:2">
      <c r="A1771" t="s">
        <v>1874</v>
      </c>
      <c r="B1771">
        <v>16</v>
      </c>
    </row>
    <row r="1772" spans="1:2">
      <c r="A1772" t="s">
        <v>1875</v>
      </c>
      <c r="B1772">
        <v>25</v>
      </c>
    </row>
    <row r="1773" spans="1:2">
      <c r="A1773" t="s">
        <v>1876</v>
      </c>
      <c r="B1773">
        <v>17</v>
      </c>
    </row>
    <row r="1774" spans="1:2">
      <c r="A1774" t="s">
        <v>1877</v>
      </c>
      <c r="B1774">
        <v>14</v>
      </c>
    </row>
    <row r="1775" spans="1:2">
      <c r="A1775" t="s">
        <v>1878</v>
      </c>
      <c r="B1775">
        <v>20</v>
      </c>
    </row>
    <row r="1776" spans="1:2">
      <c r="A1776" t="s">
        <v>1879</v>
      </c>
      <c r="B1776">
        <v>15</v>
      </c>
    </row>
    <row r="1777" spans="1:2">
      <c r="A1777" t="s">
        <v>1880</v>
      </c>
      <c r="B1777">
        <v>13</v>
      </c>
    </row>
    <row r="1778" spans="1:2">
      <c r="A1778" t="s">
        <v>1881</v>
      </c>
      <c r="B1778">
        <v>17</v>
      </c>
    </row>
    <row r="1779" spans="1:2">
      <c r="A1779" t="s">
        <v>1882</v>
      </c>
      <c r="B1779">
        <v>12</v>
      </c>
    </row>
    <row r="1780" spans="1:2">
      <c r="A1780" t="s">
        <v>1883</v>
      </c>
      <c r="B1780">
        <v>12</v>
      </c>
    </row>
    <row r="1781" spans="1:2">
      <c r="A1781" t="s">
        <v>1884</v>
      </c>
      <c r="B1781">
        <v>20</v>
      </c>
    </row>
    <row r="1782" spans="1:2">
      <c r="A1782" t="s">
        <v>1885</v>
      </c>
      <c r="B1782">
        <v>11</v>
      </c>
    </row>
    <row r="1783" spans="1:2">
      <c r="A1783" t="s">
        <v>1886</v>
      </c>
      <c r="B1783">
        <v>9</v>
      </c>
    </row>
    <row r="1784" spans="1:2">
      <c r="A1784" t="s">
        <v>1887</v>
      </c>
      <c r="B1784">
        <v>10</v>
      </c>
    </row>
    <row r="1785" spans="1:2">
      <c r="A1785" t="s">
        <v>1888</v>
      </c>
      <c r="B1785">
        <v>12</v>
      </c>
    </row>
    <row r="1786" spans="1:2">
      <c r="A1786" t="s">
        <v>1889</v>
      </c>
      <c r="B1786">
        <v>15</v>
      </c>
    </row>
    <row r="1787" spans="1:2">
      <c r="A1787" t="s">
        <v>1890</v>
      </c>
      <c r="B1787">
        <v>24</v>
      </c>
    </row>
    <row r="1788" spans="1:2">
      <c r="A1788" t="s">
        <v>1891</v>
      </c>
      <c r="B1788">
        <v>16</v>
      </c>
    </row>
    <row r="1789" spans="1:2">
      <c r="A1789" t="s">
        <v>1892</v>
      </c>
      <c r="B1789">
        <v>13</v>
      </c>
    </row>
    <row r="1790" spans="1:2">
      <c r="A1790" t="s">
        <v>1893</v>
      </c>
      <c r="B1790">
        <v>19</v>
      </c>
    </row>
    <row r="1791" spans="1:2">
      <c r="A1791" t="s">
        <v>1894</v>
      </c>
      <c r="B1791">
        <v>14</v>
      </c>
    </row>
    <row r="1792" spans="1:2">
      <c r="A1792" t="s">
        <v>1895</v>
      </c>
      <c r="B1792">
        <v>12</v>
      </c>
    </row>
    <row r="1793" spans="1:2">
      <c r="A1793" t="s">
        <v>1896</v>
      </c>
      <c r="B1793">
        <v>16</v>
      </c>
    </row>
    <row r="1794" spans="1:2">
      <c r="A1794" t="s">
        <v>1897</v>
      </c>
      <c r="B1794">
        <v>11</v>
      </c>
    </row>
    <row r="1795" spans="1:2">
      <c r="A1795" t="s">
        <v>1898</v>
      </c>
      <c r="B1795">
        <v>12</v>
      </c>
    </row>
    <row r="1796" spans="1:2">
      <c r="A1796" t="s">
        <v>1899</v>
      </c>
      <c r="B1796">
        <v>19</v>
      </c>
    </row>
    <row r="1797" spans="1:2">
      <c r="A1797" t="s">
        <v>1900</v>
      </c>
      <c r="B1797">
        <v>10</v>
      </c>
    </row>
    <row r="1798" spans="1:2">
      <c r="A1798" t="s">
        <v>1901</v>
      </c>
      <c r="B1798">
        <v>8</v>
      </c>
    </row>
    <row r="1799" spans="1:2">
      <c r="A1799" t="s">
        <v>1902</v>
      </c>
      <c r="B1799">
        <v>10</v>
      </c>
    </row>
    <row r="1800" spans="1:2">
      <c r="A1800" t="s">
        <v>1903</v>
      </c>
      <c r="B1800">
        <v>12</v>
      </c>
    </row>
    <row r="1801" spans="1:2">
      <c r="A1801" t="s">
        <v>1904</v>
      </c>
      <c r="B1801">
        <v>14</v>
      </c>
    </row>
    <row r="1802" spans="1:2">
      <c r="A1802" t="s">
        <v>1905</v>
      </c>
      <c r="B1802">
        <v>23</v>
      </c>
    </row>
    <row r="1803" spans="1:2">
      <c r="A1803" t="s">
        <v>1906</v>
      </c>
      <c r="B1803">
        <v>16</v>
      </c>
    </row>
    <row r="1804" spans="1:2">
      <c r="A1804" t="s">
        <v>1907</v>
      </c>
      <c r="B1804">
        <v>13</v>
      </c>
    </row>
    <row r="1805" spans="1:2">
      <c r="A1805" t="s">
        <v>1908</v>
      </c>
      <c r="B1805">
        <v>19</v>
      </c>
    </row>
    <row r="1806" spans="1:2">
      <c r="A1806" t="s">
        <v>1909</v>
      </c>
      <c r="B1806">
        <v>14</v>
      </c>
    </row>
    <row r="1807" spans="1:2">
      <c r="A1807" t="s">
        <v>1910</v>
      </c>
      <c r="B1807">
        <v>12</v>
      </c>
    </row>
    <row r="1808" spans="1:2">
      <c r="A1808" t="s">
        <v>1911</v>
      </c>
      <c r="B1808">
        <v>16</v>
      </c>
    </row>
    <row r="1809" spans="1:2">
      <c r="A1809" t="s">
        <v>1912</v>
      </c>
      <c r="B1809">
        <v>11</v>
      </c>
    </row>
    <row r="1810" spans="1:2">
      <c r="A1810" t="s">
        <v>1913</v>
      </c>
      <c r="B1810">
        <v>12</v>
      </c>
    </row>
    <row r="1811" spans="1:2">
      <c r="A1811" t="s">
        <v>1914</v>
      </c>
      <c r="B1811">
        <v>19</v>
      </c>
    </row>
    <row r="1812" spans="1:2">
      <c r="A1812" t="s">
        <v>1915</v>
      </c>
      <c r="B1812">
        <v>10</v>
      </c>
    </row>
    <row r="1813" spans="1:2">
      <c r="A1813" t="s">
        <v>1916</v>
      </c>
      <c r="B1813">
        <v>8</v>
      </c>
    </row>
    <row r="1814" spans="1:2">
      <c r="A1814" t="s">
        <v>1917</v>
      </c>
      <c r="B1814">
        <v>10</v>
      </c>
    </row>
    <row r="1815" spans="1:2">
      <c r="A1815" t="s">
        <v>1918</v>
      </c>
      <c r="B1815">
        <v>12</v>
      </c>
    </row>
    <row r="1816" spans="1:2">
      <c r="A1816" t="s">
        <v>1919</v>
      </c>
      <c r="B1816">
        <v>14</v>
      </c>
    </row>
    <row r="1817" spans="1:2">
      <c r="A1817" t="s">
        <v>1920</v>
      </c>
      <c r="B1817">
        <v>22</v>
      </c>
    </row>
    <row r="1818" spans="1:2">
      <c r="A1818" t="s">
        <v>1921</v>
      </c>
      <c r="B1818">
        <v>15</v>
      </c>
    </row>
    <row r="1819" spans="1:2">
      <c r="A1819" t="s">
        <v>1922</v>
      </c>
      <c r="B1819">
        <v>12</v>
      </c>
    </row>
    <row r="1820" spans="1:2">
      <c r="A1820" t="s">
        <v>1923</v>
      </c>
      <c r="B1820">
        <v>18</v>
      </c>
    </row>
    <row r="1821" spans="1:2">
      <c r="A1821" t="s">
        <v>1924</v>
      </c>
      <c r="B1821">
        <v>13</v>
      </c>
    </row>
    <row r="1822" spans="1:2">
      <c r="A1822" t="s">
        <v>1925</v>
      </c>
      <c r="B1822">
        <v>11</v>
      </c>
    </row>
    <row r="1823" spans="1:2">
      <c r="A1823" t="s">
        <v>1926</v>
      </c>
      <c r="B1823">
        <v>15</v>
      </c>
    </row>
    <row r="1824" spans="1:2">
      <c r="A1824" t="s">
        <v>1927</v>
      </c>
      <c r="B1824">
        <v>10</v>
      </c>
    </row>
    <row r="1825" spans="1:2">
      <c r="A1825" t="s">
        <v>1928</v>
      </c>
      <c r="B1825">
        <v>11</v>
      </c>
    </row>
    <row r="1826" spans="1:2">
      <c r="A1826" t="s">
        <v>1929</v>
      </c>
      <c r="B1826">
        <v>18</v>
      </c>
    </row>
    <row r="1827" spans="1:2">
      <c r="A1827" t="s">
        <v>1930</v>
      </c>
      <c r="B1827">
        <v>9</v>
      </c>
    </row>
    <row r="1828" spans="1:2">
      <c r="A1828" t="s">
        <v>1931</v>
      </c>
      <c r="B1828">
        <v>7</v>
      </c>
    </row>
    <row r="1829" spans="1:2">
      <c r="A1829" t="s">
        <v>1932</v>
      </c>
      <c r="B1829">
        <v>9</v>
      </c>
    </row>
    <row r="1830" spans="1:2">
      <c r="A1830" t="s">
        <v>1933</v>
      </c>
      <c r="B1830">
        <v>11</v>
      </c>
    </row>
    <row r="1831" spans="1:2">
      <c r="A1831" t="s">
        <v>1934</v>
      </c>
      <c r="B1831">
        <v>13</v>
      </c>
    </row>
    <row r="1832" spans="1:2">
      <c r="A1832" t="s">
        <v>1935</v>
      </c>
      <c r="B1832">
        <v>20</v>
      </c>
    </row>
    <row r="1833" spans="1:2">
      <c r="A1833" t="s">
        <v>1936</v>
      </c>
      <c r="B1833">
        <v>12</v>
      </c>
    </row>
    <row r="1834" spans="1:2">
      <c r="A1834" t="s">
        <v>1937</v>
      </c>
      <c r="B1834">
        <v>9</v>
      </c>
    </row>
    <row r="1835" spans="1:2">
      <c r="A1835" t="s">
        <v>1938</v>
      </c>
      <c r="B1835">
        <v>15</v>
      </c>
    </row>
    <row r="1836" spans="1:2">
      <c r="A1836" t="s">
        <v>1939</v>
      </c>
      <c r="B1836">
        <v>11</v>
      </c>
    </row>
    <row r="1837" spans="1:2">
      <c r="A1837" t="s">
        <v>1940</v>
      </c>
      <c r="B1837">
        <v>9</v>
      </c>
    </row>
    <row r="1838" spans="1:2">
      <c r="A1838" t="s">
        <v>1941</v>
      </c>
      <c r="B1838">
        <v>13</v>
      </c>
    </row>
    <row r="1839" spans="1:2">
      <c r="A1839" t="s">
        <v>1942</v>
      </c>
      <c r="B1839">
        <v>9</v>
      </c>
    </row>
    <row r="1840" spans="1:2">
      <c r="A1840" t="s">
        <v>1943</v>
      </c>
      <c r="B1840">
        <v>10</v>
      </c>
    </row>
    <row r="1841" spans="1:2">
      <c r="A1841" t="s">
        <v>1944</v>
      </c>
      <c r="B1841">
        <v>17</v>
      </c>
    </row>
    <row r="1842" spans="1:2">
      <c r="A1842" t="s">
        <v>1945</v>
      </c>
      <c r="B1842">
        <v>7</v>
      </c>
    </row>
    <row r="1843" spans="1:2">
      <c r="A1843" t="s">
        <v>1946</v>
      </c>
      <c r="B1843">
        <v>6</v>
      </c>
    </row>
    <row r="1844" spans="1:2">
      <c r="A1844" t="s">
        <v>1947</v>
      </c>
      <c r="B1844">
        <v>8</v>
      </c>
    </row>
    <row r="1845" spans="1:2">
      <c r="A1845" t="s">
        <v>1948</v>
      </c>
      <c r="B1845">
        <v>10</v>
      </c>
    </row>
    <row r="1846" spans="1:2">
      <c r="A1846" t="s">
        <v>1949</v>
      </c>
      <c r="B1846">
        <v>12</v>
      </c>
    </row>
    <row r="1847" spans="1:2">
      <c r="A1847" t="s">
        <v>1950</v>
      </c>
      <c r="B1847">
        <v>19</v>
      </c>
    </row>
    <row r="1848" spans="1:2">
      <c r="A1848" t="s">
        <v>1951</v>
      </c>
      <c r="B1848">
        <v>11</v>
      </c>
    </row>
    <row r="1849" spans="1:2">
      <c r="A1849" t="s">
        <v>1952</v>
      </c>
      <c r="B1849">
        <v>9</v>
      </c>
    </row>
    <row r="1850" spans="1:2">
      <c r="A1850" t="s">
        <v>1953</v>
      </c>
      <c r="B1850">
        <v>14</v>
      </c>
    </row>
    <row r="1851" spans="1:2">
      <c r="A1851" t="s">
        <v>1954</v>
      </c>
      <c r="B1851">
        <v>10</v>
      </c>
    </row>
    <row r="1852" spans="1:2">
      <c r="A1852" t="s">
        <v>1955</v>
      </c>
      <c r="B1852">
        <v>9</v>
      </c>
    </row>
    <row r="1853" spans="1:2">
      <c r="A1853" t="s">
        <v>1956</v>
      </c>
      <c r="B1853">
        <v>12</v>
      </c>
    </row>
    <row r="1854" spans="1:2">
      <c r="A1854" t="s">
        <v>1957</v>
      </c>
      <c r="B1854">
        <v>8</v>
      </c>
    </row>
    <row r="1855" spans="1:2">
      <c r="A1855" t="s">
        <v>1958</v>
      </c>
      <c r="B1855">
        <v>9</v>
      </c>
    </row>
    <row r="1856" spans="1:2">
      <c r="A1856" t="s">
        <v>1959</v>
      </c>
      <c r="B1856">
        <v>17</v>
      </c>
    </row>
    <row r="1857" spans="1:2">
      <c r="A1857" t="s">
        <v>1960</v>
      </c>
      <c r="B1857">
        <v>7</v>
      </c>
    </row>
    <row r="1858" spans="1:2">
      <c r="A1858" t="s">
        <v>1961</v>
      </c>
      <c r="B1858">
        <v>6</v>
      </c>
    </row>
    <row r="1859" spans="1:2">
      <c r="A1859" t="s">
        <v>1962</v>
      </c>
      <c r="B1859">
        <v>8</v>
      </c>
    </row>
    <row r="1860" spans="1:2">
      <c r="A1860" t="s">
        <v>1963</v>
      </c>
      <c r="B1860">
        <v>10</v>
      </c>
    </row>
    <row r="1861" spans="1:2">
      <c r="A1861" t="s">
        <v>1964</v>
      </c>
      <c r="B1861">
        <v>12</v>
      </c>
    </row>
    <row r="1862" spans="1:2">
      <c r="A1862" t="s">
        <v>1965</v>
      </c>
      <c r="B1862">
        <v>28</v>
      </c>
    </row>
    <row r="1863" spans="1:2">
      <c r="A1863" t="s">
        <v>1966</v>
      </c>
      <c r="B1863">
        <v>18</v>
      </c>
    </row>
    <row r="1864" spans="1:2">
      <c r="A1864" t="s">
        <v>1967</v>
      </c>
      <c r="B1864">
        <v>15</v>
      </c>
    </row>
    <row r="1865" spans="1:2">
      <c r="A1865" t="s">
        <v>1968</v>
      </c>
      <c r="B1865">
        <v>22</v>
      </c>
    </row>
    <row r="1866" spans="1:2">
      <c r="A1866" t="s">
        <v>1969</v>
      </c>
      <c r="B1866">
        <v>16</v>
      </c>
    </row>
    <row r="1867" spans="1:2">
      <c r="A1867" t="s">
        <v>1970</v>
      </c>
      <c r="B1867">
        <v>14</v>
      </c>
    </row>
    <row r="1868" spans="1:2">
      <c r="A1868" t="s">
        <v>1971</v>
      </c>
      <c r="B1868">
        <v>18</v>
      </c>
    </row>
    <row r="1869" spans="1:2">
      <c r="A1869" t="s">
        <v>1972</v>
      </c>
      <c r="B1869">
        <v>13</v>
      </c>
    </row>
    <row r="1870" spans="1:2">
      <c r="A1870" t="s">
        <v>1973</v>
      </c>
      <c r="B1870">
        <v>13</v>
      </c>
    </row>
    <row r="1871" spans="1:2">
      <c r="A1871" t="s">
        <v>1974</v>
      </c>
      <c r="B1871">
        <v>21</v>
      </c>
    </row>
    <row r="1872" spans="1:2">
      <c r="A1872" t="s">
        <v>1975</v>
      </c>
      <c r="B1872">
        <v>12</v>
      </c>
    </row>
    <row r="1873" spans="1:2">
      <c r="A1873" t="s">
        <v>1976</v>
      </c>
      <c r="B1873">
        <v>10</v>
      </c>
    </row>
    <row r="1874" spans="1:2">
      <c r="A1874" t="s">
        <v>1977</v>
      </c>
      <c r="B1874">
        <v>11</v>
      </c>
    </row>
    <row r="1875" spans="1:2">
      <c r="A1875" t="s">
        <v>1978</v>
      </c>
      <c r="B1875">
        <v>13</v>
      </c>
    </row>
    <row r="1876" spans="1:2">
      <c r="A1876" t="s">
        <v>1979</v>
      </c>
      <c r="B1876">
        <v>16</v>
      </c>
    </row>
    <row r="1877" spans="1:2">
      <c r="A1877" t="s">
        <v>1770</v>
      </c>
      <c r="B1877">
        <v>25</v>
      </c>
    </row>
    <row r="1878" spans="1:2">
      <c r="A1878" t="s">
        <v>1771</v>
      </c>
      <c r="B1878">
        <v>17</v>
      </c>
    </row>
    <row r="1879" spans="1:2">
      <c r="A1879" t="s">
        <v>1772</v>
      </c>
      <c r="B1879">
        <v>14</v>
      </c>
    </row>
    <row r="1880" spans="1:2">
      <c r="A1880" t="s">
        <v>1773</v>
      </c>
      <c r="B1880">
        <v>20</v>
      </c>
    </row>
    <row r="1881" spans="1:2">
      <c r="A1881" t="s">
        <v>1774</v>
      </c>
      <c r="B1881">
        <v>15</v>
      </c>
    </row>
    <row r="1882" spans="1:2">
      <c r="A1882" t="s">
        <v>1775</v>
      </c>
      <c r="B1882">
        <v>13</v>
      </c>
    </row>
    <row r="1883" spans="1:2">
      <c r="A1883" t="s">
        <v>1776</v>
      </c>
      <c r="B1883">
        <v>17</v>
      </c>
    </row>
    <row r="1884" spans="1:2">
      <c r="A1884" t="s">
        <v>1777</v>
      </c>
      <c r="B1884">
        <v>12</v>
      </c>
    </row>
    <row r="1885" spans="1:2">
      <c r="A1885" t="s">
        <v>1778</v>
      </c>
      <c r="B1885">
        <v>12</v>
      </c>
    </row>
    <row r="1886" spans="1:2">
      <c r="A1886" t="s">
        <v>1779</v>
      </c>
      <c r="B1886">
        <v>20</v>
      </c>
    </row>
    <row r="1887" spans="1:2">
      <c r="A1887" t="s">
        <v>1780</v>
      </c>
      <c r="B1887">
        <v>11</v>
      </c>
    </row>
    <row r="1888" spans="1:2">
      <c r="A1888" t="s">
        <v>1781</v>
      </c>
      <c r="B1888">
        <v>9</v>
      </c>
    </row>
    <row r="1889" spans="1:2">
      <c r="A1889" t="s">
        <v>1782</v>
      </c>
      <c r="B1889">
        <v>10</v>
      </c>
    </row>
    <row r="1890" spans="1:2">
      <c r="A1890" t="s">
        <v>1783</v>
      </c>
      <c r="B1890">
        <v>12</v>
      </c>
    </row>
    <row r="1891" spans="1:2">
      <c r="A1891" t="s">
        <v>1784</v>
      </c>
      <c r="B1891">
        <v>15</v>
      </c>
    </row>
    <row r="1892" spans="1:2">
      <c r="A1892" t="s">
        <v>1785</v>
      </c>
      <c r="B1892">
        <v>24</v>
      </c>
    </row>
    <row r="1893" spans="1:2">
      <c r="A1893" t="s">
        <v>1786</v>
      </c>
      <c r="B1893">
        <v>16</v>
      </c>
    </row>
    <row r="1894" spans="1:2">
      <c r="A1894" t="s">
        <v>1787</v>
      </c>
      <c r="B1894">
        <v>13</v>
      </c>
    </row>
    <row r="1895" spans="1:2">
      <c r="A1895" t="s">
        <v>1788</v>
      </c>
      <c r="B1895">
        <v>19</v>
      </c>
    </row>
    <row r="1896" spans="1:2">
      <c r="A1896" t="s">
        <v>1789</v>
      </c>
      <c r="B1896">
        <v>14</v>
      </c>
    </row>
    <row r="1897" spans="1:2">
      <c r="A1897" t="s">
        <v>1790</v>
      </c>
      <c r="B1897">
        <v>12</v>
      </c>
    </row>
    <row r="1898" spans="1:2">
      <c r="A1898" t="s">
        <v>1791</v>
      </c>
      <c r="B1898">
        <v>16</v>
      </c>
    </row>
    <row r="1899" spans="1:2">
      <c r="A1899" t="s">
        <v>1792</v>
      </c>
      <c r="B1899">
        <v>11</v>
      </c>
    </row>
    <row r="1900" spans="1:2">
      <c r="A1900" t="s">
        <v>1793</v>
      </c>
      <c r="B1900">
        <v>12</v>
      </c>
    </row>
    <row r="1901" spans="1:2">
      <c r="A1901" t="s">
        <v>1794</v>
      </c>
      <c r="B1901">
        <v>19</v>
      </c>
    </row>
    <row r="1902" spans="1:2">
      <c r="A1902" t="s">
        <v>1795</v>
      </c>
      <c r="B1902">
        <v>10</v>
      </c>
    </row>
    <row r="1903" spans="1:2">
      <c r="A1903" t="s">
        <v>1796</v>
      </c>
      <c r="B1903">
        <v>8</v>
      </c>
    </row>
    <row r="1904" spans="1:2">
      <c r="A1904" t="s">
        <v>1797</v>
      </c>
      <c r="B1904">
        <v>10</v>
      </c>
    </row>
    <row r="1905" spans="1:2">
      <c r="A1905" t="s">
        <v>1798</v>
      </c>
      <c r="B1905">
        <v>12</v>
      </c>
    </row>
    <row r="1906" spans="1:2">
      <c r="A1906" t="s">
        <v>1799</v>
      </c>
      <c r="B1906">
        <v>14</v>
      </c>
    </row>
    <row r="1907" spans="1:2">
      <c r="A1907" t="s">
        <v>1800</v>
      </c>
      <c r="B1907">
        <v>23</v>
      </c>
    </row>
    <row r="1908" spans="1:2">
      <c r="A1908" t="s">
        <v>1801</v>
      </c>
      <c r="B1908">
        <v>16</v>
      </c>
    </row>
    <row r="1909" spans="1:2">
      <c r="A1909" t="s">
        <v>1802</v>
      </c>
      <c r="B1909">
        <v>13</v>
      </c>
    </row>
    <row r="1910" spans="1:2">
      <c r="A1910" t="s">
        <v>1803</v>
      </c>
      <c r="B1910">
        <v>19</v>
      </c>
    </row>
    <row r="1911" spans="1:2">
      <c r="A1911" t="s">
        <v>1804</v>
      </c>
      <c r="B1911">
        <v>14</v>
      </c>
    </row>
    <row r="1912" spans="1:2">
      <c r="A1912" t="s">
        <v>1805</v>
      </c>
      <c r="B1912">
        <v>12</v>
      </c>
    </row>
    <row r="1913" spans="1:2">
      <c r="A1913" t="s">
        <v>1806</v>
      </c>
      <c r="B1913">
        <v>16</v>
      </c>
    </row>
    <row r="1914" spans="1:2">
      <c r="A1914" t="s">
        <v>1807</v>
      </c>
      <c r="B1914">
        <v>11</v>
      </c>
    </row>
    <row r="1915" spans="1:2">
      <c r="A1915" t="s">
        <v>1808</v>
      </c>
      <c r="B1915">
        <v>12</v>
      </c>
    </row>
    <row r="1916" spans="1:2">
      <c r="A1916" t="s">
        <v>1809</v>
      </c>
      <c r="B1916">
        <v>19</v>
      </c>
    </row>
    <row r="1917" spans="1:2">
      <c r="A1917" t="s">
        <v>1810</v>
      </c>
      <c r="B1917">
        <v>10</v>
      </c>
    </row>
    <row r="1918" spans="1:2">
      <c r="A1918" t="s">
        <v>1811</v>
      </c>
      <c r="B1918">
        <v>8</v>
      </c>
    </row>
    <row r="1919" spans="1:2">
      <c r="A1919" t="s">
        <v>1812</v>
      </c>
      <c r="B1919">
        <v>10</v>
      </c>
    </row>
    <row r="1920" spans="1:2">
      <c r="A1920" t="s">
        <v>1813</v>
      </c>
      <c r="B1920">
        <v>12</v>
      </c>
    </row>
    <row r="1921" spans="1:2">
      <c r="A1921" t="s">
        <v>1814</v>
      </c>
      <c r="B1921">
        <v>14</v>
      </c>
    </row>
    <row r="1922" spans="1:2">
      <c r="A1922" t="s">
        <v>1815</v>
      </c>
      <c r="B1922">
        <v>22</v>
      </c>
    </row>
    <row r="1923" spans="1:2">
      <c r="A1923" t="s">
        <v>1816</v>
      </c>
      <c r="B1923">
        <v>15</v>
      </c>
    </row>
    <row r="1924" spans="1:2">
      <c r="A1924" t="s">
        <v>1817</v>
      </c>
      <c r="B1924">
        <v>12</v>
      </c>
    </row>
    <row r="1925" spans="1:2">
      <c r="A1925" t="s">
        <v>1818</v>
      </c>
      <c r="B1925">
        <v>18</v>
      </c>
    </row>
    <row r="1926" spans="1:2">
      <c r="A1926" t="s">
        <v>1819</v>
      </c>
      <c r="B1926">
        <v>13</v>
      </c>
    </row>
    <row r="1927" spans="1:2">
      <c r="A1927" t="s">
        <v>1820</v>
      </c>
      <c r="B1927">
        <v>11</v>
      </c>
    </row>
    <row r="1928" spans="1:2">
      <c r="A1928" t="s">
        <v>1821</v>
      </c>
      <c r="B1928">
        <v>15</v>
      </c>
    </row>
    <row r="1929" spans="1:2">
      <c r="A1929" t="s">
        <v>1822</v>
      </c>
      <c r="B1929">
        <v>10</v>
      </c>
    </row>
    <row r="1930" spans="1:2">
      <c r="A1930" t="s">
        <v>1823</v>
      </c>
      <c r="B1930">
        <v>11</v>
      </c>
    </row>
    <row r="1931" spans="1:2">
      <c r="A1931" t="s">
        <v>1824</v>
      </c>
      <c r="B1931">
        <v>18</v>
      </c>
    </row>
    <row r="1932" spans="1:2">
      <c r="A1932" t="s">
        <v>1825</v>
      </c>
      <c r="B1932">
        <v>9</v>
      </c>
    </row>
    <row r="1933" spans="1:2">
      <c r="A1933" t="s">
        <v>1826</v>
      </c>
      <c r="B1933">
        <v>7</v>
      </c>
    </row>
    <row r="1934" spans="1:2">
      <c r="A1934" t="s">
        <v>1827</v>
      </c>
      <c r="B1934">
        <v>9</v>
      </c>
    </row>
    <row r="1935" spans="1:2">
      <c r="A1935" t="s">
        <v>1828</v>
      </c>
      <c r="B1935">
        <v>11</v>
      </c>
    </row>
    <row r="1936" spans="1:2">
      <c r="A1936" t="s">
        <v>1829</v>
      </c>
      <c r="B1936">
        <v>13</v>
      </c>
    </row>
    <row r="1937" spans="1:2">
      <c r="A1937" t="s">
        <v>1830</v>
      </c>
      <c r="B1937">
        <v>20</v>
      </c>
    </row>
    <row r="1938" spans="1:2">
      <c r="A1938" t="s">
        <v>1831</v>
      </c>
      <c r="B1938">
        <v>12</v>
      </c>
    </row>
    <row r="1939" spans="1:2">
      <c r="A1939" t="s">
        <v>1832</v>
      </c>
      <c r="B1939">
        <v>9</v>
      </c>
    </row>
    <row r="1940" spans="1:2">
      <c r="A1940" t="s">
        <v>1833</v>
      </c>
      <c r="B1940">
        <v>15</v>
      </c>
    </row>
    <row r="1941" spans="1:2">
      <c r="A1941" t="s">
        <v>1834</v>
      </c>
      <c r="B1941">
        <v>11</v>
      </c>
    </row>
    <row r="1942" spans="1:2">
      <c r="A1942" t="s">
        <v>1835</v>
      </c>
      <c r="B1942">
        <v>9</v>
      </c>
    </row>
    <row r="1943" spans="1:2">
      <c r="A1943" t="s">
        <v>1836</v>
      </c>
      <c r="B1943">
        <v>13</v>
      </c>
    </row>
    <row r="1944" spans="1:2">
      <c r="A1944" t="s">
        <v>1837</v>
      </c>
      <c r="B1944">
        <v>9</v>
      </c>
    </row>
    <row r="1945" spans="1:2">
      <c r="A1945" t="s">
        <v>1838</v>
      </c>
      <c r="B1945">
        <v>10</v>
      </c>
    </row>
    <row r="1946" spans="1:2">
      <c r="A1946" t="s">
        <v>1839</v>
      </c>
      <c r="B1946">
        <v>17</v>
      </c>
    </row>
    <row r="1947" spans="1:2">
      <c r="A1947" t="s">
        <v>1840</v>
      </c>
      <c r="B1947">
        <v>7</v>
      </c>
    </row>
    <row r="1948" spans="1:2">
      <c r="A1948" t="s">
        <v>1841</v>
      </c>
      <c r="B1948">
        <v>6</v>
      </c>
    </row>
    <row r="1949" spans="1:2">
      <c r="A1949" t="s">
        <v>1842</v>
      </c>
      <c r="B1949">
        <v>8</v>
      </c>
    </row>
    <row r="1950" spans="1:2">
      <c r="A1950" t="s">
        <v>1843</v>
      </c>
      <c r="B1950">
        <v>10</v>
      </c>
    </row>
    <row r="1951" spans="1:2">
      <c r="A1951" t="s">
        <v>1844</v>
      </c>
      <c r="B1951">
        <v>12</v>
      </c>
    </row>
    <row r="1952" spans="1:2">
      <c r="A1952" t="s">
        <v>1845</v>
      </c>
      <c r="B1952">
        <v>19</v>
      </c>
    </row>
    <row r="1953" spans="1:2">
      <c r="A1953" t="s">
        <v>1846</v>
      </c>
      <c r="B1953">
        <v>11</v>
      </c>
    </row>
    <row r="1954" spans="1:2">
      <c r="A1954" t="s">
        <v>1847</v>
      </c>
      <c r="B1954">
        <v>9</v>
      </c>
    </row>
    <row r="1955" spans="1:2">
      <c r="A1955" t="s">
        <v>1848</v>
      </c>
      <c r="B1955">
        <v>14</v>
      </c>
    </row>
    <row r="1956" spans="1:2">
      <c r="A1956" t="s">
        <v>1849</v>
      </c>
      <c r="B1956">
        <v>10</v>
      </c>
    </row>
    <row r="1957" spans="1:2">
      <c r="A1957" t="s">
        <v>1850</v>
      </c>
      <c r="B1957">
        <v>9</v>
      </c>
    </row>
    <row r="1958" spans="1:2">
      <c r="A1958" t="s">
        <v>1851</v>
      </c>
      <c r="B1958">
        <v>12</v>
      </c>
    </row>
    <row r="1959" spans="1:2">
      <c r="A1959" t="s">
        <v>1852</v>
      </c>
      <c r="B1959">
        <v>8</v>
      </c>
    </row>
    <row r="1960" spans="1:2">
      <c r="A1960" t="s">
        <v>1853</v>
      </c>
      <c r="B1960">
        <v>9</v>
      </c>
    </row>
    <row r="1961" spans="1:2">
      <c r="A1961" t="s">
        <v>1854</v>
      </c>
      <c r="B1961">
        <v>17</v>
      </c>
    </row>
    <row r="1962" spans="1:2">
      <c r="A1962" t="s">
        <v>1855</v>
      </c>
      <c r="B1962">
        <v>7</v>
      </c>
    </row>
    <row r="1963" spans="1:2">
      <c r="A1963" t="s">
        <v>1856</v>
      </c>
      <c r="B1963">
        <v>6</v>
      </c>
    </row>
    <row r="1964" spans="1:2">
      <c r="A1964" t="s">
        <v>1857</v>
      </c>
      <c r="B1964">
        <v>8</v>
      </c>
    </row>
    <row r="1965" spans="1:2">
      <c r="A1965" t="s">
        <v>1858</v>
      </c>
      <c r="B1965">
        <v>10</v>
      </c>
    </row>
    <row r="1966" spans="1:2">
      <c r="A1966" t="s">
        <v>1859</v>
      </c>
      <c r="B1966">
        <v>12</v>
      </c>
    </row>
    <row r="1967" spans="1:2">
      <c r="A1967" t="s">
        <v>1860</v>
      </c>
      <c r="B1967">
        <v>28</v>
      </c>
    </row>
    <row r="1968" spans="1:2">
      <c r="A1968" t="s">
        <v>1861</v>
      </c>
      <c r="B1968">
        <v>18</v>
      </c>
    </row>
    <row r="1969" spans="1:2">
      <c r="A1969" t="s">
        <v>1862</v>
      </c>
      <c r="B1969">
        <v>15</v>
      </c>
    </row>
    <row r="1970" spans="1:2">
      <c r="A1970" t="s">
        <v>1863</v>
      </c>
      <c r="B1970">
        <v>22</v>
      </c>
    </row>
    <row r="1971" spans="1:2">
      <c r="A1971" t="s">
        <v>1864</v>
      </c>
      <c r="B1971">
        <v>16</v>
      </c>
    </row>
    <row r="1972" spans="1:2">
      <c r="A1972" t="s">
        <v>1865</v>
      </c>
      <c r="B1972">
        <v>14</v>
      </c>
    </row>
    <row r="1973" spans="1:2">
      <c r="A1973" t="s">
        <v>1866</v>
      </c>
      <c r="B1973">
        <v>18</v>
      </c>
    </row>
    <row r="1974" spans="1:2">
      <c r="A1974" t="s">
        <v>1867</v>
      </c>
      <c r="B1974">
        <v>13</v>
      </c>
    </row>
    <row r="1975" spans="1:2">
      <c r="A1975" t="s">
        <v>1868</v>
      </c>
      <c r="B1975">
        <v>13</v>
      </c>
    </row>
    <row r="1976" spans="1:2">
      <c r="A1976" t="s">
        <v>1869</v>
      </c>
      <c r="B1976">
        <v>21</v>
      </c>
    </row>
    <row r="1977" spans="1:2">
      <c r="A1977" t="s">
        <v>1870</v>
      </c>
      <c r="B1977">
        <v>12</v>
      </c>
    </row>
    <row r="1978" spans="1:2">
      <c r="A1978" t="s">
        <v>1871</v>
      </c>
      <c r="B1978">
        <v>10</v>
      </c>
    </row>
    <row r="1979" spans="1:2">
      <c r="A1979" t="s">
        <v>1872</v>
      </c>
      <c r="B1979">
        <v>11</v>
      </c>
    </row>
    <row r="1980" spans="1:2">
      <c r="A1980" t="s">
        <v>1873</v>
      </c>
      <c r="B1980">
        <v>13</v>
      </c>
    </row>
    <row r="1981" spans="1:2">
      <c r="A1981" t="s">
        <v>1874</v>
      </c>
      <c r="B1981">
        <v>16</v>
      </c>
    </row>
    <row r="1982" spans="1:2">
      <c r="A1982" t="s">
        <v>1875</v>
      </c>
      <c r="B1982">
        <v>25</v>
      </c>
    </row>
    <row r="1983" spans="1:2">
      <c r="A1983" t="s">
        <v>1876</v>
      </c>
      <c r="B1983">
        <v>17</v>
      </c>
    </row>
    <row r="1984" spans="1:2">
      <c r="A1984" t="s">
        <v>1877</v>
      </c>
      <c r="B1984">
        <v>14</v>
      </c>
    </row>
    <row r="1985" spans="1:2">
      <c r="A1985" t="s">
        <v>1878</v>
      </c>
      <c r="B1985">
        <v>20</v>
      </c>
    </row>
    <row r="1986" spans="1:2">
      <c r="A1986" t="s">
        <v>1879</v>
      </c>
      <c r="B1986">
        <v>15</v>
      </c>
    </row>
    <row r="1987" spans="1:2">
      <c r="A1987" t="s">
        <v>1880</v>
      </c>
      <c r="B1987">
        <v>13</v>
      </c>
    </row>
    <row r="1988" spans="1:2">
      <c r="A1988" t="s">
        <v>1881</v>
      </c>
      <c r="B1988">
        <v>17</v>
      </c>
    </row>
    <row r="1989" spans="1:2">
      <c r="A1989" t="s">
        <v>1882</v>
      </c>
      <c r="B1989">
        <v>12</v>
      </c>
    </row>
    <row r="1990" spans="1:2">
      <c r="A1990" t="s">
        <v>1883</v>
      </c>
      <c r="B1990">
        <v>12</v>
      </c>
    </row>
    <row r="1991" spans="1:2">
      <c r="A1991" t="s">
        <v>1884</v>
      </c>
      <c r="B1991">
        <v>20</v>
      </c>
    </row>
    <row r="1992" spans="1:2">
      <c r="A1992" t="s">
        <v>1885</v>
      </c>
      <c r="B1992">
        <v>11</v>
      </c>
    </row>
    <row r="1993" spans="1:2">
      <c r="A1993" t="s">
        <v>1886</v>
      </c>
      <c r="B1993">
        <v>9</v>
      </c>
    </row>
    <row r="1994" spans="1:2">
      <c r="A1994" t="s">
        <v>1887</v>
      </c>
      <c r="B1994">
        <v>10</v>
      </c>
    </row>
    <row r="1995" spans="1:2">
      <c r="A1995" t="s">
        <v>1888</v>
      </c>
      <c r="B1995">
        <v>12</v>
      </c>
    </row>
    <row r="1996" spans="1:2">
      <c r="A1996" t="s">
        <v>1889</v>
      </c>
      <c r="B1996">
        <v>15</v>
      </c>
    </row>
    <row r="1997" spans="1:2">
      <c r="A1997" t="s">
        <v>1890</v>
      </c>
      <c r="B1997">
        <v>24</v>
      </c>
    </row>
    <row r="1998" spans="1:2">
      <c r="A1998" t="s">
        <v>1891</v>
      </c>
      <c r="B1998">
        <v>16</v>
      </c>
    </row>
    <row r="1999" spans="1:2">
      <c r="A1999" t="s">
        <v>1892</v>
      </c>
      <c r="B1999">
        <v>13</v>
      </c>
    </row>
    <row r="2000" spans="1:2">
      <c r="A2000" t="s">
        <v>1893</v>
      </c>
      <c r="B2000">
        <v>19</v>
      </c>
    </row>
    <row r="2001" spans="1:2">
      <c r="A2001" t="s">
        <v>1894</v>
      </c>
      <c r="B2001">
        <v>14</v>
      </c>
    </row>
    <row r="2002" spans="1:2">
      <c r="A2002" t="s">
        <v>1895</v>
      </c>
      <c r="B2002">
        <v>12</v>
      </c>
    </row>
    <row r="2003" spans="1:2">
      <c r="A2003" t="s">
        <v>1896</v>
      </c>
      <c r="B2003">
        <v>16</v>
      </c>
    </row>
    <row r="2004" spans="1:2">
      <c r="A2004" t="s">
        <v>1897</v>
      </c>
      <c r="B2004">
        <v>11</v>
      </c>
    </row>
    <row r="2005" spans="1:2">
      <c r="A2005" t="s">
        <v>1898</v>
      </c>
      <c r="B2005">
        <v>12</v>
      </c>
    </row>
    <row r="2006" spans="1:2">
      <c r="A2006" t="s">
        <v>1899</v>
      </c>
      <c r="B2006">
        <v>19</v>
      </c>
    </row>
    <row r="2007" spans="1:2">
      <c r="A2007" t="s">
        <v>1900</v>
      </c>
      <c r="B2007">
        <v>10</v>
      </c>
    </row>
    <row r="2008" spans="1:2">
      <c r="A2008" t="s">
        <v>1901</v>
      </c>
      <c r="B2008">
        <v>8</v>
      </c>
    </row>
    <row r="2009" spans="1:2">
      <c r="A2009" t="s">
        <v>1902</v>
      </c>
      <c r="B2009">
        <v>10</v>
      </c>
    </row>
    <row r="2010" spans="1:2">
      <c r="A2010" t="s">
        <v>1903</v>
      </c>
      <c r="B2010">
        <v>12</v>
      </c>
    </row>
    <row r="2011" spans="1:2">
      <c r="A2011" t="s">
        <v>1904</v>
      </c>
      <c r="B2011">
        <v>14</v>
      </c>
    </row>
    <row r="2012" spans="1:2">
      <c r="A2012" t="s">
        <v>1905</v>
      </c>
      <c r="B2012">
        <v>23</v>
      </c>
    </row>
    <row r="2013" spans="1:2">
      <c r="A2013" t="s">
        <v>1906</v>
      </c>
      <c r="B2013">
        <v>16</v>
      </c>
    </row>
    <row r="2014" spans="1:2">
      <c r="A2014" t="s">
        <v>1907</v>
      </c>
      <c r="B2014">
        <v>13</v>
      </c>
    </row>
    <row r="2015" spans="1:2">
      <c r="A2015" t="s">
        <v>1908</v>
      </c>
      <c r="B2015">
        <v>19</v>
      </c>
    </row>
    <row r="2016" spans="1:2">
      <c r="A2016" t="s">
        <v>1909</v>
      </c>
      <c r="B2016">
        <v>14</v>
      </c>
    </row>
    <row r="2017" spans="1:2">
      <c r="A2017" t="s">
        <v>1910</v>
      </c>
      <c r="B2017">
        <v>12</v>
      </c>
    </row>
    <row r="2018" spans="1:2">
      <c r="A2018" t="s">
        <v>1911</v>
      </c>
      <c r="B2018">
        <v>16</v>
      </c>
    </row>
    <row r="2019" spans="1:2">
      <c r="A2019" t="s">
        <v>1912</v>
      </c>
      <c r="B2019">
        <v>11</v>
      </c>
    </row>
    <row r="2020" spans="1:2">
      <c r="A2020" t="s">
        <v>1913</v>
      </c>
      <c r="B2020">
        <v>12</v>
      </c>
    </row>
    <row r="2021" spans="1:2">
      <c r="A2021" t="s">
        <v>1914</v>
      </c>
      <c r="B2021">
        <v>19</v>
      </c>
    </row>
    <row r="2022" spans="1:2">
      <c r="A2022" t="s">
        <v>1915</v>
      </c>
      <c r="B2022">
        <v>10</v>
      </c>
    </row>
    <row r="2023" spans="1:2">
      <c r="A2023" t="s">
        <v>1916</v>
      </c>
      <c r="B2023">
        <v>8</v>
      </c>
    </row>
    <row r="2024" spans="1:2">
      <c r="A2024" t="s">
        <v>1917</v>
      </c>
      <c r="B2024">
        <v>10</v>
      </c>
    </row>
    <row r="2025" spans="1:2">
      <c r="A2025" t="s">
        <v>1918</v>
      </c>
      <c r="B2025">
        <v>12</v>
      </c>
    </row>
    <row r="2026" spans="1:2">
      <c r="A2026" t="s">
        <v>1919</v>
      </c>
      <c r="B2026">
        <v>14</v>
      </c>
    </row>
    <row r="2027" spans="1:2">
      <c r="A2027" t="s">
        <v>1920</v>
      </c>
      <c r="B2027">
        <v>22</v>
      </c>
    </row>
    <row r="2028" spans="1:2">
      <c r="A2028" t="s">
        <v>1921</v>
      </c>
      <c r="B2028">
        <v>15</v>
      </c>
    </row>
    <row r="2029" spans="1:2">
      <c r="A2029" t="s">
        <v>1922</v>
      </c>
      <c r="B2029">
        <v>12</v>
      </c>
    </row>
    <row r="2030" spans="1:2">
      <c r="A2030" t="s">
        <v>1923</v>
      </c>
      <c r="B2030">
        <v>18</v>
      </c>
    </row>
    <row r="2031" spans="1:2">
      <c r="A2031" t="s">
        <v>1924</v>
      </c>
      <c r="B2031">
        <v>13</v>
      </c>
    </row>
    <row r="2032" spans="1:2">
      <c r="A2032" t="s">
        <v>1925</v>
      </c>
      <c r="B2032">
        <v>11</v>
      </c>
    </row>
    <row r="2033" spans="1:2">
      <c r="A2033" t="s">
        <v>1926</v>
      </c>
      <c r="B2033">
        <v>15</v>
      </c>
    </row>
    <row r="2034" spans="1:2">
      <c r="A2034" t="s">
        <v>1927</v>
      </c>
      <c r="B2034">
        <v>10</v>
      </c>
    </row>
    <row r="2035" spans="1:2">
      <c r="A2035" t="s">
        <v>1928</v>
      </c>
      <c r="B2035">
        <v>11</v>
      </c>
    </row>
    <row r="2036" spans="1:2">
      <c r="A2036" t="s">
        <v>1929</v>
      </c>
      <c r="B2036">
        <v>18</v>
      </c>
    </row>
    <row r="2037" spans="1:2">
      <c r="A2037" t="s">
        <v>1930</v>
      </c>
      <c r="B2037">
        <v>9</v>
      </c>
    </row>
    <row r="2038" spans="1:2">
      <c r="A2038" t="s">
        <v>1931</v>
      </c>
      <c r="B2038">
        <v>7</v>
      </c>
    </row>
    <row r="2039" spans="1:2">
      <c r="A2039" t="s">
        <v>1932</v>
      </c>
      <c r="B2039">
        <v>9</v>
      </c>
    </row>
    <row r="2040" spans="1:2">
      <c r="A2040" t="s">
        <v>1933</v>
      </c>
      <c r="B2040">
        <v>11</v>
      </c>
    </row>
    <row r="2041" spans="1:2">
      <c r="A2041" t="s">
        <v>1934</v>
      </c>
      <c r="B2041">
        <v>13</v>
      </c>
    </row>
    <row r="2042" spans="1:2">
      <c r="A2042" t="s">
        <v>1935</v>
      </c>
      <c r="B2042">
        <v>20</v>
      </c>
    </row>
    <row r="2043" spans="1:2">
      <c r="A2043" t="s">
        <v>1936</v>
      </c>
      <c r="B2043">
        <v>12</v>
      </c>
    </row>
    <row r="2044" spans="1:2">
      <c r="A2044" t="s">
        <v>1937</v>
      </c>
      <c r="B2044">
        <v>9</v>
      </c>
    </row>
    <row r="2045" spans="1:2">
      <c r="A2045" t="s">
        <v>1938</v>
      </c>
      <c r="B2045">
        <v>15</v>
      </c>
    </row>
    <row r="2046" spans="1:2">
      <c r="A2046" t="s">
        <v>1939</v>
      </c>
      <c r="B2046">
        <v>11</v>
      </c>
    </row>
    <row r="2047" spans="1:2">
      <c r="A2047" t="s">
        <v>1940</v>
      </c>
      <c r="B2047">
        <v>9</v>
      </c>
    </row>
    <row r="2048" spans="1:2">
      <c r="A2048" t="s">
        <v>1941</v>
      </c>
      <c r="B2048">
        <v>13</v>
      </c>
    </row>
    <row r="2049" spans="1:2">
      <c r="A2049" t="s">
        <v>1942</v>
      </c>
      <c r="B2049">
        <v>9</v>
      </c>
    </row>
    <row r="2050" spans="1:2">
      <c r="A2050" t="s">
        <v>1943</v>
      </c>
      <c r="B2050">
        <v>10</v>
      </c>
    </row>
    <row r="2051" spans="1:2">
      <c r="A2051" t="s">
        <v>1944</v>
      </c>
      <c r="B2051">
        <v>17</v>
      </c>
    </row>
    <row r="2052" spans="1:2">
      <c r="A2052" t="s">
        <v>1945</v>
      </c>
      <c r="B2052">
        <v>7</v>
      </c>
    </row>
    <row r="2053" spans="1:2">
      <c r="A2053" t="s">
        <v>1946</v>
      </c>
      <c r="B2053">
        <v>6</v>
      </c>
    </row>
    <row r="2054" spans="1:2">
      <c r="A2054" t="s">
        <v>1947</v>
      </c>
      <c r="B2054">
        <v>8</v>
      </c>
    </row>
    <row r="2055" spans="1:2">
      <c r="A2055" t="s">
        <v>1948</v>
      </c>
      <c r="B2055">
        <v>10</v>
      </c>
    </row>
    <row r="2056" spans="1:2">
      <c r="A2056" t="s">
        <v>1949</v>
      </c>
      <c r="B2056">
        <v>12</v>
      </c>
    </row>
    <row r="2057" spans="1:2">
      <c r="A2057" t="s">
        <v>1950</v>
      </c>
      <c r="B2057">
        <v>19</v>
      </c>
    </row>
    <row r="2058" spans="1:2">
      <c r="A2058" t="s">
        <v>1951</v>
      </c>
      <c r="B2058">
        <v>11</v>
      </c>
    </row>
    <row r="2059" spans="1:2">
      <c r="A2059" t="s">
        <v>1952</v>
      </c>
      <c r="B2059">
        <v>9</v>
      </c>
    </row>
    <row r="2060" spans="1:2">
      <c r="A2060" t="s">
        <v>1953</v>
      </c>
      <c r="B2060">
        <v>14</v>
      </c>
    </row>
    <row r="2061" spans="1:2">
      <c r="A2061" t="s">
        <v>1954</v>
      </c>
      <c r="B2061">
        <v>10</v>
      </c>
    </row>
    <row r="2062" spans="1:2">
      <c r="A2062" t="s">
        <v>1955</v>
      </c>
      <c r="B2062">
        <v>9</v>
      </c>
    </row>
    <row r="2063" spans="1:2">
      <c r="A2063" t="s">
        <v>1956</v>
      </c>
      <c r="B2063">
        <v>12</v>
      </c>
    </row>
    <row r="2064" spans="1:2">
      <c r="A2064" t="s">
        <v>1957</v>
      </c>
      <c r="B2064">
        <v>8</v>
      </c>
    </row>
    <row r="2065" spans="1:2">
      <c r="A2065" t="s">
        <v>1958</v>
      </c>
      <c r="B2065">
        <v>9</v>
      </c>
    </row>
    <row r="2066" spans="1:2">
      <c r="A2066" t="s">
        <v>1959</v>
      </c>
      <c r="B2066">
        <v>17</v>
      </c>
    </row>
    <row r="2067" spans="1:2">
      <c r="A2067" t="s">
        <v>1960</v>
      </c>
      <c r="B2067">
        <v>7</v>
      </c>
    </row>
    <row r="2068" spans="1:2">
      <c r="A2068" t="s">
        <v>1961</v>
      </c>
      <c r="B2068">
        <v>6</v>
      </c>
    </row>
    <row r="2069" spans="1:2">
      <c r="A2069" t="s">
        <v>1962</v>
      </c>
      <c r="B2069">
        <v>8</v>
      </c>
    </row>
    <row r="2070" spans="1:2">
      <c r="A2070" t="s">
        <v>1963</v>
      </c>
      <c r="B2070">
        <v>10</v>
      </c>
    </row>
    <row r="2071" spans="1:2">
      <c r="A2071" t="s">
        <v>1964</v>
      </c>
      <c r="B2071">
        <v>12</v>
      </c>
    </row>
    <row r="2072" spans="1:2">
      <c r="A2072" t="s">
        <v>1965</v>
      </c>
      <c r="B2072">
        <v>28</v>
      </c>
    </row>
    <row r="2073" spans="1:2">
      <c r="A2073" t="s">
        <v>1966</v>
      </c>
      <c r="B2073">
        <v>18</v>
      </c>
    </row>
    <row r="2074" spans="1:2">
      <c r="A2074" t="s">
        <v>1967</v>
      </c>
      <c r="B2074">
        <v>15</v>
      </c>
    </row>
    <row r="2075" spans="1:2">
      <c r="A2075" t="s">
        <v>1968</v>
      </c>
      <c r="B2075">
        <v>22</v>
      </c>
    </row>
    <row r="2076" spans="1:2">
      <c r="A2076" t="s">
        <v>1969</v>
      </c>
      <c r="B2076">
        <v>16</v>
      </c>
    </row>
    <row r="2077" spans="1:2">
      <c r="A2077" t="s">
        <v>1970</v>
      </c>
      <c r="B2077">
        <v>14</v>
      </c>
    </row>
    <row r="2078" spans="1:2">
      <c r="A2078" t="s">
        <v>1971</v>
      </c>
      <c r="B2078">
        <v>18</v>
      </c>
    </row>
    <row r="2079" spans="1:2">
      <c r="A2079" t="s">
        <v>1972</v>
      </c>
      <c r="B2079">
        <v>13</v>
      </c>
    </row>
    <row r="2080" spans="1:2">
      <c r="A2080" t="s">
        <v>1973</v>
      </c>
      <c r="B2080">
        <v>13</v>
      </c>
    </row>
    <row r="2081" spans="1:2">
      <c r="A2081" t="s">
        <v>1974</v>
      </c>
      <c r="B2081">
        <v>21</v>
      </c>
    </row>
    <row r="2082" spans="1:2">
      <c r="A2082" t="s">
        <v>1975</v>
      </c>
      <c r="B2082">
        <v>12</v>
      </c>
    </row>
    <row r="2083" spans="1:2">
      <c r="A2083" t="s">
        <v>1976</v>
      </c>
      <c r="B2083">
        <v>10</v>
      </c>
    </row>
    <row r="2084" spans="1:2">
      <c r="A2084" t="s">
        <v>1977</v>
      </c>
      <c r="B2084">
        <v>11</v>
      </c>
    </row>
    <row r="2085" spans="1:2">
      <c r="A2085" t="s">
        <v>1978</v>
      </c>
      <c r="B2085">
        <v>13</v>
      </c>
    </row>
    <row r="2086" spans="1:2">
      <c r="A2086" t="s">
        <v>1979</v>
      </c>
      <c r="B2086">
        <v>16</v>
      </c>
    </row>
    <row r="2087" spans="1:2">
      <c r="A2087" t="s">
        <v>1980</v>
      </c>
      <c r="B2087">
        <v>25</v>
      </c>
    </row>
    <row r="2088" spans="1:2">
      <c r="A2088" t="s">
        <v>1981</v>
      </c>
      <c r="B2088">
        <v>17</v>
      </c>
    </row>
    <row r="2089" spans="1:2">
      <c r="A2089" t="s">
        <v>1982</v>
      </c>
      <c r="B2089">
        <v>14</v>
      </c>
    </row>
    <row r="2090" spans="1:2">
      <c r="A2090" t="s">
        <v>1983</v>
      </c>
      <c r="B2090">
        <v>20</v>
      </c>
    </row>
    <row r="2091" spans="1:2">
      <c r="A2091" t="s">
        <v>1984</v>
      </c>
      <c r="B2091">
        <v>15</v>
      </c>
    </row>
    <row r="2092" spans="1:2">
      <c r="A2092" t="s">
        <v>1985</v>
      </c>
      <c r="B2092">
        <v>13</v>
      </c>
    </row>
    <row r="2093" spans="1:2">
      <c r="A2093" t="s">
        <v>1986</v>
      </c>
      <c r="B2093">
        <v>17</v>
      </c>
    </row>
    <row r="2094" spans="1:2">
      <c r="A2094" t="s">
        <v>1987</v>
      </c>
      <c r="B2094">
        <v>12</v>
      </c>
    </row>
    <row r="2095" spans="1:2">
      <c r="A2095" t="s">
        <v>1988</v>
      </c>
      <c r="B2095">
        <v>12</v>
      </c>
    </row>
    <row r="2096" spans="1:2">
      <c r="A2096" t="s">
        <v>1989</v>
      </c>
      <c r="B2096">
        <v>20</v>
      </c>
    </row>
    <row r="2097" spans="1:2">
      <c r="A2097" t="s">
        <v>1990</v>
      </c>
      <c r="B2097">
        <v>11</v>
      </c>
    </row>
    <row r="2098" spans="1:2">
      <c r="A2098" t="s">
        <v>1991</v>
      </c>
      <c r="B2098">
        <v>9</v>
      </c>
    </row>
    <row r="2099" spans="1:2">
      <c r="A2099" t="s">
        <v>1992</v>
      </c>
      <c r="B2099">
        <v>10</v>
      </c>
    </row>
    <row r="2100" spans="1:2">
      <c r="A2100" t="s">
        <v>1993</v>
      </c>
      <c r="B2100">
        <v>12</v>
      </c>
    </row>
    <row r="2101" spans="1:2">
      <c r="A2101" t="s">
        <v>1994</v>
      </c>
      <c r="B2101">
        <v>15</v>
      </c>
    </row>
    <row r="2102" spans="1:2">
      <c r="A2102" t="s">
        <v>1995</v>
      </c>
      <c r="B2102">
        <v>24</v>
      </c>
    </row>
    <row r="2103" spans="1:2">
      <c r="A2103" t="s">
        <v>1996</v>
      </c>
      <c r="B2103">
        <v>16</v>
      </c>
    </row>
    <row r="2104" spans="1:2">
      <c r="A2104" t="s">
        <v>1997</v>
      </c>
      <c r="B2104">
        <v>13</v>
      </c>
    </row>
    <row r="2105" spans="1:2">
      <c r="A2105" t="s">
        <v>1998</v>
      </c>
      <c r="B2105">
        <v>19</v>
      </c>
    </row>
    <row r="2106" spans="1:2">
      <c r="A2106" t="s">
        <v>1999</v>
      </c>
      <c r="B2106">
        <v>14</v>
      </c>
    </row>
    <row r="2107" spans="1:2">
      <c r="A2107" t="s">
        <v>2000</v>
      </c>
      <c r="B2107">
        <v>12</v>
      </c>
    </row>
    <row r="2108" spans="1:2">
      <c r="A2108" t="s">
        <v>2001</v>
      </c>
      <c r="B2108">
        <v>16</v>
      </c>
    </row>
    <row r="2109" spans="1:2">
      <c r="A2109" t="s">
        <v>2002</v>
      </c>
      <c r="B2109">
        <v>11</v>
      </c>
    </row>
    <row r="2110" spans="1:2">
      <c r="A2110" t="s">
        <v>2003</v>
      </c>
      <c r="B2110">
        <v>12</v>
      </c>
    </row>
    <row r="2111" spans="1:2">
      <c r="A2111" t="s">
        <v>2004</v>
      </c>
      <c r="B2111">
        <v>19</v>
      </c>
    </row>
    <row r="2112" spans="1:2">
      <c r="A2112" t="s">
        <v>2005</v>
      </c>
      <c r="B2112">
        <v>10</v>
      </c>
    </row>
    <row r="2113" spans="1:2">
      <c r="A2113" t="s">
        <v>2006</v>
      </c>
      <c r="B2113">
        <v>8</v>
      </c>
    </row>
    <row r="2114" spans="1:2">
      <c r="A2114" t="s">
        <v>2007</v>
      </c>
      <c r="B2114">
        <v>10</v>
      </c>
    </row>
    <row r="2115" spans="1:2">
      <c r="A2115" t="s">
        <v>2008</v>
      </c>
      <c r="B2115">
        <v>12</v>
      </c>
    </row>
    <row r="2116" spans="1:2">
      <c r="A2116" t="s">
        <v>2009</v>
      </c>
      <c r="B2116">
        <v>14</v>
      </c>
    </row>
    <row r="2117" spans="1:2">
      <c r="A2117" t="s">
        <v>2010</v>
      </c>
      <c r="B2117">
        <v>23</v>
      </c>
    </row>
    <row r="2118" spans="1:2">
      <c r="A2118" t="s">
        <v>2011</v>
      </c>
      <c r="B2118">
        <v>16</v>
      </c>
    </row>
    <row r="2119" spans="1:2">
      <c r="A2119" t="s">
        <v>2012</v>
      </c>
      <c r="B2119">
        <v>13</v>
      </c>
    </row>
    <row r="2120" spans="1:2">
      <c r="A2120" t="s">
        <v>2013</v>
      </c>
      <c r="B2120">
        <v>19</v>
      </c>
    </row>
    <row r="2121" spans="1:2">
      <c r="A2121" t="s">
        <v>2014</v>
      </c>
      <c r="B2121">
        <v>14</v>
      </c>
    </row>
    <row r="2122" spans="1:2">
      <c r="A2122" t="s">
        <v>2015</v>
      </c>
      <c r="B2122">
        <v>12</v>
      </c>
    </row>
    <row r="2123" spans="1:2">
      <c r="A2123" t="s">
        <v>2016</v>
      </c>
      <c r="B2123">
        <v>16</v>
      </c>
    </row>
    <row r="2124" spans="1:2">
      <c r="A2124" t="s">
        <v>2017</v>
      </c>
      <c r="B2124">
        <v>11</v>
      </c>
    </row>
    <row r="2125" spans="1:2">
      <c r="A2125" t="s">
        <v>2018</v>
      </c>
      <c r="B2125">
        <v>12</v>
      </c>
    </row>
    <row r="2126" spans="1:2">
      <c r="A2126" t="s">
        <v>2019</v>
      </c>
      <c r="B2126">
        <v>19</v>
      </c>
    </row>
    <row r="2127" spans="1:2">
      <c r="A2127" t="s">
        <v>2020</v>
      </c>
      <c r="B2127">
        <v>10</v>
      </c>
    </row>
    <row r="2128" spans="1:2">
      <c r="A2128" t="s">
        <v>2021</v>
      </c>
      <c r="B2128">
        <v>8</v>
      </c>
    </row>
    <row r="2129" spans="1:2">
      <c r="A2129" t="s">
        <v>2022</v>
      </c>
      <c r="B2129">
        <v>10</v>
      </c>
    </row>
    <row r="2130" spans="1:2">
      <c r="A2130" t="s">
        <v>2023</v>
      </c>
      <c r="B2130">
        <v>12</v>
      </c>
    </row>
    <row r="2131" spans="1:2">
      <c r="A2131" t="s">
        <v>2024</v>
      </c>
      <c r="B2131">
        <v>14</v>
      </c>
    </row>
    <row r="2132" spans="1:2">
      <c r="A2132" t="s">
        <v>2025</v>
      </c>
      <c r="B2132">
        <v>22</v>
      </c>
    </row>
    <row r="2133" spans="1:2">
      <c r="A2133" t="s">
        <v>2026</v>
      </c>
      <c r="B2133">
        <v>15</v>
      </c>
    </row>
    <row r="2134" spans="1:2">
      <c r="A2134" t="s">
        <v>2027</v>
      </c>
      <c r="B2134">
        <v>12</v>
      </c>
    </row>
    <row r="2135" spans="1:2">
      <c r="A2135" t="s">
        <v>2028</v>
      </c>
      <c r="B2135">
        <v>18</v>
      </c>
    </row>
    <row r="2136" spans="1:2">
      <c r="A2136" t="s">
        <v>2029</v>
      </c>
      <c r="B2136">
        <v>13</v>
      </c>
    </row>
    <row r="2137" spans="1:2">
      <c r="A2137" t="s">
        <v>2030</v>
      </c>
      <c r="B2137">
        <v>11</v>
      </c>
    </row>
    <row r="2138" spans="1:2">
      <c r="A2138" t="s">
        <v>2031</v>
      </c>
      <c r="B2138">
        <v>15</v>
      </c>
    </row>
    <row r="2139" spans="1:2">
      <c r="A2139" t="s">
        <v>2032</v>
      </c>
      <c r="B2139">
        <v>10</v>
      </c>
    </row>
    <row r="2140" spans="1:2">
      <c r="A2140" t="s">
        <v>2033</v>
      </c>
      <c r="B2140">
        <v>11</v>
      </c>
    </row>
    <row r="2141" spans="1:2">
      <c r="A2141" t="s">
        <v>2034</v>
      </c>
      <c r="B2141">
        <v>18</v>
      </c>
    </row>
    <row r="2142" spans="1:2">
      <c r="A2142" t="s">
        <v>2035</v>
      </c>
      <c r="B2142">
        <v>9</v>
      </c>
    </row>
    <row r="2143" spans="1:2">
      <c r="A2143" t="s">
        <v>2036</v>
      </c>
      <c r="B2143">
        <v>7</v>
      </c>
    </row>
    <row r="2144" spans="1:2">
      <c r="A2144" t="s">
        <v>2037</v>
      </c>
      <c r="B2144">
        <v>9</v>
      </c>
    </row>
    <row r="2145" spans="1:2">
      <c r="A2145" t="s">
        <v>2038</v>
      </c>
      <c r="B2145">
        <v>11</v>
      </c>
    </row>
    <row r="2146" spans="1:2">
      <c r="A2146" t="s">
        <v>2039</v>
      </c>
      <c r="B2146">
        <v>13</v>
      </c>
    </row>
    <row r="2147" spans="1:2">
      <c r="A2147" t="s">
        <v>2040</v>
      </c>
      <c r="B2147">
        <v>20</v>
      </c>
    </row>
    <row r="2148" spans="1:2">
      <c r="A2148" t="s">
        <v>2041</v>
      </c>
      <c r="B2148">
        <v>12</v>
      </c>
    </row>
    <row r="2149" spans="1:2">
      <c r="A2149" t="s">
        <v>2042</v>
      </c>
      <c r="B2149">
        <v>9</v>
      </c>
    </row>
    <row r="2150" spans="1:2">
      <c r="A2150" t="s">
        <v>2043</v>
      </c>
      <c r="B2150">
        <v>15</v>
      </c>
    </row>
    <row r="2151" spans="1:2">
      <c r="A2151" t="s">
        <v>2044</v>
      </c>
      <c r="B2151">
        <v>11</v>
      </c>
    </row>
    <row r="2152" spans="1:2">
      <c r="A2152" t="s">
        <v>2045</v>
      </c>
      <c r="B2152">
        <v>9</v>
      </c>
    </row>
    <row r="2153" spans="1:2">
      <c r="A2153" t="s">
        <v>2046</v>
      </c>
      <c r="B2153">
        <v>13</v>
      </c>
    </row>
    <row r="2154" spans="1:2">
      <c r="A2154" t="s">
        <v>2047</v>
      </c>
      <c r="B2154">
        <v>9</v>
      </c>
    </row>
    <row r="2155" spans="1:2">
      <c r="A2155" t="s">
        <v>2048</v>
      </c>
      <c r="B2155">
        <v>10</v>
      </c>
    </row>
    <row r="2156" spans="1:2">
      <c r="A2156" t="s">
        <v>2049</v>
      </c>
      <c r="B2156">
        <v>17</v>
      </c>
    </row>
    <row r="2157" spans="1:2">
      <c r="A2157" t="s">
        <v>2050</v>
      </c>
      <c r="B2157">
        <v>7</v>
      </c>
    </row>
    <row r="2158" spans="1:2">
      <c r="A2158" t="s">
        <v>2051</v>
      </c>
      <c r="B2158">
        <v>6</v>
      </c>
    </row>
    <row r="2159" spans="1:2">
      <c r="A2159" t="s">
        <v>2052</v>
      </c>
      <c r="B2159">
        <v>8</v>
      </c>
    </row>
    <row r="2160" spans="1:2">
      <c r="A2160" t="s">
        <v>2053</v>
      </c>
      <c r="B2160">
        <v>10</v>
      </c>
    </row>
    <row r="2161" spans="1:2">
      <c r="A2161" t="s">
        <v>2054</v>
      </c>
      <c r="B2161">
        <v>12</v>
      </c>
    </row>
    <row r="2162" spans="1:2">
      <c r="A2162" t="s">
        <v>2055</v>
      </c>
      <c r="B2162">
        <v>19</v>
      </c>
    </row>
    <row r="2163" spans="1:2">
      <c r="A2163" t="s">
        <v>2056</v>
      </c>
      <c r="B2163">
        <v>11</v>
      </c>
    </row>
    <row r="2164" spans="1:2">
      <c r="A2164" t="s">
        <v>2057</v>
      </c>
      <c r="B2164">
        <v>9</v>
      </c>
    </row>
    <row r="2165" spans="1:2">
      <c r="A2165" t="s">
        <v>2058</v>
      </c>
      <c r="B2165">
        <v>14</v>
      </c>
    </row>
    <row r="2166" spans="1:2">
      <c r="A2166" t="s">
        <v>2059</v>
      </c>
      <c r="B2166">
        <v>10</v>
      </c>
    </row>
    <row r="2167" spans="1:2">
      <c r="A2167" t="s">
        <v>2060</v>
      </c>
      <c r="B2167">
        <v>9</v>
      </c>
    </row>
    <row r="2168" spans="1:2">
      <c r="A2168" t="s">
        <v>2061</v>
      </c>
      <c r="B2168">
        <v>12</v>
      </c>
    </row>
    <row r="2169" spans="1:2">
      <c r="A2169" t="s">
        <v>2062</v>
      </c>
      <c r="B2169">
        <v>8</v>
      </c>
    </row>
    <row r="2170" spans="1:2">
      <c r="A2170" t="s">
        <v>2063</v>
      </c>
      <c r="B2170">
        <v>9</v>
      </c>
    </row>
    <row r="2171" spans="1:2">
      <c r="A2171" t="s">
        <v>2064</v>
      </c>
      <c r="B2171">
        <v>17</v>
      </c>
    </row>
    <row r="2172" spans="1:2">
      <c r="A2172" t="s">
        <v>2065</v>
      </c>
      <c r="B2172">
        <v>7</v>
      </c>
    </row>
    <row r="2173" spans="1:2">
      <c r="A2173" t="s">
        <v>2066</v>
      </c>
      <c r="B2173">
        <v>6</v>
      </c>
    </row>
    <row r="2174" spans="1:2">
      <c r="A2174" t="s">
        <v>2067</v>
      </c>
      <c r="B2174">
        <v>8</v>
      </c>
    </row>
    <row r="2175" spans="1:2">
      <c r="A2175" t="s">
        <v>2068</v>
      </c>
      <c r="B2175">
        <v>10</v>
      </c>
    </row>
    <row r="2176" spans="1:2">
      <c r="A2176" t="s">
        <v>2069</v>
      </c>
      <c r="B2176">
        <v>12</v>
      </c>
    </row>
    <row r="2177" spans="1:2">
      <c r="A2177" t="s">
        <v>2070</v>
      </c>
      <c r="B2177">
        <v>28</v>
      </c>
    </row>
    <row r="2178" spans="1:2">
      <c r="A2178" t="s">
        <v>2071</v>
      </c>
      <c r="B2178">
        <v>18</v>
      </c>
    </row>
    <row r="2179" spans="1:2">
      <c r="A2179" t="s">
        <v>2072</v>
      </c>
      <c r="B2179">
        <v>15</v>
      </c>
    </row>
    <row r="2180" spans="1:2">
      <c r="A2180" t="s">
        <v>2073</v>
      </c>
      <c r="B2180">
        <v>22</v>
      </c>
    </row>
    <row r="2181" spans="1:2">
      <c r="A2181" t="s">
        <v>2074</v>
      </c>
      <c r="B2181">
        <v>16</v>
      </c>
    </row>
    <row r="2182" spans="1:2">
      <c r="A2182" t="s">
        <v>2075</v>
      </c>
      <c r="B2182">
        <v>14</v>
      </c>
    </row>
    <row r="2183" spans="1:2">
      <c r="A2183" t="s">
        <v>2076</v>
      </c>
      <c r="B2183">
        <v>18</v>
      </c>
    </row>
    <row r="2184" spans="1:2">
      <c r="A2184" t="s">
        <v>2077</v>
      </c>
      <c r="B2184">
        <v>13</v>
      </c>
    </row>
    <row r="2185" spans="1:2">
      <c r="A2185" t="s">
        <v>2078</v>
      </c>
      <c r="B2185">
        <v>13</v>
      </c>
    </row>
    <row r="2186" spans="1:2">
      <c r="A2186" t="s">
        <v>2079</v>
      </c>
      <c r="B2186">
        <v>21</v>
      </c>
    </row>
    <row r="2187" spans="1:2">
      <c r="A2187" t="s">
        <v>2080</v>
      </c>
      <c r="B2187">
        <v>12</v>
      </c>
    </row>
    <row r="2188" spans="1:2">
      <c r="A2188" t="s">
        <v>2081</v>
      </c>
      <c r="B2188">
        <v>10</v>
      </c>
    </row>
    <row r="2189" spans="1:2">
      <c r="A2189" t="s">
        <v>2082</v>
      </c>
      <c r="B2189">
        <v>11</v>
      </c>
    </row>
    <row r="2190" spans="1:2">
      <c r="A2190" t="s">
        <v>2083</v>
      </c>
      <c r="B2190">
        <v>13</v>
      </c>
    </row>
    <row r="2191" spans="1:2">
      <c r="A2191" t="s">
        <v>2084</v>
      </c>
      <c r="B2191">
        <v>16</v>
      </c>
    </row>
    <row r="2192" spans="1:2">
      <c r="A2192" t="s">
        <v>2085</v>
      </c>
      <c r="B2192">
        <v>25</v>
      </c>
    </row>
    <row r="2193" spans="1:2">
      <c r="A2193" t="s">
        <v>2086</v>
      </c>
      <c r="B2193">
        <v>17</v>
      </c>
    </row>
    <row r="2194" spans="1:2">
      <c r="A2194" t="s">
        <v>2087</v>
      </c>
      <c r="B2194">
        <v>14</v>
      </c>
    </row>
    <row r="2195" spans="1:2">
      <c r="A2195" t="s">
        <v>2088</v>
      </c>
      <c r="B2195">
        <v>20</v>
      </c>
    </row>
    <row r="2196" spans="1:2">
      <c r="A2196" t="s">
        <v>2089</v>
      </c>
      <c r="B2196">
        <v>15</v>
      </c>
    </row>
    <row r="2197" spans="1:2">
      <c r="A2197" t="s">
        <v>2090</v>
      </c>
      <c r="B2197">
        <v>13</v>
      </c>
    </row>
    <row r="2198" spans="1:2">
      <c r="A2198" t="s">
        <v>2091</v>
      </c>
      <c r="B2198">
        <v>17</v>
      </c>
    </row>
    <row r="2199" spans="1:2">
      <c r="A2199" t="s">
        <v>2092</v>
      </c>
      <c r="B2199">
        <v>12</v>
      </c>
    </row>
    <row r="2200" spans="1:2">
      <c r="A2200" t="s">
        <v>2093</v>
      </c>
      <c r="B2200">
        <v>12</v>
      </c>
    </row>
    <row r="2201" spans="1:2">
      <c r="A2201" t="s">
        <v>2094</v>
      </c>
      <c r="B2201">
        <v>20</v>
      </c>
    </row>
    <row r="2202" spans="1:2">
      <c r="A2202" t="s">
        <v>2095</v>
      </c>
      <c r="B2202">
        <v>11</v>
      </c>
    </row>
    <row r="2203" spans="1:2">
      <c r="A2203" t="s">
        <v>2096</v>
      </c>
      <c r="B2203">
        <v>9</v>
      </c>
    </row>
    <row r="2204" spans="1:2">
      <c r="A2204" t="s">
        <v>2097</v>
      </c>
      <c r="B2204">
        <v>10</v>
      </c>
    </row>
    <row r="2205" spans="1:2">
      <c r="A2205" t="s">
        <v>2098</v>
      </c>
      <c r="B2205">
        <v>12</v>
      </c>
    </row>
    <row r="2206" spans="1:2">
      <c r="A2206" t="s">
        <v>2099</v>
      </c>
      <c r="B2206">
        <v>15</v>
      </c>
    </row>
    <row r="2207" spans="1:2">
      <c r="A2207" t="s">
        <v>2100</v>
      </c>
      <c r="B2207">
        <v>24</v>
      </c>
    </row>
    <row r="2208" spans="1:2">
      <c r="A2208" t="s">
        <v>2101</v>
      </c>
      <c r="B2208">
        <v>16</v>
      </c>
    </row>
    <row r="2209" spans="1:2">
      <c r="A2209" t="s">
        <v>2102</v>
      </c>
      <c r="B2209">
        <v>13</v>
      </c>
    </row>
    <row r="2210" spans="1:2">
      <c r="A2210" t="s">
        <v>2103</v>
      </c>
      <c r="B2210">
        <v>19</v>
      </c>
    </row>
    <row r="2211" spans="1:2">
      <c r="A2211" t="s">
        <v>2104</v>
      </c>
      <c r="B2211">
        <v>14</v>
      </c>
    </row>
    <row r="2212" spans="1:2">
      <c r="A2212" t="s">
        <v>2105</v>
      </c>
      <c r="B2212">
        <v>12</v>
      </c>
    </row>
    <row r="2213" spans="1:2">
      <c r="A2213" t="s">
        <v>2106</v>
      </c>
      <c r="B2213">
        <v>16</v>
      </c>
    </row>
    <row r="2214" spans="1:2">
      <c r="A2214" t="s">
        <v>2107</v>
      </c>
      <c r="B2214">
        <v>11</v>
      </c>
    </row>
    <row r="2215" spans="1:2">
      <c r="A2215" t="s">
        <v>2108</v>
      </c>
      <c r="B2215">
        <v>12</v>
      </c>
    </row>
    <row r="2216" spans="1:2">
      <c r="A2216" t="s">
        <v>2109</v>
      </c>
      <c r="B2216">
        <v>19</v>
      </c>
    </row>
    <row r="2217" spans="1:2">
      <c r="A2217" t="s">
        <v>2110</v>
      </c>
      <c r="B2217">
        <v>10</v>
      </c>
    </row>
    <row r="2218" spans="1:2">
      <c r="A2218" t="s">
        <v>2111</v>
      </c>
      <c r="B2218">
        <v>8</v>
      </c>
    </row>
    <row r="2219" spans="1:2">
      <c r="A2219" t="s">
        <v>2112</v>
      </c>
      <c r="B2219">
        <v>10</v>
      </c>
    </row>
    <row r="2220" spans="1:2">
      <c r="A2220" t="s">
        <v>2113</v>
      </c>
      <c r="B2220">
        <v>12</v>
      </c>
    </row>
    <row r="2221" spans="1:2">
      <c r="A2221" t="s">
        <v>2114</v>
      </c>
      <c r="B2221">
        <v>14</v>
      </c>
    </row>
    <row r="2222" spans="1:2">
      <c r="A2222" t="s">
        <v>2115</v>
      </c>
      <c r="B2222">
        <v>23</v>
      </c>
    </row>
    <row r="2223" spans="1:2">
      <c r="A2223" t="s">
        <v>2116</v>
      </c>
      <c r="B2223">
        <v>16</v>
      </c>
    </row>
    <row r="2224" spans="1:2">
      <c r="A2224" t="s">
        <v>2117</v>
      </c>
      <c r="B2224">
        <v>13</v>
      </c>
    </row>
    <row r="2225" spans="1:2">
      <c r="A2225" t="s">
        <v>2118</v>
      </c>
      <c r="B2225">
        <v>19</v>
      </c>
    </row>
    <row r="2226" spans="1:2">
      <c r="A2226" t="s">
        <v>2119</v>
      </c>
      <c r="B2226">
        <v>14</v>
      </c>
    </row>
    <row r="2227" spans="1:2">
      <c r="A2227" t="s">
        <v>2120</v>
      </c>
      <c r="B2227">
        <v>12</v>
      </c>
    </row>
    <row r="2228" spans="1:2">
      <c r="A2228" t="s">
        <v>2121</v>
      </c>
      <c r="B2228">
        <v>16</v>
      </c>
    </row>
    <row r="2229" spans="1:2">
      <c r="A2229" t="s">
        <v>2122</v>
      </c>
      <c r="B2229">
        <v>11</v>
      </c>
    </row>
    <row r="2230" spans="1:2">
      <c r="A2230" t="s">
        <v>2123</v>
      </c>
      <c r="B2230">
        <v>12</v>
      </c>
    </row>
    <row r="2231" spans="1:2">
      <c r="A2231" t="s">
        <v>2124</v>
      </c>
      <c r="B2231">
        <v>19</v>
      </c>
    </row>
    <row r="2232" spans="1:2">
      <c r="A2232" t="s">
        <v>2125</v>
      </c>
      <c r="B2232">
        <v>10</v>
      </c>
    </row>
    <row r="2233" spans="1:2">
      <c r="A2233" t="s">
        <v>2126</v>
      </c>
      <c r="B2233">
        <v>8</v>
      </c>
    </row>
    <row r="2234" spans="1:2">
      <c r="A2234" t="s">
        <v>2127</v>
      </c>
      <c r="B2234">
        <v>10</v>
      </c>
    </row>
    <row r="2235" spans="1:2">
      <c r="A2235" t="s">
        <v>2128</v>
      </c>
      <c r="B2235">
        <v>12</v>
      </c>
    </row>
    <row r="2236" spans="1:2">
      <c r="A2236" t="s">
        <v>2129</v>
      </c>
      <c r="B2236">
        <v>14</v>
      </c>
    </row>
    <row r="2237" spans="1:2">
      <c r="A2237" t="s">
        <v>2130</v>
      </c>
      <c r="B2237">
        <v>22</v>
      </c>
    </row>
    <row r="2238" spans="1:2">
      <c r="A2238" t="s">
        <v>2131</v>
      </c>
      <c r="B2238">
        <v>15</v>
      </c>
    </row>
    <row r="2239" spans="1:2">
      <c r="A2239" t="s">
        <v>2132</v>
      </c>
      <c r="B2239">
        <v>12</v>
      </c>
    </row>
    <row r="2240" spans="1:2">
      <c r="A2240" t="s">
        <v>2133</v>
      </c>
      <c r="B2240">
        <v>18</v>
      </c>
    </row>
    <row r="2241" spans="1:2">
      <c r="A2241" t="s">
        <v>2134</v>
      </c>
      <c r="B2241">
        <v>13</v>
      </c>
    </row>
    <row r="2242" spans="1:2">
      <c r="A2242" t="s">
        <v>2135</v>
      </c>
      <c r="B2242">
        <v>11</v>
      </c>
    </row>
    <row r="2243" spans="1:2">
      <c r="A2243" t="s">
        <v>2136</v>
      </c>
      <c r="B2243">
        <v>15</v>
      </c>
    </row>
    <row r="2244" spans="1:2">
      <c r="A2244" t="s">
        <v>2137</v>
      </c>
      <c r="B2244">
        <v>10</v>
      </c>
    </row>
    <row r="2245" spans="1:2">
      <c r="A2245" t="s">
        <v>2138</v>
      </c>
      <c r="B2245">
        <v>11</v>
      </c>
    </row>
    <row r="2246" spans="1:2">
      <c r="A2246" t="s">
        <v>2139</v>
      </c>
      <c r="B2246">
        <v>18</v>
      </c>
    </row>
    <row r="2247" spans="1:2">
      <c r="A2247" t="s">
        <v>2140</v>
      </c>
      <c r="B2247">
        <v>9</v>
      </c>
    </row>
    <row r="2248" spans="1:2">
      <c r="A2248" t="s">
        <v>2141</v>
      </c>
      <c r="B2248">
        <v>7</v>
      </c>
    </row>
    <row r="2249" spans="1:2">
      <c r="A2249" t="s">
        <v>2142</v>
      </c>
      <c r="B2249">
        <v>9</v>
      </c>
    </row>
    <row r="2250" spans="1:2">
      <c r="A2250" t="s">
        <v>2143</v>
      </c>
      <c r="B2250">
        <v>11</v>
      </c>
    </row>
    <row r="2251" spans="1:2">
      <c r="A2251" t="s">
        <v>2144</v>
      </c>
      <c r="B2251">
        <v>13</v>
      </c>
    </row>
    <row r="2252" spans="1:2">
      <c r="A2252" t="s">
        <v>2145</v>
      </c>
      <c r="B2252">
        <v>20</v>
      </c>
    </row>
    <row r="2253" spans="1:2">
      <c r="A2253" t="s">
        <v>2146</v>
      </c>
      <c r="B2253">
        <v>12</v>
      </c>
    </row>
    <row r="2254" spans="1:2">
      <c r="A2254" t="s">
        <v>2147</v>
      </c>
      <c r="B2254">
        <v>9</v>
      </c>
    </row>
    <row r="2255" spans="1:2">
      <c r="A2255" t="s">
        <v>2148</v>
      </c>
      <c r="B2255">
        <v>15</v>
      </c>
    </row>
    <row r="2256" spans="1:2">
      <c r="A2256" t="s">
        <v>2149</v>
      </c>
      <c r="B2256">
        <v>11</v>
      </c>
    </row>
    <row r="2257" spans="1:2">
      <c r="A2257" t="s">
        <v>2150</v>
      </c>
      <c r="B2257">
        <v>9</v>
      </c>
    </row>
    <row r="2258" spans="1:2">
      <c r="A2258" t="s">
        <v>2151</v>
      </c>
      <c r="B2258">
        <v>13</v>
      </c>
    </row>
    <row r="2259" spans="1:2">
      <c r="A2259" t="s">
        <v>2152</v>
      </c>
      <c r="B2259">
        <v>9</v>
      </c>
    </row>
    <row r="2260" spans="1:2">
      <c r="A2260" t="s">
        <v>2153</v>
      </c>
      <c r="B2260">
        <v>10</v>
      </c>
    </row>
    <row r="2261" spans="1:2">
      <c r="A2261" t="s">
        <v>2154</v>
      </c>
      <c r="B2261">
        <v>17</v>
      </c>
    </row>
    <row r="2262" spans="1:2">
      <c r="A2262" t="s">
        <v>2155</v>
      </c>
      <c r="B2262">
        <v>7</v>
      </c>
    </row>
    <row r="2263" spans="1:2">
      <c r="A2263" t="s">
        <v>2156</v>
      </c>
      <c r="B2263">
        <v>6</v>
      </c>
    </row>
    <row r="2264" spans="1:2">
      <c r="A2264" t="s">
        <v>2157</v>
      </c>
      <c r="B2264">
        <v>8</v>
      </c>
    </row>
    <row r="2265" spans="1:2">
      <c r="A2265" t="s">
        <v>2158</v>
      </c>
      <c r="B2265">
        <v>10</v>
      </c>
    </row>
    <row r="2266" spans="1:2">
      <c r="A2266" t="s">
        <v>2159</v>
      </c>
      <c r="B2266">
        <v>12</v>
      </c>
    </row>
    <row r="2267" spans="1:2">
      <c r="A2267" t="s">
        <v>2160</v>
      </c>
      <c r="B2267">
        <v>19</v>
      </c>
    </row>
    <row r="2268" spans="1:2">
      <c r="A2268" t="s">
        <v>2161</v>
      </c>
      <c r="B2268">
        <v>11</v>
      </c>
    </row>
    <row r="2269" spans="1:2">
      <c r="A2269" t="s">
        <v>2162</v>
      </c>
      <c r="B2269">
        <v>9</v>
      </c>
    </row>
    <row r="2270" spans="1:2">
      <c r="A2270" t="s">
        <v>2163</v>
      </c>
      <c r="B2270">
        <v>14</v>
      </c>
    </row>
    <row r="2271" spans="1:2">
      <c r="A2271" t="s">
        <v>2164</v>
      </c>
      <c r="B2271">
        <v>10</v>
      </c>
    </row>
    <row r="2272" spans="1:2">
      <c r="A2272" t="s">
        <v>2165</v>
      </c>
      <c r="B2272">
        <v>9</v>
      </c>
    </row>
    <row r="2273" spans="1:2">
      <c r="A2273" t="s">
        <v>2166</v>
      </c>
      <c r="B2273">
        <v>12</v>
      </c>
    </row>
    <row r="2274" spans="1:2">
      <c r="A2274" t="s">
        <v>2167</v>
      </c>
      <c r="B2274">
        <v>8</v>
      </c>
    </row>
    <row r="2275" spans="1:2">
      <c r="A2275" t="s">
        <v>2168</v>
      </c>
      <c r="B2275">
        <v>9</v>
      </c>
    </row>
    <row r="2276" spans="1:2">
      <c r="A2276" t="s">
        <v>2169</v>
      </c>
      <c r="B2276">
        <v>17</v>
      </c>
    </row>
    <row r="2277" spans="1:2">
      <c r="A2277" t="s">
        <v>2170</v>
      </c>
      <c r="B2277">
        <v>7</v>
      </c>
    </row>
    <row r="2278" spans="1:2">
      <c r="A2278" t="s">
        <v>2171</v>
      </c>
      <c r="B2278">
        <v>6</v>
      </c>
    </row>
    <row r="2279" spans="1:2">
      <c r="A2279" t="s">
        <v>2172</v>
      </c>
      <c r="B2279">
        <v>8</v>
      </c>
    </row>
    <row r="2280" spans="1:2">
      <c r="A2280" t="s">
        <v>2173</v>
      </c>
      <c r="B2280">
        <v>10</v>
      </c>
    </row>
    <row r="2281" spans="1:2">
      <c r="A2281" t="s">
        <v>2174</v>
      </c>
      <c r="B2281">
        <v>12</v>
      </c>
    </row>
    <row r="2282" spans="1:2">
      <c r="A2282" t="s">
        <v>2175</v>
      </c>
      <c r="B2282">
        <v>28</v>
      </c>
    </row>
    <row r="2283" spans="1:2">
      <c r="A2283" t="s">
        <v>2176</v>
      </c>
      <c r="B2283">
        <v>18</v>
      </c>
    </row>
    <row r="2284" spans="1:2">
      <c r="A2284" t="s">
        <v>2177</v>
      </c>
      <c r="B2284">
        <v>15</v>
      </c>
    </row>
    <row r="2285" spans="1:2">
      <c r="A2285" t="s">
        <v>2178</v>
      </c>
      <c r="B2285">
        <v>22</v>
      </c>
    </row>
    <row r="2286" spans="1:2">
      <c r="A2286" t="s">
        <v>2179</v>
      </c>
      <c r="B2286">
        <v>16</v>
      </c>
    </row>
    <row r="2287" spans="1:2">
      <c r="A2287" t="s">
        <v>2180</v>
      </c>
      <c r="B2287">
        <v>14</v>
      </c>
    </row>
    <row r="2288" spans="1:2">
      <c r="A2288" t="s">
        <v>2181</v>
      </c>
      <c r="B2288">
        <v>18</v>
      </c>
    </row>
    <row r="2289" spans="1:2">
      <c r="A2289" t="s">
        <v>2182</v>
      </c>
      <c r="B2289">
        <v>13</v>
      </c>
    </row>
    <row r="2290" spans="1:2">
      <c r="A2290" t="s">
        <v>2183</v>
      </c>
      <c r="B2290">
        <v>13</v>
      </c>
    </row>
    <row r="2291" spans="1:2">
      <c r="A2291" t="s">
        <v>2184</v>
      </c>
      <c r="B2291">
        <v>21</v>
      </c>
    </row>
    <row r="2292" spans="1:2">
      <c r="A2292" t="s">
        <v>2185</v>
      </c>
      <c r="B2292">
        <v>12</v>
      </c>
    </row>
    <row r="2293" spans="1:2">
      <c r="A2293" t="s">
        <v>2186</v>
      </c>
      <c r="B2293">
        <v>10</v>
      </c>
    </row>
    <row r="2294" spans="1:2">
      <c r="A2294" t="s">
        <v>2187</v>
      </c>
      <c r="B2294">
        <v>11</v>
      </c>
    </row>
    <row r="2295" spans="1:2">
      <c r="A2295" t="s">
        <v>2188</v>
      </c>
      <c r="B2295">
        <v>13</v>
      </c>
    </row>
    <row r="2296" spans="1:2">
      <c r="A2296" t="s">
        <v>2189</v>
      </c>
      <c r="B2296">
        <v>16</v>
      </c>
    </row>
    <row r="2297" spans="1:2">
      <c r="A2297" t="s">
        <v>2190</v>
      </c>
      <c r="B2297">
        <v>25</v>
      </c>
    </row>
    <row r="2298" spans="1:2">
      <c r="A2298" t="s">
        <v>2191</v>
      </c>
      <c r="B2298">
        <v>17</v>
      </c>
    </row>
    <row r="2299" spans="1:2">
      <c r="A2299" t="s">
        <v>2192</v>
      </c>
      <c r="B2299">
        <v>14</v>
      </c>
    </row>
    <row r="2300" spans="1:2">
      <c r="A2300" t="s">
        <v>2193</v>
      </c>
      <c r="B2300">
        <v>20</v>
      </c>
    </row>
    <row r="2301" spans="1:2">
      <c r="A2301" t="s">
        <v>2194</v>
      </c>
      <c r="B2301">
        <v>15</v>
      </c>
    </row>
    <row r="2302" spans="1:2">
      <c r="A2302" t="s">
        <v>2195</v>
      </c>
      <c r="B2302">
        <v>13</v>
      </c>
    </row>
    <row r="2303" spans="1:2">
      <c r="A2303" t="s">
        <v>2196</v>
      </c>
      <c r="B2303">
        <v>17</v>
      </c>
    </row>
    <row r="2304" spans="1:2">
      <c r="A2304" t="s">
        <v>2197</v>
      </c>
      <c r="B2304">
        <v>12</v>
      </c>
    </row>
    <row r="2305" spans="1:2">
      <c r="A2305" t="s">
        <v>2198</v>
      </c>
      <c r="B2305">
        <v>12</v>
      </c>
    </row>
    <row r="2306" spans="1:2">
      <c r="A2306" t="s">
        <v>2199</v>
      </c>
      <c r="B2306">
        <v>20</v>
      </c>
    </row>
    <row r="2307" spans="1:2">
      <c r="A2307" t="s">
        <v>2200</v>
      </c>
      <c r="B2307">
        <v>11</v>
      </c>
    </row>
    <row r="2308" spans="1:2">
      <c r="A2308" t="s">
        <v>2201</v>
      </c>
      <c r="B2308">
        <v>9</v>
      </c>
    </row>
    <row r="2309" spans="1:2">
      <c r="A2309" t="s">
        <v>2202</v>
      </c>
      <c r="B2309">
        <v>10</v>
      </c>
    </row>
    <row r="2310" spans="1:2">
      <c r="A2310" t="s">
        <v>2203</v>
      </c>
      <c r="B2310">
        <v>12</v>
      </c>
    </row>
    <row r="2311" spans="1:2">
      <c r="A2311" t="s">
        <v>2204</v>
      </c>
      <c r="B2311">
        <v>15</v>
      </c>
    </row>
    <row r="2312" spans="1:2">
      <c r="A2312" t="s">
        <v>2205</v>
      </c>
      <c r="B2312">
        <v>24</v>
      </c>
    </row>
    <row r="2313" spans="1:2">
      <c r="A2313" t="s">
        <v>2206</v>
      </c>
      <c r="B2313">
        <v>16</v>
      </c>
    </row>
    <row r="2314" spans="1:2">
      <c r="A2314" t="s">
        <v>2207</v>
      </c>
      <c r="B2314">
        <v>13</v>
      </c>
    </row>
    <row r="2315" spans="1:2">
      <c r="A2315" t="s">
        <v>2208</v>
      </c>
      <c r="B2315">
        <v>19</v>
      </c>
    </row>
    <row r="2316" spans="1:2">
      <c r="A2316" t="s">
        <v>2209</v>
      </c>
      <c r="B2316">
        <v>14</v>
      </c>
    </row>
    <row r="2317" spans="1:2">
      <c r="A2317" t="s">
        <v>2210</v>
      </c>
      <c r="B2317">
        <v>12</v>
      </c>
    </row>
    <row r="2318" spans="1:2">
      <c r="A2318" t="s">
        <v>2211</v>
      </c>
      <c r="B2318">
        <v>16</v>
      </c>
    </row>
    <row r="2319" spans="1:2">
      <c r="A2319" t="s">
        <v>2212</v>
      </c>
      <c r="B2319">
        <v>11</v>
      </c>
    </row>
    <row r="2320" spans="1:2">
      <c r="A2320" t="s">
        <v>2213</v>
      </c>
      <c r="B2320">
        <v>12</v>
      </c>
    </row>
    <row r="2321" spans="1:2">
      <c r="A2321" t="s">
        <v>2214</v>
      </c>
      <c r="B2321">
        <v>19</v>
      </c>
    </row>
    <row r="2322" spans="1:2">
      <c r="A2322" t="s">
        <v>2215</v>
      </c>
      <c r="B2322">
        <v>10</v>
      </c>
    </row>
    <row r="2323" spans="1:2">
      <c r="A2323" t="s">
        <v>2216</v>
      </c>
      <c r="B2323">
        <v>8</v>
      </c>
    </row>
    <row r="2324" spans="1:2">
      <c r="A2324" t="s">
        <v>2217</v>
      </c>
      <c r="B2324">
        <v>10</v>
      </c>
    </row>
    <row r="2325" spans="1:2">
      <c r="A2325" t="s">
        <v>2218</v>
      </c>
      <c r="B2325">
        <v>12</v>
      </c>
    </row>
    <row r="2326" spans="1:2">
      <c r="A2326" t="s">
        <v>2219</v>
      </c>
      <c r="B2326">
        <v>14</v>
      </c>
    </row>
    <row r="2327" spans="1:2">
      <c r="A2327" t="s">
        <v>2220</v>
      </c>
      <c r="B2327">
        <v>23</v>
      </c>
    </row>
    <row r="2328" spans="1:2">
      <c r="A2328" t="s">
        <v>2221</v>
      </c>
      <c r="B2328">
        <v>16</v>
      </c>
    </row>
    <row r="2329" spans="1:2">
      <c r="A2329" t="s">
        <v>2222</v>
      </c>
      <c r="B2329">
        <v>13</v>
      </c>
    </row>
    <row r="2330" spans="1:2">
      <c r="A2330" t="s">
        <v>2223</v>
      </c>
      <c r="B2330">
        <v>19</v>
      </c>
    </row>
    <row r="2331" spans="1:2">
      <c r="A2331" t="s">
        <v>2224</v>
      </c>
      <c r="B2331">
        <v>14</v>
      </c>
    </row>
    <row r="2332" spans="1:2">
      <c r="A2332" t="s">
        <v>2225</v>
      </c>
      <c r="B2332">
        <v>12</v>
      </c>
    </row>
    <row r="2333" spans="1:2">
      <c r="A2333" t="s">
        <v>2226</v>
      </c>
      <c r="B2333">
        <v>16</v>
      </c>
    </row>
    <row r="2334" spans="1:2">
      <c r="A2334" t="s">
        <v>2227</v>
      </c>
      <c r="B2334">
        <v>11</v>
      </c>
    </row>
    <row r="2335" spans="1:2">
      <c r="A2335" t="s">
        <v>2228</v>
      </c>
      <c r="B2335">
        <v>12</v>
      </c>
    </row>
    <row r="2336" spans="1:2">
      <c r="A2336" t="s">
        <v>2229</v>
      </c>
      <c r="B2336">
        <v>19</v>
      </c>
    </row>
    <row r="2337" spans="1:2">
      <c r="A2337" t="s">
        <v>2230</v>
      </c>
      <c r="B2337">
        <v>10</v>
      </c>
    </row>
    <row r="2338" spans="1:2">
      <c r="A2338" t="s">
        <v>2231</v>
      </c>
      <c r="B2338">
        <v>8</v>
      </c>
    </row>
    <row r="2339" spans="1:2">
      <c r="A2339" t="s">
        <v>2232</v>
      </c>
      <c r="B2339">
        <v>10</v>
      </c>
    </row>
    <row r="2340" spans="1:2">
      <c r="A2340" t="s">
        <v>2233</v>
      </c>
      <c r="B2340">
        <v>12</v>
      </c>
    </row>
    <row r="2341" spans="1:2">
      <c r="A2341" t="s">
        <v>2234</v>
      </c>
      <c r="B2341">
        <v>14</v>
      </c>
    </row>
    <row r="2342" spans="1:2">
      <c r="A2342" t="s">
        <v>2235</v>
      </c>
      <c r="B2342">
        <v>22</v>
      </c>
    </row>
    <row r="2343" spans="1:2">
      <c r="A2343" t="s">
        <v>2236</v>
      </c>
      <c r="B2343">
        <v>15</v>
      </c>
    </row>
    <row r="2344" spans="1:2">
      <c r="A2344" t="s">
        <v>2237</v>
      </c>
      <c r="B2344">
        <v>12</v>
      </c>
    </row>
    <row r="2345" spans="1:2">
      <c r="A2345" t="s">
        <v>2238</v>
      </c>
      <c r="B2345">
        <v>18</v>
      </c>
    </row>
    <row r="2346" spans="1:2">
      <c r="A2346" t="s">
        <v>2239</v>
      </c>
      <c r="B2346">
        <v>13</v>
      </c>
    </row>
    <row r="2347" spans="1:2">
      <c r="A2347" t="s">
        <v>2240</v>
      </c>
      <c r="B2347">
        <v>11</v>
      </c>
    </row>
    <row r="2348" spans="1:2">
      <c r="A2348" t="s">
        <v>2241</v>
      </c>
      <c r="B2348">
        <v>15</v>
      </c>
    </row>
    <row r="2349" spans="1:2">
      <c r="A2349" t="s">
        <v>2242</v>
      </c>
      <c r="B2349">
        <v>10</v>
      </c>
    </row>
    <row r="2350" spans="1:2">
      <c r="A2350" t="s">
        <v>2243</v>
      </c>
      <c r="B2350">
        <v>11</v>
      </c>
    </row>
    <row r="2351" spans="1:2">
      <c r="A2351" t="s">
        <v>2244</v>
      </c>
      <c r="B2351">
        <v>18</v>
      </c>
    </row>
    <row r="2352" spans="1:2">
      <c r="A2352" t="s">
        <v>2245</v>
      </c>
      <c r="B2352">
        <v>9</v>
      </c>
    </row>
    <row r="2353" spans="1:2">
      <c r="A2353" t="s">
        <v>2246</v>
      </c>
      <c r="B2353">
        <v>7</v>
      </c>
    </row>
    <row r="2354" spans="1:2">
      <c r="A2354" t="s">
        <v>2247</v>
      </c>
      <c r="B2354">
        <v>9</v>
      </c>
    </row>
    <row r="2355" spans="1:2">
      <c r="A2355" t="s">
        <v>2248</v>
      </c>
      <c r="B2355">
        <v>11</v>
      </c>
    </row>
    <row r="2356" spans="1:2">
      <c r="A2356" t="s">
        <v>2249</v>
      </c>
      <c r="B2356">
        <v>13</v>
      </c>
    </row>
    <row r="2357" spans="1:2">
      <c r="A2357" t="s">
        <v>2250</v>
      </c>
      <c r="B2357">
        <v>20</v>
      </c>
    </row>
    <row r="2358" spans="1:2">
      <c r="A2358" t="s">
        <v>2251</v>
      </c>
      <c r="B2358">
        <v>12</v>
      </c>
    </row>
    <row r="2359" spans="1:2">
      <c r="A2359" t="s">
        <v>2252</v>
      </c>
      <c r="B2359">
        <v>9</v>
      </c>
    </row>
    <row r="2360" spans="1:2">
      <c r="A2360" t="s">
        <v>2253</v>
      </c>
      <c r="B2360">
        <v>15</v>
      </c>
    </row>
    <row r="2361" spans="1:2">
      <c r="A2361" t="s">
        <v>2254</v>
      </c>
      <c r="B2361">
        <v>11</v>
      </c>
    </row>
    <row r="2362" spans="1:2">
      <c r="A2362" t="s">
        <v>2255</v>
      </c>
      <c r="B2362">
        <v>9</v>
      </c>
    </row>
    <row r="2363" spans="1:2">
      <c r="A2363" t="s">
        <v>2256</v>
      </c>
      <c r="B2363">
        <v>13</v>
      </c>
    </row>
    <row r="2364" spans="1:2">
      <c r="A2364" t="s">
        <v>2257</v>
      </c>
      <c r="B2364">
        <v>9</v>
      </c>
    </row>
    <row r="2365" spans="1:2">
      <c r="A2365" t="s">
        <v>2258</v>
      </c>
      <c r="B2365">
        <v>10</v>
      </c>
    </row>
    <row r="2366" spans="1:2">
      <c r="A2366" t="s">
        <v>2259</v>
      </c>
      <c r="B2366">
        <v>17</v>
      </c>
    </row>
    <row r="2367" spans="1:2">
      <c r="A2367" t="s">
        <v>2260</v>
      </c>
      <c r="B2367">
        <v>7</v>
      </c>
    </row>
    <row r="2368" spans="1:2">
      <c r="A2368" t="s">
        <v>2261</v>
      </c>
      <c r="B2368">
        <v>6</v>
      </c>
    </row>
    <row r="2369" spans="1:2">
      <c r="A2369" t="s">
        <v>2262</v>
      </c>
      <c r="B2369">
        <v>8</v>
      </c>
    </row>
    <row r="2370" spans="1:2">
      <c r="A2370" t="s">
        <v>2263</v>
      </c>
      <c r="B2370">
        <v>10</v>
      </c>
    </row>
    <row r="2371" spans="1:2">
      <c r="A2371" t="s">
        <v>2264</v>
      </c>
      <c r="B2371">
        <v>12</v>
      </c>
    </row>
    <row r="2372" spans="1:2">
      <c r="A2372" t="s">
        <v>2265</v>
      </c>
      <c r="B2372">
        <v>19</v>
      </c>
    </row>
    <row r="2373" spans="1:2">
      <c r="A2373" t="s">
        <v>2266</v>
      </c>
      <c r="B2373">
        <v>11</v>
      </c>
    </row>
    <row r="2374" spans="1:2">
      <c r="A2374" t="s">
        <v>2267</v>
      </c>
      <c r="B2374">
        <v>9</v>
      </c>
    </row>
    <row r="2375" spans="1:2">
      <c r="A2375" t="s">
        <v>2268</v>
      </c>
      <c r="B2375">
        <v>14</v>
      </c>
    </row>
    <row r="2376" spans="1:2">
      <c r="A2376" t="s">
        <v>2269</v>
      </c>
      <c r="B2376">
        <v>10</v>
      </c>
    </row>
    <row r="2377" spans="1:2">
      <c r="A2377" t="s">
        <v>2270</v>
      </c>
      <c r="B2377">
        <v>9</v>
      </c>
    </row>
    <row r="2378" spans="1:2">
      <c r="A2378" t="s">
        <v>2271</v>
      </c>
      <c r="B2378">
        <v>12</v>
      </c>
    </row>
    <row r="2379" spans="1:2">
      <c r="A2379" t="s">
        <v>2272</v>
      </c>
      <c r="B2379">
        <v>8</v>
      </c>
    </row>
    <row r="2380" spans="1:2">
      <c r="A2380" t="s">
        <v>2273</v>
      </c>
      <c r="B2380">
        <v>9</v>
      </c>
    </row>
    <row r="2381" spans="1:2">
      <c r="A2381" t="s">
        <v>2274</v>
      </c>
      <c r="B2381">
        <v>17</v>
      </c>
    </row>
    <row r="2382" spans="1:2">
      <c r="A2382" t="s">
        <v>2275</v>
      </c>
      <c r="B2382">
        <v>7</v>
      </c>
    </row>
    <row r="2383" spans="1:2">
      <c r="A2383" t="s">
        <v>2276</v>
      </c>
      <c r="B2383">
        <v>6</v>
      </c>
    </row>
    <row r="2384" spans="1:2">
      <c r="A2384" t="s">
        <v>2277</v>
      </c>
      <c r="B2384">
        <v>8</v>
      </c>
    </row>
    <row r="2385" spans="1:2">
      <c r="A2385" t="s">
        <v>2278</v>
      </c>
      <c r="B2385">
        <v>10</v>
      </c>
    </row>
    <row r="2386" spans="1:2">
      <c r="A2386" t="s">
        <v>2279</v>
      </c>
      <c r="B2386">
        <v>12</v>
      </c>
    </row>
    <row r="2387" spans="1:2">
      <c r="A2387" t="s">
        <v>2280</v>
      </c>
      <c r="B2387">
        <v>28</v>
      </c>
    </row>
    <row r="2388" spans="1:2">
      <c r="A2388" t="s">
        <v>2281</v>
      </c>
      <c r="B2388">
        <v>18</v>
      </c>
    </row>
    <row r="2389" spans="1:2">
      <c r="A2389" t="s">
        <v>2282</v>
      </c>
      <c r="B2389">
        <v>15</v>
      </c>
    </row>
    <row r="2390" spans="1:2">
      <c r="A2390" t="s">
        <v>2283</v>
      </c>
      <c r="B2390">
        <v>22</v>
      </c>
    </row>
    <row r="2391" spans="1:2">
      <c r="A2391" t="s">
        <v>2284</v>
      </c>
      <c r="B2391">
        <v>16</v>
      </c>
    </row>
    <row r="2392" spans="1:2">
      <c r="A2392" t="s">
        <v>2285</v>
      </c>
      <c r="B2392">
        <v>14</v>
      </c>
    </row>
    <row r="2393" spans="1:2">
      <c r="A2393" t="s">
        <v>2286</v>
      </c>
      <c r="B2393">
        <v>18</v>
      </c>
    </row>
    <row r="2394" spans="1:2">
      <c r="A2394" t="s">
        <v>2287</v>
      </c>
      <c r="B2394">
        <v>13</v>
      </c>
    </row>
    <row r="2395" spans="1:2">
      <c r="A2395" t="s">
        <v>2288</v>
      </c>
      <c r="B2395">
        <v>13</v>
      </c>
    </row>
    <row r="2396" spans="1:2">
      <c r="A2396" t="s">
        <v>2289</v>
      </c>
      <c r="B2396">
        <v>21</v>
      </c>
    </row>
    <row r="2397" spans="1:2">
      <c r="A2397" t="s">
        <v>2290</v>
      </c>
      <c r="B2397">
        <v>12</v>
      </c>
    </row>
    <row r="2398" spans="1:2">
      <c r="A2398" t="s">
        <v>2291</v>
      </c>
      <c r="B2398">
        <v>10</v>
      </c>
    </row>
    <row r="2399" spans="1:2">
      <c r="A2399" t="s">
        <v>2292</v>
      </c>
      <c r="B2399">
        <v>11</v>
      </c>
    </row>
    <row r="2400" spans="1:2">
      <c r="A2400" t="s">
        <v>2293</v>
      </c>
      <c r="B2400">
        <v>13</v>
      </c>
    </row>
    <row r="2401" spans="1:2">
      <c r="A2401" t="s">
        <v>2294</v>
      </c>
      <c r="B2401">
        <v>16</v>
      </c>
    </row>
    <row r="2402" spans="1:2">
      <c r="A2402" t="s">
        <v>2295</v>
      </c>
      <c r="B2402">
        <v>25</v>
      </c>
    </row>
    <row r="2403" spans="1:2">
      <c r="A2403" t="s">
        <v>2296</v>
      </c>
      <c r="B2403">
        <v>17</v>
      </c>
    </row>
    <row r="2404" spans="1:2">
      <c r="A2404" t="s">
        <v>2297</v>
      </c>
      <c r="B2404">
        <v>14</v>
      </c>
    </row>
    <row r="2405" spans="1:2">
      <c r="A2405" t="s">
        <v>2298</v>
      </c>
      <c r="B2405">
        <v>20</v>
      </c>
    </row>
    <row r="2406" spans="1:2">
      <c r="A2406" t="s">
        <v>2299</v>
      </c>
      <c r="B2406">
        <v>15</v>
      </c>
    </row>
    <row r="2407" spans="1:2">
      <c r="A2407" t="s">
        <v>2300</v>
      </c>
      <c r="B2407">
        <v>13</v>
      </c>
    </row>
    <row r="2408" spans="1:2">
      <c r="A2408" t="s">
        <v>2301</v>
      </c>
      <c r="B2408">
        <v>17</v>
      </c>
    </row>
    <row r="2409" spans="1:2">
      <c r="A2409" t="s">
        <v>2302</v>
      </c>
      <c r="B2409">
        <v>12</v>
      </c>
    </row>
    <row r="2410" spans="1:2">
      <c r="A2410" t="s">
        <v>2303</v>
      </c>
      <c r="B2410">
        <v>12</v>
      </c>
    </row>
    <row r="2411" spans="1:2">
      <c r="A2411" t="s">
        <v>2304</v>
      </c>
      <c r="B2411">
        <v>20</v>
      </c>
    </row>
    <row r="2412" spans="1:2">
      <c r="A2412" t="s">
        <v>2305</v>
      </c>
      <c r="B2412">
        <v>11</v>
      </c>
    </row>
    <row r="2413" spans="1:2">
      <c r="A2413" t="s">
        <v>2306</v>
      </c>
      <c r="B2413">
        <v>9</v>
      </c>
    </row>
    <row r="2414" spans="1:2">
      <c r="A2414" t="s">
        <v>2307</v>
      </c>
      <c r="B2414">
        <v>10</v>
      </c>
    </row>
    <row r="2415" spans="1:2">
      <c r="A2415" t="s">
        <v>2308</v>
      </c>
      <c r="B2415">
        <v>12</v>
      </c>
    </row>
    <row r="2416" spans="1:2">
      <c r="A2416" t="s">
        <v>2309</v>
      </c>
      <c r="B2416">
        <v>15</v>
      </c>
    </row>
    <row r="2417" spans="1:2">
      <c r="A2417" t="s">
        <v>2310</v>
      </c>
      <c r="B2417">
        <v>24</v>
      </c>
    </row>
    <row r="2418" spans="1:2">
      <c r="A2418" t="s">
        <v>2311</v>
      </c>
      <c r="B2418">
        <v>16</v>
      </c>
    </row>
    <row r="2419" spans="1:2">
      <c r="A2419" t="s">
        <v>2312</v>
      </c>
      <c r="B2419">
        <v>13</v>
      </c>
    </row>
    <row r="2420" spans="1:2">
      <c r="A2420" t="s">
        <v>2313</v>
      </c>
      <c r="B2420">
        <v>19</v>
      </c>
    </row>
    <row r="2421" spans="1:2">
      <c r="A2421" t="s">
        <v>2314</v>
      </c>
      <c r="B2421">
        <v>14</v>
      </c>
    </row>
    <row r="2422" spans="1:2">
      <c r="A2422" t="s">
        <v>2315</v>
      </c>
      <c r="B2422">
        <v>12</v>
      </c>
    </row>
    <row r="2423" spans="1:2">
      <c r="A2423" t="s">
        <v>2316</v>
      </c>
      <c r="B2423">
        <v>16</v>
      </c>
    </row>
    <row r="2424" spans="1:2">
      <c r="A2424" t="s">
        <v>2317</v>
      </c>
      <c r="B2424">
        <v>11</v>
      </c>
    </row>
    <row r="2425" spans="1:2">
      <c r="A2425" t="s">
        <v>2318</v>
      </c>
      <c r="B2425">
        <v>12</v>
      </c>
    </row>
    <row r="2426" spans="1:2">
      <c r="A2426" t="s">
        <v>2319</v>
      </c>
      <c r="B2426">
        <v>19</v>
      </c>
    </row>
    <row r="2427" spans="1:2">
      <c r="A2427" t="s">
        <v>2320</v>
      </c>
      <c r="B2427">
        <v>10</v>
      </c>
    </row>
    <row r="2428" spans="1:2">
      <c r="A2428" t="s">
        <v>2321</v>
      </c>
      <c r="B2428">
        <v>8</v>
      </c>
    </row>
    <row r="2429" spans="1:2">
      <c r="A2429" t="s">
        <v>2322</v>
      </c>
      <c r="B2429">
        <v>10</v>
      </c>
    </row>
    <row r="2430" spans="1:2">
      <c r="A2430" t="s">
        <v>2323</v>
      </c>
      <c r="B2430">
        <v>12</v>
      </c>
    </row>
    <row r="2431" spans="1:2">
      <c r="A2431" t="s">
        <v>2324</v>
      </c>
      <c r="B2431">
        <v>14</v>
      </c>
    </row>
    <row r="2432" spans="1:2">
      <c r="A2432" t="s">
        <v>2325</v>
      </c>
      <c r="B2432">
        <v>23</v>
      </c>
    </row>
    <row r="2433" spans="1:2">
      <c r="A2433" t="s">
        <v>2326</v>
      </c>
      <c r="B2433">
        <v>16</v>
      </c>
    </row>
    <row r="2434" spans="1:2">
      <c r="A2434" t="s">
        <v>2327</v>
      </c>
      <c r="B2434">
        <v>13</v>
      </c>
    </row>
    <row r="2435" spans="1:2">
      <c r="A2435" t="s">
        <v>2328</v>
      </c>
      <c r="B2435">
        <v>19</v>
      </c>
    </row>
    <row r="2436" spans="1:2">
      <c r="A2436" t="s">
        <v>2329</v>
      </c>
      <c r="B2436">
        <v>14</v>
      </c>
    </row>
    <row r="2437" spans="1:2">
      <c r="A2437" t="s">
        <v>2330</v>
      </c>
      <c r="B2437">
        <v>12</v>
      </c>
    </row>
    <row r="2438" spans="1:2">
      <c r="A2438" t="s">
        <v>2331</v>
      </c>
      <c r="B2438">
        <v>16</v>
      </c>
    </row>
    <row r="2439" spans="1:2">
      <c r="A2439" t="s">
        <v>2332</v>
      </c>
      <c r="B2439">
        <v>11</v>
      </c>
    </row>
    <row r="2440" spans="1:2">
      <c r="A2440" t="s">
        <v>2333</v>
      </c>
      <c r="B2440">
        <v>12</v>
      </c>
    </row>
    <row r="2441" spans="1:2">
      <c r="A2441" t="s">
        <v>2334</v>
      </c>
      <c r="B2441">
        <v>19</v>
      </c>
    </row>
    <row r="2442" spans="1:2">
      <c r="A2442" t="s">
        <v>2335</v>
      </c>
      <c r="B2442">
        <v>10</v>
      </c>
    </row>
    <row r="2443" spans="1:2">
      <c r="A2443" t="s">
        <v>2336</v>
      </c>
      <c r="B2443">
        <v>8</v>
      </c>
    </row>
    <row r="2444" spans="1:2">
      <c r="A2444" t="s">
        <v>2337</v>
      </c>
      <c r="B2444">
        <v>10</v>
      </c>
    </row>
    <row r="2445" spans="1:2">
      <c r="A2445" t="s">
        <v>2338</v>
      </c>
      <c r="B2445">
        <v>12</v>
      </c>
    </row>
    <row r="2446" spans="1:2">
      <c r="A2446" t="s">
        <v>2339</v>
      </c>
      <c r="B2446">
        <v>14</v>
      </c>
    </row>
    <row r="2447" spans="1:2">
      <c r="A2447" t="s">
        <v>2340</v>
      </c>
      <c r="B2447">
        <v>22</v>
      </c>
    </row>
    <row r="2448" spans="1:2">
      <c r="A2448" t="s">
        <v>2341</v>
      </c>
      <c r="B2448">
        <v>15</v>
      </c>
    </row>
    <row r="2449" spans="1:2">
      <c r="A2449" t="s">
        <v>2342</v>
      </c>
      <c r="B2449">
        <v>12</v>
      </c>
    </row>
    <row r="2450" spans="1:2">
      <c r="A2450" t="s">
        <v>2343</v>
      </c>
      <c r="B2450">
        <v>18</v>
      </c>
    </row>
    <row r="2451" spans="1:2">
      <c r="A2451" t="s">
        <v>2344</v>
      </c>
      <c r="B2451">
        <v>13</v>
      </c>
    </row>
    <row r="2452" spans="1:2">
      <c r="A2452" t="s">
        <v>2345</v>
      </c>
      <c r="B2452">
        <v>11</v>
      </c>
    </row>
    <row r="2453" spans="1:2">
      <c r="A2453" t="s">
        <v>2346</v>
      </c>
      <c r="B2453">
        <v>15</v>
      </c>
    </row>
    <row r="2454" spans="1:2">
      <c r="A2454" t="s">
        <v>2347</v>
      </c>
      <c r="B2454">
        <v>10</v>
      </c>
    </row>
    <row r="2455" spans="1:2">
      <c r="A2455" t="s">
        <v>2348</v>
      </c>
      <c r="B2455">
        <v>11</v>
      </c>
    </row>
    <row r="2456" spans="1:2">
      <c r="A2456" t="s">
        <v>2349</v>
      </c>
      <c r="B2456">
        <v>18</v>
      </c>
    </row>
    <row r="2457" spans="1:2">
      <c r="A2457" t="s">
        <v>2350</v>
      </c>
      <c r="B2457">
        <v>9</v>
      </c>
    </row>
    <row r="2458" spans="1:2">
      <c r="A2458" t="s">
        <v>2351</v>
      </c>
      <c r="B2458">
        <v>7</v>
      </c>
    </row>
    <row r="2459" spans="1:2">
      <c r="A2459" t="s">
        <v>2352</v>
      </c>
      <c r="B2459">
        <v>9</v>
      </c>
    </row>
    <row r="2460" spans="1:2">
      <c r="A2460" t="s">
        <v>2353</v>
      </c>
      <c r="B2460">
        <v>11</v>
      </c>
    </row>
    <row r="2461" spans="1:2">
      <c r="A2461" t="s">
        <v>2354</v>
      </c>
      <c r="B2461">
        <v>13</v>
      </c>
    </row>
    <row r="2462" spans="1:2">
      <c r="A2462" t="s">
        <v>2355</v>
      </c>
      <c r="B2462">
        <v>20</v>
      </c>
    </row>
    <row r="2463" spans="1:2">
      <c r="A2463" t="s">
        <v>2356</v>
      </c>
      <c r="B2463">
        <v>12</v>
      </c>
    </row>
    <row r="2464" spans="1:2">
      <c r="A2464" t="s">
        <v>2357</v>
      </c>
      <c r="B2464">
        <v>9</v>
      </c>
    </row>
    <row r="2465" spans="1:2">
      <c r="A2465" t="s">
        <v>2358</v>
      </c>
      <c r="B2465">
        <v>15</v>
      </c>
    </row>
    <row r="2466" spans="1:2">
      <c r="A2466" t="s">
        <v>2359</v>
      </c>
      <c r="B2466">
        <v>11</v>
      </c>
    </row>
    <row r="2467" spans="1:2">
      <c r="A2467" t="s">
        <v>2360</v>
      </c>
      <c r="B2467">
        <v>9</v>
      </c>
    </row>
    <row r="2468" spans="1:2">
      <c r="A2468" t="s">
        <v>2361</v>
      </c>
      <c r="B2468">
        <v>13</v>
      </c>
    </row>
    <row r="2469" spans="1:2">
      <c r="A2469" t="s">
        <v>2362</v>
      </c>
      <c r="B2469">
        <v>9</v>
      </c>
    </row>
    <row r="2470" spans="1:2">
      <c r="A2470" t="s">
        <v>2363</v>
      </c>
      <c r="B2470">
        <v>10</v>
      </c>
    </row>
    <row r="2471" spans="1:2">
      <c r="A2471" t="s">
        <v>2364</v>
      </c>
      <c r="B2471">
        <v>17</v>
      </c>
    </row>
    <row r="2472" spans="1:2">
      <c r="A2472" t="s">
        <v>2365</v>
      </c>
      <c r="B2472">
        <v>7</v>
      </c>
    </row>
    <row r="2473" spans="1:2">
      <c r="A2473" t="s">
        <v>2366</v>
      </c>
      <c r="B2473">
        <v>6</v>
      </c>
    </row>
    <row r="2474" spans="1:2">
      <c r="A2474" t="s">
        <v>2367</v>
      </c>
      <c r="B2474">
        <v>8</v>
      </c>
    </row>
    <row r="2475" spans="1:2">
      <c r="A2475" t="s">
        <v>2368</v>
      </c>
      <c r="B2475">
        <v>10</v>
      </c>
    </row>
    <row r="2476" spans="1:2">
      <c r="A2476" t="s">
        <v>2369</v>
      </c>
      <c r="B2476">
        <v>12</v>
      </c>
    </row>
    <row r="2477" spans="1:2">
      <c r="A2477" t="s">
        <v>2370</v>
      </c>
      <c r="B2477">
        <v>19</v>
      </c>
    </row>
    <row r="2478" spans="1:2">
      <c r="A2478" t="s">
        <v>2371</v>
      </c>
      <c r="B2478">
        <v>11</v>
      </c>
    </row>
    <row r="2479" spans="1:2">
      <c r="A2479" t="s">
        <v>2372</v>
      </c>
      <c r="B2479">
        <v>9</v>
      </c>
    </row>
    <row r="2480" spans="1:2">
      <c r="A2480" t="s">
        <v>2373</v>
      </c>
      <c r="B2480">
        <v>14</v>
      </c>
    </row>
    <row r="2481" spans="1:2">
      <c r="A2481" t="s">
        <v>2374</v>
      </c>
      <c r="B2481">
        <v>10</v>
      </c>
    </row>
    <row r="2482" spans="1:2">
      <c r="A2482" t="s">
        <v>2375</v>
      </c>
      <c r="B2482">
        <v>9</v>
      </c>
    </row>
    <row r="2483" spans="1:2">
      <c r="A2483" t="s">
        <v>2376</v>
      </c>
      <c r="B2483">
        <v>12</v>
      </c>
    </row>
    <row r="2484" spans="1:2">
      <c r="A2484" t="s">
        <v>2377</v>
      </c>
      <c r="B2484">
        <v>8</v>
      </c>
    </row>
    <row r="2485" spans="1:2">
      <c r="A2485" t="s">
        <v>2378</v>
      </c>
      <c r="B2485">
        <v>9</v>
      </c>
    </row>
    <row r="2486" spans="1:2">
      <c r="A2486" t="s">
        <v>2379</v>
      </c>
      <c r="B2486">
        <v>17</v>
      </c>
    </row>
    <row r="2487" spans="1:2">
      <c r="A2487" t="s">
        <v>2380</v>
      </c>
      <c r="B2487">
        <v>7</v>
      </c>
    </row>
    <row r="2488" spans="1:2">
      <c r="A2488" t="s">
        <v>2381</v>
      </c>
      <c r="B2488">
        <v>6</v>
      </c>
    </row>
    <row r="2489" spans="1:2">
      <c r="A2489" t="s">
        <v>2382</v>
      </c>
      <c r="B2489">
        <v>8</v>
      </c>
    </row>
    <row r="2490" spans="1:2">
      <c r="A2490" t="s">
        <v>2383</v>
      </c>
      <c r="B2490">
        <v>10</v>
      </c>
    </row>
    <row r="2491" spans="1:2">
      <c r="A2491" t="s">
        <v>2384</v>
      </c>
      <c r="B2491">
        <v>12</v>
      </c>
    </row>
    <row r="2492" spans="1:2">
      <c r="A2492" t="s">
        <v>2385</v>
      </c>
      <c r="B2492">
        <v>28</v>
      </c>
    </row>
    <row r="2493" spans="1:2">
      <c r="A2493" t="s">
        <v>2386</v>
      </c>
      <c r="B2493">
        <v>18</v>
      </c>
    </row>
    <row r="2494" spans="1:2">
      <c r="A2494" t="s">
        <v>2387</v>
      </c>
      <c r="B2494">
        <v>15</v>
      </c>
    </row>
    <row r="2495" spans="1:2">
      <c r="A2495" t="s">
        <v>2388</v>
      </c>
      <c r="B2495">
        <v>22</v>
      </c>
    </row>
    <row r="2496" spans="1:2">
      <c r="A2496" t="s">
        <v>2389</v>
      </c>
      <c r="B2496">
        <v>16</v>
      </c>
    </row>
    <row r="2497" spans="1:2">
      <c r="A2497" t="s">
        <v>2390</v>
      </c>
      <c r="B2497">
        <v>14</v>
      </c>
    </row>
    <row r="2498" spans="1:2">
      <c r="A2498" t="s">
        <v>2391</v>
      </c>
      <c r="B2498">
        <v>18</v>
      </c>
    </row>
    <row r="2499" spans="1:2">
      <c r="A2499" t="s">
        <v>2392</v>
      </c>
      <c r="B2499">
        <v>13</v>
      </c>
    </row>
    <row r="2500" spans="1:2">
      <c r="A2500" t="s">
        <v>2393</v>
      </c>
      <c r="B2500">
        <v>13</v>
      </c>
    </row>
    <row r="2501" spans="1:2">
      <c r="A2501" t="s">
        <v>2394</v>
      </c>
      <c r="B2501">
        <v>21</v>
      </c>
    </row>
    <row r="2502" spans="1:2">
      <c r="A2502" t="s">
        <v>2395</v>
      </c>
      <c r="B2502">
        <v>12</v>
      </c>
    </row>
    <row r="2503" spans="1:2">
      <c r="A2503" t="s">
        <v>2396</v>
      </c>
      <c r="B2503">
        <v>10</v>
      </c>
    </row>
    <row r="2504" spans="1:2">
      <c r="A2504" t="s">
        <v>2397</v>
      </c>
      <c r="B2504">
        <v>11</v>
      </c>
    </row>
    <row r="2505" spans="1:2">
      <c r="A2505" t="s">
        <v>2398</v>
      </c>
      <c r="B2505">
        <v>13</v>
      </c>
    </row>
    <row r="2506" spans="1:2">
      <c r="A2506" t="s">
        <v>2399</v>
      </c>
      <c r="B2506">
        <v>16</v>
      </c>
    </row>
    <row r="2507" spans="1:2">
      <c r="A2507" t="s">
        <v>2400</v>
      </c>
      <c r="B2507">
        <v>25</v>
      </c>
    </row>
    <row r="2508" spans="1:2">
      <c r="A2508" t="s">
        <v>2401</v>
      </c>
      <c r="B2508">
        <v>17</v>
      </c>
    </row>
    <row r="2509" spans="1:2">
      <c r="A2509" t="s">
        <v>2402</v>
      </c>
      <c r="B2509">
        <v>14</v>
      </c>
    </row>
    <row r="2510" spans="1:2">
      <c r="A2510" t="s">
        <v>2403</v>
      </c>
      <c r="B2510">
        <v>20</v>
      </c>
    </row>
    <row r="2511" spans="1:2">
      <c r="A2511" t="s">
        <v>2404</v>
      </c>
      <c r="B2511">
        <v>15</v>
      </c>
    </row>
    <row r="2512" spans="1:2">
      <c r="A2512" t="s">
        <v>2405</v>
      </c>
      <c r="B2512">
        <v>13</v>
      </c>
    </row>
    <row r="2513" spans="1:2">
      <c r="A2513" t="s">
        <v>2406</v>
      </c>
      <c r="B2513">
        <v>17</v>
      </c>
    </row>
    <row r="2514" spans="1:2">
      <c r="A2514" t="s">
        <v>2407</v>
      </c>
      <c r="B2514">
        <v>12</v>
      </c>
    </row>
    <row r="2515" spans="1:2">
      <c r="A2515" t="s">
        <v>2408</v>
      </c>
      <c r="B2515">
        <v>12</v>
      </c>
    </row>
    <row r="2516" spans="1:2">
      <c r="A2516" t="s">
        <v>2409</v>
      </c>
      <c r="B2516">
        <v>20</v>
      </c>
    </row>
    <row r="2517" spans="1:2">
      <c r="A2517" t="s">
        <v>2410</v>
      </c>
      <c r="B2517">
        <v>11</v>
      </c>
    </row>
    <row r="2518" spans="1:2">
      <c r="A2518" t="s">
        <v>2411</v>
      </c>
      <c r="B2518">
        <v>9</v>
      </c>
    </row>
    <row r="2519" spans="1:2">
      <c r="A2519" t="s">
        <v>2412</v>
      </c>
      <c r="B2519">
        <v>10</v>
      </c>
    </row>
    <row r="2520" spans="1:2">
      <c r="A2520" t="s">
        <v>2413</v>
      </c>
      <c r="B2520">
        <v>12</v>
      </c>
    </row>
    <row r="2521" spans="1:2">
      <c r="A2521" t="s">
        <v>2414</v>
      </c>
      <c r="B2521">
        <v>15</v>
      </c>
    </row>
    <row r="2522" spans="1:2">
      <c r="A2522" t="s">
        <v>2415</v>
      </c>
      <c r="B2522">
        <v>24</v>
      </c>
    </row>
    <row r="2523" spans="1:2">
      <c r="A2523" t="s">
        <v>2416</v>
      </c>
      <c r="B2523">
        <v>16</v>
      </c>
    </row>
    <row r="2524" spans="1:2">
      <c r="A2524" t="s">
        <v>2417</v>
      </c>
      <c r="B2524">
        <v>13</v>
      </c>
    </row>
    <row r="2525" spans="1:2">
      <c r="A2525" t="s">
        <v>2418</v>
      </c>
      <c r="B2525">
        <v>19</v>
      </c>
    </row>
    <row r="2526" spans="1:2">
      <c r="A2526" t="s">
        <v>2419</v>
      </c>
      <c r="B2526">
        <v>14</v>
      </c>
    </row>
    <row r="2527" spans="1:2">
      <c r="A2527" t="s">
        <v>2420</v>
      </c>
      <c r="B2527">
        <v>12</v>
      </c>
    </row>
    <row r="2528" spans="1:2">
      <c r="A2528" t="s">
        <v>2421</v>
      </c>
      <c r="B2528">
        <v>16</v>
      </c>
    </row>
    <row r="2529" spans="1:2">
      <c r="A2529" t="s">
        <v>2422</v>
      </c>
      <c r="B2529">
        <v>11</v>
      </c>
    </row>
    <row r="2530" spans="1:2">
      <c r="A2530" t="s">
        <v>2423</v>
      </c>
      <c r="B2530">
        <v>12</v>
      </c>
    </row>
    <row r="2531" spans="1:2">
      <c r="A2531" t="s">
        <v>2424</v>
      </c>
      <c r="B2531">
        <v>19</v>
      </c>
    </row>
    <row r="2532" spans="1:2">
      <c r="A2532" t="s">
        <v>2425</v>
      </c>
      <c r="B2532">
        <v>10</v>
      </c>
    </row>
    <row r="2533" spans="1:2">
      <c r="A2533" t="s">
        <v>2426</v>
      </c>
      <c r="B2533">
        <v>8</v>
      </c>
    </row>
    <row r="2534" spans="1:2">
      <c r="A2534" t="s">
        <v>2427</v>
      </c>
      <c r="B2534">
        <v>10</v>
      </c>
    </row>
    <row r="2535" spans="1:2">
      <c r="A2535" t="s">
        <v>2428</v>
      </c>
      <c r="B2535">
        <v>12</v>
      </c>
    </row>
    <row r="2536" spans="1:2">
      <c r="A2536" t="s">
        <v>2429</v>
      </c>
      <c r="B2536">
        <v>14</v>
      </c>
    </row>
    <row r="2537" spans="1:2">
      <c r="A2537" t="s">
        <v>2430</v>
      </c>
      <c r="B2537">
        <v>23</v>
      </c>
    </row>
    <row r="2538" spans="1:2">
      <c r="A2538" t="s">
        <v>2431</v>
      </c>
      <c r="B2538">
        <v>16</v>
      </c>
    </row>
    <row r="2539" spans="1:2">
      <c r="A2539" t="s">
        <v>2432</v>
      </c>
      <c r="B2539">
        <v>13</v>
      </c>
    </row>
    <row r="2540" spans="1:2">
      <c r="A2540" t="s">
        <v>2433</v>
      </c>
      <c r="B2540">
        <v>19</v>
      </c>
    </row>
    <row r="2541" spans="1:2">
      <c r="A2541" t="s">
        <v>2434</v>
      </c>
      <c r="B2541">
        <v>14</v>
      </c>
    </row>
    <row r="2542" spans="1:2">
      <c r="A2542" t="s">
        <v>2435</v>
      </c>
      <c r="B2542">
        <v>12</v>
      </c>
    </row>
    <row r="2543" spans="1:2">
      <c r="A2543" t="s">
        <v>2436</v>
      </c>
      <c r="B2543">
        <v>16</v>
      </c>
    </row>
    <row r="2544" spans="1:2">
      <c r="A2544" t="s">
        <v>2437</v>
      </c>
      <c r="B2544">
        <v>11</v>
      </c>
    </row>
    <row r="2545" spans="1:2">
      <c r="A2545" t="s">
        <v>2438</v>
      </c>
      <c r="B2545">
        <v>12</v>
      </c>
    </row>
    <row r="2546" spans="1:2">
      <c r="A2546" t="s">
        <v>2439</v>
      </c>
      <c r="B2546">
        <v>19</v>
      </c>
    </row>
    <row r="2547" spans="1:2">
      <c r="A2547" t="s">
        <v>2440</v>
      </c>
      <c r="B2547">
        <v>10</v>
      </c>
    </row>
    <row r="2548" spans="1:2">
      <c r="A2548" t="s">
        <v>2441</v>
      </c>
      <c r="B2548">
        <v>8</v>
      </c>
    </row>
    <row r="2549" spans="1:2">
      <c r="A2549" t="s">
        <v>2442</v>
      </c>
      <c r="B2549">
        <v>10</v>
      </c>
    </row>
    <row r="2550" spans="1:2">
      <c r="A2550" t="s">
        <v>2443</v>
      </c>
      <c r="B2550">
        <v>12</v>
      </c>
    </row>
    <row r="2551" spans="1:2">
      <c r="A2551" t="s">
        <v>2444</v>
      </c>
      <c r="B2551">
        <v>14</v>
      </c>
    </row>
    <row r="2552" spans="1:2">
      <c r="A2552" t="s">
        <v>2445</v>
      </c>
      <c r="B2552">
        <v>22</v>
      </c>
    </row>
    <row r="2553" spans="1:2">
      <c r="A2553" t="s">
        <v>2446</v>
      </c>
      <c r="B2553">
        <v>15</v>
      </c>
    </row>
    <row r="2554" spans="1:2">
      <c r="A2554" t="s">
        <v>2447</v>
      </c>
      <c r="B2554">
        <v>12</v>
      </c>
    </row>
    <row r="2555" spans="1:2">
      <c r="A2555" t="s">
        <v>2448</v>
      </c>
      <c r="B2555">
        <v>18</v>
      </c>
    </row>
    <row r="2556" spans="1:2">
      <c r="A2556" t="s">
        <v>2449</v>
      </c>
      <c r="B2556">
        <v>13</v>
      </c>
    </row>
    <row r="2557" spans="1:2">
      <c r="A2557" t="s">
        <v>2450</v>
      </c>
      <c r="B2557">
        <v>11</v>
      </c>
    </row>
    <row r="2558" spans="1:2">
      <c r="A2558" t="s">
        <v>2451</v>
      </c>
      <c r="B2558">
        <v>15</v>
      </c>
    </row>
    <row r="2559" spans="1:2">
      <c r="A2559" t="s">
        <v>2452</v>
      </c>
      <c r="B2559">
        <v>10</v>
      </c>
    </row>
    <row r="2560" spans="1:2">
      <c r="A2560" t="s">
        <v>2453</v>
      </c>
      <c r="B2560">
        <v>11</v>
      </c>
    </row>
    <row r="2561" spans="1:2">
      <c r="A2561" t="s">
        <v>2454</v>
      </c>
      <c r="B2561">
        <v>18</v>
      </c>
    </row>
    <row r="2562" spans="1:2">
      <c r="A2562" t="s">
        <v>2455</v>
      </c>
      <c r="B2562">
        <v>9</v>
      </c>
    </row>
    <row r="2563" spans="1:2">
      <c r="A2563" t="s">
        <v>2456</v>
      </c>
      <c r="B2563">
        <v>7</v>
      </c>
    </row>
    <row r="2564" spans="1:2">
      <c r="A2564" t="s">
        <v>2457</v>
      </c>
      <c r="B2564">
        <v>9</v>
      </c>
    </row>
    <row r="2565" spans="1:2">
      <c r="A2565" t="s">
        <v>2458</v>
      </c>
      <c r="B2565">
        <v>11</v>
      </c>
    </row>
    <row r="2566" spans="1:2">
      <c r="A2566" t="s">
        <v>2459</v>
      </c>
      <c r="B2566">
        <v>13</v>
      </c>
    </row>
    <row r="2567" spans="1:2">
      <c r="A2567" t="s">
        <v>2460</v>
      </c>
      <c r="B2567">
        <v>20</v>
      </c>
    </row>
    <row r="2568" spans="1:2">
      <c r="A2568" t="s">
        <v>2461</v>
      </c>
      <c r="B2568">
        <v>12</v>
      </c>
    </row>
    <row r="2569" spans="1:2">
      <c r="A2569" t="s">
        <v>2462</v>
      </c>
      <c r="B2569">
        <v>9</v>
      </c>
    </row>
    <row r="2570" spans="1:2">
      <c r="A2570" t="s">
        <v>2463</v>
      </c>
      <c r="B2570">
        <v>15</v>
      </c>
    </row>
    <row r="2571" spans="1:2">
      <c r="A2571" t="s">
        <v>2464</v>
      </c>
      <c r="B2571">
        <v>11</v>
      </c>
    </row>
    <row r="2572" spans="1:2">
      <c r="A2572" t="s">
        <v>2465</v>
      </c>
      <c r="B2572">
        <v>9</v>
      </c>
    </row>
    <row r="2573" spans="1:2">
      <c r="A2573" t="s">
        <v>2466</v>
      </c>
      <c r="B2573">
        <v>13</v>
      </c>
    </row>
    <row r="2574" spans="1:2">
      <c r="A2574" t="s">
        <v>2467</v>
      </c>
      <c r="B2574">
        <v>9</v>
      </c>
    </row>
    <row r="2575" spans="1:2">
      <c r="A2575" t="s">
        <v>2468</v>
      </c>
      <c r="B2575">
        <v>10</v>
      </c>
    </row>
    <row r="2576" spans="1:2">
      <c r="A2576" t="s">
        <v>2469</v>
      </c>
      <c r="B2576">
        <v>17</v>
      </c>
    </row>
    <row r="2577" spans="1:2">
      <c r="A2577" t="s">
        <v>2470</v>
      </c>
      <c r="B2577">
        <v>7</v>
      </c>
    </row>
    <row r="2578" spans="1:2">
      <c r="A2578" t="s">
        <v>2471</v>
      </c>
      <c r="B2578">
        <v>6</v>
      </c>
    </row>
    <row r="2579" spans="1:2">
      <c r="A2579" t="s">
        <v>2472</v>
      </c>
      <c r="B2579">
        <v>8</v>
      </c>
    </row>
    <row r="2580" spans="1:2">
      <c r="A2580" t="s">
        <v>2473</v>
      </c>
      <c r="B2580">
        <v>10</v>
      </c>
    </row>
    <row r="2581" spans="1:2">
      <c r="A2581" t="s">
        <v>2474</v>
      </c>
      <c r="B2581">
        <v>12</v>
      </c>
    </row>
    <row r="2582" spans="1:2">
      <c r="A2582" t="s">
        <v>2475</v>
      </c>
      <c r="B2582">
        <v>19</v>
      </c>
    </row>
    <row r="2583" spans="1:2">
      <c r="A2583" t="s">
        <v>2476</v>
      </c>
      <c r="B2583">
        <v>11</v>
      </c>
    </row>
    <row r="2584" spans="1:2">
      <c r="A2584" t="s">
        <v>2477</v>
      </c>
      <c r="B2584">
        <v>9</v>
      </c>
    </row>
    <row r="2585" spans="1:2">
      <c r="A2585" t="s">
        <v>2478</v>
      </c>
      <c r="B2585">
        <v>14</v>
      </c>
    </row>
    <row r="2586" spans="1:2">
      <c r="A2586" t="s">
        <v>2479</v>
      </c>
      <c r="B2586">
        <v>10</v>
      </c>
    </row>
    <row r="2587" spans="1:2">
      <c r="A2587" t="s">
        <v>2480</v>
      </c>
      <c r="B2587">
        <v>9</v>
      </c>
    </row>
    <row r="2588" spans="1:2">
      <c r="A2588" t="s">
        <v>2481</v>
      </c>
      <c r="B2588">
        <v>12</v>
      </c>
    </row>
    <row r="2589" spans="1:2">
      <c r="A2589" t="s">
        <v>2482</v>
      </c>
      <c r="B2589">
        <v>8</v>
      </c>
    </row>
    <row r="2590" spans="1:2">
      <c r="A2590" t="s">
        <v>2483</v>
      </c>
      <c r="B2590">
        <v>9</v>
      </c>
    </row>
    <row r="2591" spans="1:2">
      <c r="A2591" t="s">
        <v>2484</v>
      </c>
      <c r="B2591">
        <v>17</v>
      </c>
    </row>
    <row r="2592" spans="1:2">
      <c r="A2592" t="s">
        <v>2485</v>
      </c>
      <c r="B2592">
        <v>7</v>
      </c>
    </row>
    <row r="2593" spans="1:2">
      <c r="A2593" t="s">
        <v>2486</v>
      </c>
      <c r="B2593">
        <v>6</v>
      </c>
    </row>
    <row r="2594" spans="1:2">
      <c r="A2594" t="s">
        <v>2487</v>
      </c>
      <c r="B2594">
        <v>8</v>
      </c>
    </row>
    <row r="2595" spans="1:2">
      <c r="A2595" t="s">
        <v>2488</v>
      </c>
      <c r="B2595">
        <v>10</v>
      </c>
    </row>
    <row r="2596" spans="1:2">
      <c r="A2596" t="s">
        <v>2489</v>
      </c>
      <c r="B2596">
        <v>12</v>
      </c>
    </row>
    <row r="2597" spans="1:2">
      <c r="A2597" t="s">
        <v>2490</v>
      </c>
      <c r="B2597">
        <v>28</v>
      </c>
    </row>
    <row r="2598" spans="1:2">
      <c r="A2598" t="s">
        <v>2491</v>
      </c>
      <c r="B2598">
        <v>18</v>
      </c>
    </row>
    <row r="2599" spans="1:2">
      <c r="A2599" t="s">
        <v>2492</v>
      </c>
      <c r="B2599">
        <v>15</v>
      </c>
    </row>
    <row r="2600" spans="1:2">
      <c r="A2600" t="s">
        <v>2493</v>
      </c>
      <c r="B2600">
        <v>22</v>
      </c>
    </row>
    <row r="2601" spans="1:2">
      <c r="A2601" t="s">
        <v>2494</v>
      </c>
      <c r="B2601">
        <v>16</v>
      </c>
    </row>
    <row r="2602" spans="1:2">
      <c r="A2602" t="s">
        <v>2495</v>
      </c>
      <c r="B2602">
        <v>14</v>
      </c>
    </row>
    <row r="2603" spans="1:2">
      <c r="A2603" t="s">
        <v>2496</v>
      </c>
      <c r="B2603">
        <v>18</v>
      </c>
    </row>
    <row r="2604" spans="1:2">
      <c r="A2604" t="s">
        <v>2497</v>
      </c>
      <c r="B2604">
        <v>13</v>
      </c>
    </row>
    <row r="2605" spans="1:2">
      <c r="A2605" t="s">
        <v>2498</v>
      </c>
      <c r="B2605">
        <v>13</v>
      </c>
    </row>
    <row r="2606" spans="1:2">
      <c r="A2606" t="s">
        <v>2499</v>
      </c>
      <c r="B2606">
        <v>21</v>
      </c>
    </row>
    <row r="2607" spans="1:2">
      <c r="A2607" t="s">
        <v>2500</v>
      </c>
      <c r="B2607">
        <v>12</v>
      </c>
    </row>
    <row r="2608" spans="1:2">
      <c r="A2608" t="s">
        <v>2501</v>
      </c>
      <c r="B2608">
        <v>10</v>
      </c>
    </row>
    <row r="2609" spans="1:2">
      <c r="A2609" t="s">
        <v>2502</v>
      </c>
      <c r="B2609">
        <v>11</v>
      </c>
    </row>
    <row r="2610" spans="1:2">
      <c r="A2610" t="s">
        <v>2503</v>
      </c>
      <c r="B2610">
        <v>13</v>
      </c>
    </row>
    <row r="2611" spans="1:2">
      <c r="A2611" t="s">
        <v>2504</v>
      </c>
      <c r="B2611">
        <v>16</v>
      </c>
    </row>
    <row r="2612" spans="1:2">
      <c r="A2612" t="s">
        <v>2505</v>
      </c>
      <c r="B2612">
        <v>25</v>
      </c>
    </row>
    <row r="2613" spans="1:2">
      <c r="A2613" t="s">
        <v>2506</v>
      </c>
      <c r="B2613">
        <v>17</v>
      </c>
    </row>
    <row r="2614" spans="1:2">
      <c r="A2614" t="s">
        <v>2507</v>
      </c>
      <c r="B2614">
        <v>14</v>
      </c>
    </row>
    <row r="2615" spans="1:2">
      <c r="A2615" t="s">
        <v>2508</v>
      </c>
      <c r="B2615">
        <v>20</v>
      </c>
    </row>
    <row r="2616" spans="1:2">
      <c r="A2616" t="s">
        <v>2509</v>
      </c>
      <c r="B2616">
        <v>15</v>
      </c>
    </row>
    <row r="2617" spans="1:2">
      <c r="A2617" t="s">
        <v>2510</v>
      </c>
      <c r="B2617">
        <v>13</v>
      </c>
    </row>
    <row r="2618" spans="1:2">
      <c r="A2618" t="s">
        <v>2511</v>
      </c>
      <c r="B2618">
        <v>17</v>
      </c>
    </row>
    <row r="2619" spans="1:2">
      <c r="A2619" t="s">
        <v>2512</v>
      </c>
      <c r="B2619">
        <v>12</v>
      </c>
    </row>
    <row r="2620" spans="1:2">
      <c r="A2620" t="s">
        <v>2513</v>
      </c>
      <c r="B2620">
        <v>12</v>
      </c>
    </row>
    <row r="2621" spans="1:2">
      <c r="A2621" t="s">
        <v>2514</v>
      </c>
      <c r="B2621">
        <v>20</v>
      </c>
    </row>
    <row r="2622" spans="1:2">
      <c r="A2622" t="s">
        <v>2515</v>
      </c>
      <c r="B2622">
        <v>11</v>
      </c>
    </row>
    <row r="2623" spans="1:2">
      <c r="A2623" t="s">
        <v>2516</v>
      </c>
      <c r="B2623">
        <v>9</v>
      </c>
    </row>
    <row r="2624" spans="1:2">
      <c r="A2624" t="s">
        <v>2517</v>
      </c>
      <c r="B2624">
        <v>10</v>
      </c>
    </row>
    <row r="2625" spans="1:2">
      <c r="A2625" t="s">
        <v>2518</v>
      </c>
      <c r="B2625">
        <v>12</v>
      </c>
    </row>
    <row r="2626" spans="1:2">
      <c r="A2626" t="s">
        <v>2519</v>
      </c>
      <c r="B2626">
        <v>15</v>
      </c>
    </row>
    <row r="2627" spans="1:2">
      <c r="A2627" t="s">
        <v>2520</v>
      </c>
      <c r="B2627">
        <v>24</v>
      </c>
    </row>
    <row r="2628" spans="1:2">
      <c r="A2628" t="s">
        <v>2521</v>
      </c>
      <c r="B2628">
        <v>16</v>
      </c>
    </row>
    <row r="2629" spans="1:2">
      <c r="A2629" t="s">
        <v>2522</v>
      </c>
      <c r="B2629">
        <v>13</v>
      </c>
    </row>
    <row r="2630" spans="1:2">
      <c r="A2630" t="s">
        <v>2523</v>
      </c>
      <c r="B2630">
        <v>19</v>
      </c>
    </row>
    <row r="2631" spans="1:2">
      <c r="A2631" t="s">
        <v>2524</v>
      </c>
      <c r="B2631">
        <v>14</v>
      </c>
    </row>
    <row r="2632" spans="1:2">
      <c r="A2632" t="s">
        <v>2525</v>
      </c>
      <c r="B2632">
        <v>12</v>
      </c>
    </row>
    <row r="2633" spans="1:2">
      <c r="A2633" t="s">
        <v>2526</v>
      </c>
      <c r="B2633">
        <v>16</v>
      </c>
    </row>
    <row r="2634" spans="1:2">
      <c r="A2634" t="s">
        <v>2527</v>
      </c>
      <c r="B2634">
        <v>11</v>
      </c>
    </row>
    <row r="2635" spans="1:2">
      <c r="A2635" t="s">
        <v>2528</v>
      </c>
      <c r="B2635">
        <v>12</v>
      </c>
    </row>
    <row r="2636" spans="1:2">
      <c r="A2636" t="s">
        <v>2529</v>
      </c>
      <c r="B2636">
        <v>19</v>
      </c>
    </row>
    <row r="2637" spans="1:2">
      <c r="A2637" t="s">
        <v>2530</v>
      </c>
      <c r="B2637">
        <v>10</v>
      </c>
    </row>
    <row r="2638" spans="1:2">
      <c r="A2638" t="s">
        <v>2531</v>
      </c>
      <c r="B2638">
        <v>8</v>
      </c>
    </row>
    <row r="2639" spans="1:2">
      <c r="A2639" t="s">
        <v>2532</v>
      </c>
      <c r="B2639">
        <v>10</v>
      </c>
    </row>
    <row r="2640" spans="1:2">
      <c r="A2640" t="s">
        <v>2533</v>
      </c>
      <c r="B2640">
        <v>12</v>
      </c>
    </row>
    <row r="2641" spans="1:2">
      <c r="A2641" t="s">
        <v>2534</v>
      </c>
      <c r="B2641">
        <v>14</v>
      </c>
    </row>
    <row r="2642" spans="1:2">
      <c r="A2642" t="s">
        <v>2535</v>
      </c>
      <c r="B2642">
        <v>23</v>
      </c>
    </row>
    <row r="2643" spans="1:2">
      <c r="A2643" t="s">
        <v>2536</v>
      </c>
      <c r="B2643">
        <v>16</v>
      </c>
    </row>
    <row r="2644" spans="1:2">
      <c r="A2644" t="s">
        <v>2537</v>
      </c>
      <c r="B2644">
        <v>13</v>
      </c>
    </row>
    <row r="2645" spans="1:2">
      <c r="A2645" t="s">
        <v>2538</v>
      </c>
      <c r="B2645">
        <v>19</v>
      </c>
    </row>
    <row r="2646" spans="1:2">
      <c r="A2646" t="s">
        <v>2539</v>
      </c>
      <c r="B2646">
        <v>14</v>
      </c>
    </row>
    <row r="2647" spans="1:2">
      <c r="A2647" t="s">
        <v>2540</v>
      </c>
      <c r="B2647">
        <v>12</v>
      </c>
    </row>
    <row r="2648" spans="1:2">
      <c r="A2648" t="s">
        <v>2541</v>
      </c>
      <c r="B2648">
        <v>16</v>
      </c>
    </row>
    <row r="2649" spans="1:2">
      <c r="A2649" t="s">
        <v>2542</v>
      </c>
      <c r="B2649">
        <v>11</v>
      </c>
    </row>
    <row r="2650" spans="1:2">
      <c r="A2650" t="s">
        <v>2543</v>
      </c>
      <c r="B2650">
        <v>12</v>
      </c>
    </row>
    <row r="2651" spans="1:2">
      <c r="A2651" t="s">
        <v>2544</v>
      </c>
      <c r="B2651">
        <v>19</v>
      </c>
    </row>
    <row r="2652" spans="1:2">
      <c r="A2652" t="s">
        <v>2545</v>
      </c>
      <c r="B2652">
        <v>10</v>
      </c>
    </row>
    <row r="2653" spans="1:2">
      <c r="A2653" t="s">
        <v>2546</v>
      </c>
      <c r="B2653">
        <v>8</v>
      </c>
    </row>
    <row r="2654" spans="1:2">
      <c r="A2654" t="s">
        <v>2547</v>
      </c>
      <c r="B2654">
        <v>10</v>
      </c>
    </row>
    <row r="2655" spans="1:2">
      <c r="A2655" t="s">
        <v>2548</v>
      </c>
      <c r="B2655">
        <v>12</v>
      </c>
    </row>
    <row r="2656" spans="1:2">
      <c r="A2656" t="s">
        <v>2549</v>
      </c>
      <c r="B2656">
        <v>14</v>
      </c>
    </row>
    <row r="2657" spans="1:2">
      <c r="A2657" t="s">
        <v>2550</v>
      </c>
      <c r="B2657">
        <v>22</v>
      </c>
    </row>
    <row r="2658" spans="1:2">
      <c r="A2658" t="s">
        <v>2551</v>
      </c>
      <c r="B2658">
        <v>15</v>
      </c>
    </row>
    <row r="2659" spans="1:2">
      <c r="A2659" t="s">
        <v>2552</v>
      </c>
      <c r="B2659">
        <v>12</v>
      </c>
    </row>
    <row r="2660" spans="1:2">
      <c r="A2660" t="s">
        <v>2553</v>
      </c>
      <c r="B2660">
        <v>18</v>
      </c>
    </row>
    <row r="2661" spans="1:2">
      <c r="A2661" t="s">
        <v>2554</v>
      </c>
      <c r="B2661">
        <v>13</v>
      </c>
    </row>
    <row r="2662" spans="1:2">
      <c r="A2662" t="s">
        <v>2555</v>
      </c>
      <c r="B2662">
        <v>11</v>
      </c>
    </row>
    <row r="2663" spans="1:2">
      <c r="A2663" t="s">
        <v>2556</v>
      </c>
      <c r="B2663">
        <v>15</v>
      </c>
    </row>
    <row r="2664" spans="1:2">
      <c r="A2664" t="s">
        <v>2557</v>
      </c>
      <c r="B2664">
        <v>10</v>
      </c>
    </row>
    <row r="2665" spans="1:2">
      <c r="A2665" t="s">
        <v>2558</v>
      </c>
      <c r="B2665">
        <v>11</v>
      </c>
    </row>
    <row r="2666" spans="1:2">
      <c r="A2666" t="s">
        <v>2559</v>
      </c>
      <c r="B2666">
        <v>18</v>
      </c>
    </row>
    <row r="2667" spans="1:2">
      <c r="A2667" t="s">
        <v>2560</v>
      </c>
      <c r="B2667">
        <v>9</v>
      </c>
    </row>
    <row r="2668" spans="1:2">
      <c r="A2668" t="s">
        <v>2561</v>
      </c>
      <c r="B2668">
        <v>7</v>
      </c>
    </row>
    <row r="2669" spans="1:2">
      <c r="A2669" t="s">
        <v>2562</v>
      </c>
      <c r="B2669">
        <v>9</v>
      </c>
    </row>
    <row r="2670" spans="1:2">
      <c r="A2670" t="s">
        <v>2563</v>
      </c>
      <c r="B2670">
        <v>11</v>
      </c>
    </row>
    <row r="2671" spans="1:2">
      <c r="A2671" t="s">
        <v>2564</v>
      </c>
      <c r="B2671">
        <v>13</v>
      </c>
    </row>
    <row r="2672" spans="1:2">
      <c r="A2672" t="s">
        <v>2565</v>
      </c>
      <c r="B2672">
        <v>20</v>
      </c>
    </row>
    <row r="2673" spans="1:2">
      <c r="A2673" t="s">
        <v>2566</v>
      </c>
      <c r="B2673">
        <v>12</v>
      </c>
    </row>
    <row r="2674" spans="1:2">
      <c r="A2674" t="s">
        <v>2567</v>
      </c>
      <c r="B2674">
        <v>9</v>
      </c>
    </row>
    <row r="2675" spans="1:2">
      <c r="A2675" t="s">
        <v>2568</v>
      </c>
      <c r="B2675">
        <v>15</v>
      </c>
    </row>
    <row r="2676" spans="1:2">
      <c r="A2676" t="s">
        <v>2569</v>
      </c>
      <c r="B2676">
        <v>11</v>
      </c>
    </row>
    <row r="2677" spans="1:2">
      <c r="A2677" t="s">
        <v>2570</v>
      </c>
      <c r="B2677">
        <v>9</v>
      </c>
    </row>
    <row r="2678" spans="1:2">
      <c r="A2678" t="s">
        <v>2571</v>
      </c>
      <c r="B2678">
        <v>13</v>
      </c>
    </row>
    <row r="2679" spans="1:2">
      <c r="A2679" t="s">
        <v>2572</v>
      </c>
      <c r="B2679">
        <v>9</v>
      </c>
    </row>
    <row r="2680" spans="1:2">
      <c r="A2680" t="s">
        <v>2573</v>
      </c>
      <c r="B2680">
        <v>10</v>
      </c>
    </row>
    <row r="2681" spans="1:2">
      <c r="A2681" t="s">
        <v>2574</v>
      </c>
      <c r="B2681">
        <v>17</v>
      </c>
    </row>
    <row r="2682" spans="1:2">
      <c r="A2682" t="s">
        <v>2575</v>
      </c>
      <c r="B2682">
        <v>7</v>
      </c>
    </row>
    <row r="2683" spans="1:2">
      <c r="A2683" t="s">
        <v>2576</v>
      </c>
      <c r="B2683">
        <v>6</v>
      </c>
    </row>
    <row r="2684" spans="1:2">
      <c r="A2684" t="s">
        <v>2577</v>
      </c>
      <c r="B2684">
        <v>8</v>
      </c>
    </row>
    <row r="2685" spans="1:2">
      <c r="A2685" t="s">
        <v>2578</v>
      </c>
      <c r="B2685">
        <v>10</v>
      </c>
    </row>
    <row r="2686" spans="1:2">
      <c r="A2686" t="s">
        <v>2579</v>
      </c>
      <c r="B2686">
        <v>12</v>
      </c>
    </row>
    <row r="2687" spans="1:2">
      <c r="A2687" t="s">
        <v>2580</v>
      </c>
      <c r="B2687">
        <v>19</v>
      </c>
    </row>
    <row r="2688" spans="1:2">
      <c r="A2688" t="s">
        <v>2581</v>
      </c>
      <c r="B2688">
        <v>11</v>
      </c>
    </row>
    <row r="2689" spans="1:2">
      <c r="A2689" t="s">
        <v>2582</v>
      </c>
      <c r="B2689">
        <v>9</v>
      </c>
    </row>
    <row r="2690" spans="1:2">
      <c r="A2690" t="s">
        <v>2583</v>
      </c>
      <c r="B2690">
        <v>14</v>
      </c>
    </row>
    <row r="2691" spans="1:2">
      <c r="A2691" t="s">
        <v>2584</v>
      </c>
      <c r="B2691">
        <v>10</v>
      </c>
    </row>
    <row r="2692" spans="1:2">
      <c r="A2692" t="s">
        <v>2585</v>
      </c>
      <c r="B2692">
        <v>9</v>
      </c>
    </row>
    <row r="2693" spans="1:2">
      <c r="A2693" t="s">
        <v>2586</v>
      </c>
      <c r="B2693">
        <v>12</v>
      </c>
    </row>
    <row r="2694" spans="1:2">
      <c r="A2694" t="s">
        <v>2587</v>
      </c>
      <c r="B2694">
        <v>8</v>
      </c>
    </row>
    <row r="2695" spans="1:2">
      <c r="A2695" t="s">
        <v>2588</v>
      </c>
      <c r="B2695">
        <v>9</v>
      </c>
    </row>
    <row r="2696" spans="1:2">
      <c r="A2696" t="s">
        <v>2589</v>
      </c>
      <c r="B2696">
        <v>17</v>
      </c>
    </row>
    <row r="2697" spans="1:2">
      <c r="A2697" t="s">
        <v>2590</v>
      </c>
      <c r="B2697">
        <v>7</v>
      </c>
    </row>
    <row r="2698" spans="1:2">
      <c r="A2698" t="s">
        <v>2591</v>
      </c>
      <c r="B2698">
        <v>6</v>
      </c>
    </row>
    <row r="2699" spans="1:2">
      <c r="A2699" t="s">
        <v>2592</v>
      </c>
      <c r="B2699">
        <v>8</v>
      </c>
    </row>
    <row r="2700" spans="1:2">
      <c r="A2700" t="s">
        <v>2593</v>
      </c>
      <c r="B2700">
        <v>10</v>
      </c>
    </row>
    <row r="2701" spans="1:2">
      <c r="A2701" t="s">
        <v>2594</v>
      </c>
      <c r="B2701">
        <v>12</v>
      </c>
    </row>
    <row r="2702" spans="1:2">
      <c r="A2702" t="s">
        <v>2595</v>
      </c>
      <c r="B2702">
        <v>28</v>
      </c>
    </row>
    <row r="2703" spans="1:2">
      <c r="A2703" t="s">
        <v>2596</v>
      </c>
      <c r="B2703">
        <v>18</v>
      </c>
    </row>
    <row r="2704" spans="1:2">
      <c r="A2704" t="s">
        <v>2597</v>
      </c>
      <c r="B2704">
        <v>15</v>
      </c>
    </row>
    <row r="2705" spans="1:2">
      <c r="A2705" t="s">
        <v>2598</v>
      </c>
      <c r="B2705">
        <v>22</v>
      </c>
    </row>
    <row r="2706" spans="1:2">
      <c r="A2706" t="s">
        <v>2599</v>
      </c>
      <c r="B2706">
        <v>16</v>
      </c>
    </row>
    <row r="2707" spans="1:2">
      <c r="A2707" t="s">
        <v>2600</v>
      </c>
      <c r="B2707">
        <v>14</v>
      </c>
    </row>
    <row r="2708" spans="1:2">
      <c r="A2708" t="s">
        <v>2601</v>
      </c>
      <c r="B2708">
        <v>18</v>
      </c>
    </row>
    <row r="2709" spans="1:2">
      <c r="A2709" t="s">
        <v>2602</v>
      </c>
      <c r="B2709">
        <v>13</v>
      </c>
    </row>
    <row r="2710" spans="1:2">
      <c r="A2710" t="s">
        <v>2603</v>
      </c>
      <c r="B2710">
        <v>13</v>
      </c>
    </row>
    <row r="2711" spans="1:2">
      <c r="A2711" t="s">
        <v>2604</v>
      </c>
      <c r="B2711">
        <v>21</v>
      </c>
    </row>
    <row r="2712" spans="1:2">
      <c r="A2712" t="s">
        <v>2605</v>
      </c>
      <c r="B2712">
        <v>12</v>
      </c>
    </row>
    <row r="2713" spans="1:2">
      <c r="A2713" t="s">
        <v>2606</v>
      </c>
      <c r="B2713">
        <v>10</v>
      </c>
    </row>
    <row r="2714" spans="1:2">
      <c r="A2714" t="s">
        <v>2607</v>
      </c>
      <c r="B2714">
        <v>11</v>
      </c>
    </row>
    <row r="2715" spans="1:2">
      <c r="A2715" t="s">
        <v>2608</v>
      </c>
      <c r="B2715">
        <v>13</v>
      </c>
    </row>
    <row r="2716" spans="1:2">
      <c r="A2716" t="s">
        <v>2609</v>
      </c>
      <c r="B2716">
        <v>16</v>
      </c>
    </row>
    <row r="2717" spans="1:2">
      <c r="A2717" t="s">
        <v>2610</v>
      </c>
      <c r="B2717">
        <v>25</v>
      </c>
    </row>
    <row r="2718" spans="1:2">
      <c r="A2718" t="s">
        <v>2611</v>
      </c>
      <c r="B2718">
        <v>17</v>
      </c>
    </row>
    <row r="2719" spans="1:2">
      <c r="A2719" t="s">
        <v>2612</v>
      </c>
      <c r="B2719">
        <v>14</v>
      </c>
    </row>
    <row r="2720" spans="1:2">
      <c r="A2720" t="s">
        <v>2613</v>
      </c>
      <c r="B2720">
        <v>20</v>
      </c>
    </row>
    <row r="2721" spans="1:2">
      <c r="A2721" t="s">
        <v>2614</v>
      </c>
      <c r="B2721">
        <v>15</v>
      </c>
    </row>
    <row r="2722" spans="1:2">
      <c r="A2722" t="s">
        <v>2615</v>
      </c>
      <c r="B2722">
        <v>13</v>
      </c>
    </row>
    <row r="2723" spans="1:2">
      <c r="A2723" t="s">
        <v>2616</v>
      </c>
      <c r="B2723">
        <v>17</v>
      </c>
    </row>
    <row r="2724" spans="1:2">
      <c r="A2724" t="s">
        <v>2617</v>
      </c>
      <c r="B2724">
        <v>12</v>
      </c>
    </row>
    <row r="2725" spans="1:2">
      <c r="A2725" t="s">
        <v>2618</v>
      </c>
      <c r="B2725">
        <v>12</v>
      </c>
    </row>
    <row r="2726" spans="1:2">
      <c r="A2726" t="s">
        <v>2619</v>
      </c>
      <c r="B2726">
        <v>20</v>
      </c>
    </row>
    <row r="2727" spans="1:2">
      <c r="A2727" t="s">
        <v>2620</v>
      </c>
      <c r="B2727">
        <v>11</v>
      </c>
    </row>
    <row r="2728" spans="1:2">
      <c r="A2728" t="s">
        <v>2621</v>
      </c>
      <c r="B2728">
        <v>9</v>
      </c>
    </row>
    <row r="2729" spans="1:2">
      <c r="A2729" t="s">
        <v>2622</v>
      </c>
      <c r="B2729">
        <v>10</v>
      </c>
    </row>
    <row r="2730" spans="1:2">
      <c r="A2730" t="s">
        <v>2623</v>
      </c>
      <c r="B2730">
        <v>12</v>
      </c>
    </row>
    <row r="2731" spans="1:2">
      <c r="A2731" t="s">
        <v>2624</v>
      </c>
      <c r="B2731">
        <v>15</v>
      </c>
    </row>
    <row r="2732" spans="1:2">
      <c r="A2732" t="s">
        <v>2625</v>
      </c>
      <c r="B2732">
        <v>24</v>
      </c>
    </row>
    <row r="2733" spans="1:2">
      <c r="A2733" t="s">
        <v>2626</v>
      </c>
      <c r="B2733">
        <v>16</v>
      </c>
    </row>
    <row r="2734" spans="1:2">
      <c r="A2734" t="s">
        <v>2627</v>
      </c>
      <c r="B2734">
        <v>13</v>
      </c>
    </row>
    <row r="2735" spans="1:2">
      <c r="A2735" t="s">
        <v>2628</v>
      </c>
      <c r="B2735">
        <v>19</v>
      </c>
    </row>
    <row r="2736" spans="1:2">
      <c r="A2736" t="s">
        <v>2629</v>
      </c>
      <c r="B2736">
        <v>14</v>
      </c>
    </row>
    <row r="2737" spans="1:2">
      <c r="A2737" t="s">
        <v>2630</v>
      </c>
      <c r="B2737">
        <v>12</v>
      </c>
    </row>
    <row r="2738" spans="1:2">
      <c r="A2738" t="s">
        <v>2631</v>
      </c>
      <c r="B2738">
        <v>16</v>
      </c>
    </row>
    <row r="2739" spans="1:2">
      <c r="A2739" t="s">
        <v>2632</v>
      </c>
      <c r="B2739">
        <v>11</v>
      </c>
    </row>
    <row r="2740" spans="1:2">
      <c r="A2740" t="s">
        <v>2633</v>
      </c>
      <c r="B2740">
        <v>12</v>
      </c>
    </row>
    <row r="2741" spans="1:2">
      <c r="A2741" t="s">
        <v>2634</v>
      </c>
      <c r="B2741">
        <v>19</v>
      </c>
    </row>
    <row r="2742" spans="1:2">
      <c r="A2742" t="s">
        <v>2635</v>
      </c>
      <c r="B2742">
        <v>10</v>
      </c>
    </row>
    <row r="2743" spans="1:2">
      <c r="A2743" t="s">
        <v>2636</v>
      </c>
      <c r="B2743">
        <v>8</v>
      </c>
    </row>
    <row r="2744" spans="1:2">
      <c r="A2744" t="s">
        <v>2637</v>
      </c>
      <c r="B2744">
        <v>10</v>
      </c>
    </row>
    <row r="2745" spans="1:2">
      <c r="A2745" t="s">
        <v>2638</v>
      </c>
      <c r="B2745">
        <v>12</v>
      </c>
    </row>
    <row r="2746" spans="1:2">
      <c r="A2746" t="s">
        <v>2639</v>
      </c>
      <c r="B2746">
        <v>14</v>
      </c>
    </row>
    <row r="2747" spans="1:2">
      <c r="A2747" t="s">
        <v>2640</v>
      </c>
      <c r="B2747">
        <v>23</v>
      </c>
    </row>
    <row r="2748" spans="1:2">
      <c r="A2748" t="s">
        <v>2641</v>
      </c>
      <c r="B2748">
        <v>16</v>
      </c>
    </row>
    <row r="2749" spans="1:2">
      <c r="A2749" t="s">
        <v>2642</v>
      </c>
      <c r="B2749">
        <v>13</v>
      </c>
    </row>
    <row r="2750" spans="1:2">
      <c r="A2750" t="s">
        <v>2643</v>
      </c>
      <c r="B2750">
        <v>19</v>
      </c>
    </row>
    <row r="2751" spans="1:2">
      <c r="A2751" t="s">
        <v>2644</v>
      </c>
      <c r="B2751">
        <v>14</v>
      </c>
    </row>
    <row r="2752" spans="1:2">
      <c r="A2752" t="s">
        <v>2645</v>
      </c>
      <c r="B2752">
        <v>12</v>
      </c>
    </row>
    <row r="2753" spans="1:2">
      <c r="A2753" t="s">
        <v>2646</v>
      </c>
      <c r="B2753">
        <v>16</v>
      </c>
    </row>
    <row r="2754" spans="1:2">
      <c r="A2754" t="s">
        <v>2647</v>
      </c>
      <c r="B2754">
        <v>11</v>
      </c>
    </row>
    <row r="2755" spans="1:2">
      <c r="A2755" t="s">
        <v>2648</v>
      </c>
      <c r="B2755">
        <v>12</v>
      </c>
    </row>
    <row r="2756" spans="1:2">
      <c r="A2756" t="s">
        <v>2649</v>
      </c>
      <c r="B2756">
        <v>19</v>
      </c>
    </row>
    <row r="2757" spans="1:2">
      <c r="A2757" t="s">
        <v>2650</v>
      </c>
      <c r="B2757">
        <v>10</v>
      </c>
    </row>
    <row r="2758" spans="1:2">
      <c r="A2758" t="s">
        <v>2651</v>
      </c>
      <c r="B2758">
        <v>8</v>
      </c>
    </row>
    <row r="2759" spans="1:2">
      <c r="A2759" t="s">
        <v>2652</v>
      </c>
      <c r="B2759">
        <v>10</v>
      </c>
    </row>
    <row r="2760" spans="1:2">
      <c r="A2760" t="s">
        <v>2653</v>
      </c>
      <c r="B2760">
        <v>12</v>
      </c>
    </row>
    <row r="2761" spans="1:2">
      <c r="A2761" t="s">
        <v>2654</v>
      </c>
      <c r="B2761">
        <v>14</v>
      </c>
    </row>
    <row r="2762" spans="1:2">
      <c r="A2762" t="s">
        <v>2655</v>
      </c>
      <c r="B2762">
        <v>22</v>
      </c>
    </row>
    <row r="2763" spans="1:2">
      <c r="A2763" t="s">
        <v>2656</v>
      </c>
      <c r="B2763">
        <v>15</v>
      </c>
    </row>
    <row r="2764" spans="1:2">
      <c r="A2764" t="s">
        <v>2657</v>
      </c>
      <c r="B2764">
        <v>12</v>
      </c>
    </row>
    <row r="2765" spans="1:2">
      <c r="A2765" t="s">
        <v>2658</v>
      </c>
      <c r="B2765">
        <v>18</v>
      </c>
    </row>
    <row r="2766" spans="1:2">
      <c r="A2766" t="s">
        <v>2659</v>
      </c>
      <c r="B2766">
        <v>13</v>
      </c>
    </row>
    <row r="2767" spans="1:2">
      <c r="A2767" t="s">
        <v>2660</v>
      </c>
      <c r="B2767">
        <v>11</v>
      </c>
    </row>
    <row r="2768" spans="1:2">
      <c r="A2768" t="s">
        <v>2661</v>
      </c>
      <c r="B2768">
        <v>15</v>
      </c>
    </row>
    <row r="2769" spans="1:2">
      <c r="A2769" t="s">
        <v>2662</v>
      </c>
      <c r="B2769">
        <v>10</v>
      </c>
    </row>
    <row r="2770" spans="1:2">
      <c r="A2770" t="s">
        <v>2663</v>
      </c>
      <c r="B2770">
        <v>11</v>
      </c>
    </row>
    <row r="2771" spans="1:2">
      <c r="A2771" t="s">
        <v>2664</v>
      </c>
      <c r="B2771">
        <v>18</v>
      </c>
    </row>
    <row r="2772" spans="1:2">
      <c r="A2772" t="s">
        <v>2665</v>
      </c>
      <c r="B2772">
        <v>9</v>
      </c>
    </row>
    <row r="2773" spans="1:2">
      <c r="A2773" t="s">
        <v>2666</v>
      </c>
      <c r="B2773">
        <v>7</v>
      </c>
    </row>
    <row r="2774" spans="1:2">
      <c r="A2774" t="s">
        <v>2667</v>
      </c>
      <c r="B2774">
        <v>9</v>
      </c>
    </row>
    <row r="2775" spans="1:2">
      <c r="A2775" t="s">
        <v>2668</v>
      </c>
      <c r="B2775">
        <v>11</v>
      </c>
    </row>
    <row r="2776" spans="1:2">
      <c r="A2776" t="s">
        <v>2669</v>
      </c>
      <c r="B2776">
        <v>13</v>
      </c>
    </row>
    <row r="2777" spans="1:2">
      <c r="A2777" t="s">
        <v>2670</v>
      </c>
      <c r="B2777">
        <v>20</v>
      </c>
    </row>
    <row r="2778" spans="1:2">
      <c r="A2778" t="s">
        <v>2671</v>
      </c>
      <c r="B2778">
        <v>12</v>
      </c>
    </row>
    <row r="2779" spans="1:2">
      <c r="A2779" t="s">
        <v>2672</v>
      </c>
      <c r="B2779">
        <v>9</v>
      </c>
    </row>
    <row r="2780" spans="1:2">
      <c r="A2780" t="s">
        <v>2673</v>
      </c>
      <c r="B2780">
        <v>15</v>
      </c>
    </row>
    <row r="2781" spans="1:2">
      <c r="A2781" t="s">
        <v>2674</v>
      </c>
      <c r="B2781">
        <v>11</v>
      </c>
    </row>
    <row r="2782" spans="1:2">
      <c r="A2782" t="s">
        <v>2675</v>
      </c>
      <c r="B2782">
        <v>9</v>
      </c>
    </row>
    <row r="2783" spans="1:2">
      <c r="A2783" t="s">
        <v>2676</v>
      </c>
      <c r="B2783">
        <v>13</v>
      </c>
    </row>
    <row r="2784" spans="1:2">
      <c r="A2784" t="s">
        <v>2677</v>
      </c>
      <c r="B2784">
        <v>9</v>
      </c>
    </row>
    <row r="2785" spans="1:2">
      <c r="A2785" t="s">
        <v>2678</v>
      </c>
      <c r="B2785">
        <v>10</v>
      </c>
    </row>
    <row r="2786" spans="1:2">
      <c r="A2786" t="s">
        <v>2679</v>
      </c>
      <c r="B2786">
        <v>17</v>
      </c>
    </row>
    <row r="2787" spans="1:2">
      <c r="A2787" t="s">
        <v>2680</v>
      </c>
      <c r="B2787">
        <v>7</v>
      </c>
    </row>
    <row r="2788" spans="1:2">
      <c r="A2788" t="s">
        <v>2681</v>
      </c>
      <c r="B2788">
        <v>6</v>
      </c>
    </row>
    <row r="2789" spans="1:2">
      <c r="A2789" t="s">
        <v>2682</v>
      </c>
      <c r="B2789">
        <v>8</v>
      </c>
    </row>
    <row r="2790" spans="1:2">
      <c r="A2790" t="s">
        <v>2683</v>
      </c>
      <c r="B2790">
        <v>10</v>
      </c>
    </row>
    <row r="2791" spans="1:2">
      <c r="A2791" t="s">
        <v>2684</v>
      </c>
      <c r="B2791">
        <v>12</v>
      </c>
    </row>
    <row r="2792" spans="1:2">
      <c r="A2792" t="s">
        <v>2685</v>
      </c>
      <c r="B2792">
        <v>19</v>
      </c>
    </row>
    <row r="2793" spans="1:2">
      <c r="A2793" t="s">
        <v>2686</v>
      </c>
      <c r="B2793">
        <v>11</v>
      </c>
    </row>
    <row r="2794" spans="1:2">
      <c r="A2794" t="s">
        <v>2687</v>
      </c>
      <c r="B2794">
        <v>9</v>
      </c>
    </row>
    <row r="2795" spans="1:2">
      <c r="A2795" t="s">
        <v>2688</v>
      </c>
      <c r="B2795">
        <v>14</v>
      </c>
    </row>
    <row r="2796" spans="1:2">
      <c r="A2796" t="s">
        <v>2689</v>
      </c>
      <c r="B2796">
        <v>10</v>
      </c>
    </row>
    <row r="2797" spans="1:2">
      <c r="A2797" t="s">
        <v>2690</v>
      </c>
      <c r="B2797">
        <v>9</v>
      </c>
    </row>
    <row r="2798" spans="1:2">
      <c r="A2798" t="s">
        <v>2691</v>
      </c>
      <c r="B2798">
        <v>12</v>
      </c>
    </row>
    <row r="2799" spans="1:2">
      <c r="A2799" t="s">
        <v>2692</v>
      </c>
      <c r="B2799">
        <v>8</v>
      </c>
    </row>
    <row r="2800" spans="1:2">
      <c r="A2800" t="s">
        <v>2693</v>
      </c>
      <c r="B2800">
        <v>9</v>
      </c>
    </row>
    <row r="2801" spans="1:2">
      <c r="A2801" t="s">
        <v>2694</v>
      </c>
      <c r="B2801">
        <v>17</v>
      </c>
    </row>
    <row r="2802" spans="1:2">
      <c r="A2802" t="s">
        <v>2695</v>
      </c>
      <c r="B2802">
        <v>7</v>
      </c>
    </row>
    <row r="2803" spans="1:2">
      <c r="A2803" t="s">
        <v>2696</v>
      </c>
      <c r="B2803">
        <v>6</v>
      </c>
    </row>
    <row r="2804" spans="1:2">
      <c r="A2804" t="s">
        <v>2697</v>
      </c>
      <c r="B2804">
        <v>8</v>
      </c>
    </row>
    <row r="2805" spans="1:2">
      <c r="A2805" t="s">
        <v>2698</v>
      </c>
      <c r="B2805">
        <v>10</v>
      </c>
    </row>
    <row r="2806" spans="1:2">
      <c r="A2806" t="s">
        <v>2699</v>
      </c>
      <c r="B2806">
        <v>12</v>
      </c>
    </row>
    <row r="2807" spans="1:2">
      <c r="A2807" t="s">
        <v>2700</v>
      </c>
      <c r="B2807">
        <v>28</v>
      </c>
    </row>
    <row r="2808" spans="1:2">
      <c r="A2808" t="s">
        <v>2701</v>
      </c>
      <c r="B2808">
        <v>18</v>
      </c>
    </row>
    <row r="2809" spans="1:2">
      <c r="A2809" t="s">
        <v>2702</v>
      </c>
      <c r="B2809">
        <v>15</v>
      </c>
    </row>
    <row r="2810" spans="1:2">
      <c r="A2810" t="s">
        <v>2703</v>
      </c>
      <c r="B2810">
        <v>22</v>
      </c>
    </row>
    <row r="2811" spans="1:2">
      <c r="A2811" t="s">
        <v>2704</v>
      </c>
      <c r="B2811">
        <v>16</v>
      </c>
    </row>
    <row r="2812" spans="1:2">
      <c r="A2812" t="s">
        <v>2705</v>
      </c>
      <c r="B2812">
        <v>14</v>
      </c>
    </row>
    <row r="2813" spans="1:2">
      <c r="A2813" t="s">
        <v>2706</v>
      </c>
      <c r="B2813">
        <v>18</v>
      </c>
    </row>
    <row r="2814" spans="1:2">
      <c r="A2814" t="s">
        <v>2707</v>
      </c>
      <c r="B2814">
        <v>13</v>
      </c>
    </row>
    <row r="2815" spans="1:2">
      <c r="A2815" t="s">
        <v>2708</v>
      </c>
      <c r="B2815">
        <v>13</v>
      </c>
    </row>
    <row r="2816" spans="1:2">
      <c r="A2816" t="s">
        <v>2709</v>
      </c>
      <c r="B2816">
        <v>21</v>
      </c>
    </row>
    <row r="2817" spans="1:2">
      <c r="A2817" t="s">
        <v>2710</v>
      </c>
      <c r="B2817">
        <v>12</v>
      </c>
    </row>
    <row r="2818" spans="1:2">
      <c r="A2818" t="s">
        <v>2711</v>
      </c>
      <c r="B2818">
        <v>10</v>
      </c>
    </row>
    <row r="2819" spans="1:2">
      <c r="A2819" t="s">
        <v>2712</v>
      </c>
      <c r="B2819">
        <v>11</v>
      </c>
    </row>
    <row r="2820" spans="1:2">
      <c r="A2820" t="s">
        <v>2713</v>
      </c>
      <c r="B2820">
        <v>13</v>
      </c>
    </row>
    <row r="2821" spans="1:2">
      <c r="A2821" t="s">
        <v>2714</v>
      </c>
      <c r="B2821">
        <v>16</v>
      </c>
    </row>
    <row r="2822" spans="1:2">
      <c r="A2822" t="s">
        <v>2715</v>
      </c>
      <c r="B2822">
        <v>25</v>
      </c>
    </row>
    <row r="2823" spans="1:2">
      <c r="A2823" t="s">
        <v>2716</v>
      </c>
      <c r="B2823">
        <v>17</v>
      </c>
    </row>
    <row r="2824" spans="1:2">
      <c r="A2824" t="s">
        <v>2717</v>
      </c>
      <c r="B2824">
        <v>14</v>
      </c>
    </row>
    <row r="2825" spans="1:2">
      <c r="A2825" t="s">
        <v>2718</v>
      </c>
      <c r="B2825">
        <v>20</v>
      </c>
    </row>
    <row r="2826" spans="1:2">
      <c r="A2826" t="s">
        <v>2719</v>
      </c>
      <c r="B2826">
        <v>15</v>
      </c>
    </row>
    <row r="2827" spans="1:2">
      <c r="A2827" t="s">
        <v>2720</v>
      </c>
      <c r="B2827">
        <v>13</v>
      </c>
    </row>
    <row r="2828" spans="1:2">
      <c r="A2828" t="s">
        <v>2721</v>
      </c>
      <c r="B2828">
        <v>17</v>
      </c>
    </row>
    <row r="2829" spans="1:2">
      <c r="A2829" t="s">
        <v>2722</v>
      </c>
      <c r="B2829">
        <v>12</v>
      </c>
    </row>
    <row r="2830" spans="1:2">
      <c r="A2830" t="s">
        <v>2723</v>
      </c>
      <c r="B2830">
        <v>12</v>
      </c>
    </row>
    <row r="2831" spans="1:2">
      <c r="A2831" t="s">
        <v>2724</v>
      </c>
      <c r="B2831">
        <v>20</v>
      </c>
    </row>
    <row r="2832" spans="1:2">
      <c r="A2832" t="s">
        <v>2725</v>
      </c>
      <c r="B2832">
        <v>11</v>
      </c>
    </row>
    <row r="2833" spans="1:2">
      <c r="A2833" t="s">
        <v>2726</v>
      </c>
      <c r="B2833">
        <v>9</v>
      </c>
    </row>
    <row r="2834" spans="1:2">
      <c r="A2834" t="s">
        <v>2727</v>
      </c>
      <c r="B2834">
        <v>10</v>
      </c>
    </row>
    <row r="2835" spans="1:2">
      <c r="A2835" t="s">
        <v>2728</v>
      </c>
      <c r="B2835">
        <v>12</v>
      </c>
    </row>
    <row r="2836" spans="1:2">
      <c r="A2836" t="s">
        <v>2729</v>
      </c>
      <c r="B2836">
        <v>15</v>
      </c>
    </row>
    <row r="2837" spans="1:2">
      <c r="A2837" t="s">
        <v>2730</v>
      </c>
      <c r="B2837">
        <v>24</v>
      </c>
    </row>
    <row r="2838" spans="1:2">
      <c r="A2838" t="s">
        <v>2731</v>
      </c>
      <c r="B2838">
        <v>16</v>
      </c>
    </row>
    <row r="2839" spans="1:2">
      <c r="A2839" t="s">
        <v>2732</v>
      </c>
      <c r="B2839">
        <v>13</v>
      </c>
    </row>
    <row r="2840" spans="1:2">
      <c r="A2840" t="s">
        <v>2733</v>
      </c>
      <c r="B2840">
        <v>19</v>
      </c>
    </row>
    <row r="2841" spans="1:2">
      <c r="A2841" t="s">
        <v>2734</v>
      </c>
      <c r="B2841">
        <v>14</v>
      </c>
    </row>
    <row r="2842" spans="1:2">
      <c r="A2842" t="s">
        <v>2735</v>
      </c>
      <c r="B2842">
        <v>12</v>
      </c>
    </row>
    <row r="2843" spans="1:2">
      <c r="A2843" t="s">
        <v>2736</v>
      </c>
      <c r="B2843">
        <v>16</v>
      </c>
    </row>
    <row r="2844" spans="1:2">
      <c r="A2844" t="s">
        <v>2737</v>
      </c>
      <c r="B2844">
        <v>11</v>
      </c>
    </row>
    <row r="2845" spans="1:2">
      <c r="A2845" t="s">
        <v>2738</v>
      </c>
      <c r="B2845">
        <v>12</v>
      </c>
    </row>
    <row r="2846" spans="1:2">
      <c r="A2846" t="s">
        <v>2739</v>
      </c>
      <c r="B2846">
        <v>19</v>
      </c>
    </row>
    <row r="2847" spans="1:2">
      <c r="A2847" t="s">
        <v>2740</v>
      </c>
      <c r="B2847">
        <v>10</v>
      </c>
    </row>
    <row r="2848" spans="1:2">
      <c r="A2848" t="s">
        <v>2741</v>
      </c>
      <c r="B2848">
        <v>8</v>
      </c>
    </row>
    <row r="2849" spans="1:2">
      <c r="A2849" t="s">
        <v>2742</v>
      </c>
      <c r="B2849">
        <v>10</v>
      </c>
    </row>
    <row r="2850" spans="1:2">
      <c r="A2850" t="s">
        <v>2743</v>
      </c>
      <c r="B2850">
        <v>12</v>
      </c>
    </row>
    <row r="2851" spans="1:2">
      <c r="A2851" t="s">
        <v>2744</v>
      </c>
      <c r="B2851">
        <v>14</v>
      </c>
    </row>
    <row r="2852" spans="1:2">
      <c r="A2852" t="s">
        <v>2745</v>
      </c>
      <c r="B2852">
        <v>23</v>
      </c>
    </row>
    <row r="2853" spans="1:2">
      <c r="A2853" t="s">
        <v>2746</v>
      </c>
      <c r="B2853">
        <v>16</v>
      </c>
    </row>
    <row r="2854" spans="1:2">
      <c r="A2854" t="s">
        <v>2747</v>
      </c>
      <c r="B2854">
        <v>13</v>
      </c>
    </row>
    <row r="2855" spans="1:2">
      <c r="A2855" t="s">
        <v>2748</v>
      </c>
      <c r="B2855">
        <v>19</v>
      </c>
    </row>
    <row r="2856" spans="1:2">
      <c r="A2856" t="s">
        <v>2749</v>
      </c>
      <c r="B2856">
        <v>14</v>
      </c>
    </row>
    <row r="2857" spans="1:2">
      <c r="A2857" t="s">
        <v>2750</v>
      </c>
      <c r="B2857">
        <v>12</v>
      </c>
    </row>
    <row r="2858" spans="1:2">
      <c r="A2858" t="s">
        <v>2751</v>
      </c>
      <c r="B2858">
        <v>16</v>
      </c>
    </row>
    <row r="2859" spans="1:2">
      <c r="A2859" t="s">
        <v>2752</v>
      </c>
      <c r="B2859">
        <v>11</v>
      </c>
    </row>
    <row r="2860" spans="1:2">
      <c r="A2860" t="s">
        <v>2753</v>
      </c>
      <c r="B2860">
        <v>12</v>
      </c>
    </row>
    <row r="2861" spans="1:2">
      <c r="A2861" t="s">
        <v>2754</v>
      </c>
      <c r="B2861">
        <v>19</v>
      </c>
    </row>
    <row r="2862" spans="1:2">
      <c r="A2862" t="s">
        <v>2755</v>
      </c>
      <c r="B2862">
        <v>10</v>
      </c>
    </row>
    <row r="2863" spans="1:2">
      <c r="A2863" t="s">
        <v>2756</v>
      </c>
      <c r="B2863">
        <v>8</v>
      </c>
    </row>
    <row r="2864" spans="1:2">
      <c r="A2864" t="s">
        <v>2757</v>
      </c>
      <c r="B2864">
        <v>10</v>
      </c>
    </row>
    <row r="2865" spans="1:2">
      <c r="A2865" t="s">
        <v>2758</v>
      </c>
      <c r="B2865">
        <v>12</v>
      </c>
    </row>
    <row r="2866" spans="1:2">
      <c r="A2866" t="s">
        <v>2759</v>
      </c>
      <c r="B2866">
        <v>14</v>
      </c>
    </row>
    <row r="2867" spans="1:2">
      <c r="A2867" t="s">
        <v>2760</v>
      </c>
      <c r="B2867">
        <v>22</v>
      </c>
    </row>
    <row r="2868" spans="1:2">
      <c r="A2868" t="s">
        <v>2761</v>
      </c>
      <c r="B2868">
        <v>15</v>
      </c>
    </row>
    <row r="2869" spans="1:2">
      <c r="A2869" t="s">
        <v>2762</v>
      </c>
      <c r="B2869">
        <v>12</v>
      </c>
    </row>
    <row r="2870" spans="1:2">
      <c r="A2870" t="s">
        <v>2763</v>
      </c>
      <c r="B2870">
        <v>18</v>
      </c>
    </row>
    <row r="2871" spans="1:2">
      <c r="A2871" t="s">
        <v>2764</v>
      </c>
      <c r="B2871">
        <v>13</v>
      </c>
    </row>
    <row r="2872" spans="1:2">
      <c r="A2872" t="s">
        <v>2765</v>
      </c>
      <c r="B2872">
        <v>11</v>
      </c>
    </row>
    <row r="2873" spans="1:2">
      <c r="A2873" t="s">
        <v>2766</v>
      </c>
      <c r="B2873">
        <v>15</v>
      </c>
    </row>
    <row r="2874" spans="1:2">
      <c r="A2874" t="s">
        <v>2767</v>
      </c>
      <c r="B2874">
        <v>10</v>
      </c>
    </row>
    <row r="2875" spans="1:2">
      <c r="A2875" t="s">
        <v>2768</v>
      </c>
      <c r="B2875">
        <v>11</v>
      </c>
    </row>
    <row r="2876" spans="1:2">
      <c r="A2876" t="s">
        <v>2769</v>
      </c>
      <c r="B2876">
        <v>18</v>
      </c>
    </row>
    <row r="2877" spans="1:2">
      <c r="A2877" t="s">
        <v>2770</v>
      </c>
      <c r="B2877">
        <v>9</v>
      </c>
    </row>
    <row r="2878" spans="1:2">
      <c r="A2878" t="s">
        <v>2771</v>
      </c>
      <c r="B2878">
        <v>7</v>
      </c>
    </row>
    <row r="2879" spans="1:2">
      <c r="A2879" t="s">
        <v>2772</v>
      </c>
      <c r="B2879">
        <v>9</v>
      </c>
    </row>
    <row r="2880" spans="1:2">
      <c r="A2880" t="s">
        <v>2773</v>
      </c>
      <c r="B2880">
        <v>11</v>
      </c>
    </row>
    <row r="2881" spans="1:2">
      <c r="A2881" t="s">
        <v>2774</v>
      </c>
      <c r="B2881">
        <v>13</v>
      </c>
    </row>
    <row r="2882" spans="1:2">
      <c r="A2882" t="s">
        <v>2775</v>
      </c>
      <c r="B2882">
        <v>20</v>
      </c>
    </row>
    <row r="2883" spans="1:2">
      <c r="A2883" t="s">
        <v>2776</v>
      </c>
      <c r="B2883">
        <v>12</v>
      </c>
    </row>
    <row r="2884" spans="1:2">
      <c r="A2884" t="s">
        <v>2777</v>
      </c>
      <c r="B2884">
        <v>9</v>
      </c>
    </row>
    <row r="2885" spans="1:2">
      <c r="A2885" t="s">
        <v>2778</v>
      </c>
      <c r="B2885">
        <v>15</v>
      </c>
    </row>
    <row r="2886" spans="1:2">
      <c r="A2886" t="s">
        <v>2779</v>
      </c>
      <c r="B2886">
        <v>11</v>
      </c>
    </row>
    <row r="2887" spans="1:2">
      <c r="A2887" t="s">
        <v>2780</v>
      </c>
      <c r="B2887">
        <v>9</v>
      </c>
    </row>
    <row r="2888" spans="1:2">
      <c r="A2888" t="s">
        <v>2781</v>
      </c>
      <c r="B2888">
        <v>13</v>
      </c>
    </row>
    <row r="2889" spans="1:2">
      <c r="A2889" t="s">
        <v>2782</v>
      </c>
      <c r="B2889">
        <v>9</v>
      </c>
    </row>
    <row r="2890" spans="1:2">
      <c r="A2890" t="s">
        <v>2783</v>
      </c>
      <c r="B2890">
        <v>10</v>
      </c>
    </row>
    <row r="2891" spans="1:2">
      <c r="A2891" t="s">
        <v>2784</v>
      </c>
      <c r="B2891">
        <v>17</v>
      </c>
    </row>
    <row r="2892" spans="1:2">
      <c r="A2892" t="s">
        <v>2785</v>
      </c>
      <c r="B2892">
        <v>7</v>
      </c>
    </row>
    <row r="2893" spans="1:2">
      <c r="A2893" t="s">
        <v>2786</v>
      </c>
      <c r="B2893">
        <v>6</v>
      </c>
    </row>
    <row r="2894" spans="1:2">
      <c r="A2894" t="s">
        <v>2787</v>
      </c>
      <c r="B2894">
        <v>8</v>
      </c>
    </row>
    <row r="2895" spans="1:2">
      <c r="A2895" t="s">
        <v>2788</v>
      </c>
      <c r="B2895">
        <v>10</v>
      </c>
    </row>
    <row r="2896" spans="1:2">
      <c r="A2896" t="s">
        <v>2789</v>
      </c>
      <c r="B2896">
        <v>12</v>
      </c>
    </row>
    <row r="2897" spans="1:2">
      <c r="A2897" t="s">
        <v>2790</v>
      </c>
      <c r="B2897">
        <v>19</v>
      </c>
    </row>
    <row r="2898" spans="1:2">
      <c r="A2898" t="s">
        <v>2791</v>
      </c>
      <c r="B2898">
        <v>11</v>
      </c>
    </row>
    <row r="2899" spans="1:2">
      <c r="A2899" t="s">
        <v>2792</v>
      </c>
      <c r="B2899">
        <v>9</v>
      </c>
    </row>
    <row r="2900" spans="1:2">
      <c r="A2900" t="s">
        <v>2793</v>
      </c>
      <c r="B2900">
        <v>14</v>
      </c>
    </row>
    <row r="2901" spans="1:2">
      <c r="A2901" t="s">
        <v>2794</v>
      </c>
      <c r="B2901">
        <v>10</v>
      </c>
    </row>
    <row r="2902" spans="1:2">
      <c r="A2902" t="s">
        <v>2795</v>
      </c>
      <c r="B2902">
        <v>9</v>
      </c>
    </row>
    <row r="2903" spans="1:2">
      <c r="A2903" t="s">
        <v>2796</v>
      </c>
      <c r="B2903">
        <v>12</v>
      </c>
    </row>
    <row r="2904" spans="1:2">
      <c r="A2904" t="s">
        <v>2797</v>
      </c>
      <c r="B2904">
        <v>8</v>
      </c>
    </row>
    <row r="2905" spans="1:2">
      <c r="A2905" t="s">
        <v>2798</v>
      </c>
      <c r="B2905">
        <v>9</v>
      </c>
    </row>
    <row r="2906" spans="1:2">
      <c r="A2906" t="s">
        <v>2799</v>
      </c>
      <c r="B2906">
        <v>17</v>
      </c>
    </row>
    <row r="2907" spans="1:2">
      <c r="A2907" t="s">
        <v>2800</v>
      </c>
      <c r="B2907">
        <v>7</v>
      </c>
    </row>
    <row r="2908" spans="1:2">
      <c r="A2908" t="s">
        <v>2801</v>
      </c>
      <c r="B2908">
        <v>6</v>
      </c>
    </row>
    <row r="2909" spans="1:2">
      <c r="A2909" t="s">
        <v>2802</v>
      </c>
      <c r="B2909">
        <v>8</v>
      </c>
    </row>
    <row r="2910" spans="1:2">
      <c r="A2910" t="s">
        <v>2803</v>
      </c>
      <c r="B2910">
        <v>10</v>
      </c>
    </row>
    <row r="2911" spans="1:2">
      <c r="A2911" t="s">
        <v>2804</v>
      </c>
      <c r="B2911">
        <v>12</v>
      </c>
    </row>
    <row r="2912" spans="1:2">
      <c r="A2912" t="s">
        <v>2805</v>
      </c>
      <c r="B2912">
        <v>28</v>
      </c>
    </row>
    <row r="2913" spans="1:2">
      <c r="A2913" t="s">
        <v>2806</v>
      </c>
      <c r="B2913">
        <v>18</v>
      </c>
    </row>
    <row r="2914" spans="1:2">
      <c r="A2914" t="s">
        <v>2807</v>
      </c>
      <c r="B2914">
        <v>15</v>
      </c>
    </row>
    <row r="2915" spans="1:2">
      <c r="A2915" t="s">
        <v>2808</v>
      </c>
      <c r="B2915">
        <v>22</v>
      </c>
    </row>
    <row r="2916" spans="1:2">
      <c r="A2916" t="s">
        <v>2809</v>
      </c>
      <c r="B2916">
        <v>16</v>
      </c>
    </row>
    <row r="2917" spans="1:2">
      <c r="A2917" t="s">
        <v>2810</v>
      </c>
      <c r="B2917">
        <v>14</v>
      </c>
    </row>
    <row r="2918" spans="1:2">
      <c r="A2918" t="s">
        <v>2811</v>
      </c>
      <c r="B2918">
        <v>18</v>
      </c>
    </row>
    <row r="2919" spans="1:2">
      <c r="A2919" t="s">
        <v>2812</v>
      </c>
      <c r="B2919">
        <v>13</v>
      </c>
    </row>
    <row r="2920" spans="1:2">
      <c r="A2920" t="s">
        <v>2813</v>
      </c>
      <c r="B2920">
        <v>13</v>
      </c>
    </row>
    <row r="2921" spans="1:2">
      <c r="A2921" t="s">
        <v>2814</v>
      </c>
      <c r="B2921">
        <v>21</v>
      </c>
    </row>
    <row r="2922" spans="1:2">
      <c r="A2922" t="s">
        <v>2815</v>
      </c>
      <c r="B2922">
        <v>12</v>
      </c>
    </row>
    <row r="2923" spans="1:2">
      <c r="A2923" t="s">
        <v>2816</v>
      </c>
      <c r="B2923">
        <v>10</v>
      </c>
    </row>
    <row r="2924" spans="1:2">
      <c r="A2924" t="s">
        <v>2817</v>
      </c>
      <c r="B2924">
        <v>11</v>
      </c>
    </row>
    <row r="2925" spans="1:2">
      <c r="A2925" t="s">
        <v>2818</v>
      </c>
      <c r="B2925">
        <v>13</v>
      </c>
    </row>
    <row r="2926" spans="1:2">
      <c r="A2926" t="s">
        <v>2819</v>
      </c>
      <c r="B2926">
        <v>16</v>
      </c>
    </row>
    <row r="2927" spans="1:2">
      <c r="A2927" t="s">
        <v>2820</v>
      </c>
      <c r="B2927">
        <v>25</v>
      </c>
    </row>
    <row r="2928" spans="1:2">
      <c r="A2928" t="s">
        <v>2821</v>
      </c>
      <c r="B2928">
        <v>17</v>
      </c>
    </row>
    <row r="2929" spans="1:2">
      <c r="A2929" t="s">
        <v>2822</v>
      </c>
      <c r="B2929">
        <v>14</v>
      </c>
    </row>
    <row r="2930" spans="1:2">
      <c r="A2930" t="s">
        <v>2823</v>
      </c>
      <c r="B2930">
        <v>20</v>
      </c>
    </row>
    <row r="2931" spans="1:2">
      <c r="A2931" t="s">
        <v>2824</v>
      </c>
      <c r="B2931">
        <v>15</v>
      </c>
    </row>
    <row r="2932" spans="1:2">
      <c r="A2932" t="s">
        <v>2825</v>
      </c>
      <c r="B2932">
        <v>13</v>
      </c>
    </row>
    <row r="2933" spans="1:2">
      <c r="A2933" t="s">
        <v>2826</v>
      </c>
      <c r="B2933">
        <v>17</v>
      </c>
    </row>
    <row r="2934" spans="1:2">
      <c r="A2934" t="s">
        <v>2827</v>
      </c>
      <c r="B2934">
        <v>12</v>
      </c>
    </row>
    <row r="2935" spans="1:2">
      <c r="A2935" t="s">
        <v>2828</v>
      </c>
      <c r="B2935">
        <v>12</v>
      </c>
    </row>
    <row r="2936" spans="1:2">
      <c r="A2936" t="s">
        <v>2829</v>
      </c>
      <c r="B2936">
        <v>20</v>
      </c>
    </row>
    <row r="2937" spans="1:2">
      <c r="A2937" t="s">
        <v>2830</v>
      </c>
      <c r="B2937">
        <v>11</v>
      </c>
    </row>
    <row r="2938" spans="1:2">
      <c r="A2938" t="s">
        <v>2831</v>
      </c>
      <c r="B2938">
        <v>9</v>
      </c>
    </row>
    <row r="2939" spans="1:2">
      <c r="A2939" t="s">
        <v>2832</v>
      </c>
      <c r="B2939">
        <v>10</v>
      </c>
    </row>
    <row r="2940" spans="1:2">
      <c r="A2940" t="s">
        <v>2833</v>
      </c>
      <c r="B2940">
        <v>12</v>
      </c>
    </row>
    <row r="2941" spans="1:2">
      <c r="A2941" t="s">
        <v>2834</v>
      </c>
      <c r="B2941">
        <v>15</v>
      </c>
    </row>
    <row r="2942" spans="1:2">
      <c r="A2942" t="s">
        <v>2835</v>
      </c>
      <c r="B2942">
        <v>24</v>
      </c>
    </row>
    <row r="2943" spans="1:2">
      <c r="A2943" t="s">
        <v>2836</v>
      </c>
      <c r="B2943">
        <v>16</v>
      </c>
    </row>
    <row r="2944" spans="1:2">
      <c r="A2944" t="s">
        <v>2837</v>
      </c>
      <c r="B2944">
        <v>13</v>
      </c>
    </row>
    <row r="2945" spans="1:2">
      <c r="A2945" t="s">
        <v>2838</v>
      </c>
      <c r="B2945">
        <v>19</v>
      </c>
    </row>
    <row r="2946" spans="1:2">
      <c r="A2946" t="s">
        <v>2839</v>
      </c>
      <c r="B2946">
        <v>14</v>
      </c>
    </row>
    <row r="2947" spans="1:2">
      <c r="A2947" t="s">
        <v>2840</v>
      </c>
      <c r="B2947">
        <v>12</v>
      </c>
    </row>
    <row r="2948" spans="1:2">
      <c r="A2948" t="s">
        <v>2841</v>
      </c>
      <c r="B2948">
        <v>16</v>
      </c>
    </row>
    <row r="2949" spans="1:2">
      <c r="A2949" t="s">
        <v>2842</v>
      </c>
      <c r="B2949">
        <v>11</v>
      </c>
    </row>
    <row r="2950" spans="1:2">
      <c r="A2950" t="s">
        <v>2843</v>
      </c>
      <c r="B2950">
        <v>12</v>
      </c>
    </row>
    <row r="2951" spans="1:2">
      <c r="A2951" t="s">
        <v>2844</v>
      </c>
      <c r="B2951">
        <v>19</v>
      </c>
    </row>
    <row r="2952" spans="1:2">
      <c r="A2952" t="s">
        <v>2845</v>
      </c>
      <c r="B2952">
        <v>10</v>
      </c>
    </row>
    <row r="2953" spans="1:2">
      <c r="A2953" t="s">
        <v>2846</v>
      </c>
      <c r="B2953">
        <v>8</v>
      </c>
    </row>
    <row r="2954" spans="1:2">
      <c r="A2954" t="s">
        <v>2847</v>
      </c>
      <c r="B2954">
        <v>10</v>
      </c>
    </row>
    <row r="2955" spans="1:2">
      <c r="A2955" t="s">
        <v>2848</v>
      </c>
      <c r="B2955">
        <v>12</v>
      </c>
    </row>
    <row r="2956" spans="1:2">
      <c r="A2956" t="s">
        <v>2849</v>
      </c>
      <c r="B2956">
        <v>14</v>
      </c>
    </row>
    <row r="2957" spans="1:2">
      <c r="A2957" t="s">
        <v>2850</v>
      </c>
      <c r="B2957">
        <v>23</v>
      </c>
    </row>
    <row r="2958" spans="1:2">
      <c r="A2958" t="s">
        <v>2851</v>
      </c>
      <c r="B2958">
        <v>16</v>
      </c>
    </row>
    <row r="2959" spans="1:2">
      <c r="A2959" t="s">
        <v>2852</v>
      </c>
      <c r="B2959">
        <v>13</v>
      </c>
    </row>
    <row r="2960" spans="1:2">
      <c r="A2960" t="s">
        <v>2853</v>
      </c>
      <c r="B2960">
        <v>19</v>
      </c>
    </row>
    <row r="2961" spans="1:2">
      <c r="A2961" t="s">
        <v>2854</v>
      </c>
      <c r="B2961">
        <v>14</v>
      </c>
    </row>
    <row r="2962" spans="1:2">
      <c r="A2962" t="s">
        <v>2855</v>
      </c>
      <c r="B2962">
        <v>12</v>
      </c>
    </row>
    <row r="2963" spans="1:2">
      <c r="A2963" t="s">
        <v>2856</v>
      </c>
      <c r="B2963">
        <v>16</v>
      </c>
    </row>
    <row r="2964" spans="1:2">
      <c r="A2964" t="s">
        <v>2857</v>
      </c>
      <c r="B2964">
        <v>11</v>
      </c>
    </row>
    <row r="2965" spans="1:2">
      <c r="A2965" t="s">
        <v>2858</v>
      </c>
      <c r="B2965">
        <v>12</v>
      </c>
    </row>
    <row r="2966" spans="1:2">
      <c r="A2966" t="s">
        <v>2859</v>
      </c>
      <c r="B2966">
        <v>19</v>
      </c>
    </row>
    <row r="2967" spans="1:2">
      <c r="A2967" t="s">
        <v>2860</v>
      </c>
      <c r="B2967">
        <v>10</v>
      </c>
    </row>
    <row r="2968" spans="1:2">
      <c r="A2968" t="s">
        <v>2861</v>
      </c>
      <c r="B2968">
        <v>8</v>
      </c>
    </row>
    <row r="2969" spans="1:2">
      <c r="A2969" t="s">
        <v>2862</v>
      </c>
      <c r="B2969">
        <v>10</v>
      </c>
    </row>
    <row r="2970" spans="1:2">
      <c r="A2970" t="s">
        <v>2863</v>
      </c>
      <c r="B2970">
        <v>12</v>
      </c>
    </row>
    <row r="2971" spans="1:2">
      <c r="A2971" t="s">
        <v>2864</v>
      </c>
      <c r="B2971">
        <v>14</v>
      </c>
    </row>
    <row r="2972" spans="1:2">
      <c r="A2972" t="s">
        <v>2865</v>
      </c>
      <c r="B2972">
        <v>22</v>
      </c>
    </row>
    <row r="2973" spans="1:2">
      <c r="A2973" t="s">
        <v>2866</v>
      </c>
      <c r="B2973">
        <v>15</v>
      </c>
    </row>
    <row r="2974" spans="1:2">
      <c r="A2974" t="s">
        <v>2867</v>
      </c>
      <c r="B2974">
        <v>12</v>
      </c>
    </row>
    <row r="2975" spans="1:2">
      <c r="A2975" t="s">
        <v>2868</v>
      </c>
      <c r="B2975">
        <v>18</v>
      </c>
    </row>
    <row r="2976" spans="1:2">
      <c r="A2976" t="s">
        <v>2869</v>
      </c>
      <c r="B2976">
        <v>13</v>
      </c>
    </row>
    <row r="2977" spans="1:2">
      <c r="A2977" t="s">
        <v>2870</v>
      </c>
      <c r="B2977">
        <v>11</v>
      </c>
    </row>
    <row r="2978" spans="1:2">
      <c r="A2978" t="s">
        <v>2871</v>
      </c>
      <c r="B2978">
        <v>15</v>
      </c>
    </row>
    <row r="2979" spans="1:2">
      <c r="A2979" t="s">
        <v>2872</v>
      </c>
      <c r="B2979">
        <v>10</v>
      </c>
    </row>
    <row r="2980" spans="1:2">
      <c r="A2980" t="s">
        <v>2873</v>
      </c>
      <c r="B2980">
        <v>11</v>
      </c>
    </row>
    <row r="2981" spans="1:2">
      <c r="A2981" t="s">
        <v>2874</v>
      </c>
      <c r="B2981">
        <v>18</v>
      </c>
    </row>
    <row r="2982" spans="1:2">
      <c r="A2982" t="s">
        <v>2875</v>
      </c>
      <c r="B2982">
        <v>9</v>
      </c>
    </row>
    <row r="2983" spans="1:2">
      <c r="A2983" t="s">
        <v>2876</v>
      </c>
      <c r="B2983">
        <v>7</v>
      </c>
    </row>
    <row r="2984" spans="1:2">
      <c r="A2984" t="s">
        <v>2877</v>
      </c>
      <c r="B2984">
        <v>9</v>
      </c>
    </row>
    <row r="2985" spans="1:2">
      <c r="A2985" t="s">
        <v>2878</v>
      </c>
      <c r="B2985">
        <v>11</v>
      </c>
    </row>
    <row r="2986" spans="1:2">
      <c r="A2986" t="s">
        <v>2879</v>
      </c>
      <c r="B2986">
        <v>13</v>
      </c>
    </row>
    <row r="2987" spans="1:2">
      <c r="A2987" t="s">
        <v>2880</v>
      </c>
      <c r="B2987">
        <v>20</v>
      </c>
    </row>
    <row r="2988" spans="1:2">
      <c r="A2988" t="s">
        <v>2881</v>
      </c>
      <c r="B2988">
        <v>12</v>
      </c>
    </row>
    <row r="2989" spans="1:2">
      <c r="A2989" t="s">
        <v>2882</v>
      </c>
      <c r="B2989">
        <v>9</v>
      </c>
    </row>
    <row r="2990" spans="1:2">
      <c r="A2990" t="s">
        <v>2883</v>
      </c>
      <c r="B2990">
        <v>15</v>
      </c>
    </row>
    <row r="2991" spans="1:2">
      <c r="A2991" t="s">
        <v>2884</v>
      </c>
      <c r="B2991">
        <v>11</v>
      </c>
    </row>
    <row r="2992" spans="1:2">
      <c r="A2992" t="s">
        <v>2885</v>
      </c>
      <c r="B2992">
        <v>9</v>
      </c>
    </row>
    <row r="2993" spans="1:2">
      <c r="A2993" t="s">
        <v>2886</v>
      </c>
      <c r="B2993">
        <v>13</v>
      </c>
    </row>
    <row r="2994" spans="1:2">
      <c r="A2994" t="s">
        <v>2887</v>
      </c>
      <c r="B2994">
        <v>9</v>
      </c>
    </row>
    <row r="2995" spans="1:2">
      <c r="A2995" t="s">
        <v>2888</v>
      </c>
      <c r="B2995">
        <v>10</v>
      </c>
    </row>
    <row r="2996" spans="1:2">
      <c r="A2996" t="s">
        <v>2889</v>
      </c>
      <c r="B2996">
        <v>17</v>
      </c>
    </row>
    <row r="2997" spans="1:2">
      <c r="A2997" t="s">
        <v>2890</v>
      </c>
      <c r="B2997">
        <v>7</v>
      </c>
    </row>
    <row r="2998" spans="1:2">
      <c r="A2998" t="s">
        <v>2891</v>
      </c>
      <c r="B2998">
        <v>6</v>
      </c>
    </row>
    <row r="2999" spans="1:2">
      <c r="A2999" t="s">
        <v>2892</v>
      </c>
      <c r="B2999">
        <v>8</v>
      </c>
    </row>
    <row r="3000" spans="1:2">
      <c r="A3000" t="s">
        <v>2893</v>
      </c>
      <c r="B3000">
        <v>10</v>
      </c>
    </row>
    <row r="3001" spans="1:2">
      <c r="A3001" t="s">
        <v>2894</v>
      </c>
      <c r="B3001">
        <v>12</v>
      </c>
    </row>
    <row r="3002" spans="1:2">
      <c r="A3002" t="s">
        <v>2895</v>
      </c>
      <c r="B3002">
        <v>19</v>
      </c>
    </row>
    <row r="3003" spans="1:2">
      <c r="A3003" t="s">
        <v>2896</v>
      </c>
      <c r="B3003">
        <v>11</v>
      </c>
    </row>
    <row r="3004" spans="1:2">
      <c r="A3004" t="s">
        <v>2897</v>
      </c>
      <c r="B3004">
        <v>9</v>
      </c>
    </row>
    <row r="3005" spans="1:2">
      <c r="A3005" t="s">
        <v>2898</v>
      </c>
      <c r="B3005">
        <v>14</v>
      </c>
    </row>
    <row r="3006" spans="1:2">
      <c r="A3006" t="s">
        <v>2899</v>
      </c>
      <c r="B3006">
        <v>10</v>
      </c>
    </row>
    <row r="3007" spans="1:2">
      <c r="A3007" t="s">
        <v>2900</v>
      </c>
      <c r="B3007">
        <v>9</v>
      </c>
    </row>
    <row r="3008" spans="1:2">
      <c r="A3008" t="s">
        <v>2901</v>
      </c>
      <c r="B3008">
        <v>12</v>
      </c>
    </row>
    <row r="3009" spans="1:2">
      <c r="A3009" t="s">
        <v>2902</v>
      </c>
      <c r="B3009">
        <v>8</v>
      </c>
    </row>
    <row r="3010" spans="1:2">
      <c r="A3010" t="s">
        <v>2903</v>
      </c>
      <c r="B3010">
        <v>9</v>
      </c>
    </row>
    <row r="3011" spans="1:2">
      <c r="A3011" t="s">
        <v>2904</v>
      </c>
      <c r="B3011">
        <v>17</v>
      </c>
    </row>
    <row r="3012" spans="1:2">
      <c r="A3012" t="s">
        <v>2905</v>
      </c>
      <c r="B3012">
        <v>7</v>
      </c>
    </row>
    <row r="3013" spans="1:2">
      <c r="A3013" t="s">
        <v>2906</v>
      </c>
      <c r="B3013">
        <v>6</v>
      </c>
    </row>
    <row r="3014" spans="1:2">
      <c r="A3014" t="s">
        <v>2907</v>
      </c>
      <c r="B3014">
        <v>8</v>
      </c>
    </row>
    <row r="3015" spans="1:2">
      <c r="A3015" t="s">
        <v>2908</v>
      </c>
      <c r="B3015">
        <v>10</v>
      </c>
    </row>
    <row r="3016" spans="1:2">
      <c r="A3016" t="s">
        <v>2909</v>
      </c>
      <c r="B3016">
        <v>12</v>
      </c>
    </row>
    <row r="3017" spans="1:2">
      <c r="A3017" t="s">
        <v>2910</v>
      </c>
      <c r="B3017">
        <v>28</v>
      </c>
    </row>
    <row r="3018" spans="1:2">
      <c r="A3018" t="s">
        <v>2911</v>
      </c>
      <c r="B3018">
        <v>18</v>
      </c>
    </row>
    <row r="3019" spans="1:2">
      <c r="A3019" t="s">
        <v>2912</v>
      </c>
      <c r="B3019">
        <v>15</v>
      </c>
    </row>
    <row r="3020" spans="1:2">
      <c r="A3020" t="s">
        <v>2913</v>
      </c>
      <c r="B3020">
        <v>22</v>
      </c>
    </row>
    <row r="3021" spans="1:2">
      <c r="A3021" t="s">
        <v>2914</v>
      </c>
      <c r="B3021">
        <v>16</v>
      </c>
    </row>
    <row r="3022" spans="1:2">
      <c r="A3022" t="s">
        <v>2915</v>
      </c>
      <c r="B3022">
        <v>14</v>
      </c>
    </row>
    <row r="3023" spans="1:2">
      <c r="A3023" t="s">
        <v>2916</v>
      </c>
      <c r="B3023">
        <v>18</v>
      </c>
    </row>
    <row r="3024" spans="1:2">
      <c r="A3024" t="s">
        <v>2917</v>
      </c>
      <c r="B3024">
        <v>13</v>
      </c>
    </row>
    <row r="3025" spans="1:2">
      <c r="A3025" t="s">
        <v>2918</v>
      </c>
      <c r="B3025">
        <v>13</v>
      </c>
    </row>
    <row r="3026" spans="1:2">
      <c r="A3026" t="s">
        <v>2919</v>
      </c>
      <c r="B3026">
        <v>21</v>
      </c>
    </row>
    <row r="3027" spans="1:2">
      <c r="A3027" t="s">
        <v>2920</v>
      </c>
      <c r="B3027">
        <v>12</v>
      </c>
    </row>
    <row r="3028" spans="1:2">
      <c r="A3028" t="s">
        <v>2921</v>
      </c>
      <c r="B3028">
        <v>10</v>
      </c>
    </row>
    <row r="3029" spans="1:2">
      <c r="A3029" t="s">
        <v>2922</v>
      </c>
      <c r="B3029">
        <v>11</v>
      </c>
    </row>
    <row r="3030" spans="1:2">
      <c r="A3030" t="s">
        <v>2923</v>
      </c>
      <c r="B3030">
        <v>13</v>
      </c>
    </row>
    <row r="3031" spans="1:2">
      <c r="A3031" t="s">
        <v>2924</v>
      </c>
      <c r="B3031">
        <v>16</v>
      </c>
    </row>
    <row r="3032" spans="1:2">
      <c r="A3032" t="s">
        <v>2925</v>
      </c>
      <c r="B3032">
        <v>25</v>
      </c>
    </row>
    <row r="3033" spans="1:2">
      <c r="A3033" t="s">
        <v>2926</v>
      </c>
      <c r="B3033">
        <v>17</v>
      </c>
    </row>
    <row r="3034" spans="1:2">
      <c r="A3034" t="s">
        <v>2927</v>
      </c>
      <c r="B3034">
        <v>14</v>
      </c>
    </row>
    <row r="3035" spans="1:2">
      <c r="A3035" t="s">
        <v>2928</v>
      </c>
      <c r="B3035">
        <v>20</v>
      </c>
    </row>
    <row r="3036" spans="1:2">
      <c r="A3036" t="s">
        <v>2929</v>
      </c>
      <c r="B3036">
        <v>15</v>
      </c>
    </row>
    <row r="3037" spans="1:2">
      <c r="A3037" t="s">
        <v>2930</v>
      </c>
      <c r="B3037">
        <v>13</v>
      </c>
    </row>
    <row r="3038" spans="1:2">
      <c r="A3038" t="s">
        <v>2931</v>
      </c>
      <c r="B3038">
        <v>17</v>
      </c>
    </row>
    <row r="3039" spans="1:2">
      <c r="A3039" t="s">
        <v>2932</v>
      </c>
      <c r="B3039">
        <v>12</v>
      </c>
    </row>
    <row r="3040" spans="1:2">
      <c r="A3040" t="s">
        <v>2933</v>
      </c>
      <c r="B3040">
        <v>12</v>
      </c>
    </row>
    <row r="3041" spans="1:2">
      <c r="A3041" t="s">
        <v>2934</v>
      </c>
      <c r="B3041">
        <v>20</v>
      </c>
    </row>
    <row r="3042" spans="1:2">
      <c r="A3042" t="s">
        <v>2935</v>
      </c>
      <c r="B3042">
        <v>11</v>
      </c>
    </row>
    <row r="3043" spans="1:2">
      <c r="A3043" t="s">
        <v>2936</v>
      </c>
      <c r="B3043">
        <v>9</v>
      </c>
    </row>
    <row r="3044" spans="1:2">
      <c r="A3044" t="s">
        <v>2937</v>
      </c>
      <c r="B3044">
        <v>10</v>
      </c>
    </row>
    <row r="3045" spans="1:2">
      <c r="A3045" t="s">
        <v>2938</v>
      </c>
      <c r="B3045">
        <v>12</v>
      </c>
    </row>
    <row r="3046" spans="1:2">
      <c r="A3046" t="s">
        <v>2939</v>
      </c>
      <c r="B3046">
        <v>15</v>
      </c>
    </row>
    <row r="3047" spans="1:2">
      <c r="A3047" t="s">
        <v>2940</v>
      </c>
      <c r="B3047">
        <v>24</v>
      </c>
    </row>
    <row r="3048" spans="1:2">
      <c r="A3048" t="s">
        <v>2941</v>
      </c>
      <c r="B3048">
        <v>16</v>
      </c>
    </row>
    <row r="3049" spans="1:2">
      <c r="A3049" t="s">
        <v>2942</v>
      </c>
      <c r="B3049">
        <v>13</v>
      </c>
    </row>
    <row r="3050" spans="1:2">
      <c r="A3050" t="s">
        <v>2943</v>
      </c>
      <c r="B3050">
        <v>19</v>
      </c>
    </row>
    <row r="3051" spans="1:2">
      <c r="A3051" t="s">
        <v>2944</v>
      </c>
      <c r="B3051">
        <v>14</v>
      </c>
    </row>
    <row r="3052" spans="1:2">
      <c r="A3052" t="s">
        <v>2945</v>
      </c>
      <c r="B3052">
        <v>12</v>
      </c>
    </row>
    <row r="3053" spans="1:2">
      <c r="A3053" t="s">
        <v>2946</v>
      </c>
      <c r="B3053">
        <v>16</v>
      </c>
    </row>
    <row r="3054" spans="1:2">
      <c r="A3054" t="s">
        <v>2947</v>
      </c>
      <c r="B3054">
        <v>11</v>
      </c>
    </row>
    <row r="3055" spans="1:2">
      <c r="A3055" t="s">
        <v>2948</v>
      </c>
      <c r="B3055">
        <v>12</v>
      </c>
    </row>
    <row r="3056" spans="1:2">
      <c r="A3056" t="s">
        <v>2949</v>
      </c>
      <c r="B3056">
        <v>19</v>
      </c>
    </row>
    <row r="3057" spans="1:2">
      <c r="A3057" t="s">
        <v>2950</v>
      </c>
      <c r="B3057">
        <v>10</v>
      </c>
    </row>
    <row r="3058" spans="1:2">
      <c r="A3058" t="s">
        <v>2951</v>
      </c>
      <c r="B3058">
        <v>8</v>
      </c>
    </row>
    <row r="3059" spans="1:2">
      <c r="A3059" t="s">
        <v>2952</v>
      </c>
      <c r="B3059">
        <v>10</v>
      </c>
    </row>
    <row r="3060" spans="1:2">
      <c r="A3060" t="s">
        <v>2953</v>
      </c>
      <c r="B3060">
        <v>12</v>
      </c>
    </row>
    <row r="3061" spans="1:2">
      <c r="A3061" t="s">
        <v>2954</v>
      </c>
      <c r="B3061">
        <v>14</v>
      </c>
    </row>
    <row r="3062" spans="1:2">
      <c r="A3062" t="s">
        <v>2955</v>
      </c>
      <c r="B3062">
        <v>23</v>
      </c>
    </row>
    <row r="3063" spans="1:2">
      <c r="A3063" t="s">
        <v>2956</v>
      </c>
      <c r="B3063">
        <v>16</v>
      </c>
    </row>
    <row r="3064" spans="1:2">
      <c r="A3064" t="s">
        <v>2957</v>
      </c>
      <c r="B3064">
        <v>13</v>
      </c>
    </row>
    <row r="3065" spans="1:2">
      <c r="A3065" t="s">
        <v>2958</v>
      </c>
      <c r="B3065">
        <v>19</v>
      </c>
    </row>
    <row r="3066" spans="1:2">
      <c r="A3066" t="s">
        <v>2959</v>
      </c>
      <c r="B3066">
        <v>14</v>
      </c>
    </row>
    <row r="3067" spans="1:2">
      <c r="A3067" t="s">
        <v>2960</v>
      </c>
      <c r="B3067">
        <v>12</v>
      </c>
    </row>
    <row r="3068" spans="1:2">
      <c r="A3068" t="s">
        <v>2961</v>
      </c>
      <c r="B3068">
        <v>16</v>
      </c>
    </row>
    <row r="3069" spans="1:2">
      <c r="A3069" t="s">
        <v>2962</v>
      </c>
      <c r="B3069">
        <v>11</v>
      </c>
    </row>
    <row r="3070" spans="1:2">
      <c r="A3070" t="s">
        <v>2963</v>
      </c>
      <c r="B3070">
        <v>12</v>
      </c>
    </row>
    <row r="3071" spans="1:2">
      <c r="A3071" t="s">
        <v>2964</v>
      </c>
      <c r="B3071">
        <v>19</v>
      </c>
    </row>
    <row r="3072" spans="1:2">
      <c r="A3072" t="s">
        <v>2965</v>
      </c>
      <c r="B3072">
        <v>10</v>
      </c>
    </row>
    <row r="3073" spans="1:2">
      <c r="A3073" t="s">
        <v>2966</v>
      </c>
      <c r="B3073">
        <v>8</v>
      </c>
    </row>
    <row r="3074" spans="1:2">
      <c r="A3074" t="s">
        <v>2967</v>
      </c>
      <c r="B3074">
        <v>10</v>
      </c>
    </row>
    <row r="3075" spans="1:2">
      <c r="A3075" t="s">
        <v>2968</v>
      </c>
      <c r="B3075">
        <v>12</v>
      </c>
    </row>
    <row r="3076" spans="1:2">
      <c r="A3076" t="s">
        <v>2969</v>
      </c>
      <c r="B3076">
        <v>14</v>
      </c>
    </row>
    <row r="3077" spans="1:2">
      <c r="A3077" t="s">
        <v>2970</v>
      </c>
      <c r="B3077">
        <v>22</v>
      </c>
    </row>
    <row r="3078" spans="1:2">
      <c r="A3078" t="s">
        <v>2971</v>
      </c>
      <c r="B3078">
        <v>15</v>
      </c>
    </row>
    <row r="3079" spans="1:2">
      <c r="A3079" t="s">
        <v>2972</v>
      </c>
      <c r="B3079">
        <v>12</v>
      </c>
    </row>
    <row r="3080" spans="1:2">
      <c r="A3080" t="s">
        <v>2973</v>
      </c>
      <c r="B3080">
        <v>18</v>
      </c>
    </row>
    <row r="3081" spans="1:2">
      <c r="A3081" t="s">
        <v>2974</v>
      </c>
      <c r="B3081">
        <v>13</v>
      </c>
    </row>
    <row r="3082" spans="1:2">
      <c r="A3082" t="s">
        <v>2975</v>
      </c>
      <c r="B3082">
        <v>11</v>
      </c>
    </row>
    <row r="3083" spans="1:2">
      <c r="A3083" t="s">
        <v>2976</v>
      </c>
      <c r="B3083">
        <v>15</v>
      </c>
    </row>
    <row r="3084" spans="1:2">
      <c r="A3084" t="s">
        <v>2977</v>
      </c>
      <c r="B3084">
        <v>10</v>
      </c>
    </row>
    <row r="3085" spans="1:2">
      <c r="A3085" t="s">
        <v>2978</v>
      </c>
      <c r="B3085">
        <v>11</v>
      </c>
    </row>
    <row r="3086" spans="1:2">
      <c r="A3086" t="s">
        <v>2979</v>
      </c>
      <c r="B3086">
        <v>18</v>
      </c>
    </row>
    <row r="3087" spans="1:2">
      <c r="A3087" t="s">
        <v>2980</v>
      </c>
      <c r="B3087">
        <v>9</v>
      </c>
    </row>
    <row r="3088" spans="1:2">
      <c r="A3088" t="s">
        <v>2981</v>
      </c>
      <c r="B3088">
        <v>7</v>
      </c>
    </row>
    <row r="3089" spans="1:2">
      <c r="A3089" t="s">
        <v>2982</v>
      </c>
      <c r="B3089">
        <v>9</v>
      </c>
    </row>
    <row r="3090" spans="1:2">
      <c r="A3090" t="s">
        <v>2983</v>
      </c>
      <c r="B3090">
        <v>11</v>
      </c>
    </row>
    <row r="3091" spans="1:2">
      <c r="A3091" t="s">
        <v>2984</v>
      </c>
      <c r="B3091">
        <v>13</v>
      </c>
    </row>
    <row r="3092" spans="1:2">
      <c r="A3092" t="s">
        <v>2985</v>
      </c>
      <c r="B3092">
        <v>20</v>
      </c>
    </row>
    <row r="3093" spans="1:2">
      <c r="A3093" t="s">
        <v>2986</v>
      </c>
      <c r="B3093">
        <v>12</v>
      </c>
    </row>
    <row r="3094" spans="1:2">
      <c r="A3094" t="s">
        <v>2987</v>
      </c>
      <c r="B3094">
        <v>9</v>
      </c>
    </row>
    <row r="3095" spans="1:2">
      <c r="A3095" t="s">
        <v>2988</v>
      </c>
      <c r="B3095">
        <v>15</v>
      </c>
    </row>
    <row r="3096" spans="1:2">
      <c r="A3096" t="s">
        <v>2989</v>
      </c>
      <c r="B3096">
        <v>11</v>
      </c>
    </row>
    <row r="3097" spans="1:2">
      <c r="A3097" t="s">
        <v>2990</v>
      </c>
      <c r="B3097">
        <v>9</v>
      </c>
    </row>
    <row r="3098" spans="1:2">
      <c r="A3098" t="s">
        <v>2991</v>
      </c>
      <c r="B3098">
        <v>13</v>
      </c>
    </row>
    <row r="3099" spans="1:2">
      <c r="A3099" t="s">
        <v>2992</v>
      </c>
      <c r="B3099">
        <v>9</v>
      </c>
    </row>
    <row r="3100" spans="1:2">
      <c r="A3100" t="s">
        <v>2993</v>
      </c>
      <c r="B3100">
        <v>10</v>
      </c>
    </row>
    <row r="3101" spans="1:2">
      <c r="A3101" t="s">
        <v>2994</v>
      </c>
      <c r="B3101">
        <v>17</v>
      </c>
    </row>
    <row r="3102" spans="1:2">
      <c r="A3102" t="s">
        <v>2995</v>
      </c>
      <c r="B3102">
        <v>7</v>
      </c>
    </row>
    <row r="3103" spans="1:2">
      <c r="A3103" t="s">
        <v>2996</v>
      </c>
      <c r="B3103">
        <v>6</v>
      </c>
    </row>
    <row r="3104" spans="1:2">
      <c r="A3104" t="s">
        <v>2997</v>
      </c>
      <c r="B3104">
        <v>8</v>
      </c>
    </row>
    <row r="3105" spans="1:2">
      <c r="A3105" t="s">
        <v>2998</v>
      </c>
      <c r="B3105">
        <v>10</v>
      </c>
    </row>
    <row r="3106" spans="1:2">
      <c r="A3106" t="s">
        <v>2999</v>
      </c>
      <c r="B3106">
        <v>12</v>
      </c>
    </row>
    <row r="3107" spans="1:2">
      <c r="A3107" t="s">
        <v>3000</v>
      </c>
      <c r="B3107">
        <v>19</v>
      </c>
    </row>
    <row r="3108" spans="1:2">
      <c r="A3108" t="s">
        <v>3001</v>
      </c>
      <c r="B3108">
        <v>11</v>
      </c>
    </row>
    <row r="3109" spans="1:2">
      <c r="A3109" t="s">
        <v>3002</v>
      </c>
      <c r="B3109">
        <v>9</v>
      </c>
    </row>
    <row r="3110" spans="1:2">
      <c r="A3110" t="s">
        <v>3003</v>
      </c>
      <c r="B3110">
        <v>14</v>
      </c>
    </row>
    <row r="3111" spans="1:2">
      <c r="A3111" t="s">
        <v>3004</v>
      </c>
      <c r="B3111">
        <v>10</v>
      </c>
    </row>
    <row r="3112" spans="1:2">
      <c r="A3112" t="s">
        <v>3005</v>
      </c>
      <c r="B3112">
        <v>9</v>
      </c>
    </row>
    <row r="3113" spans="1:2">
      <c r="A3113" t="s">
        <v>3006</v>
      </c>
      <c r="B3113">
        <v>12</v>
      </c>
    </row>
    <row r="3114" spans="1:2">
      <c r="A3114" t="s">
        <v>3007</v>
      </c>
      <c r="B3114">
        <v>8</v>
      </c>
    </row>
    <row r="3115" spans="1:2">
      <c r="A3115" t="s">
        <v>3008</v>
      </c>
      <c r="B3115">
        <v>9</v>
      </c>
    </row>
    <row r="3116" spans="1:2">
      <c r="A3116" t="s">
        <v>3009</v>
      </c>
      <c r="B3116">
        <v>17</v>
      </c>
    </row>
    <row r="3117" spans="1:2">
      <c r="A3117" t="s">
        <v>3010</v>
      </c>
      <c r="B3117">
        <v>7</v>
      </c>
    </row>
    <row r="3118" spans="1:2">
      <c r="A3118" t="s">
        <v>3011</v>
      </c>
      <c r="B3118">
        <v>6</v>
      </c>
    </row>
    <row r="3119" spans="1:2">
      <c r="A3119" t="s">
        <v>3012</v>
      </c>
      <c r="B3119">
        <v>8</v>
      </c>
    </row>
    <row r="3120" spans="1:2">
      <c r="A3120" t="s">
        <v>3013</v>
      </c>
      <c r="B3120">
        <v>10</v>
      </c>
    </row>
    <row r="3121" spans="1:2">
      <c r="A3121" t="s">
        <v>3014</v>
      </c>
      <c r="B3121">
        <v>12</v>
      </c>
    </row>
    <row r="3122" spans="1:2">
      <c r="A3122" t="s">
        <v>3015</v>
      </c>
      <c r="B3122">
        <v>28</v>
      </c>
    </row>
    <row r="3123" spans="1:2">
      <c r="A3123" t="s">
        <v>3016</v>
      </c>
      <c r="B3123">
        <v>18</v>
      </c>
    </row>
    <row r="3124" spans="1:2">
      <c r="A3124" t="s">
        <v>3017</v>
      </c>
      <c r="B3124">
        <v>15</v>
      </c>
    </row>
    <row r="3125" spans="1:2">
      <c r="A3125" t="s">
        <v>3018</v>
      </c>
      <c r="B3125">
        <v>22</v>
      </c>
    </row>
    <row r="3126" spans="1:2">
      <c r="A3126" t="s">
        <v>3019</v>
      </c>
      <c r="B3126">
        <v>16</v>
      </c>
    </row>
    <row r="3127" spans="1:2">
      <c r="A3127" t="s">
        <v>3020</v>
      </c>
      <c r="B3127">
        <v>14</v>
      </c>
    </row>
    <row r="3128" spans="1:2">
      <c r="A3128" t="s">
        <v>3021</v>
      </c>
      <c r="B3128">
        <v>18</v>
      </c>
    </row>
    <row r="3129" spans="1:2">
      <c r="A3129" t="s">
        <v>3022</v>
      </c>
      <c r="B3129">
        <v>13</v>
      </c>
    </row>
    <row r="3130" spans="1:2">
      <c r="A3130" t="s">
        <v>3023</v>
      </c>
      <c r="B3130">
        <v>13</v>
      </c>
    </row>
    <row r="3131" spans="1:2">
      <c r="A3131" t="s">
        <v>3024</v>
      </c>
      <c r="B3131">
        <v>21</v>
      </c>
    </row>
    <row r="3132" spans="1:2">
      <c r="A3132" t="s">
        <v>3025</v>
      </c>
      <c r="B3132">
        <v>12</v>
      </c>
    </row>
    <row r="3133" spans="1:2">
      <c r="A3133" t="s">
        <v>3026</v>
      </c>
      <c r="B3133">
        <v>10</v>
      </c>
    </row>
    <row r="3134" spans="1:2">
      <c r="A3134" t="s">
        <v>3027</v>
      </c>
      <c r="B3134">
        <v>11</v>
      </c>
    </row>
    <row r="3135" spans="1:2">
      <c r="A3135" t="s">
        <v>3028</v>
      </c>
      <c r="B3135">
        <v>13</v>
      </c>
    </row>
    <row r="3136" spans="1:2">
      <c r="A3136" t="s">
        <v>3029</v>
      </c>
      <c r="B3136">
        <v>16</v>
      </c>
    </row>
    <row r="3137" spans="1:2">
      <c r="A3137" t="s">
        <v>3030</v>
      </c>
      <c r="B3137">
        <v>25</v>
      </c>
    </row>
    <row r="3138" spans="1:2">
      <c r="A3138" t="s">
        <v>3031</v>
      </c>
      <c r="B3138">
        <v>17</v>
      </c>
    </row>
    <row r="3139" spans="1:2">
      <c r="A3139" t="s">
        <v>3032</v>
      </c>
      <c r="B3139">
        <v>14</v>
      </c>
    </row>
    <row r="3140" spans="1:2">
      <c r="A3140" t="s">
        <v>3033</v>
      </c>
      <c r="B3140">
        <v>20</v>
      </c>
    </row>
    <row r="3141" spans="1:2">
      <c r="A3141" t="s">
        <v>3034</v>
      </c>
      <c r="B3141">
        <v>15</v>
      </c>
    </row>
    <row r="3142" spans="1:2">
      <c r="A3142" t="s">
        <v>3035</v>
      </c>
      <c r="B3142">
        <v>13</v>
      </c>
    </row>
    <row r="3143" spans="1:2">
      <c r="A3143" t="s">
        <v>3036</v>
      </c>
      <c r="B3143">
        <v>17</v>
      </c>
    </row>
    <row r="3144" spans="1:2">
      <c r="A3144" t="s">
        <v>3037</v>
      </c>
      <c r="B3144">
        <v>12</v>
      </c>
    </row>
    <row r="3145" spans="1:2">
      <c r="A3145" t="s">
        <v>3038</v>
      </c>
      <c r="B3145">
        <v>12</v>
      </c>
    </row>
    <row r="3146" spans="1:2">
      <c r="A3146" t="s">
        <v>3039</v>
      </c>
      <c r="B3146">
        <v>20</v>
      </c>
    </row>
    <row r="3147" spans="1:2">
      <c r="A3147" t="s">
        <v>3040</v>
      </c>
      <c r="B3147">
        <v>11</v>
      </c>
    </row>
    <row r="3148" spans="1:2">
      <c r="A3148" t="s">
        <v>3041</v>
      </c>
      <c r="B3148">
        <v>9</v>
      </c>
    </row>
    <row r="3149" spans="1:2">
      <c r="A3149" t="s">
        <v>3042</v>
      </c>
      <c r="B3149">
        <v>10</v>
      </c>
    </row>
    <row r="3150" spans="1:2">
      <c r="A3150" t="s">
        <v>3043</v>
      </c>
      <c r="B3150">
        <v>12</v>
      </c>
    </row>
    <row r="3151" spans="1:2">
      <c r="A3151" t="s">
        <v>3044</v>
      </c>
      <c r="B3151">
        <v>15</v>
      </c>
    </row>
    <row r="3152" spans="1:2">
      <c r="A3152" t="s">
        <v>3045</v>
      </c>
      <c r="B3152">
        <v>24</v>
      </c>
    </row>
    <row r="3153" spans="1:2">
      <c r="A3153" t="s">
        <v>3046</v>
      </c>
      <c r="B3153">
        <v>16</v>
      </c>
    </row>
    <row r="3154" spans="1:2">
      <c r="A3154" t="s">
        <v>3047</v>
      </c>
      <c r="B3154">
        <v>13</v>
      </c>
    </row>
    <row r="3155" spans="1:2">
      <c r="A3155" t="s">
        <v>3048</v>
      </c>
      <c r="B3155">
        <v>19</v>
      </c>
    </row>
    <row r="3156" spans="1:2">
      <c r="A3156" t="s">
        <v>3049</v>
      </c>
      <c r="B3156">
        <v>14</v>
      </c>
    </row>
    <row r="3157" spans="1:2">
      <c r="A3157" t="s">
        <v>3050</v>
      </c>
      <c r="B3157">
        <v>12</v>
      </c>
    </row>
    <row r="3158" spans="1:2">
      <c r="A3158" t="s">
        <v>3051</v>
      </c>
      <c r="B3158">
        <v>16</v>
      </c>
    </row>
    <row r="3159" spans="1:2">
      <c r="A3159" t="s">
        <v>3052</v>
      </c>
      <c r="B3159">
        <v>11</v>
      </c>
    </row>
    <row r="3160" spans="1:2">
      <c r="A3160" t="s">
        <v>3053</v>
      </c>
      <c r="B3160">
        <v>12</v>
      </c>
    </row>
    <row r="3161" spans="1:2">
      <c r="A3161" t="s">
        <v>3054</v>
      </c>
      <c r="B3161">
        <v>19</v>
      </c>
    </row>
    <row r="3162" spans="1:2">
      <c r="A3162" t="s">
        <v>3055</v>
      </c>
      <c r="B3162">
        <v>10</v>
      </c>
    </row>
    <row r="3163" spans="1:2">
      <c r="A3163" t="s">
        <v>3056</v>
      </c>
      <c r="B3163">
        <v>8</v>
      </c>
    </row>
    <row r="3164" spans="1:2">
      <c r="A3164" t="s">
        <v>3057</v>
      </c>
      <c r="B3164">
        <v>10</v>
      </c>
    </row>
    <row r="3165" spans="1:2">
      <c r="A3165" t="s">
        <v>3058</v>
      </c>
      <c r="B3165">
        <v>12</v>
      </c>
    </row>
    <row r="3166" spans="1:2">
      <c r="A3166" t="s">
        <v>3059</v>
      </c>
      <c r="B3166">
        <v>14</v>
      </c>
    </row>
    <row r="3167" spans="1:2">
      <c r="A3167" t="s">
        <v>3060</v>
      </c>
      <c r="B3167">
        <v>23</v>
      </c>
    </row>
    <row r="3168" spans="1:2">
      <c r="A3168" t="s">
        <v>3061</v>
      </c>
      <c r="B3168">
        <v>16</v>
      </c>
    </row>
    <row r="3169" spans="1:2">
      <c r="A3169" t="s">
        <v>3062</v>
      </c>
      <c r="B3169">
        <v>13</v>
      </c>
    </row>
    <row r="3170" spans="1:2">
      <c r="A3170" t="s">
        <v>3063</v>
      </c>
      <c r="B3170">
        <v>19</v>
      </c>
    </row>
    <row r="3171" spans="1:2">
      <c r="A3171" t="s">
        <v>3064</v>
      </c>
      <c r="B3171">
        <v>14</v>
      </c>
    </row>
    <row r="3172" spans="1:2">
      <c r="A3172" t="s">
        <v>3065</v>
      </c>
      <c r="B3172">
        <v>12</v>
      </c>
    </row>
    <row r="3173" spans="1:2">
      <c r="A3173" t="s">
        <v>3066</v>
      </c>
      <c r="B3173">
        <v>16</v>
      </c>
    </row>
    <row r="3174" spans="1:2">
      <c r="A3174" t="s">
        <v>3067</v>
      </c>
      <c r="B3174">
        <v>11</v>
      </c>
    </row>
    <row r="3175" spans="1:2">
      <c r="A3175" t="s">
        <v>3068</v>
      </c>
      <c r="B3175">
        <v>12</v>
      </c>
    </row>
    <row r="3176" spans="1:2">
      <c r="A3176" t="s">
        <v>3069</v>
      </c>
      <c r="B3176">
        <v>19</v>
      </c>
    </row>
    <row r="3177" spans="1:2">
      <c r="A3177" t="s">
        <v>3070</v>
      </c>
      <c r="B3177">
        <v>10</v>
      </c>
    </row>
    <row r="3178" spans="1:2">
      <c r="A3178" t="s">
        <v>3071</v>
      </c>
      <c r="B3178">
        <v>8</v>
      </c>
    </row>
    <row r="3179" spans="1:2">
      <c r="A3179" t="s">
        <v>3072</v>
      </c>
      <c r="B3179">
        <v>10</v>
      </c>
    </row>
    <row r="3180" spans="1:2">
      <c r="A3180" t="s">
        <v>3073</v>
      </c>
      <c r="B3180">
        <v>12</v>
      </c>
    </row>
    <row r="3181" spans="1:2">
      <c r="A3181" t="s">
        <v>3074</v>
      </c>
      <c r="B3181">
        <v>14</v>
      </c>
    </row>
    <row r="3182" spans="1:2">
      <c r="A3182" t="s">
        <v>3075</v>
      </c>
      <c r="B3182">
        <v>22</v>
      </c>
    </row>
    <row r="3183" spans="1:2">
      <c r="A3183" t="s">
        <v>3076</v>
      </c>
      <c r="B3183">
        <v>15</v>
      </c>
    </row>
    <row r="3184" spans="1:2">
      <c r="A3184" t="s">
        <v>3077</v>
      </c>
      <c r="B3184">
        <v>12</v>
      </c>
    </row>
    <row r="3185" spans="1:2">
      <c r="A3185" t="s">
        <v>3078</v>
      </c>
      <c r="B3185">
        <v>18</v>
      </c>
    </row>
    <row r="3186" spans="1:2">
      <c r="A3186" t="s">
        <v>3079</v>
      </c>
      <c r="B3186">
        <v>13</v>
      </c>
    </row>
    <row r="3187" spans="1:2">
      <c r="A3187" t="s">
        <v>3080</v>
      </c>
      <c r="B3187">
        <v>11</v>
      </c>
    </row>
    <row r="3188" spans="1:2">
      <c r="A3188" t="s">
        <v>3081</v>
      </c>
      <c r="B3188">
        <v>15</v>
      </c>
    </row>
    <row r="3189" spans="1:2">
      <c r="A3189" t="s">
        <v>3082</v>
      </c>
      <c r="B3189">
        <v>10</v>
      </c>
    </row>
    <row r="3190" spans="1:2">
      <c r="A3190" t="s">
        <v>3083</v>
      </c>
      <c r="B3190">
        <v>11</v>
      </c>
    </row>
    <row r="3191" spans="1:2">
      <c r="A3191" t="s">
        <v>3084</v>
      </c>
      <c r="B3191">
        <v>18</v>
      </c>
    </row>
    <row r="3192" spans="1:2">
      <c r="A3192" t="s">
        <v>3085</v>
      </c>
      <c r="B3192">
        <v>9</v>
      </c>
    </row>
    <row r="3193" spans="1:2">
      <c r="A3193" t="s">
        <v>3086</v>
      </c>
      <c r="B3193">
        <v>7</v>
      </c>
    </row>
    <row r="3194" spans="1:2">
      <c r="A3194" t="s">
        <v>3087</v>
      </c>
      <c r="B3194">
        <v>9</v>
      </c>
    </row>
    <row r="3195" spans="1:2">
      <c r="A3195" t="s">
        <v>3088</v>
      </c>
      <c r="B3195">
        <v>11</v>
      </c>
    </row>
    <row r="3196" spans="1:2">
      <c r="A3196" t="s">
        <v>3089</v>
      </c>
      <c r="B3196">
        <v>13</v>
      </c>
    </row>
    <row r="3197" spans="1:2">
      <c r="A3197" t="s">
        <v>3090</v>
      </c>
      <c r="B3197">
        <v>20</v>
      </c>
    </row>
    <row r="3198" spans="1:2">
      <c r="A3198" t="s">
        <v>3091</v>
      </c>
      <c r="B3198">
        <v>12</v>
      </c>
    </row>
    <row r="3199" spans="1:2">
      <c r="A3199" t="s">
        <v>3092</v>
      </c>
      <c r="B3199">
        <v>9</v>
      </c>
    </row>
    <row r="3200" spans="1:2">
      <c r="A3200" t="s">
        <v>3093</v>
      </c>
      <c r="B3200">
        <v>15</v>
      </c>
    </row>
    <row r="3201" spans="1:2">
      <c r="A3201" t="s">
        <v>3094</v>
      </c>
      <c r="B3201">
        <v>11</v>
      </c>
    </row>
    <row r="3202" spans="1:2">
      <c r="A3202" t="s">
        <v>3095</v>
      </c>
      <c r="B3202">
        <v>9</v>
      </c>
    </row>
    <row r="3203" spans="1:2">
      <c r="A3203" t="s">
        <v>3096</v>
      </c>
      <c r="B3203">
        <v>13</v>
      </c>
    </row>
    <row r="3204" spans="1:2">
      <c r="A3204" t="s">
        <v>3097</v>
      </c>
      <c r="B3204">
        <v>9</v>
      </c>
    </row>
    <row r="3205" spans="1:2">
      <c r="A3205" t="s">
        <v>3098</v>
      </c>
      <c r="B3205">
        <v>10</v>
      </c>
    </row>
    <row r="3206" spans="1:2">
      <c r="A3206" t="s">
        <v>3099</v>
      </c>
      <c r="B3206">
        <v>17</v>
      </c>
    </row>
    <row r="3207" spans="1:2">
      <c r="A3207" t="s">
        <v>3100</v>
      </c>
      <c r="B3207">
        <v>7</v>
      </c>
    </row>
    <row r="3208" spans="1:2">
      <c r="A3208" t="s">
        <v>3101</v>
      </c>
      <c r="B3208">
        <v>6</v>
      </c>
    </row>
    <row r="3209" spans="1:2">
      <c r="A3209" t="s">
        <v>3102</v>
      </c>
      <c r="B3209">
        <v>8</v>
      </c>
    </row>
    <row r="3210" spans="1:2">
      <c r="A3210" t="s">
        <v>3103</v>
      </c>
      <c r="B3210">
        <v>10</v>
      </c>
    </row>
    <row r="3211" spans="1:2">
      <c r="A3211" t="s">
        <v>3104</v>
      </c>
      <c r="B3211">
        <v>12</v>
      </c>
    </row>
    <row r="3212" spans="1:2">
      <c r="A3212" t="s">
        <v>3105</v>
      </c>
      <c r="B3212">
        <v>19</v>
      </c>
    </row>
    <row r="3213" spans="1:2">
      <c r="A3213" t="s">
        <v>3106</v>
      </c>
      <c r="B3213">
        <v>11</v>
      </c>
    </row>
    <row r="3214" spans="1:2">
      <c r="A3214" t="s">
        <v>3107</v>
      </c>
      <c r="B3214">
        <v>9</v>
      </c>
    </row>
    <row r="3215" spans="1:2">
      <c r="A3215" t="s">
        <v>3108</v>
      </c>
      <c r="B3215">
        <v>14</v>
      </c>
    </row>
    <row r="3216" spans="1:2">
      <c r="A3216" t="s">
        <v>3109</v>
      </c>
      <c r="B3216">
        <v>10</v>
      </c>
    </row>
    <row r="3217" spans="1:2">
      <c r="A3217" t="s">
        <v>3110</v>
      </c>
      <c r="B3217">
        <v>9</v>
      </c>
    </row>
    <row r="3218" spans="1:2">
      <c r="A3218" t="s">
        <v>3111</v>
      </c>
      <c r="B3218">
        <v>12</v>
      </c>
    </row>
    <row r="3219" spans="1:2">
      <c r="A3219" t="s">
        <v>3112</v>
      </c>
      <c r="B3219">
        <v>8</v>
      </c>
    </row>
    <row r="3220" spans="1:2">
      <c r="A3220" t="s">
        <v>3113</v>
      </c>
      <c r="B3220">
        <v>9</v>
      </c>
    </row>
    <row r="3221" spans="1:2">
      <c r="A3221" t="s">
        <v>3114</v>
      </c>
      <c r="B3221">
        <v>17</v>
      </c>
    </row>
    <row r="3222" spans="1:2">
      <c r="A3222" t="s">
        <v>3115</v>
      </c>
      <c r="B3222">
        <v>7</v>
      </c>
    </row>
    <row r="3223" spans="1:2">
      <c r="A3223" t="s">
        <v>3116</v>
      </c>
      <c r="B3223">
        <v>6</v>
      </c>
    </row>
    <row r="3224" spans="1:2">
      <c r="A3224" t="s">
        <v>3117</v>
      </c>
      <c r="B3224">
        <v>8</v>
      </c>
    </row>
    <row r="3225" spans="1:2">
      <c r="A3225" t="s">
        <v>3118</v>
      </c>
      <c r="B3225">
        <v>10</v>
      </c>
    </row>
    <row r="3226" spans="1:2">
      <c r="A3226" t="s">
        <v>3119</v>
      </c>
      <c r="B3226">
        <v>12</v>
      </c>
    </row>
    <row r="3227" spans="1:2">
      <c r="A3227" t="s">
        <v>3120</v>
      </c>
      <c r="B3227">
        <v>28</v>
      </c>
    </row>
    <row r="3228" spans="1:2">
      <c r="A3228" t="s">
        <v>3121</v>
      </c>
      <c r="B3228">
        <v>18</v>
      </c>
    </row>
    <row r="3229" spans="1:2">
      <c r="A3229" t="s">
        <v>3122</v>
      </c>
      <c r="B3229">
        <v>15</v>
      </c>
    </row>
    <row r="3230" spans="1:2">
      <c r="A3230" t="s">
        <v>3123</v>
      </c>
      <c r="B3230">
        <v>22</v>
      </c>
    </row>
    <row r="3231" spans="1:2">
      <c r="A3231" t="s">
        <v>3124</v>
      </c>
      <c r="B3231">
        <v>16</v>
      </c>
    </row>
    <row r="3232" spans="1:2">
      <c r="A3232" t="s">
        <v>3125</v>
      </c>
      <c r="B3232">
        <v>14</v>
      </c>
    </row>
    <row r="3233" spans="1:2">
      <c r="A3233" t="s">
        <v>3126</v>
      </c>
      <c r="B3233">
        <v>18</v>
      </c>
    </row>
    <row r="3234" spans="1:2">
      <c r="A3234" t="s">
        <v>3127</v>
      </c>
      <c r="B3234">
        <v>13</v>
      </c>
    </row>
    <row r="3235" spans="1:2">
      <c r="A3235" t="s">
        <v>3128</v>
      </c>
      <c r="B3235">
        <v>13</v>
      </c>
    </row>
    <row r="3236" spans="1:2">
      <c r="A3236" t="s">
        <v>3129</v>
      </c>
      <c r="B3236">
        <v>21</v>
      </c>
    </row>
    <row r="3237" spans="1:2">
      <c r="A3237" t="s">
        <v>3130</v>
      </c>
      <c r="B3237">
        <v>12</v>
      </c>
    </row>
    <row r="3238" spans="1:2">
      <c r="A3238" t="s">
        <v>3131</v>
      </c>
      <c r="B3238">
        <v>10</v>
      </c>
    </row>
    <row r="3239" spans="1:2">
      <c r="A3239" t="s">
        <v>3132</v>
      </c>
      <c r="B3239">
        <v>11</v>
      </c>
    </row>
    <row r="3240" spans="1:2">
      <c r="A3240" t="s">
        <v>3133</v>
      </c>
      <c r="B3240">
        <v>13</v>
      </c>
    </row>
    <row r="3241" spans="1:2">
      <c r="A3241" t="s">
        <v>3134</v>
      </c>
      <c r="B3241">
        <v>16</v>
      </c>
    </row>
    <row r="3242" spans="1:2">
      <c r="A3242" t="s">
        <v>3135</v>
      </c>
      <c r="B3242">
        <v>25</v>
      </c>
    </row>
    <row r="3243" spans="1:2">
      <c r="A3243" t="s">
        <v>3136</v>
      </c>
      <c r="B3243">
        <v>17</v>
      </c>
    </row>
    <row r="3244" spans="1:2">
      <c r="A3244" t="s">
        <v>3137</v>
      </c>
      <c r="B3244">
        <v>14</v>
      </c>
    </row>
    <row r="3245" spans="1:2">
      <c r="A3245" t="s">
        <v>3138</v>
      </c>
      <c r="B3245">
        <v>20</v>
      </c>
    </row>
    <row r="3246" spans="1:2">
      <c r="A3246" t="s">
        <v>3139</v>
      </c>
      <c r="B3246">
        <v>15</v>
      </c>
    </row>
    <row r="3247" spans="1:2">
      <c r="A3247" t="s">
        <v>3140</v>
      </c>
      <c r="B3247">
        <v>13</v>
      </c>
    </row>
    <row r="3248" spans="1:2">
      <c r="A3248" t="s">
        <v>3141</v>
      </c>
      <c r="B3248">
        <v>17</v>
      </c>
    </row>
    <row r="3249" spans="1:2">
      <c r="A3249" t="s">
        <v>3142</v>
      </c>
      <c r="B3249">
        <v>12</v>
      </c>
    </row>
    <row r="3250" spans="1:2">
      <c r="A3250" t="s">
        <v>3143</v>
      </c>
      <c r="B3250">
        <v>12</v>
      </c>
    </row>
    <row r="3251" spans="1:2">
      <c r="A3251" t="s">
        <v>3144</v>
      </c>
      <c r="B3251">
        <v>20</v>
      </c>
    </row>
    <row r="3252" spans="1:2">
      <c r="A3252" t="s">
        <v>3145</v>
      </c>
      <c r="B3252">
        <v>11</v>
      </c>
    </row>
    <row r="3253" spans="1:2">
      <c r="A3253" t="s">
        <v>3146</v>
      </c>
      <c r="B3253">
        <v>9</v>
      </c>
    </row>
    <row r="3254" spans="1:2">
      <c r="A3254" t="s">
        <v>3147</v>
      </c>
      <c r="B3254">
        <v>10</v>
      </c>
    </row>
    <row r="3255" spans="1:2">
      <c r="A3255" t="s">
        <v>3148</v>
      </c>
      <c r="B3255">
        <v>12</v>
      </c>
    </row>
    <row r="3256" spans="1:2">
      <c r="A3256" t="s">
        <v>3149</v>
      </c>
      <c r="B3256">
        <v>15</v>
      </c>
    </row>
    <row r="3257" spans="1:2">
      <c r="A3257" t="s">
        <v>3150</v>
      </c>
      <c r="B3257">
        <v>24</v>
      </c>
    </row>
    <row r="3258" spans="1:2">
      <c r="A3258" t="s">
        <v>3151</v>
      </c>
      <c r="B3258">
        <v>16</v>
      </c>
    </row>
    <row r="3259" spans="1:2">
      <c r="A3259" t="s">
        <v>3152</v>
      </c>
      <c r="B3259">
        <v>13</v>
      </c>
    </row>
    <row r="3260" spans="1:2">
      <c r="A3260" t="s">
        <v>3153</v>
      </c>
      <c r="B3260">
        <v>19</v>
      </c>
    </row>
    <row r="3261" spans="1:2">
      <c r="A3261" t="s">
        <v>3154</v>
      </c>
      <c r="B3261">
        <v>14</v>
      </c>
    </row>
    <row r="3262" spans="1:2">
      <c r="A3262" t="s">
        <v>3155</v>
      </c>
      <c r="B3262">
        <v>12</v>
      </c>
    </row>
    <row r="3263" spans="1:2">
      <c r="A3263" t="s">
        <v>3156</v>
      </c>
      <c r="B3263">
        <v>16</v>
      </c>
    </row>
    <row r="3264" spans="1:2">
      <c r="A3264" t="s">
        <v>3157</v>
      </c>
      <c r="B3264">
        <v>11</v>
      </c>
    </row>
    <row r="3265" spans="1:2">
      <c r="A3265" t="s">
        <v>3158</v>
      </c>
      <c r="B3265">
        <v>12</v>
      </c>
    </row>
    <row r="3266" spans="1:2">
      <c r="A3266" t="s">
        <v>3159</v>
      </c>
      <c r="B3266">
        <v>19</v>
      </c>
    </row>
    <row r="3267" spans="1:2">
      <c r="A3267" t="s">
        <v>3160</v>
      </c>
      <c r="B3267">
        <v>10</v>
      </c>
    </row>
    <row r="3268" spans="1:2">
      <c r="A3268" t="s">
        <v>3161</v>
      </c>
      <c r="B3268">
        <v>8</v>
      </c>
    </row>
    <row r="3269" spans="1:2">
      <c r="A3269" t="s">
        <v>3162</v>
      </c>
      <c r="B3269">
        <v>10</v>
      </c>
    </row>
    <row r="3270" spans="1:2">
      <c r="A3270" t="s">
        <v>3163</v>
      </c>
      <c r="B3270">
        <v>12</v>
      </c>
    </row>
    <row r="3271" spans="1:2">
      <c r="A3271" t="s">
        <v>3164</v>
      </c>
      <c r="B3271">
        <v>14</v>
      </c>
    </row>
    <row r="3272" spans="1:2">
      <c r="A3272" t="s">
        <v>3165</v>
      </c>
      <c r="B3272">
        <v>23</v>
      </c>
    </row>
    <row r="3273" spans="1:2">
      <c r="A3273" t="s">
        <v>3166</v>
      </c>
      <c r="B3273">
        <v>16</v>
      </c>
    </row>
    <row r="3274" spans="1:2">
      <c r="A3274" t="s">
        <v>3167</v>
      </c>
      <c r="B3274">
        <v>13</v>
      </c>
    </row>
    <row r="3275" spans="1:2">
      <c r="A3275" t="s">
        <v>3168</v>
      </c>
      <c r="B3275">
        <v>19</v>
      </c>
    </row>
    <row r="3276" spans="1:2">
      <c r="A3276" t="s">
        <v>3169</v>
      </c>
      <c r="B3276">
        <v>14</v>
      </c>
    </row>
    <row r="3277" spans="1:2">
      <c r="A3277" t="s">
        <v>3170</v>
      </c>
      <c r="B3277">
        <v>12</v>
      </c>
    </row>
    <row r="3278" spans="1:2">
      <c r="A3278" t="s">
        <v>3171</v>
      </c>
      <c r="B3278">
        <v>16</v>
      </c>
    </row>
    <row r="3279" spans="1:2">
      <c r="A3279" t="s">
        <v>3172</v>
      </c>
      <c r="B3279">
        <v>11</v>
      </c>
    </row>
    <row r="3280" spans="1:2">
      <c r="A3280" t="s">
        <v>3173</v>
      </c>
      <c r="B3280">
        <v>12</v>
      </c>
    </row>
    <row r="3281" spans="1:2">
      <c r="A3281" t="s">
        <v>3174</v>
      </c>
      <c r="B3281">
        <v>19</v>
      </c>
    </row>
    <row r="3282" spans="1:2">
      <c r="A3282" t="s">
        <v>3175</v>
      </c>
      <c r="B3282">
        <v>10</v>
      </c>
    </row>
    <row r="3283" spans="1:2">
      <c r="A3283" t="s">
        <v>3176</v>
      </c>
      <c r="B3283">
        <v>8</v>
      </c>
    </row>
    <row r="3284" spans="1:2">
      <c r="A3284" t="s">
        <v>3177</v>
      </c>
      <c r="B3284">
        <v>10</v>
      </c>
    </row>
    <row r="3285" spans="1:2">
      <c r="A3285" t="s">
        <v>3178</v>
      </c>
      <c r="B3285">
        <v>12</v>
      </c>
    </row>
    <row r="3286" spans="1:2">
      <c r="A3286" t="s">
        <v>3179</v>
      </c>
      <c r="B3286">
        <v>14</v>
      </c>
    </row>
    <row r="3287" spans="1:2">
      <c r="A3287" t="s">
        <v>3180</v>
      </c>
      <c r="B3287">
        <v>22</v>
      </c>
    </row>
    <row r="3288" spans="1:2">
      <c r="A3288" t="s">
        <v>3181</v>
      </c>
      <c r="B3288">
        <v>15</v>
      </c>
    </row>
    <row r="3289" spans="1:2">
      <c r="A3289" t="s">
        <v>3182</v>
      </c>
      <c r="B3289">
        <v>12</v>
      </c>
    </row>
    <row r="3290" spans="1:2">
      <c r="A3290" t="s">
        <v>3183</v>
      </c>
      <c r="B3290">
        <v>18</v>
      </c>
    </row>
    <row r="3291" spans="1:2">
      <c r="A3291" t="s">
        <v>3184</v>
      </c>
      <c r="B3291">
        <v>13</v>
      </c>
    </row>
    <row r="3292" spans="1:2">
      <c r="A3292" t="s">
        <v>3185</v>
      </c>
      <c r="B3292">
        <v>11</v>
      </c>
    </row>
    <row r="3293" spans="1:2">
      <c r="A3293" t="s">
        <v>3186</v>
      </c>
      <c r="B3293">
        <v>15</v>
      </c>
    </row>
    <row r="3294" spans="1:2">
      <c r="A3294" t="s">
        <v>3187</v>
      </c>
      <c r="B3294">
        <v>10</v>
      </c>
    </row>
    <row r="3295" spans="1:2">
      <c r="A3295" t="s">
        <v>3188</v>
      </c>
      <c r="B3295">
        <v>11</v>
      </c>
    </row>
    <row r="3296" spans="1:2">
      <c r="A3296" t="s">
        <v>3189</v>
      </c>
      <c r="B3296">
        <v>18</v>
      </c>
    </row>
    <row r="3297" spans="1:2">
      <c r="A3297" t="s">
        <v>3190</v>
      </c>
      <c r="B3297">
        <v>9</v>
      </c>
    </row>
    <row r="3298" spans="1:2">
      <c r="A3298" t="s">
        <v>3191</v>
      </c>
      <c r="B3298">
        <v>7</v>
      </c>
    </row>
    <row r="3299" spans="1:2">
      <c r="A3299" t="s">
        <v>3192</v>
      </c>
      <c r="B3299">
        <v>9</v>
      </c>
    </row>
    <row r="3300" spans="1:2">
      <c r="A3300" t="s">
        <v>3193</v>
      </c>
      <c r="B3300">
        <v>11</v>
      </c>
    </row>
    <row r="3301" spans="1:2">
      <c r="A3301" t="s">
        <v>3194</v>
      </c>
      <c r="B3301">
        <v>13</v>
      </c>
    </row>
    <row r="3302" spans="1:2">
      <c r="A3302" t="s">
        <v>3195</v>
      </c>
      <c r="B3302">
        <v>20</v>
      </c>
    </row>
    <row r="3303" spans="1:2">
      <c r="A3303" t="s">
        <v>3196</v>
      </c>
      <c r="B3303">
        <v>12</v>
      </c>
    </row>
    <row r="3304" spans="1:2">
      <c r="A3304" t="s">
        <v>3197</v>
      </c>
      <c r="B3304">
        <v>9</v>
      </c>
    </row>
    <row r="3305" spans="1:2">
      <c r="A3305" t="s">
        <v>3198</v>
      </c>
      <c r="B3305">
        <v>15</v>
      </c>
    </row>
    <row r="3306" spans="1:2">
      <c r="A3306" t="s">
        <v>3199</v>
      </c>
      <c r="B3306">
        <v>11</v>
      </c>
    </row>
    <row r="3307" spans="1:2">
      <c r="A3307" t="s">
        <v>3200</v>
      </c>
      <c r="B3307">
        <v>9</v>
      </c>
    </row>
    <row r="3308" spans="1:2">
      <c r="A3308" t="s">
        <v>3201</v>
      </c>
      <c r="B3308">
        <v>13</v>
      </c>
    </row>
    <row r="3309" spans="1:2">
      <c r="A3309" t="s">
        <v>3202</v>
      </c>
      <c r="B3309">
        <v>9</v>
      </c>
    </row>
    <row r="3310" spans="1:2">
      <c r="A3310" t="s">
        <v>3203</v>
      </c>
      <c r="B3310">
        <v>10</v>
      </c>
    </row>
    <row r="3311" spans="1:2">
      <c r="A3311" t="s">
        <v>3204</v>
      </c>
      <c r="B3311">
        <v>17</v>
      </c>
    </row>
    <row r="3312" spans="1:2">
      <c r="A3312" t="s">
        <v>3205</v>
      </c>
      <c r="B3312">
        <v>7</v>
      </c>
    </row>
    <row r="3313" spans="1:2">
      <c r="A3313" t="s">
        <v>3206</v>
      </c>
      <c r="B3313">
        <v>6</v>
      </c>
    </row>
    <row r="3314" spans="1:2">
      <c r="A3314" t="s">
        <v>3207</v>
      </c>
      <c r="B3314">
        <v>8</v>
      </c>
    </row>
    <row r="3315" spans="1:2">
      <c r="A3315" t="s">
        <v>3208</v>
      </c>
      <c r="B3315">
        <v>10</v>
      </c>
    </row>
    <row r="3316" spans="1:2">
      <c r="A3316" t="s">
        <v>3209</v>
      </c>
      <c r="B3316">
        <v>12</v>
      </c>
    </row>
    <row r="3317" spans="1:2">
      <c r="A3317" t="s">
        <v>3210</v>
      </c>
      <c r="B3317">
        <v>19</v>
      </c>
    </row>
    <row r="3318" spans="1:2">
      <c r="A3318" t="s">
        <v>3211</v>
      </c>
      <c r="B3318">
        <v>11</v>
      </c>
    </row>
    <row r="3319" spans="1:2">
      <c r="A3319" t="s">
        <v>3212</v>
      </c>
      <c r="B3319">
        <v>9</v>
      </c>
    </row>
    <row r="3320" spans="1:2">
      <c r="A3320" t="s">
        <v>3213</v>
      </c>
      <c r="B3320">
        <v>14</v>
      </c>
    </row>
    <row r="3321" spans="1:2">
      <c r="A3321" t="s">
        <v>3214</v>
      </c>
      <c r="B3321">
        <v>10</v>
      </c>
    </row>
    <row r="3322" spans="1:2">
      <c r="A3322" t="s">
        <v>3215</v>
      </c>
      <c r="B3322">
        <v>9</v>
      </c>
    </row>
    <row r="3323" spans="1:2">
      <c r="A3323" t="s">
        <v>3216</v>
      </c>
      <c r="B3323">
        <v>12</v>
      </c>
    </row>
    <row r="3324" spans="1:2">
      <c r="A3324" t="s">
        <v>3217</v>
      </c>
      <c r="B3324">
        <v>8</v>
      </c>
    </row>
    <row r="3325" spans="1:2">
      <c r="A3325" t="s">
        <v>3218</v>
      </c>
      <c r="B3325">
        <v>9</v>
      </c>
    </row>
    <row r="3326" spans="1:2">
      <c r="A3326" t="s">
        <v>3219</v>
      </c>
      <c r="B3326">
        <v>17</v>
      </c>
    </row>
    <row r="3327" spans="1:2">
      <c r="A3327" t="s">
        <v>3220</v>
      </c>
      <c r="B3327">
        <v>7</v>
      </c>
    </row>
    <row r="3328" spans="1:2">
      <c r="A3328" t="s">
        <v>3221</v>
      </c>
      <c r="B3328">
        <v>6</v>
      </c>
    </row>
    <row r="3329" spans="1:2">
      <c r="A3329" t="s">
        <v>3222</v>
      </c>
      <c r="B3329">
        <v>8</v>
      </c>
    </row>
    <row r="3330" spans="1:2">
      <c r="A3330" t="s">
        <v>3223</v>
      </c>
      <c r="B3330">
        <v>10</v>
      </c>
    </row>
    <row r="3331" spans="1:2">
      <c r="A3331" t="s">
        <v>3224</v>
      </c>
      <c r="B3331">
        <v>12</v>
      </c>
    </row>
    <row r="3332" spans="1:2">
      <c r="A3332" t="s">
        <v>3225</v>
      </c>
      <c r="B3332">
        <v>28</v>
      </c>
    </row>
    <row r="3333" spans="1:2">
      <c r="A3333" t="s">
        <v>3226</v>
      </c>
      <c r="B3333">
        <v>18</v>
      </c>
    </row>
    <row r="3334" spans="1:2">
      <c r="A3334" t="s">
        <v>3227</v>
      </c>
      <c r="B3334">
        <v>15</v>
      </c>
    </row>
    <row r="3335" spans="1:2">
      <c r="A3335" t="s">
        <v>3228</v>
      </c>
      <c r="B3335">
        <v>22</v>
      </c>
    </row>
    <row r="3336" spans="1:2">
      <c r="A3336" t="s">
        <v>3229</v>
      </c>
      <c r="B3336">
        <v>16</v>
      </c>
    </row>
    <row r="3337" spans="1:2">
      <c r="A3337" t="s">
        <v>3230</v>
      </c>
      <c r="B3337">
        <v>14</v>
      </c>
    </row>
    <row r="3338" spans="1:2">
      <c r="A3338" t="s">
        <v>3231</v>
      </c>
      <c r="B3338">
        <v>18</v>
      </c>
    </row>
    <row r="3339" spans="1:2">
      <c r="A3339" t="s">
        <v>3232</v>
      </c>
      <c r="B3339">
        <v>13</v>
      </c>
    </row>
    <row r="3340" spans="1:2">
      <c r="A3340" t="s">
        <v>3233</v>
      </c>
      <c r="B3340">
        <v>13</v>
      </c>
    </row>
    <row r="3341" spans="1:2">
      <c r="A3341" t="s">
        <v>3234</v>
      </c>
      <c r="B3341">
        <v>21</v>
      </c>
    </row>
    <row r="3342" spans="1:2">
      <c r="A3342" t="s">
        <v>3235</v>
      </c>
      <c r="B3342">
        <v>12</v>
      </c>
    </row>
    <row r="3343" spans="1:2">
      <c r="A3343" t="s">
        <v>3236</v>
      </c>
      <c r="B3343">
        <v>10</v>
      </c>
    </row>
    <row r="3344" spans="1:2">
      <c r="A3344" t="s">
        <v>3237</v>
      </c>
      <c r="B3344">
        <v>11</v>
      </c>
    </row>
    <row r="3345" spans="1:2">
      <c r="A3345" t="s">
        <v>3238</v>
      </c>
      <c r="B3345">
        <v>13</v>
      </c>
    </row>
    <row r="3346" spans="1:2">
      <c r="A3346" t="s">
        <v>3239</v>
      </c>
      <c r="B3346">
        <v>16</v>
      </c>
    </row>
    <row r="3347" spans="1:2">
      <c r="A3347" t="s">
        <v>3240</v>
      </c>
      <c r="B3347">
        <v>25</v>
      </c>
    </row>
    <row r="3348" spans="1:2">
      <c r="A3348" t="s">
        <v>3241</v>
      </c>
      <c r="B3348">
        <v>17</v>
      </c>
    </row>
    <row r="3349" spans="1:2">
      <c r="A3349" t="s">
        <v>3242</v>
      </c>
      <c r="B3349">
        <v>14</v>
      </c>
    </row>
    <row r="3350" spans="1:2">
      <c r="A3350" t="s">
        <v>3243</v>
      </c>
      <c r="B3350">
        <v>20</v>
      </c>
    </row>
    <row r="3351" spans="1:2">
      <c r="A3351" t="s">
        <v>3244</v>
      </c>
      <c r="B3351">
        <v>15</v>
      </c>
    </row>
    <row r="3352" spans="1:2">
      <c r="A3352" t="s">
        <v>3245</v>
      </c>
      <c r="B3352">
        <v>13</v>
      </c>
    </row>
    <row r="3353" spans="1:2">
      <c r="A3353" t="s">
        <v>3246</v>
      </c>
      <c r="B3353">
        <v>17</v>
      </c>
    </row>
    <row r="3354" spans="1:2">
      <c r="A3354" t="s">
        <v>3247</v>
      </c>
      <c r="B3354">
        <v>12</v>
      </c>
    </row>
    <row r="3355" spans="1:2">
      <c r="A3355" t="s">
        <v>3248</v>
      </c>
      <c r="B3355">
        <v>12</v>
      </c>
    </row>
    <row r="3356" spans="1:2">
      <c r="A3356" t="s">
        <v>3249</v>
      </c>
      <c r="B3356">
        <v>20</v>
      </c>
    </row>
    <row r="3357" spans="1:2">
      <c r="A3357" t="s">
        <v>3250</v>
      </c>
      <c r="B3357">
        <v>11</v>
      </c>
    </row>
    <row r="3358" spans="1:2">
      <c r="A3358" t="s">
        <v>3251</v>
      </c>
      <c r="B3358">
        <v>9</v>
      </c>
    </row>
    <row r="3359" spans="1:2">
      <c r="A3359" t="s">
        <v>3252</v>
      </c>
      <c r="B3359">
        <v>10</v>
      </c>
    </row>
    <row r="3360" spans="1:2">
      <c r="A3360" t="s">
        <v>3253</v>
      </c>
      <c r="B3360">
        <v>12</v>
      </c>
    </row>
    <row r="3361" spans="1:2">
      <c r="A3361" t="s">
        <v>3254</v>
      </c>
      <c r="B3361">
        <v>15</v>
      </c>
    </row>
    <row r="3362" spans="1:2">
      <c r="A3362" t="s">
        <v>3255</v>
      </c>
      <c r="B3362">
        <v>24</v>
      </c>
    </row>
    <row r="3363" spans="1:2">
      <c r="A3363" t="s">
        <v>3256</v>
      </c>
      <c r="B3363">
        <v>16</v>
      </c>
    </row>
    <row r="3364" spans="1:2">
      <c r="A3364" t="s">
        <v>3257</v>
      </c>
      <c r="B3364">
        <v>13</v>
      </c>
    </row>
    <row r="3365" spans="1:2">
      <c r="A3365" t="s">
        <v>3258</v>
      </c>
      <c r="B3365">
        <v>19</v>
      </c>
    </row>
    <row r="3366" spans="1:2">
      <c r="A3366" t="s">
        <v>3259</v>
      </c>
      <c r="B3366">
        <v>14</v>
      </c>
    </row>
    <row r="3367" spans="1:2">
      <c r="A3367" t="s">
        <v>3260</v>
      </c>
      <c r="B3367">
        <v>12</v>
      </c>
    </row>
    <row r="3368" spans="1:2">
      <c r="A3368" t="s">
        <v>3261</v>
      </c>
      <c r="B3368">
        <v>16</v>
      </c>
    </row>
    <row r="3369" spans="1:2">
      <c r="A3369" t="s">
        <v>3262</v>
      </c>
      <c r="B3369">
        <v>11</v>
      </c>
    </row>
    <row r="3370" spans="1:2">
      <c r="A3370" t="s">
        <v>3263</v>
      </c>
      <c r="B3370">
        <v>12</v>
      </c>
    </row>
    <row r="3371" spans="1:2">
      <c r="A3371" t="s">
        <v>3264</v>
      </c>
      <c r="B3371">
        <v>19</v>
      </c>
    </row>
    <row r="3372" spans="1:2">
      <c r="A3372" t="s">
        <v>3265</v>
      </c>
      <c r="B3372">
        <v>10</v>
      </c>
    </row>
    <row r="3373" spans="1:2">
      <c r="A3373" t="s">
        <v>3266</v>
      </c>
      <c r="B3373">
        <v>8</v>
      </c>
    </row>
    <row r="3374" spans="1:2">
      <c r="A3374" t="s">
        <v>3267</v>
      </c>
      <c r="B3374">
        <v>10</v>
      </c>
    </row>
    <row r="3375" spans="1:2">
      <c r="A3375" t="s">
        <v>3268</v>
      </c>
      <c r="B3375">
        <v>12</v>
      </c>
    </row>
    <row r="3376" spans="1:2">
      <c r="A3376" t="s">
        <v>3269</v>
      </c>
      <c r="B3376">
        <v>14</v>
      </c>
    </row>
    <row r="3377" spans="1:2">
      <c r="A3377" t="s">
        <v>3270</v>
      </c>
      <c r="B3377">
        <v>23</v>
      </c>
    </row>
    <row r="3378" spans="1:2">
      <c r="A3378" t="s">
        <v>3271</v>
      </c>
      <c r="B3378">
        <v>16</v>
      </c>
    </row>
    <row r="3379" spans="1:2">
      <c r="A3379" t="s">
        <v>3272</v>
      </c>
      <c r="B3379">
        <v>13</v>
      </c>
    </row>
    <row r="3380" spans="1:2">
      <c r="A3380" t="s">
        <v>3273</v>
      </c>
      <c r="B3380">
        <v>19</v>
      </c>
    </row>
    <row r="3381" spans="1:2">
      <c r="A3381" t="s">
        <v>3274</v>
      </c>
      <c r="B3381">
        <v>14</v>
      </c>
    </row>
    <row r="3382" spans="1:2">
      <c r="A3382" t="s">
        <v>3275</v>
      </c>
      <c r="B3382">
        <v>12</v>
      </c>
    </row>
    <row r="3383" spans="1:2">
      <c r="A3383" t="s">
        <v>3276</v>
      </c>
      <c r="B3383">
        <v>16</v>
      </c>
    </row>
    <row r="3384" spans="1:2">
      <c r="A3384" t="s">
        <v>3277</v>
      </c>
      <c r="B3384">
        <v>11</v>
      </c>
    </row>
    <row r="3385" spans="1:2">
      <c r="A3385" t="s">
        <v>3278</v>
      </c>
      <c r="B3385">
        <v>12</v>
      </c>
    </row>
    <row r="3386" spans="1:2">
      <c r="A3386" t="s">
        <v>3279</v>
      </c>
      <c r="B3386">
        <v>19</v>
      </c>
    </row>
    <row r="3387" spans="1:2">
      <c r="A3387" t="s">
        <v>3280</v>
      </c>
      <c r="B3387">
        <v>10</v>
      </c>
    </row>
    <row r="3388" spans="1:2">
      <c r="A3388" t="s">
        <v>3281</v>
      </c>
      <c r="B3388">
        <v>8</v>
      </c>
    </row>
    <row r="3389" spans="1:2">
      <c r="A3389" t="s">
        <v>3282</v>
      </c>
      <c r="B3389">
        <v>10</v>
      </c>
    </row>
    <row r="3390" spans="1:2">
      <c r="A3390" t="s">
        <v>3283</v>
      </c>
      <c r="B3390">
        <v>12</v>
      </c>
    </row>
    <row r="3391" spans="1:2">
      <c r="A3391" t="s">
        <v>3284</v>
      </c>
      <c r="B3391">
        <v>14</v>
      </c>
    </row>
    <row r="3392" spans="1:2">
      <c r="A3392" t="s">
        <v>3285</v>
      </c>
      <c r="B3392">
        <v>22</v>
      </c>
    </row>
    <row r="3393" spans="1:2">
      <c r="A3393" t="s">
        <v>3286</v>
      </c>
      <c r="B3393">
        <v>15</v>
      </c>
    </row>
    <row r="3394" spans="1:2">
      <c r="A3394" t="s">
        <v>3287</v>
      </c>
      <c r="B3394">
        <v>12</v>
      </c>
    </row>
    <row r="3395" spans="1:2">
      <c r="A3395" t="s">
        <v>3288</v>
      </c>
      <c r="B3395">
        <v>18</v>
      </c>
    </row>
    <row r="3396" spans="1:2">
      <c r="A3396" t="s">
        <v>3289</v>
      </c>
      <c r="B3396">
        <v>13</v>
      </c>
    </row>
    <row r="3397" spans="1:2">
      <c r="A3397" t="s">
        <v>3290</v>
      </c>
      <c r="B3397">
        <v>11</v>
      </c>
    </row>
    <row r="3398" spans="1:2">
      <c r="A3398" t="s">
        <v>3291</v>
      </c>
      <c r="B3398">
        <v>15</v>
      </c>
    </row>
    <row r="3399" spans="1:2">
      <c r="A3399" t="s">
        <v>3292</v>
      </c>
      <c r="B3399">
        <v>10</v>
      </c>
    </row>
    <row r="3400" spans="1:2">
      <c r="A3400" t="s">
        <v>3293</v>
      </c>
      <c r="B3400">
        <v>11</v>
      </c>
    </row>
    <row r="3401" spans="1:2">
      <c r="A3401" t="s">
        <v>3294</v>
      </c>
      <c r="B3401">
        <v>18</v>
      </c>
    </row>
    <row r="3402" spans="1:2">
      <c r="A3402" t="s">
        <v>3295</v>
      </c>
      <c r="B3402">
        <v>9</v>
      </c>
    </row>
    <row r="3403" spans="1:2">
      <c r="A3403" t="s">
        <v>3296</v>
      </c>
      <c r="B3403">
        <v>7</v>
      </c>
    </row>
    <row r="3404" spans="1:2">
      <c r="A3404" t="s">
        <v>3297</v>
      </c>
      <c r="B3404">
        <v>9</v>
      </c>
    </row>
    <row r="3405" spans="1:2">
      <c r="A3405" t="s">
        <v>3298</v>
      </c>
      <c r="B3405">
        <v>11</v>
      </c>
    </row>
    <row r="3406" spans="1:2">
      <c r="A3406" t="s">
        <v>3299</v>
      </c>
      <c r="B3406">
        <v>13</v>
      </c>
    </row>
    <row r="3407" spans="1:2">
      <c r="A3407" t="s">
        <v>3300</v>
      </c>
      <c r="B3407">
        <v>20</v>
      </c>
    </row>
    <row r="3408" spans="1:2">
      <c r="A3408" t="s">
        <v>3301</v>
      </c>
      <c r="B3408">
        <v>12</v>
      </c>
    </row>
    <row r="3409" spans="1:2">
      <c r="A3409" t="s">
        <v>3302</v>
      </c>
      <c r="B3409">
        <v>9</v>
      </c>
    </row>
    <row r="3410" spans="1:2">
      <c r="A3410" t="s">
        <v>3303</v>
      </c>
      <c r="B3410">
        <v>15</v>
      </c>
    </row>
    <row r="3411" spans="1:2">
      <c r="A3411" t="s">
        <v>3304</v>
      </c>
      <c r="B3411">
        <v>11</v>
      </c>
    </row>
    <row r="3412" spans="1:2">
      <c r="A3412" t="s">
        <v>3305</v>
      </c>
      <c r="B3412">
        <v>9</v>
      </c>
    </row>
    <row r="3413" spans="1:2">
      <c r="A3413" t="s">
        <v>3306</v>
      </c>
      <c r="B3413">
        <v>13</v>
      </c>
    </row>
    <row r="3414" spans="1:2">
      <c r="A3414" t="s">
        <v>3307</v>
      </c>
      <c r="B3414">
        <v>9</v>
      </c>
    </row>
    <row r="3415" spans="1:2">
      <c r="A3415" t="s">
        <v>3308</v>
      </c>
      <c r="B3415">
        <v>10</v>
      </c>
    </row>
    <row r="3416" spans="1:2">
      <c r="A3416" t="s">
        <v>3309</v>
      </c>
      <c r="B3416">
        <v>17</v>
      </c>
    </row>
    <row r="3417" spans="1:2">
      <c r="A3417" t="s">
        <v>3310</v>
      </c>
      <c r="B3417">
        <v>7</v>
      </c>
    </row>
    <row r="3418" spans="1:2">
      <c r="A3418" t="s">
        <v>3311</v>
      </c>
      <c r="B3418">
        <v>6</v>
      </c>
    </row>
    <row r="3419" spans="1:2">
      <c r="A3419" t="s">
        <v>3312</v>
      </c>
      <c r="B3419">
        <v>8</v>
      </c>
    </row>
    <row r="3420" spans="1:2">
      <c r="A3420" t="s">
        <v>3313</v>
      </c>
      <c r="B3420">
        <v>10</v>
      </c>
    </row>
    <row r="3421" spans="1:2">
      <c r="A3421" t="s">
        <v>3314</v>
      </c>
      <c r="B3421">
        <v>12</v>
      </c>
    </row>
    <row r="3422" spans="1:2">
      <c r="A3422" t="s">
        <v>3315</v>
      </c>
      <c r="B3422">
        <v>19</v>
      </c>
    </row>
    <row r="3423" spans="1:2">
      <c r="A3423" t="s">
        <v>3316</v>
      </c>
      <c r="B3423">
        <v>11</v>
      </c>
    </row>
    <row r="3424" spans="1:2">
      <c r="A3424" t="s">
        <v>3317</v>
      </c>
      <c r="B3424">
        <v>9</v>
      </c>
    </row>
    <row r="3425" spans="1:2">
      <c r="A3425" t="s">
        <v>3318</v>
      </c>
      <c r="B3425">
        <v>14</v>
      </c>
    </row>
    <row r="3426" spans="1:2">
      <c r="A3426" t="s">
        <v>3319</v>
      </c>
      <c r="B3426">
        <v>10</v>
      </c>
    </row>
    <row r="3427" spans="1:2">
      <c r="A3427" t="s">
        <v>3320</v>
      </c>
      <c r="B3427">
        <v>9</v>
      </c>
    </row>
    <row r="3428" spans="1:2">
      <c r="A3428" t="s">
        <v>3321</v>
      </c>
      <c r="B3428">
        <v>12</v>
      </c>
    </row>
    <row r="3429" spans="1:2">
      <c r="A3429" t="s">
        <v>3322</v>
      </c>
      <c r="B3429">
        <v>8</v>
      </c>
    </row>
    <row r="3430" spans="1:2">
      <c r="A3430" t="s">
        <v>3323</v>
      </c>
      <c r="B3430">
        <v>9</v>
      </c>
    </row>
    <row r="3431" spans="1:2">
      <c r="A3431" t="s">
        <v>3324</v>
      </c>
      <c r="B3431">
        <v>17</v>
      </c>
    </row>
    <row r="3432" spans="1:2">
      <c r="A3432" t="s">
        <v>3325</v>
      </c>
      <c r="B3432">
        <v>7</v>
      </c>
    </row>
    <row r="3433" spans="1:2">
      <c r="A3433" t="s">
        <v>3326</v>
      </c>
      <c r="B3433">
        <v>6</v>
      </c>
    </row>
    <row r="3434" spans="1:2">
      <c r="A3434" t="s">
        <v>3327</v>
      </c>
      <c r="B3434">
        <v>8</v>
      </c>
    </row>
    <row r="3435" spans="1:2">
      <c r="A3435" t="s">
        <v>3328</v>
      </c>
      <c r="B3435">
        <v>10</v>
      </c>
    </row>
    <row r="3436" spans="1:2">
      <c r="A3436" t="s">
        <v>3329</v>
      </c>
      <c r="B3436">
        <v>12</v>
      </c>
    </row>
    <row r="3437" spans="1:2">
      <c r="A3437" t="s">
        <v>3330</v>
      </c>
      <c r="B3437">
        <v>28</v>
      </c>
    </row>
    <row r="3438" spans="1:2">
      <c r="A3438" t="s">
        <v>3331</v>
      </c>
      <c r="B3438">
        <v>18</v>
      </c>
    </row>
    <row r="3439" spans="1:2">
      <c r="A3439" t="s">
        <v>3332</v>
      </c>
      <c r="B3439">
        <v>15</v>
      </c>
    </row>
    <row r="3440" spans="1:2">
      <c r="A3440" t="s">
        <v>3333</v>
      </c>
      <c r="B3440">
        <v>22</v>
      </c>
    </row>
    <row r="3441" spans="1:2">
      <c r="A3441" t="s">
        <v>3334</v>
      </c>
      <c r="B3441">
        <v>16</v>
      </c>
    </row>
    <row r="3442" spans="1:2">
      <c r="A3442" t="s">
        <v>3335</v>
      </c>
      <c r="B3442">
        <v>14</v>
      </c>
    </row>
    <row r="3443" spans="1:2">
      <c r="A3443" t="s">
        <v>3336</v>
      </c>
      <c r="B3443">
        <v>18</v>
      </c>
    </row>
    <row r="3444" spans="1:2">
      <c r="A3444" t="s">
        <v>3337</v>
      </c>
      <c r="B3444">
        <v>13</v>
      </c>
    </row>
    <row r="3445" spans="1:2">
      <c r="A3445" t="s">
        <v>3338</v>
      </c>
      <c r="B3445">
        <v>13</v>
      </c>
    </row>
    <row r="3446" spans="1:2">
      <c r="A3446" t="s">
        <v>3339</v>
      </c>
      <c r="B3446">
        <v>21</v>
      </c>
    </row>
    <row r="3447" spans="1:2">
      <c r="A3447" t="s">
        <v>3340</v>
      </c>
      <c r="B3447">
        <v>12</v>
      </c>
    </row>
    <row r="3448" spans="1:2">
      <c r="A3448" t="s">
        <v>3341</v>
      </c>
      <c r="B3448">
        <v>10</v>
      </c>
    </row>
    <row r="3449" spans="1:2">
      <c r="A3449" t="s">
        <v>3342</v>
      </c>
      <c r="B3449">
        <v>11</v>
      </c>
    </row>
    <row r="3450" spans="1:2">
      <c r="A3450" t="s">
        <v>3343</v>
      </c>
      <c r="B3450">
        <v>13</v>
      </c>
    </row>
    <row r="3451" spans="1:2">
      <c r="A3451" t="s">
        <v>3344</v>
      </c>
      <c r="B3451">
        <v>16</v>
      </c>
    </row>
    <row r="3452" spans="1:2">
      <c r="A3452" t="s">
        <v>3345</v>
      </c>
      <c r="B3452">
        <v>25</v>
      </c>
    </row>
    <row r="3453" spans="1:2">
      <c r="A3453" t="s">
        <v>3346</v>
      </c>
      <c r="B3453">
        <v>17</v>
      </c>
    </row>
    <row r="3454" spans="1:2">
      <c r="A3454" t="s">
        <v>3347</v>
      </c>
      <c r="B3454">
        <v>14</v>
      </c>
    </row>
    <row r="3455" spans="1:2">
      <c r="A3455" t="s">
        <v>3348</v>
      </c>
      <c r="B3455">
        <v>20</v>
      </c>
    </row>
    <row r="3456" spans="1:2">
      <c r="A3456" t="s">
        <v>3349</v>
      </c>
      <c r="B3456">
        <v>15</v>
      </c>
    </row>
    <row r="3457" spans="1:2">
      <c r="A3457" t="s">
        <v>3350</v>
      </c>
      <c r="B3457">
        <v>13</v>
      </c>
    </row>
    <row r="3458" spans="1:2">
      <c r="A3458" t="s">
        <v>3351</v>
      </c>
      <c r="B3458">
        <v>17</v>
      </c>
    </row>
    <row r="3459" spans="1:2">
      <c r="A3459" t="s">
        <v>3352</v>
      </c>
      <c r="B3459">
        <v>12</v>
      </c>
    </row>
    <row r="3460" spans="1:2">
      <c r="A3460" t="s">
        <v>3353</v>
      </c>
      <c r="B3460">
        <v>12</v>
      </c>
    </row>
    <row r="3461" spans="1:2">
      <c r="A3461" t="s">
        <v>3354</v>
      </c>
      <c r="B3461">
        <v>20</v>
      </c>
    </row>
    <row r="3462" spans="1:2">
      <c r="A3462" t="s">
        <v>3355</v>
      </c>
      <c r="B3462">
        <v>11</v>
      </c>
    </row>
    <row r="3463" spans="1:2">
      <c r="A3463" t="s">
        <v>3356</v>
      </c>
      <c r="B3463">
        <v>9</v>
      </c>
    </row>
    <row r="3464" spans="1:2">
      <c r="A3464" t="s">
        <v>3357</v>
      </c>
      <c r="B3464">
        <v>10</v>
      </c>
    </row>
    <row r="3465" spans="1:2">
      <c r="A3465" t="s">
        <v>3358</v>
      </c>
      <c r="B3465">
        <v>12</v>
      </c>
    </row>
    <row r="3466" spans="1:2">
      <c r="A3466" t="s">
        <v>3359</v>
      </c>
      <c r="B3466">
        <v>15</v>
      </c>
    </row>
    <row r="3467" spans="1:2">
      <c r="A3467" t="s">
        <v>3360</v>
      </c>
      <c r="B3467">
        <v>24</v>
      </c>
    </row>
    <row r="3468" spans="1:2">
      <c r="A3468" t="s">
        <v>3361</v>
      </c>
      <c r="B3468">
        <v>16</v>
      </c>
    </row>
    <row r="3469" spans="1:2">
      <c r="A3469" t="s">
        <v>3362</v>
      </c>
      <c r="B3469">
        <v>13</v>
      </c>
    </row>
    <row r="3470" spans="1:2">
      <c r="A3470" t="s">
        <v>3363</v>
      </c>
      <c r="B3470">
        <v>19</v>
      </c>
    </row>
    <row r="3471" spans="1:2">
      <c r="A3471" t="s">
        <v>3364</v>
      </c>
      <c r="B3471">
        <v>14</v>
      </c>
    </row>
    <row r="3472" spans="1:2">
      <c r="A3472" t="s">
        <v>3365</v>
      </c>
      <c r="B3472">
        <v>12</v>
      </c>
    </row>
    <row r="3473" spans="1:2">
      <c r="A3473" t="s">
        <v>3366</v>
      </c>
      <c r="B3473">
        <v>16</v>
      </c>
    </row>
    <row r="3474" spans="1:2">
      <c r="A3474" t="s">
        <v>3367</v>
      </c>
      <c r="B3474">
        <v>11</v>
      </c>
    </row>
    <row r="3475" spans="1:2">
      <c r="A3475" t="s">
        <v>3368</v>
      </c>
      <c r="B3475">
        <v>12</v>
      </c>
    </row>
    <row r="3476" spans="1:2">
      <c r="A3476" t="s">
        <v>3369</v>
      </c>
      <c r="B3476">
        <v>19</v>
      </c>
    </row>
    <row r="3477" spans="1:2">
      <c r="A3477" t="s">
        <v>3370</v>
      </c>
      <c r="B3477">
        <v>10</v>
      </c>
    </row>
    <row r="3478" spans="1:2">
      <c r="A3478" t="s">
        <v>3371</v>
      </c>
      <c r="B3478">
        <v>8</v>
      </c>
    </row>
    <row r="3479" spans="1:2">
      <c r="A3479" t="s">
        <v>3372</v>
      </c>
      <c r="B3479">
        <v>10</v>
      </c>
    </row>
    <row r="3480" spans="1:2">
      <c r="A3480" t="s">
        <v>3373</v>
      </c>
      <c r="B3480">
        <v>12</v>
      </c>
    </row>
    <row r="3481" spans="1:2">
      <c r="A3481" t="s">
        <v>3374</v>
      </c>
      <c r="B3481">
        <v>14</v>
      </c>
    </row>
    <row r="3482" spans="1:2">
      <c r="A3482" t="s">
        <v>3375</v>
      </c>
      <c r="B3482">
        <v>23</v>
      </c>
    </row>
    <row r="3483" spans="1:2">
      <c r="A3483" t="s">
        <v>3376</v>
      </c>
      <c r="B3483">
        <v>16</v>
      </c>
    </row>
    <row r="3484" spans="1:2">
      <c r="A3484" t="s">
        <v>3377</v>
      </c>
      <c r="B3484">
        <v>13</v>
      </c>
    </row>
    <row r="3485" spans="1:2">
      <c r="A3485" t="s">
        <v>3378</v>
      </c>
      <c r="B3485">
        <v>19</v>
      </c>
    </row>
    <row r="3486" spans="1:2">
      <c r="A3486" t="s">
        <v>3379</v>
      </c>
      <c r="B3486">
        <v>14</v>
      </c>
    </row>
    <row r="3487" spans="1:2">
      <c r="A3487" t="s">
        <v>3380</v>
      </c>
      <c r="B3487">
        <v>12</v>
      </c>
    </row>
    <row r="3488" spans="1:2">
      <c r="A3488" t="s">
        <v>3381</v>
      </c>
      <c r="B3488">
        <v>16</v>
      </c>
    </row>
    <row r="3489" spans="1:2">
      <c r="A3489" t="s">
        <v>3382</v>
      </c>
      <c r="B3489">
        <v>11</v>
      </c>
    </row>
    <row r="3490" spans="1:2">
      <c r="A3490" t="s">
        <v>3383</v>
      </c>
      <c r="B3490">
        <v>12</v>
      </c>
    </row>
    <row r="3491" spans="1:2">
      <c r="A3491" t="s">
        <v>3384</v>
      </c>
      <c r="B3491">
        <v>19</v>
      </c>
    </row>
    <row r="3492" spans="1:2">
      <c r="A3492" t="s">
        <v>3385</v>
      </c>
      <c r="B3492">
        <v>10</v>
      </c>
    </row>
    <row r="3493" spans="1:2">
      <c r="A3493" t="s">
        <v>3386</v>
      </c>
      <c r="B3493">
        <v>8</v>
      </c>
    </row>
    <row r="3494" spans="1:2">
      <c r="A3494" t="s">
        <v>3387</v>
      </c>
      <c r="B3494">
        <v>10</v>
      </c>
    </row>
    <row r="3495" spans="1:2">
      <c r="A3495" t="s">
        <v>3388</v>
      </c>
      <c r="B3495">
        <v>12</v>
      </c>
    </row>
    <row r="3496" spans="1:2">
      <c r="A3496" t="s">
        <v>3389</v>
      </c>
      <c r="B3496">
        <v>14</v>
      </c>
    </row>
    <row r="3497" spans="1:2">
      <c r="A3497" t="s">
        <v>3390</v>
      </c>
      <c r="B3497">
        <v>22</v>
      </c>
    </row>
    <row r="3498" spans="1:2">
      <c r="A3498" t="s">
        <v>3391</v>
      </c>
      <c r="B3498">
        <v>15</v>
      </c>
    </row>
    <row r="3499" spans="1:2">
      <c r="A3499" t="s">
        <v>3392</v>
      </c>
      <c r="B3499">
        <v>12</v>
      </c>
    </row>
    <row r="3500" spans="1:2">
      <c r="A3500" t="s">
        <v>3393</v>
      </c>
      <c r="B3500">
        <v>18</v>
      </c>
    </row>
    <row r="3501" spans="1:2">
      <c r="A3501" t="s">
        <v>3394</v>
      </c>
      <c r="B3501">
        <v>13</v>
      </c>
    </row>
    <row r="3502" spans="1:2">
      <c r="A3502" t="s">
        <v>3395</v>
      </c>
      <c r="B3502">
        <v>11</v>
      </c>
    </row>
    <row r="3503" spans="1:2">
      <c r="A3503" t="s">
        <v>3396</v>
      </c>
      <c r="B3503">
        <v>15</v>
      </c>
    </row>
    <row r="3504" spans="1:2">
      <c r="A3504" t="s">
        <v>3397</v>
      </c>
      <c r="B3504">
        <v>10</v>
      </c>
    </row>
    <row r="3505" spans="1:2">
      <c r="A3505" t="s">
        <v>3398</v>
      </c>
      <c r="B3505">
        <v>11</v>
      </c>
    </row>
    <row r="3506" spans="1:2">
      <c r="A3506" t="s">
        <v>3399</v>
      </c>
      <c r="B3506">
        <v>18</v>
      </c>
    </row>
    <row r="3507" spans="1:2">
      <c r="A3507" t="s">
        <v>3400</v>
      </c>
      <c r="B3507">
        <v>9</v>
      </c>
    </row>
    <row r="3508" spans="1:2">
      <c r="A3508" t="s">
        <v>3401</v>
      </c>
      <c r="B3508">
        <v>7</v>
      </c>
    </row>
    <row r="3509" spans="1:2">
      <c r="A3509" t="s">
        <v>3402</v>
      </c>
      <c r="B3509">
        <v>9</v>
      </c>
    </row>
    <row r="3510" spans="1:2">
      <c r="A3510" t="s">
        <v>3403</v>
      </c>
      <c r="B3510">
        <v>11</v>
      </c>
    </row>
    <row r="3511" spans="1:2">
      <c r="A3511" t="s">
        <v>3404</v>
      </c>
      <c r="B3511">
        <v>13</v>
      </c>
    </row>
    <row r="3512" spans="1:2">
      <c r="A3512" t="s">
        <v>3405</v>
      </c>
      <c r="B3512">
        <v>20</v>
      </c>
    </row>
    <row r="3513" spans="1:2">
      <c r="A3513" t="s">
        <v>3406</v>
      </c>
      <c r="B3513">
        <v>12</v>
      </c>
    </row>
    <row r="3514" spans="1:2">
      <c r="A3514" t="s">
        <v>3407</v>
      </c>
      <c r="B3514">
        <v>9</v>
      </c>
    </row>
    <row r="3515" spans="1:2">
      <c r="A3515" t="s">
        <v>3408</v>
      </c>
      <c r="B3515">
        <v>15</v>
      </c>
    </row>
    <row r="3516" spans="1:2">
      <c r="A3516" t="s">
        <v>3409</v>
      </c>
      <c r="B3516">
        <v>11</v>
      </c>
    </row>
    <row r="3517" spans="1:2">
      <c r="A3517" t="s">
        <v>3410</v>
      </c>
      <c r="B3517">
        <v>9</v>
      </c>
    </row>
    <row r="3518" spans="1:2">
      <c r="A3518" t="s">
        <v>3411</v>
      </c>
      <c r="B3518">
        <v>13</v>
      </c>
    </row>
    <row r="3519" spans="1:2">
      <c r="A3519" t="s">
        <v>3412</v>
      </c>
      <c r="B3519">
        <v>9</v>
      </c>
    </row>
    <row r="3520" spans="1:2">
      <c r="A3520" t="s">
        <v>3413</v>
      </c>
      <c r="B3520">
        <v>10</v>
      </c>
    </row>
    <row r="3521" spans="1:2">
      <c r="A3521" t="s">
        <v>3414</v>
      </c>
      <c r="B3521">
        <v>17</v>
      </c>
    </row>
    <row r="3522" spans="1:2">
      <c r="A3522" t="s">
        <v>3415</v>
      </c>
      <c r="B3522">
        <v>7</v>
      </c>
    </row>
    <row r="3523" spans="1:2">
      <c r="A3523" t="s">
        <v>3416</v>
      </c>
      <c r="B3523">
        <v>6</v>
      </c>
    </row>
    <row r="3524" spans="1:2">
      <c r="A3524" t="s">
        <v>3417</v>
      </c>
      <c r="B3524">
        <v>8</v>
      </c>
    </row>
    <row r="3525" spans="1:2">
      <c r="A3525" t="s">
        <v>3418</v>
      </c>
      <c r="B3525">
        <v>10</v>
      </c>
    </row>
    <row r="3526" spans="1:2">
      <c r="A3526" t="s">
        <v>3419</v>
      </c>
      <c r="B3526">
        <v>12</v>
      </c>
    </row>
    <row r="3527" spans="1:2">
      <c r="A3527" t="s">
        <v>3420</v>
      </c>
      <c r="B3527">
        <v>19</v>
      </c>
    </row>
    <row r="3528" spans="1:2">
      <c r="A3528" t="s">
        <v>3421</v>
      </c>
      <c r="B3528">
        <v>11</v>
      </c>
    </row>
    <row r="3529" spans="1:2">
      <c r="A3529" t="s">
        <v>3422</v>
      </c>
      <c r="B3529">
        <v>9</v>
      </c>
    </row>
    <row r="3530" spans="1:2">
      <c r="A3530" t="s">
        <v>3423</v>
      </c>
      <c r="B3530">
        <v>14</v>
      </c>
    </row>
    <row r="3531" spans="1:2">
      <c r="A3531" t="s">
        <v>3424</v>
      </c>
      <c r="B3531">
        <v>10</v>
      </c>
    </row>
    <row r="3532" spans="1:2">
      <c r="A3532" t="s">
        <v>3425</v>
      </c>
      <c r="B3532">
        <v>9</v>
      </c>
    </row>
    <row r="3533" spans="1:2">
      <c r="A3533" t="s">
        <v>3426</v>
      </c>
      <c r="B3533">
        <v>12</v>
      </c>
    </row>
    <row r="3534" spans="1:2">
      <c r="A3534" t="s">
        <v>3427</v>
      </c>
      <c r="B3534">
        <v>8</v>
      </c>
    </row>
    <row r="3535" spans="1:2">
      <c r="A3535" t="s">
        <v>3428</v>
      </c>
      <c r="B3535">
        <v>9</v>
      </c>
    </row>
    <row r="3536" spans="1:2">
      <c r="A3536" t="s">
        <v>3429</v>
      </c>
      <c r="B3536">
        <v>17</v>
      </c>
    </row>
    <row r="3537" spans="1:2">
      <c r="A3537" t="s">
        <v>3430</v>
      </c>
      <c r="B3537">
        <v>7</v>
      </c>
    </row>
    <row r="3538" spans="1:2">
      <c r="A3538" t="s">
        <v>3431</v>
      </c>
      <c r="B3538">
        <v>6</v>
      </c>
    </row>
    <row r="3539" spans="1:2">
      <c r="A3539" t="s">
        <v>3432</v>
      </c>
      <c r="B3539">
        <v>8</v>
      </c>
    </row>
    <row r="3540" spans="1:2">
      <c r="A3540" t="s">
        <v>3433</v>
      </c>
      <c r="B3540">
        <v>10</v>
      </c>
    </row>
    <row r="3541" spans="1:2">
      <c r="A3541" t="s">
        <v>3434</v>
      </c>
      <c r="B3541">
        <v>12</v>
      </c>
    </row>
    <row r="3542" spans="1:2">
      <c r="A3542" t="s">
        <v>3435</v>
      </c>
      <c r="B3542">
        <v>28</v>
      </c>
    </row>
    <row r="3543" spans="1:2">
      <c r="A3543" t="s">
        <v>3436</v>
      </c>
      <c r="B3543">
        <v>18</v>
      </c>
    </row>
    <row r="3544" spans="1:2">
      <c r="A3544" t="s">
        <v>3437</v>
      </c>
      <c r="B3544">
        <v>15</v>
      </c>
    </row>
    <row r="3545" spans="1:2">
      <c r="A3545" t="s">
        <v>3438</v>
      </c>
      <c r="B3545">
        <v>22</v>
      </c>
    </row>
    <row r="3546" spans="1:2">
      <c r="A3546" t="s">
        <v>3439</v>
      </c>
      <c r="B3546">
        <v>16</v>
      </c>
    </row>
    <row r="3547" spans="1:2">
      <c r="A3547" t="s">
        <v>3440</v>
      </c>
      <c r="B3547">
        <v>14</v>
      </c>
    </row>
    <row r="3548" spans="1:2">
      <c r="A3548" t="s">
        <v>3441</v>
      </c>
      <c r="B3548">
        <v>18</v>
      </c>
    </row>
    <row r="3549" spans="1:2">
      <c r="A3549" t="s">
        <v>3442</v>
      </c>
      <c r="B3549">
        <v>13</v>
      </c>
    </row>
    <row r="3550" spans="1:2">
      <c r="A3550" t="s">
        <v>3443</v>
      </c>
      <c r="B3550">
        <v>13</v>
      </c>
    </row>
    <row r="3551" spans="1:2">
      <c r="A3551" t="s">
        <v>3444</v>
      </c>
      <c r="B3551">
        <v>21</v>
      </c>
    </row>
    <row r="3552" spans="1:2">
      <c r="A3552" t="s">
        <v>3445</v>
      </c>
      <c r="B3552">
        <v>12</v>
      </c>
    </row>
    <row r="3553" spans="1:2">
      <c r="A3553" t="s">
        <v>3446</v>
      </c>
      <c r="B3553">
        <v>10</v>
      </c>
    </row>
    <row r="3554" spans="1:2">
      <c r="A3554" t="s">
        <v>3447</v>
      </c>
      <c r="B3554">
        <v>11</v>
      </c>
    </row>
    <row r="3555" spans="1:2">
      <c r="A3555" t="s">
        <v>3448</v>
      </c>
      <c r="B3555">
        <v>13</v>
      </c>
    </row>
    <row r="3556" spans="1:2">
      <c r="A3556" t="s">
        <v>3449</v>
      </c>
      <c r="B3556">
        <v>16</v>
      </c>
    </row>
    <row r="3557" spans="1:2">
      <c r="A3557" t="s">
        <v>3450</v>
      </c>
      <c r="B3557">
        <v>25</v>
      </c>
    </row>
    <row r="3558" spans="1:2">
      <c r="A3558" t="s">
        <v>3451</v>
      </c>
      <c r="B3558">
        <v>17</v>
      </c>
    </row>
    <row r="3559" spans="1:2">
      <c r="A3559" t="s">
        <v>3452</v>
      </c>
      <c r="B3559">
        <v>14</v>
      </c>
    </row>
    <row r="3560" spans="1:2">
      <c r="A3560" t="s">
        <v>3453</v>
      </c>
      <c r="B3560">
        <v>20</v>
      </c>
    </row>
    <row r="3561" spans="1:2">
      <c r="A3561" t="s">
        <v>3454</v>
      </c>
      <c r="B3561">
        <v>15</v>
      </c>
    </row>
    <row r="3562" spans="1:2">
      <c r="A3562" t="s">
        <v>3455</v>
      </c>
      <c r="B3562">
        <v>13</v>
      </c>
    </row>
    <row r="3563" spans="1:2">
      <c r="A3563" t="s">
        <v>3456</v>
      </c>
      <c r="B3563">
        <v>17</v>
      </c>
    </row>
    <row r="3564" spans="1:2">
      <c r="A3564" t="s">
        <v>3457</v>
      </c>
      <c r="B3564">
        <v>12</v>
      </c>
    </row>
    <row r="3565" spans="1:2">
      <c r="A3565" t="s">
        <v>3458</v>
      </c>
      <c r="B3565">
        <v>12</v>
      </c>
    </row>
    <row r="3566" spans="1:2">
      <c r="A3566" t="s">
        <v>3459</v>
      </c>
      <c r="B3566">
        <v>20</v>
      </c>
    </row>
    <row r="3567" spans="1:2">
      <c r="A3567" t="s">
        <v>3460</v>
      </c>
      <c r="B3567">
        <v>11</v>
      </c>
    </row>
    <row r="3568" spans="1:2">
      <c r="A3568" t="s">
        <v>3461</v>
      </c>
      <c r="B3568">
        <v>9</v>
      </c>
    </row>
    <row r="3569" spans="1:2">
      <c r="A3569" t="s">
        <v>3462</v>
      </c>
      <c r="B3569">
        <v>10</v>
      </c>
    </row>
    <row r="3570" spans="1:2">
      <c r="A3570" t="s">
        <v>3463</v>
      </c>
      <c r="B3570">
        <v>12</v>
      </c>
    </row>
    <row r="3571" spans="1:2">
      <c r="A3571" t="s">
        <v>3464</v>
      </c>
      <c r="B3571">
        <v>15</v>
      </c>
    </row>
    <row r="3572" spans="1:2">
      <c r="A3572" t="s">
        <v>3465</v>
      </c>
      <c r="B3572">
        <v>24</v>
      </c>
    </row>
    <row r="3573" spans="1:2">
      <c r="A3573" t="s">
        <v>3466</v>
      </c>
      <c r="B3573">
        <v>16</v>
      </c>
    </row>
    <row r="3574" spans="1:2">
      <c r="A3574" t="s">
        <v>3467</v>
      </c>
      <c r="B3574">
        <v>13</v>
      </c>
    </row>
    <row r="3575" spans="1:2">
      <c r="A3575" t="s">
        <v>3468</v>
      </c>
      <c r="B3575">
        <v>19</v>
      </c>
    </row>
    <row r="3576" spans="1:2">
      <c r="A3576" t="s">
        <v>3469</v>
      </c>
      <c r="B3576">
        <v>14</v>
      </c>
    </row>
    <row r="3577" spans="1:2">
      <c r="A3577" t="s">
        <v>3470</v>
      </c>
      <c r="B3577">
        <v>12</v>
      </c>
    </row>
    <row r="3578" spans="1:2">
      <c r="A3578" t="s">
        <v>3471</v>
      </c>
      <c r="B3578">
        <v>16</v>
      </c>
    </row>
    <row r="3579" spans="1:2">
      <c r="A3579" t="s">
        <v>3472</v>
      </c>
      <c r="B3579">
        <v>11</v>
      </c>
    </row>
    <row r="3580" spans="1:2">
      <c r="A3580" t="s">
        <v>3473</v>
      </c>
      <c r="B3580">
        <v>12</v>
      </c>
    </row>
    <row r="3581" spans="1:2">
      <c r="A3581" t="s">
        <v>3474</v>
      </c>
      <c r="B3581">
        <v>19</v>
      </c>
    </row>
    <row r="3582" spans="1:2">
      <c r="A3582" t="s">
        <v>3475</v>
      </c>
      <c r="B3582">
        <v>10</v>
      </c>
    </row>
    <row r="3583" spans="1:2">
      <c r="A3583" t="s">
        <v>3476</v>
      </c>
      <c r="B3583">
        <v>8</v>
      </c>
    </row>
    <row r="3584" spans="1:2">
      <c r="A3584" t="s">
        <v>3477</v>
      </c>
      <c r="B3584">
        <v>10</v>
      </c>
    </row>
    <row r="3585" spans="1:2">
      <c r="A3585" t="s">
        <v>3478</v>
      </c>
      <c r="B3585">
        <v>12</v>
      </c>
    </row>
    <row r="3586" spans="1:2">
      <c r="A3586" t="s">
        <v>3479</v>
      </c>
      <c r="B3586">
        <v>14</v>
      </c>
    </row>
    <row r="3587" spans="1:2">
      <c r="A3587" t="s">
        <v>3480</v>
      </c>
      <c r="B3587">
        <v>23</v>
      </c>
    </row>
    <row r="3588" spans="1:2">
      <c r="A3588" t="s">
        <v>3481</v>
      </c>
      <c r="B3588">
        <v>16</v>
      </c>
    </row>
    <row r="3589" spans="1:2">
      <c r="A3589" t="s">
        <v>3482</v>
      </c>
      <c r="B3589">
        <v>13</v>
      </c>
    </row>
    <row r="3590" spans="1:2">
      <c r="A3590" t="s">
        <v>3483</v>
      </c>
      <c r="B3590">
        <v>19</v>
      </c>
    </row>
    <row r="3591" spans="1:2">
      <c r="A3591" t="s">
        <v>3484</v>
      </c>
      <c r="B3591">
        <v>14</v>
      </c>
    </row>
    <row r="3592" spans="1:2">
      <c r="A3592" t="s">
        <v>3485</v>
      </c>
      <c r="B3592">
        <v>12</v>
      </c>
    </row>
    <row r="3593" spans="1:2">
      <c r="A3593" t="s">
        <v>3486</v>
      </c>
      <c r="B3593">
        <v>16</v>
      </c>
    </row>
    <row r="3594" spans="1:2">
      <c r="A3594" t="s">
        <v>3487</v>
      </c>
      <c r="B3594">
        <v>11</v>
      </c>
    </row>
    <row r="3595" spans="1:2">
      <c r="A3595" t="s">
        <v>3488</v>
      </c>
      <c r="B3595">
        <v>12</v>
      </c>
    </row>
    <row r="3596" spans="1:2">
      <c r="A3596" t="s">
        <v>3489</v>
      </c>
      <c r="B3596">
        <v>19</v>
      </c>
    </row>
    <row r="3597" spans="1:2">
      <c r="A3597" t="s">
        <v>3490</v>
      </c>
      <c r="B3597">
        <v>10</v>
      </c>
    </row>
    <row r="3598" spans="1:2">
      <c r="A3598" t="s">
        <v>3491</v>
      </c>
      <c r="B3598">
        <v>8</v>
      </c>
    </row>
    <row r="3599" spans="1:2">
      <c r="A3599" t="s">
        <v>3492</v>
      </c>
      <c r="B3599">
        <v>10</v>
      </c>
    </row>
    <row r="3600" spans="1:2">
      <c r="A3600" t="s">
        <v>3493</v>
      </c>
      <c r="B3600">
        <v>12</v>
      </c>
    </row>
    <row r="3601" spans="1:2">
      <c r="A3601" t="s">
        <v>3494</v>
      </c>
      <c r="B3601">
        <v>14</v>
      </c>
    </row>
    <row r="3602" spans="1:2">
      <c r="A3602" t="s">
        <v>3495</v>
      </c>
      <c r="B3602">
        <v>22</v>
      </c>
    </row>
    <row r="3603" spans="1:2">
      <c r="A3603" t="s">
        <v>3496</v>
      </c>
      <c r="B3603">
        <v>15</v>
      </c>
    </row>
    <row r="3604" spans="1:2">
      <c r="A3604" t="s">
        <v>3497</v>
      </c>
      <c r="B3604">
        <v>12</v>
      </c>
    </row>
    <row r="3605" spans="1:2">
      <c r="A3605" t="s">
        <v>3498</v>
      </c>
      <c r="B3605">
        <v>18</v>
      </c>
    </row>
    <row r="3606" spans="1:2">
      <c r="A3606" t="s">
        <v>3499</v>
      </c>
      <c r="B3606">
        <v>13</v>
      </c>
    </row>
    <row r="3607" spans="1:2">
      <c r="A3607" t="s">
        <v>3500</v>
      </c>
      <c r="B3607">
        <v>11</v>
      </c>
    </row>
    <row r="3608" spans="1:2">
      <c r="A3608" t="s">
        <v>3501</v>
      </c>
      <c r="B3608">
        <v>15</v>
      </c>
    </row>
    <row r="3609" spans="1:2">
      <c r="A3609" t="s">
        <v>3502</v>
      </c>
      <c r="B3609">
        <v>10</v>
      </c>
    </row>
    <row r="3610" spans="1:2">
      <c r="A3610" t="s">
        <v>3503</v>
      </c>
      <c r="B3610">
        <v>11</v>
      </c>
    </row>
    <row r="3611" spans="1:2">
      <c r="A3611" t="s">
        <v>3504</v>
      </c>
      <c r="B3611">
        <v>18</v>
      </c>
    </row>
    <row r="3612" spans="1:2">
      <c r="A3612" t="s">
        <v>3505</v>
      </c>
      <c r="B3612">
        <v>9</v>
      </c>
    </row>
    <row r="3613" spans="1:2">
      <c r="A3613" t="s">
        <v>3506</v>
      </c>
      <c r="B3613">
        <v>7</v>
      </c>
    </row>
    <row r="3614" spans="1:2">
      <c r="A3614" t="s">
        <v>3507</v>
      </c>
      <c r="B3614">
        <v>9</v>
      </c>
    </row>
    <row r="3615" spans="1:2">
      <c r="A3615" t="s">
        <v>3508</v>
      </c>
      <c r="B3615">
        <v>11</v>
      </c>
    </row>
    <row r="3616" spans="1:2">
      <c r="A3616" t="s">
        <v>3509</v>
      </c>
      <c r="B3616">
        <v>13</v>
      </c>
    </row>
    <row r="3617" spans="1:2">
      <c r="A3617" t="s">
        <v>3510</v>
      </c>
      <c r="B3617">
        <v>20</v>
      </c>
    </row>
    <row r="3618" spans="1:2">
      <c r="A3618" t="s">
        <v>3511</v>
      </c>
      <c r="B3618">
        <v>12</v>
      </c>
    </row>
    <row r="3619" spans="1:2">
      <c r="A3619" t="s">
        <v>3512</v>
      </c>
      <c r="B3619">
        <v>9</v>
      </c>
    </row>
    <row r="3620" spans="1:2">
      <c r="A3620" t="s">
        <v>3513</v>
      </c>
      <c r="B3620">
        <v>15</v>
      </c>
    </row>
    <row r="3621" spans="1:2">
      <c r="A3621" t="s">
        <v>3514</v>
      </c>
      <c r="B3621">
        <v>11</v>
      </c>
    </row>
    <row r="3622" spans="1:2">
      <c r="A3622" t="s">
        <v>3515</v>
      </c>
      <c r="B3622">
        <v>9</v>
      </c>
    </row>
    <row r="3623" spans="1:2">
      <c r="A3623" t="s">
        <v>3516</v>
      </c>
      <c r="B3623">
        <v>13</v>
      </c>
    </row>
    <row r="3624" spans="1:2">
      <c r="A3624" t="s">
        <v>3517</v>
      </c>
      <c r="B3624">
        <v>9</v>
      </c>
    </row>
    <row r="3625" spans="1:2">
      <c r="A3625" t="s">
        <v>3518</v>
      </c>
      <c r="B3625">
        <v>10</v>
      </c>
    </row>
    <row r="3626" spans="1:2">
      <c r="A3626" t="s">
        <v>3519</v>
      </c>
      <c r="B3626">
        <v>17</v>
      </c>
    </row>
    <row r="3627" spans="1:2">
      <c r="A3627" t="s">
        <v>3520</v>
      </c>
      <c r="B3627">
        <v>7</v>
      </c>
    </row>
    <row r="3628" spans="1:2">
      <c r="A3628" t="s">
        <v>3521</v>
      </c>
      <c r="B3628">
        <v>6</v>
      </c>
    </row>
    <row r="3629" spans="1:2">
      <c r="A3629" t="s">
        <v>3522</v>
      </c>
      <c r="B3629">
        <v>8</v>
      </c>
    </row>
    <row r="3630" spans="1:2">
      <c r="A3630" t="s">
        <v>3523</v>
      </c>
      <c r="B3630">
        <v>10</v>
      </c>
    </row>
    <row r="3631" spans="1:2">
      <c r="A3631" t="s">
        <v>3524</v>
      </c>
      <c r="B3631">
        <v>12</v>
      </c>
    </row>
    <row r="3632" spans="1:2">
      <c r="A3632" t="s">
        <v>3525</v>
      </c>
      <c r="B3632">
        <v>19</v>
      </c>
    </row>
    <row r="3633" spans="1:2">
      <c r="A3633" t="s">
        <v>3526</v>
      </c>
      <c r="B3633">
        <v>11</v>
      </c>
    </row>
    <row r="3634" spans="1:2">
      <c r="A3634" t="s">
        <v>3527</v>
      </c>
      <c r="B3634">
        <v>9</v>
      </c>
    </row>
    <row r="3635" spans="1:2">
      <c r="A3635" t="s">
        <v>3528</v>
      </c>
      <c r="B3635">
        <v>14</v>
      </c>
    </row>
    <row r="3636" spans="1:2">
      <c r="A3636" t="s">
        <v>3529</v>
      </c>
      <c r="B3636">
        <v>10</v>
      </c>
    </row>
    <row r="3637" spans="1:2">
      <c r="A3637" t="s">
        <v>3530</v>
      </c>
      <c r="B3637">
        <v>9</v>
      </c>
    </row>
    <row r="3638" spans="1:2">
      <c r="A3638" t="s">
        <v>3531</v>
      </c>
      <c r="B3638">
        <v>12</v>
      </c>
    </row>
    <row r="3639" spans="1:2">
      <c r="A3639" t="s">
        <v>3532</v>
      </c>
      <c r="B3639">
        <v>8</v>
      </c>
    </row>
    <row r="3640" spans="1:2">
      <c r="A3640" t="s">
        <v>3533</v>
      </c>
      <c r="B3640">
        <v>9</v>
      </c>
    </row>
    <row r="3641" spans="1:2">
      <c r="A3641" t="s">
        <v>3534</v>
      </c>
      <c r="B3641">
        <v>17</v>
      </c>
    </row>
    <row r="3642" spans="1:2">
      <c r="A3642" t="s">
        <v>3535</v>
      </c>
      <c r="B3642">
        <v>7</v>
      </c>
    </row>
    <row r="3643" spans="1:2">
      <c r="A3643" t="s">
        <v>3536</v>
      </c>
      <c r="B3643">
        <v>6</v>
      </c>
    </row>
    <row r="3644" spans="1:2">
      <c r="A3644" t="s">
        <v>3537</v>
      </c>
      <c r="B3644">
        <v>8</v>
      </c>
    </row>
    <row r="3645" spans="1:2">
      <c r="A3645" t="s">
        <v>3538</v>
      </c>
      <c r="B3645">
        <v>10</v>
      </c>
    </row>
    <row r="3646" spans="1:2">
      <c r="A3646" t="s">
        <v>3539</v>
      </c>
      <c r="B3646">
        <v>12</v>
      </c>
    </row>
    <row r="3647" spans="1:2">
      <c r="A3647" t="s">
        <v>3540</v>
      </c>
      <c r="B3647">
        <v>28</v>
      </c>
    </row>
    <row r="3648" spans="1:2">
      <c r="A3648" t="s">
        <v>3541</v>
      </c>
      <c r="B3648">
        <v>18</v>
      </c>
    </row>
    <row r="3649" spans="1:2">
      <c r="A3649" t="s">
        <v>3542</v>
      </c>
      <c r="B3649">
        <v>15</v>
      </c>
    </row>
    <row r="3650" spans="1:2">
      <c r="A3650" t="s">
        <v>3543</v>
      </c>
      <c r="B3650">
        <v>22</v>
      </c>
    </row>
    <row r="3651" spans="1:2">
      <c r="A3651" t="s">
        <v>3544</v>
      </c>
      <c r="B3651">
        <v>16</v>
      </c>
    </row>
    <row r="3652" spans="1:2">
      <c r="A3652" t="s">
        <v>3545</v>
      </c>
      <c r="B3652">
        <v>14</v>
      </c>
    </row>
    <row r="3653" spans="1:2">
      <c r="A3653" t="s">
        <v>3546</v>
      </c>
      <c r="B3653">
        <v>18</v>
      </c>
    </row>
    <row r="3654" spans="1:2">
      <c r="A3654" t="s">
        <v>3547</v>
      </c>
      <c r="B3654">
        <v>13</v>
      </c>
    </row>
    <row r="3655" spans="1:2">
      <c r="A3655" t="s">
        <v>3548</v>
      </c>
      <c r="B3655">
        <v>13</v>
      </c>
    </row>
    <row r="3656" spans="1:2">
      <c r="A3656" t="s">
        <v>3549</v>
      </c>
      <c r="B3656">
        <v>21</v>
      </c>
    </row>
    <row r="3657" spans="1:2">
      <c r="A3657" t="s">
        <v>3550</v>
      </c>
      <c r="B3657">
        <v>12</v>
      </c>
    </row>
    <row r="3658" spans="1:2">
      <c r="A3658" t="s">
        <v>3551</v>
      </c>
      <c r="B3658">
        <v>10</v>
      </c>
    </row>
    <row r="3659" spans="1:2">
      <c r="A3659" t="s">
        <v>3552</v>
      </c>
      <c r="B3659">
        <v>11</v>
      </c>
    </row>
    <row r="3660" spans="1:2">
      <c r="A3660" t="s">
        <v>3553</v>
      </c>
      <c r="B3660">
        <v>13</v>
      </c>
    </row>
    <row r="3661" spans="1:2">
      <c r="A3661" t="s">
        <v>3554</v>
      </c>
      <c r="B3661">
        <v>16</v>
      </c>
    </row>
    <row r="3662" spans="1:2">
      <c r="A3662" t="s">
        <v>3555</v>
      </c>
      <c r="B3662">
        <v>25</v>
      </c>
    </row>
    <row r="3663" spans="1:2">
      <c r="A3663" t="s">
        <v>3556</v>
      </c>
      <c r="B3663">
        <v>17</v>
      </c>
    </row>
    <row r="3664" spans="1:2">
      <c r="A3664" t="s">
        <v>3557</v>
      </c>
      <c r="B3664">
        <v>14</v>
      </c>
    </row>
    <row r="3665" spans="1:2">
      <c r="A3665" t="s">
        <v>3558</v>
      </c>
      <c r="B3665">
        <v>20</v>
      </c>
    </row>
    <row r="3666" spans="1:2">
      <c r="A3666" t="s">
        <v>3559</v>
      </c>
      <c r="B3666">
        <v>15</v>
      </c>
    </row>
    <row r="3667" spans="1:2">
      <c r="A3667" t="s">
        <v>3560</v>
      </c>
      <c r="B3667">
        <v>13</v>
      </c>
    </row>
    <row r="3668" spans="1:2">
      <c r="A3668" t="s">
        <v>3561</v>
      </c>
      <c r="B3668">
        <v>17</v>
      </c>
    </row>
    <row r="3669" spans="1:2">
      <c r="A3669" t="s">
        <v>3562</v>
      </c>
      <c r="B3669">
        <v>12</v>
      </c>
    </row>
    <row r="3670" spans="1:2">
      <c r="A3670" t="s">
        <v>3563</v>
      </c>
      <c r="B3670">
        <v>12</v>
      </c>
    </row>
    <row r="3671" spans="1:2">
      <c r="A3671" t="s">
        <v>3564</v>
      </c>
      <c r="B3671">
        <v>20</v>
      </c>
    </row>
    <row r="3672" spans="1:2">
      <c r="A3672" t="s">
        <v>3565</v>
      </c>
      <c r="B3672">
        <v>11</v>
      </c>
    </row>
    <row r="3673" spans="1:2">
      <c r="A3673" t="s">
        <v>3566</v>
      </c>
      <c r="B3673">
        <v>9</v>
      </c>
    </row>
    <row r="3674" spans="1:2">
      <c r="A3674" t="s">
        <v>3567</v>
      </c>
      <c r="B3674">
        <v>10</v>
      </c>
    </row>
    <row r="3675" spans="1:2">
      <c r="A3675" t="s">
        <v>3568</v>
      </c>
      <c r="B3675">
        <v>12</v>
      </c>
    </row>
    <row r="3676" spans="1:2">
      <c r="A3676" t="s">
        <v>3569</v>
      </c>
      <c r="B3676">
        <v>15</v>
      </c>
    </row>
    <row r="3677" spans="1:2">
      <c r="A3677" t="s">
        <v>3570</v>
      </c>
      <c r="B3677">
        <v>24</v>
      </c>
    </row>
    <row r="3678" spans="1:2">
      <c r="A3678" t="s">
        <v>3571</v>
      </c>
      <c r="B3678">
        <v>16</v>
      </c>
    </row>
    <row r="3679" spans="1:2">
      <c r="A3679" t="s">
        <v>3572</v>
      </c>
      <c r="B3679">
        <v>13</v>
      </c>
    </row>
    <row r="3680" spans="1:2">
      <c r="A3680" t="s">
        <v>3573</v>
      </c>
      <c r="B3680">
        <v>19</v>
      </c>
    </row>
    <row r="3681" spans="1:2">
      <c r="A3681" t="s">
        <v>3574</v>
      </c>
      <c r="B3681">
        <v>14</v>
      </c>
    </row>
    <row r="3682" spans="1:2">
      <c r="A3682" t="s">
        <v>3575</v>
      </c>
      <c r="B3682">
        <v>12</v>
      </c>
    </row>
    <row r="3683" spans="1:2">
      <c r="A3683" t="s">
        <v>3576</v>
      </c>
      <c r="B3683">
        <v>16</v>
      </c>
    </row>
    <row r="3684" spans="1:2">
      <c r="A3684" t="s">
        <v>3577</v>
      </c>
      <c r="B3684">
        <v>11</v>
      </c>
    </row>
    <row r="3685" spans="1:2">
      <c r="A3685" t="s">
        <v>3578</v>
      </c>
      <c r="B3685">
        <v>12</v>
      </c>
    </row>
    <row r="3686" spans="1:2">
      <c r="A3686" t="s">
        <v>3579</v>
      </c>
      <c r="B3686">
        <v>19</v>
      </c>
    </row>
    <row r="3687" spans="1:2">
      <c r="A3687" t="s">
        <v>3580</v>
      </c>
      <c r="B3687">
        <v>10</v>
      </c>
    </row>
    <row r="3688" spans="1:2">
      <c r="A3688" t="s">
        <v>3581</v>
      </c>
      <c r="B3688">
        <v>8</v>
      </c>
    </row>
    <row r="3689" spans="1:2">
      <c r="A3689" t="s">
        <v>3582</v>
      </c>
      <c r="B3689">
        <v>10</v>
      </c>
    </row>
    <row r="3690" spans="1:2">
      <c r="A3690" t="s">
        <v>3583</v>
      </c>
      <c r="B3690">
        <v>12</v>
      </c>
    </row>
    <row r="3691" spans="1:2">
      <c r="A3691" t="s">
        <v>3584</v>
      </c>
      <c r="B3691">
        <v>14</v>
      </c>
    </row>
    <row r="3692" spans="1:2">
      <c r="A3692" t="s">
        <v>3585</v>
      </c>
      <c r="B3692">
        <v>23</v>
      </c>
    </row>
    <row r="3693" spans="1:2">
      <c r="A3693" t="s">
        <v>3586</v>
      </c>
      <c r="B3693">
        <v>16</v>
      </c>
    </row>
    <row r="3694" spans="1:2">
      <c r="A3694" t="s">
        <v>3587</v>
      </c>
      <c r="B3694">
        <v>13</v>
      </c>
    </row>
    <row r="3695" spans="1:2">
      <c r="A3695" t="s">
        <v>3588</v>
      </c>
      <c r="B3695">
        <v>19</v>
      </c>
    </row>
    <row r="3696" spans="1:2">
      <c r="A3696" t="s">
        <v>3589</v>
      </c>
      <c r="B3696">
        <v>14</v>
      </c>
    </row>
    <row r="3697" spans="1:2">
      <c r="A3697" t="s">
        <v>3590</v>
      </c>
      <c r="B3697">
        <v>12</v>
      </c>
    </row>
    <row r="3698" spans="1:2">
      <c r="A3698" t="s">
        <v>3591</v>
      </c>
      <c r="B3698">
        <v>16</v>
      </c>
    </row>
    <row r="3699" spans="1:2">
      <c r="A3699" t="s">
        <v>3592</v>
      </c>
      <c r="B3699">
        <v>11</v>
      </c>
    </row>
    <row r="3700" spans="1:2">
      <c r="A3700" t="s">
        <v>3593</v>
      </c>
      <c r="B3700">
        <v>12</v>
      </c>
    </row>
    <row r="3701" spans="1:2">
      <c r="A3701" t="s">
        <v>3594</v>
      </c>
      <c r="B3701">
        <v>19</v>
      </c>
    </row>
    <row r="3702" spans="1:2">
      <c r="A3702" t="s">
        <v>3595</v>
      </c>
      <c r="B3702">
        <v>10</v>
      </c>
    </row>
    <row r="3703" spans="1:2">
      <c r="A3703" t="s">
        <v>3596</v>
      </c>
      <c r="B3703">
        <v>8</v>
      </c>
    </row>
    <row r="3704" spans="1:2">
      <c r="A3704" t="s">
        <v>3597</v>
      </c>
      <c r="B3704">
        <v>10</v>
      </c>
    </row>
    <row r="3705" spans="1:2">
      <c r="A3705" t="s">
        <v>3598</v>
      </c>
      <c r="B3705">
        <v>12</v>
      </c>
    </row>
    <row r="3706" spans="1:2">
      <c r="A3706" t="s">
        <v>3599</v>
      </c>
      <c r="B3706">
        <v>14</v>
      </c>
    </row>
    <row r="3707" spans="1:2">
      <c r="A3707" t="s">
        <v>3600</v>
      </c>
      <c r="B3707">
        <v>22</v>
      </c>
    </row>
    <row r="3708" spans="1:2">
      <c r="A3708" t="s">
        <v>3601</v>
      </c>
      <c r="B3708">
        <v>15</v>
      </c>
    </row>
    <row r="3709" spans="1:2">
      <c r="A3709" t="s">
        <v>3602</v>
      </c>
      <c r="B3709">
        <v>12</v>
      </c>
    </row>
    <row r="3710" spans="1:2">
      <c r="A3710" t="s">
        <v>3603</v>
      </c>
      <c r="B3710">
        <v>18</v>
      </c>
    </row>
    <row r="3711" spans="1:2">
      <c r="A3711" t="s">
        <v>3604</v>
      </c>
      <c r="B3711">
        <v>13</v>
      </c>
    </row>
    <row r="3712" spans="1:2">
      <c r="A3712" t="s">
        <v>3605</v>
      </c>
      <c r="B3712">
        <v>11</v>
      </c>
    </row>
    <row r="3713" spans="1:2">
      <c r="A3713" t="s">
        <v>3606</v>
      </c>
      <c r="B3713">
        <v>15</v>
      </c>
    </row>
    <row r="3714" spans="1:2">
      <c r="A3714" t="s">
        <v>3607</v>
      </c>
      <c r="B3714">
        <v>10</v>
      </c>
    </row>
    <row r="3715" spans="1:2">
      <c r="A3715" t="s">
        <v>3608</v>
      </c>
      <c r="B3715">
        <v>11</v>
      </c>
    </row>
    <row r="3716" spans="1:2">
      <c r="A3716" t="s">
        <v>3609</v>
      </c>
      <c r="B3716">
        <v>18</v>
      </c>
    </row>
    <row r="3717" spans="1:2">
      <c r="A3717" t="s">
        <v>3610</v>
      </c>
      <c r="B3717">
        <v>9</v>
      </c>
    </row>
    <row r="3718" spans="1:2">
      <c r="A3718" t="s">
        <v>3611</v>
      </c>
      <c r="B3718">
        <v>7</v>
      </c>
    </row>
    <row r="3719" spans="1:2">
      <c r="A3719" t="s">
        <v>3612</v>
      </c>
      <c r="B3719">
        <v>9</v>
      </c>
    </row>
    <row r="3720" spans="1:2">
      <c r="A3720" t="s">
        <v>3613</v>
      </c>
      <c r="B3720">
        <v>11</v>
      </c>
    </row>
    <row r="3721" spans="1:2">
      <c r="A3721" t="s">
        <v>3614</v>
      </c>
      <c r="B3721">
        <v>13</v>
      </c>
    </row>
    <row r="3722" spans="1:2">
      <c r="A3722" t="s">
        <v>3615</v>
      </c>
      <c r="B3722">
        <v>20</v>
      </c>
    </row>
    <row r="3723" spans="1:2">
      <c r="A3723" t="s">
        <v>3616</v>
      </c>
      <c r="B3723">
        <v>12</v>
      </c>
    </row>
    <row r="3724" spans="1:2">
      <c r="A3724" t="s">
        <v>3617</v>
      </c>
      <c r="B3724">
        <v>9</v>
      </c>
    </row>
    <row r="3725" spans="1:2">
      <c r="A3725" t="s">
        <v>3618</v>
      </c>
      <c r="B3725">
        <v>15</v>
      </c>
    </row>
    <row r="3726" spans="1:2">
      <c r="A3726" t="s">
        <v>3619</v>
      </c>
      <c r="B3726">
        <v>11</v>
      </c>
    </row>
    <row r="3727" spans="1:2">
      <c r="A3727" t="s">
        <v>3620</v>
      </c>
      <c r="B3727">
        <v>9</v>
      </c>
    </row>
    <row r="3728" spans="1:2">
      <c r="A3728" t="s">
        <v>3621</v>
      </c>
      <c r="B3728">
        <v>13</v>
      </c>
    </row>
    <row r="3729" spans="1:2">
      <c r="A3729" t="s">
        <v>3622</v>
      </c>
      <c r="B3729">
        <v>9</v>
      </c>
    </row>
    <row r="3730" spans="1:2">
      <c r="A3730" t="s">
        <v>3623</v>
      </c>
      <c r="B3730">
        <v>10</v>
      </c>
    </row>
    <row r="3731" spans="1:2">
      <c r="A3731" t="s">
        <v>3624</v>
      </c>
      <c r="B3731">
        <v>17</v>
      </c>
    </row>
    <row r="3732" spans="1:2">
      <c r="A3732" t="s">
        <v>3625</v>
      </c>
      <c r="B3732">
        <v>7</v>
      </c>
    </row>
    <row r="3733" spans="1:2">
      <c r="A3733" t="s">
        <v>3626</v>
      </c>
      <c r="B3733">
        <v>6</v>
      </c>
    </row>
    <row r="3734" spans="1:2">
      <c r="A3734" t="s">
        <v>3627</v>
      </c>
      <c r="B3734">
        <v>8</v>
      </c>
    </row>
    <row r="3735" spans="1:2">
      <c r="A3735" t="s">
        <v>3628</v>
      </c>
      <c r="B3735">
        <v>10</v>
      </c>
    </row>
    <row r="3736" spans="1:2">
      <c r="A3736" t="s">
        <v>3629</v>
      </c>
      <c r="B3736">
        <v>12</v>
      </c>
    </row>
    <row r="3737" spans="1:2">
      <c r="A3737" t="s">
        <v>3630</v>
      </c>
      <c r="B3737">
        <v>19</v>
      </c>
    </row>
    <row r="3738" spans="1:2">
      <c r="A3738" t="s">
        <v>3631</v>
      </c>
      <c r="B3738">
        <v>11</v>
      </c>
    </row>
    <row r="3739" spans="1:2">
      <c r="A3739" t="s">
        <v>3632</v>
      </c>
      <c r="B3739">
        <v>9</v>
      </c>
    </row>
    <row r="3740" spans="1:2">
      <c r="A3740" t="s">
        <v>3633</v>
      </c>
      <c r="B3740">
        <v>14</v>
      </c>
    </row>
    <row r="3741" spans="1:2">
      <c r="A3741" t="s">
        <v>3634</v>
      </c>
      <c r="B3741">
        <v>10</v>
      </c>
    </row>
    <row r="3742" spans="1:2">
      <c r="A3742" t="s">
        <v>3635</v>
      </c>
      <c r="B3742">
        <v>9</v>
      </c>
    </row>
    <row r="3743" spans="1:2">
      <c r="A3743" t="s">
        <v>3636</v>
      </c>
      <c r="B3743">
        <v>12</v>
      </c>
    </row>
    <row r="3744" spans="1:2">
      <c r="A3744" t="s">
        <v>3637</v>
      </c>
      <c r="B3744">
        <v>8</v>
      </c>
    </row>
    <row r="3745" spans="1:2">
      <c r="A3745" t="s">
        <v>3638</v>
      </c>
      <c r="B3745">
        <v>9</v>
      </c>
    </row>
    <row r="3746" spans="1:2">
      <c r="A3746" t="s">
        <v>3639</v>
      </c>
      <c r="B3746">
        <v>17</v>
      </c>
    </row>
    <row r="3747" spans="1:2">
      <c r="A3747" t="s">
        <v>3640</v>
      </c>
      <c r="B3747">
        <v>7</v>
      </c>
    </row>
    <row r="3748" spans="1:2">
      <c r="A3748" t="s">
        <v>3641</v>
      </c>
      <c r="B3748">
        <v>6</v>
      </c>
    </row>
    <row r="3749" spans="1:2">
      <c r="A3749" t="s">
        <v>3642</v>
      </c>
      <c r="B3749">
        <v>8</v>
      </c>
    </row>
    <row r="3750" spans="1:2">
      <c r="A3750" t="s">
        <v>3643</v>
      </c>
      <c r="B3750">
        <v>10</v>
      </c>
    </row>
    <row r="3751" spans="1:2">
      <c r="A3751" t="s">
        <v>3644</v>
      </c>
      <c r="B3751">
        <v>12</v>
      </c>
    </row>
    <row r="3752" spans="1:2">
      <c r="A3752" t="s">
        <v>3645</v>
      </c>
      <c r="B3752">
        <v>28</v>
      </c>
    </row>
    <row r="3753" spans="1:2">
      <c r="A3753" t="s">
        <v>3646</v>
      </c>
      <c r="B3753">
        <v>18</v>
      </c>
    </row>
    <row r="3754" spans="1:2">
      <c r="A3754" t="s">
        <v>3647</v>
      </c>
      <c r="B3754">
        <v>15</v>
      </c>
    </row>
    <row r="3755" spans="1:2">
      <c r="A3755" t="s">
        <v>3648</v>
      </c>
      <c r="B3755">
        <v>22</v>
      </c>
    </row>
    <row r="3756" spans="1:2">
      <c r="A3756" t="s">
        <v>3649</v>
      </c>
      <c r="B3756">
        <v>16</v>
      </c>
    </row>
    <row r="3757" spans="1:2">
      <c r="A3757" t="s">
        <v>3650</v>
      </c>
      <c r="B3757">
        <v>14</v>
      </c>
    </row>
    <row r="3758" spans="1:2">
      <c r="A3758" t="s">
        <v>3651</v>
      </c>
      <c r="B3758">
        <v>18</v>
      </c>
    </row>
    <row r="3759" spans="1:2">
      <c r="A3759" t="s">
        <v>3652</v>
      </c>
      <c r="B3759">
        <v>13</v>
      </c>
    </row>
    <row r="3760" spans="1:2">
      <c r="A3760" t="s">
        <v>3653</v>
      </c>
      <c r="B3760">
        <v>13</v>
      </c>
    </row>
    <row r="3761" spans="1:2">
      <c r="A3761" t="s">
        <v>3654</v>
      </c>
      <c r="B3761">
        <v>21</v>
      </c>
    </row>
    <row r="3762" spans="1:2">
      <c r="A3762" t="s">
        <v>3655</v>
      </c>
      <c r="B3762">
        <v>12</v>
      </c>
    </row>
    <row r="3763" spans="1:2">
      <c r="A3763" t="s">
        <v>3656</v>
      </c>
      <c r="B3763">
        <v>10</v>
      </c>
    </row>
    <row r="3764" spans="1:2">
      <c r="A3764" t="s">
        <v>3657</v>
      </c>
      <c r="B3764">
        <v>11</v>
      </c>
    </row>
    <row r="3765" spans="1:2">
      <c r="A3765" t="s">
        <v>3658</v>
      </c>
      <c r="B3765">
        <v>13</v>
      </c>
    </row>
    <row r="3766" spans="1:2">
      <c r="A3766" t="s">
        <v>3659</v>
      </c>
      <c r="B3766">
        <v>16</v>
      </c>
    </row>
    <row r="3767" spans="1:2">
      <c r="A3767" t="s">
        <v>3660</v>
      </c>
      <c r="B3767">
        <v>25</v>
      </c>
    </row>
    <row r="3768" spans="1:2">
      <c r="A3768" t="s">
        <v>3661</v>
      </c>
      <c r="B3768">
        <v>17</v>
      </c>
    </row>
    <row r="3769" spans="1:2">
      <c r="A3769" t="s">
        <v>3662</v>
      </c>
      <c r="B3769">
        <v>14</v>
      </c>
    </row>
    <row r="3770" spans="1:2">
      <c r="A3770" t="s">
        <v>3663</v>
      </c>
      <c r="B3770">
        <v>20</v>
      </c>
    </row>
    <row r="3771" spans="1:2">
      <c r="A3771" t="s">
        <v>3664</v>
      </c>
      <c r="B3771">
        <v>15</v>
      </c>
    </row>
    <row r="3772" spans="1:2">
      <c r="A3772" t="s">
        <v>3665</v>
      </c>
      <c r="B3772">
        <v>13</v>
      </c>
    </row>
    <row r="3773" spans="1:2">
      <c r="A3773" t="s">
        <v>3666</v>
      </c>
      <c r="B3773">
        <v>17</v>
      </c>
    </row>
    <row r="3774" spans="1:2">
      <c r="A3774" t="s">
        <v>3667</v>
      </c>
      <c r="B3774">
        <v>12</v>
      </c>
    </row>
    <row r="3775" spans="1:2">
      <c r="A3775" t="s">
        <v>3668</v>
      </c>
      <c r="B3775">
        <v>12</v>
      </c>
    </row>
    <row r="3776" spans="1:2">
      <c r="A3776" t="s">
        <v>3669</v>
      </c>
      <c r="B3776">
        <v>20</v>
      </c>
    </row>
    <row r="3777" spans="1:2">
      <c r="A3777" t="s">
        <v>3670</v>
      </c>
      <c r="B3777">
        <v>11</v>
      </c>
    </row>
    <row r="3778" spans="1:2">
      <c r="A3778" t="s">
        <v>3671</v>
      </c>
      <c r="B3778">
        <v>9</v>
      </c>
    </row>
    <row r="3779" spans="1:2">
      <c r="A3779" t="s">
        <v>3672</v>
      </c>
      <c r="B3779">
        <v>10</v>
      </c>
    </row>
    <row r="3780" spans="1:2">
      <c r="A3780" t="s">
        <v>3673</v>
      </c>
      <c r="B3780">
        <v>12</v>
      </c>
    </row>
    <row r="3781" spans="1:2">
      <c r="A3781" t="s">
        <v>3674</v>
      </c>
      <c r="B3781">
        <v>15</v>
      </c>
    </row>
    <row r="3782" spans="1:2">
      <c r="A3782" t="s">
        <v>3675</v>
      </c>
      <c r="B3782">
        <v>24</v>
      </c>
    </row>
    <row r="3783" spans="1:2">
      <c r="A3783" t="s">
        <v>3676</v>
      </c>
      <c r="B3783">
        <v>16</v>
      </c>
    </row>
    <row r="3784" spans="1:2">
      <c r="A3784" t="s">
        <v>3677</v>
      </c>
      <c r="B3784">
        <v>13</v>
      </c>
    </row>
    <row r="3785" spans="1:2">
      <c r="A3785" t="s">
        <v>3678</v>
      </c>
      <c r="B3785">
        <v>19</v>
      </c>
    </row>
    <row r="3786" spans="1:2">
      <c r="A3786" t="s">
        <v>3679</v>
      </c>
      <c r="B3786">
        <v>14</v>
      </c>
    </row>
    <row r="3787" spans="1:2">
      <c r="A3787" t="s">
        <v>3680</v>
      </c>
      <c r="B3787">
        <v>12</v>
      </c>
    </row>
    <row r="3788" spans="1:2">
      <c r="A3788" t="s">
        <v>3681</v>
      </c>
      <c r="B3788">
        <v>16</v>
      </c>
    </row>
    <row r="3789" spans="1:2">
      <c r="A3789" t="s">
        <v>3682</v>
      </c>
      <c r="B3789">
        <v>11</v>
      </c>
    </row>
    <row r="3790" spans="1:2">
      <c r="A3790" t="s">
        <v>3683</v>
      </c>
      <c r="B3790">
        <v>12</v>
      </c>
    </row>
    <row r="3791" spans="1:2">
      <c r="A3791" t="s">
        <v>3684</v>
      </c>
      <c r="B3791">
        <v>19</v>
      </c>
    </row>
    <row r="3792" spans="1:2">
      <c r="A3792" t="s">
        <v>3685</v>
      </c>
      <c r="B3792">
        <v>10</v>
      </c>
    </row>
    <row r="3793" spans="1:2">
      <c r="A3793" t="s">
        <v>3686</v>
      </c>
      <c r="B3793">
        <v>8</v>
      </c>
    </row>
    <row r="3794" spans="1:2">
      <c r="A3794" t="s">
        <v>3687</v>
      </c>
      <c r="B3794">
        <v>10</v>
      </c>
    </row>
    <row r="3795" spans="1:2">
      <c r="A3795" t="s">
        <v>3688</v>
      </c>
      <c r="B3795">
        <v>12</v>
      </c>
    </row>
    <row r="3796" spans="1:2">
      <c r="A3796" t="s">
        <v>3689</v>
      </c>
      <c r="B3796">
        <v>14</v>
      </c>
    </row>
    <row r="3797" spans="1:2">
      <c r="A3797" t="s">
        <v>3690</v>
      </c>
      <c r="B3797">
        <v>23</v>
      </c>
    </row>
    <row r="3798" spans="1:2">
      <c r="A3798" t="s">
        <v>3691</v>
      </c>
      <c r="B3798">
        <v>16</v>
      </c>
    </row>
    <row r="3799" spans="1:2">
      <c r="A3799" t="s">
        <v>3692</v>
      </c>
      <c r="B3799">
        <v>13</v>
      </c>
    </row>
    <row r="3800" spans="1:2">
      <c r="A3800" t="s">
        <v>3693</v>
      </c>
      <c r="B3800">
        <v>19</v>
      </c>
    </row>
    <row r="3801" spans="1:2">
      <c r="A3801" t="s">
        <v>3694</v>
      </c>
      <c r="B3801">
        <v>14</v>
      </c>
    </row>
    <row r="3802" spans="1:2">
      <c r="A3802" t="s">
        <v>3695</v>
      </c>
      <c r="B3802">
        <v>12</v>
      </c>
    </row>
    <row r="3803" spans="1:2">
      <c r="A3803" t="s">
        <v>3696</v>
      </c>
      <c r="B3803">
        <v>16</v>
      </c>
    </row>
    <row r="3804" spans="1:2">
      <c r="A3804" t="s">
        <v>3697</v>
      </c>
      <c r="B3804">
        <v>11</v>
      </c>
    </row>
    <row r="3805" spans="1:2">
      <c r="A3805" t="s">
        <v>3698</v>
      </c>
      <c r="B3805">
        <v>12</v>
      </c>
    </row>
    <row r="3806" spans="1:2">
      <c r="A3806" t="s">
        <v>3699</v>
      </c>
      <c r="B3806">
        <v>19</v>
      </c>
    </row>
    <row r="3807" spans="1:2">
      <c r="A3807" t="s">
        <v>3700</v>
      </c>
      <c r="B3807">
        <v>10</v>
      </c>
    </row>
    <row r="3808" spans="1:2">
      <c r="A3808" t="s">
        <v>3701</v>
      </c>
      <c r="B3808">
        <v>8</v>
      </c>
    </row>
    <row r="3809" spans="1:2">
      <c r="A3809" t="s">
        <v>3702</v>
      </c>
      <c r="B3809">
        <v>10</v>
      </c>
    </row>
    <row r="3810" spans="1:2">
      <c r="A3810" t="s">
        <v>3703</v>
      </c>
      <c r="B3810">
        <v>12</v>
      </c>
    </row>
    <row r="3811" spans="1:2">
      <c r="A3811" t="s">
        <v>3704</v>
      </c>
      <c r="B3811">
        <v>14</v>
      </c>
    </row>
    <row r="3812" spans="1:2">
      <c r="A3812" t="s">
        <v>3705</v>
      </c>
      <c r="B3812">
        <v>22</v>
      </c>
    </row>
    <row r="3813" spans="1:2">
      <c r="A3813" t="s">
        <v>3706</v>
      </c>
      <c r="B3813">
        <v>15</v>
      </c>
    </row>
    <row r="3814" spans="1:2">
      <c r="A3814" t="s">
        <v>3707</v>
      </c>
      <c r="B3814">
        <v>12</v>
      </c>
    </row>
    <row r="3815" spans="1:2">
      <c r="A3815" t="s">
        <v>3708</v>
      </c>
      <c r="B3815">
        <v>18</v>
      </c>
    </row>
    <row r="3816" spans="1:2">
      <c r="A3816" t="s">
        <v>3709</v>
      </c>
      <c r="B3816">
        <v>13</v>
      </c>
    </row>
    <row r="3817" spans="1:2">
      <c r="A3817" t="s">
        <v>3710</v>
      </c>
      <c r="B3817">
        <v>11</v>
      </c>
    </row>
    <row r="3818" spans="1:2">
      <c r="A3818" t="s">
        <v>3711</v>
      </c>
      <c r="B3818">
        <v>15</v>
      </c>
    </row>
    <row r="3819" spans="1:2">
      <c r="A3819" t="s">
        <v>3712</v>
      </c>
      <c r="B3819">
        <v>10</v>
      </c>
    </row>
    <row r="3820" spans="1:2">
      <c r="A3820" t="s">
        <v>3713</v>
      </c>
      <c r="B3820">
        <v>11</v>
      </c>
    </row>
    <row r="3821" spans="1:2">
      <c r="A3821" t="s">
        <v>3714</v>
      </c>
      <c r="B3821">
        <v>18</v>
      </c>
    </row>
    <row r="3822" spans="1:2">
      <c r="A3822" t="s">
        <v>3715</v>
      </c>
      <c r="B3822">
        <v>9</v>
      </c>
    </row>
    <row r="3823" spans="1:2">
      <c r="A3823" t="s">
        <v>3716</v>
      </c>
      <c r="B3823">
        <v>7</v>
      </c>
    </row>
    <row r="3824" spans="1:2">
      <c r="A3824" t="s">
        <v>3717</v>
      </c>
      <c r="B3824">
        <v>9</v>
      </c>
    </row>
    <row r="3825" spans="1:2">
      <c r="A3825" t="s">
        <v>3718</v>
      </c>
      <c r="B3825">
        <v>11</v>
      </c>
    </row>
    <row r="3826" spans="1:2">
      <c r="A3826" t="s">
        <v>3719</v>
      </c>
      <c r="B3826">
        <v>13</v>
      </c>
    </row>
    <row r="3827" spans="1:2">
      <c r="A3827" t="s">
        <v>3720</v>
      </c>
      <c r="B3827">
        <v>20</v>
      </c>
    </row>
    <row r="3828" spans="1:2">
      <c r="A3828" t="s">
        <v>3721</v>
      </c>
      <c r="B3828">
        <v>12</v>
      </c>
    </row>
    <row r="3829" spans="1:2">
      <c r="A3829" t="s">
        <v>3722</v>
      </c>
      <c r="B3829">
        <v>9</v>
      </c>
    </row>
    <row r="3830" spans="1:2">
      <c r="A3830" t="s">
        <v>3723</v>
      </c>
      <c r="B3830">
        <v>15</v>
      </c>
    </row>
    <row r="3831" spans="1:2">
      <c r="A3831" t="s">
        <v>3724</v>
      </c>
      <c r="B3831">
        <v>11</v>
      </c>
    </row>
    <row r="3832" spans="1:2">
      <c r="A3832" t="s">
        <v>3725</v>
      </c>
      <c r="B3832">
        <v>9</v>
      </c>
    </row>
    <row r="3833" spans="1:2">
      <c r="A3833" t="s">
        <v>3726</v>
      </c>
      <c r="B3833">
        <v>13</v>
      </c>
    </row>
    <row r="3834" spans="1:2">
      <c r="A3834" t="s">
        <v>3727</v>
      </c>
      <c r="B3834">
        <v>9</v>
      </c>
    </row>
    <row r="3835" spans="1:2">
      <c r="A3835" t="s">
        <v>3728</v>
      </c>
      <c r="B3835">
        <v>10</v>
      </c>
    </row>
    <row r="3836" spans="1:2">
      <c r="A3836" t="s">
        <v>3729</v>
      </c>
      <c r="B3836">
        <v>17</v>
      </c>
    </row>
    <row r="3837" spans="1:2">
      <c r="A3837" t="s">
        <v>3730</v>
      </c>
      <c r="B3837">
        <v>7</v>
      </c>
    </row>
    <row r="3838" spans="1:2">
      <c r="A3838" t="s">
        <v>3731</v>
      </c>
      <c r="B3838">
        <v>6</v>
      </c>
    </row>
    <row r="3839" spans="1:2">
      <c r="A3839" t="s">
        <v>3732</v>
      </c>
      <c r="B3839">
        <v>8</v>
      </c>
    </row>
    <row r="3840" spans="1:2">
      <c r="A3840" t="s">
        <v>3733</v>
      </c>
      <c r="B3840">
        <v>10</v>
      </c>
    </row>
    <row r="3841" spans="1:2">
      <c r="A3841" t="s">
        <v>3734</v>
      </c>
      <c r="B3841">
        <v>12</v>
      </c>
    </row>
    <row r="3842" spans="1:2">
      <c r="A3842" t="s">
        <v>3735</v>
      </c>
      <c r="B3842">
        <v>19</v>
      </c>
    </row>
    <row r="3843" spans="1:2">
      <c r="A3843" t="s">
        <v>3736</v>
      </c>
      <c r="B3843">
        <v>11</v>
      </c>
    </row>
    <row r="3844" spans="1:2">
      <c r="A3844" t="s">
        <v>3737</v>
      </c>
      <c r="B3844">
        <v>9</v>
      </c>
    </row>
    <row r="3845" spans="1:2">
      <c r="A3845" t="s">
        <v>3738</v>
      </c>
      <c r="B3845">
        <v>14</v>
      </c>
    </row>
    <row r="3846" spans="1:2">
      <c r="A3846" t="s">
        <v>3739</v>
      </c>
      <c r="B3846">
        <v>10</v>
      </c>
    </row>
    <row r="3847" spans="1:2">
      <c r="A3847" t="s">
        <v>3740</v>
      </c>
      <c r="B3847">
        <v>9</v>
      </c>
    </row>
    <row r="3848" spans="1:2">
      <c r="A3848" t="s">
        <v>3741</v>
      </c>
      <c r="B3848">
        <v>12</v>
      </c>
    </row>
    <row r="3849" spans="1:2">
      <c r="A3849" t="s">
        <v>3742</v>
      </c>
      <c r="B3849">
        <v>8</v>
      </c>
    </row>
    <row r="3850" spans="1:2">
      <c r="A3850" t="s">
        <v>3743</v>
      </c>
      <c r="B3850">
        <v>9</v>
      </c>
    </row>
    <row r="3851" spans="1:2">
      <c r="A3851" t="s">
        <v>3744</v>
      </c>
      <c r="B3851">
        <v>17</v>
      </c>
    </row>
    <row r="3852" spans="1:2">
      <c r="A3852" t="s">
        <v>3745</v>
      </c>
      <c r="B3852">
        <v>7</v>
      </c>
    </row>
    <row r="3853" spans="1:2">
      <c r="A3853" t="s">
        <v>3746</v>
      </c>
      <c r="B3853">
        <v>6</v>
      </c>
    </row>
    <row r="3854" spans="1:2">
      <c r="A3854" t="s">
        <v>3747</v>
      </c>
      <c r="B3854">
        <v>8</v>
      </c>
    </row>
    <row r="3855" spans="1:2">
      <c r="A3855" t="s">
        <v>3748</v>
      </c>
      <c r="B3855">
        <v>10</v>
      </c>
    </row>
    <row r="3856" spans="1:2">
      <c r="A3856" t="s">
        <v>3749</v>
      </c>
      <c r="B3856">
        <v>12</v>
      </c>
    </row>
    <row r="3857" spans="1:2">
      <c r="A3857" t="s">
        <v>3750</v>
      </c>
      <c r="B3857">
        <v>28</v>
      </c>
    </row>
    <row r="3858" spans="1:2">
      <c r="A3858" t="s">
        <v>3751</v>
      </c>
      <c r="B3858">
        <v>18</v>
      </c>
    </row>
    <row r="3859" spans="1:2">
      <c r="A3859" t="s">
        <v>3752</v>
      </c>
      <c r="B3859">
        <v>15</v>
      </c>
    </row>
    <row r="3860" spans="1:2">
      <c r="A3860" t="s">
        <v>3753</v>
      </c>
      <c r="B3860">
        <v>22</v>
      </c>
    </row>
    <row r="3861" spans="1:2">
      <c r="A3861" t="s">
        <v>3754</v>
      </c>
      <c r="B3861">
        <v>16</v>
      </c>
    </row>
    <row r="3862" spans="1:2">
      <c r="A3862" t="s">
        <v>3755</v>
      </c>
      <c r="B3862">
        <v>14</v>
      </c>
    </row>
    <row r="3863" spans="1:2">
      <c r="A3863" t="s">
        <v>3756</v>
      </c>
      <c r="B3863">
        <v>18</v>
      </c>
    </row>
    <row r="3864" spans="1:2">
      <c r="A3864" t="s">
        <v>3757</v>
      </c>
      <c r="B3864">
        <v>13</v>
      </c>
    </row>
    <row r="3865" spans="1:2">
      <c r="A3865" t="s">
        <v>3758</v>
      </c>
      <c r="B3865">
        <v>13</v>
      </c>
    </row>
    <row r="3866" spans="1:2">
      <c r="A3866" t="s">
        <v>3759</v>
      </c>
      <c r="B3866">
        <v>21</v>
      </c>
    </row>
    <row r="3867" spans="1:2">
      <c r="A3867" t="s">
        <v>3760</v>
      </c>
      <c r="B3867">
        <v>12</v>
      </c>
    </row>
    <row r="3868" spans="1:2">
      <c r="A3868" t="s">
        <v>3761</v>
      </c>
      <c r="B3868">
        <v>10</v>
      </c>
    </row>
    <row r="3869" spans="1:2">
      <c r="A3869" t="s">
        <v>3762</v>
      </c>
      <c r="B3869">
        <v>11</v>
      </c>
    </row>
    <row r="3870" spans="1:2">
      <c r="A3870" t="s">
        <v>3763</v>
      </c>
      <c r="B3870">
        <v>13</v>
      </c>
    </row>
    <row r="3871" spans="1:2">
      <c r="A3871" t="s">
        <v>3764</v>
      </c>
      <c r="B3871">
        <v>16</v>
      </c>
    </row>
    <row r="3872" spans="1:2">
      <c r="A3872" t="s">
        <v>3765</v>
      </c>
      <c r="B3872">
        <v>25</v>
      </c>
    </row>
    <row r="3873" spans="1:2">
      <c r="A3873" t="s">
        <v>3766</v>
      </c>
      <c r="B3873">
        <v>17</v>
      </c>
    </row>
    <row r="3874" spans="1:2">
      <c r="A3874" t="s">
        <v>3767</v>
      </c>
      <c r="B3874">
        <v>14</v>
      </c>
    </row>
    <row r="3875" spans="1:2">
      <c r="A3875" t="s">
        <v>3768</v>
      </c>
      <c r="B3875">
        <v>20</v>
      </c>
    </row>
    <row r="3876" spans="1:2">
      <c r="A3876" t="s">
        <v>3769</v>
      </c>
      <c r="B3876">
        <v>15</v>
      </c>
    </row>
    <row r="3877" spans="1:2">
      <c r="A3877" t="s">
        <v>3770</v>
      </c>
      <c r="B3877">
        <v>13</v>
      </c>
    </row>
    <row r="3878" spans="1:2">
      <c r="A3878" t="s">
        <v>3771</v>
      </c>
      <c r="B3878">
        <v>17</v>
      </c>
    </row>
    <row r="3879" spans="1:2">
      <c r="A3879" t="s">
        <v>3772</v>
      </c>
      <c r="B3879">
        <v>12</v>
      </c>
    </row>
    <row r="3880" spans="1:2">
      <c r="A3880" t="s">
        <v>3773</v>
      </c>
      <c r="B3880">
        <v>12</v>
      </c>
    </row>
    <row r="3881" spans="1:2">
      <c r="A3881" t="s">
        <v>3774</v>
      </c>
      <c r="B3881">
        <v>20</v>
      </c>
    </row>
    <row r="3882" spans="1:2">
      <c r="A3882" t="s">
        <v>3775</v>
      </c>
      <c r="B3882">
        <v>11</v>
      </c>
    </row>
    <row r="3883" spans="1:2">
      <c r="A3883" t="s">
        <v>3776</v>
      </c>
      <c r="B3883">
        <v>9</v>
      </c>
    </row>
    <row r="3884" spans="1:2">
      <c r="A3884" t="s">
        <v>3777</v>
      </c>
      <c r="B3884">
        <v>10</v>
      </c>
    </row>
    <row r="3885" spans="1:2">
      <c r="A3885" t="s">
        <v>3778</v>
      </c>
      <c r="B3885">
        <v>12</v>
      </c>
    </row>
    <row r="3886" spans="1:2">
      <c r="A3886" t="s">
        <v>3779</v>
      </c>
      <c r="B3886">
        <v>15</v>
      </c>
    </row>
    <row r="3887" spans="1:2">
      <c r="A3887" t="s">
        <v>3780</v>
      </c>
      <c r="B3887">
        <v>24</v>
      </c>
    </row>
    <row r="3888" spans="1:2">
      <c r="A3888" t="s">
        <v>3781</v>
      </c>
      <c r="B3888">
        <v>16</v>
      </c>
    </row>
    <row r="3889" spans="1:2">
      <c r="A3889" t="s">
        <v>3782</v>
      </c>
      <c r="B3889">
        <v>13</v>
      </c>
    </row>
    <row r="3890" spans="1:2">
      <c r="A3890" t="s">
        <v>3783</v>
      </c>
      <c r="B3890">
        <v>19</v>
      </c>
    </row>
    <row r="3891" spans="1:2">
      <c r="A3891" t="s">
        <v>3784</v>
      </c>
      <c r="B3891">
        <v>14</v>
      </c>
    </row>
    <row r="3892" spans="1:2">
      <c r="A3892" t="s">
        <v>3785</v>
      </c>
      <c r="B3892">
        <v>12</v>
      </c>
    </row>
    <row r="3893" spans="1:2">
      <c r="A3893" t="s">
        <v>3786</v>
      </c>
      <c r="B3893">
        <v>16</v>
      </c>
    </row>
    <row r="3894" spans="1:2">
      <c r="A3894" t="s">
        <v>3787</v>
      </c>
      <c r="B3894">
        <v>11</v>
      </c>
    </row>
    <row r="3895" spans="1:2">
      <c r="A3895" t="s">
        <v>3788</v>
      </c>
      <c r="B3895">
        <v>12</v>
      </c>
    </row>
    <row r="3896" spans="1:2">
      <c r="A3896" t="s">
        <v>3789</v>
      </c>
      <c r="B3896">
        <v>19</v>
      </c>
    </row>
    <row r="3897" spans="1:2">
      <c r="A3897" t="s">
        <v>3790</v>
      </c>
      <c r="B3897">
        <v>10</v>
      </c>
    </row>
    <row r="3898" spans="1:2">
      <c r="A3898" t="s">
        <v>3791</v>
      </c>
      <c r="B3898">
        <v>8</v>
      </c>
    </row>
    <row r="3899" spans="1:2">
      <c r="A3899" t="s">
        <v>3792</v>
      </c>
      <c r="B3899">
        <v>10</v>
      </c>
    </row>
    <row r="3900" spans="1:2">
      <c r="A3900" t="s">
        <v>3793</v>
      </c>
      <c r="B3900">
        <v>12</v>
      </c>
    </row>
    <row r="3901" spans="1:2">
      <c r="A3901" t="s">
        <v>3794</v>
      </c>
      <c r="B3901">
        <v>14</v>
      </c>
    </row>
    <row r="3902" spans="1:2">
      <c r="A3902" t="s">
        <v>3795</v>
      </c>
      <c r="B3902">
        <v>23</v>
      </c>
    </row>
    <row r="3903" spans="1:2">
      <c r="A3903" t="s">
        <v>3796</v>
      </c>
      <c r="B3903">
        <v>16</v>
      </c>
    </row>
    <row r="3904" spans="1:2">
      <c r="A3904" t="s">
        <v>3797</v>
      </c>
      <c r="B3904">
        <v>13</v>
      </c>
    </row>
    <row r="3905" spans="1:2">
      <c r="A3905" t="s">
        <v>3798</v>
      </c>
      <c r="B3905">
        <v>19</v>
      </c>
    </row>
    <row r="3906" spans="1:2">
      <c r="A3906" t="s">
        <v>3799</v>
      </c>
      <c r="B3906">
        <v>14</v>
      </c>
    </row>
    <row r="3907" spans="1:2">
      <c r="A3907" t="s">
        <v>3800</v>
      </c>
      <c r="B3907">
        <v>12</v>
      </c>
    </row>
    <row r="3908" spans="1:2">
      <c r="A3908" t="s">
        <v>3801</v>
      </c>
      <c r="B3908">
        <v>16</v>
      </c>
    </row>
    <row r="3909" spans="1:2">
      <c r="A3909" t="s">
        <v>3802</v>
      </c>
      <c r="B3909">
        <v>11</v>
      </c>
    </row>
    <row r="3910" spans="1:2">
      <c r="A3910" t="s">
        <v>3803</v>
      </c>
      <c r="B3910">
        <v>12</v>
      </c>
    </row>
    <row r="3911" spans="1:2">
      <c r="A3911" t="s">
        <v>3804</v>
      </c>
      <c r="B3911">
        <v>19</v>
      </c>
    </row>
    <row r="3912" spans="1:2">
      <c r="A3912" t="s">
        <v>3805</v>
      </c>
      <c r="B3912">
        <v>10</v>
      </c>
    </row>
    <row r="3913" spans="1:2">
      <c r="A3913" t="s">
        <v>3806</v>
      </c>
      <c r="B3913">
        <v>8</v>
      </c>
    </row>
    <row r="3914" spans="1:2">
      <c r="A3914" t="s">
        <v>3807</v>
      </c>
      <c r="B3914">
        <v>10</v>
      </c>
    </row>
    <row r="3915" spans="1:2">
      <c r="A3915" t="s">
        <v>3808</v>
      </c>
      <c r="B3915">
        <v>12</v>
      </c>
    </row>
    <row r="3916" spans="1:2">
      <c r="A3916" t="s">
        <v>3809</v>
      </c>
      <c r="B3916">
        <v>14</v>
      </c>
    </row>
    <row r="3917" spans="1:2">
      <c r="A3917" t="s">
        <v>3810</v>
      </c>
      <c r="B3917">
        <v>22</v>
      </c>
    </row>
    <row r="3918" spans="1:2">
      <c r="A3918" t="s">
        <v>3811</v>
      </c>
      <c r="B3918">
        <v>15</v>
      </c>
    </row>
    <row r="3919" spans="1:2">
      <c r="A3919" t="s">
        <v>3812</v>
      </c>
      <c r="B3919">
        <v>12</v>
      </c>
    </row>
    <row r="3920" spans="1:2">
      <c r="A3920" t="s">
        <v>3813</v>
      </c>
      <c r="B3920">
        <v>18</v>
      </c>
    </row>
    <row r="3921" spans="1:2">
      <c r="A3921" t="s">
        <v>3814</v>
      </c>
      <c r="B3921">
        <v>13</v>
      </c>
    </row>
    <row r="3922" spans="1:2">
      <c r="A3922" t="s">
        <v>3815</v>
      </c>
      <c r="B3922">
        <v>11</v>
      </c>
    </row>
    <row r="3923" spans="1:2">
      <c r="A3923" t="s">
        <v>3816</v>
      </c>
      <c r="B3923">
        <v>15</v>
      </c>
    </row>
    <row r="3924" spans="1:2">
      <c r="A3924" t="s">
        <v>3817</v>
      </c>
      <c r="B3924">
        <v>10</v>
      </c>
    </row>
    <row r="3925" spans="1:2">
      <c r="A3925" t="s">
        <v>3818</v>
      </c>
      <c r="B3925">
        <v>11</v>
      </c>
    </row>
    <row r="3926" spans="1:2">
      <c r="A3926" t="s">
        <v>3819</v>
      </c>
      <c r="B3926">
        <v>18</v>
      </c>
    </row>
    <row r="3927" spans="1:2">
      <c r="A3927" t="s">
        <v>3820</v>
      </c>
      <c r="B3927">
        <v>9</v>
      </c>
    </row>
    <row r="3928" spans="1:2">
      <c r="A3928" t="s">
        <v>3821</v>
      </c>
      <c r="B3928">
        <v>7</v>
      </c>
    </row>
    <row r="3929" spans="1:2">
      <c r="A3929" t="s">
        <v>3822</v>
      </c>
      <c r="B3929">
        <v>9</v>
      </c>
    </row>
    <row r="3930" spans="1:2">
      <c r="A3930" t="s">
        <v>3823</v>
      </c>
      <c r="B3930">
        <v>11</v>
      </c>
    </row>
    <row r="3931" spans="1:2">
      <c r="A3931" t="s">
        <v>3824</v>
      </c>
      <c r="B3931">
        <v>13</v>
      </c>
    </row>
    <row r="3932" spans="1:2">
      <c r="A3932" t="s">
        <v>3825</v>
      </c>
      <c r="B3932">
        <v>20</v>
      </c>
    </row>
    <row r="3933" spans="1:2">
      <c r="A3933" t="s">
        <v>3826</v>
      </c>
      <c r="B3933">
        <v>12</v>
      </c>
    </row>
    <row r="3934" spans="1:2">
      <c r="A3934" t="s">
        <v>3827</v>
      </c>
      <c r="B3934">
        <v>9</v>
      </c>
    </row>
    <row r="3935" spans="1:2">
      <c r="A3935" t="s">
        <v>3828</v>
      </c>
      <c r="B3935">
        <v>15</v>
      </c>
    </row>
    <row r="3936" spans="1:2">
      <c r="A3936" t="s">
        <v>3829</v>
      </c>
      <c r="B3936">
        <v>11</v>
      </c>
    </row>
    <row r="3937" spans="1:2">
      <c r="A3937" t="s">
        <v>3830</v>
      </c>
      <c r="B3937">
        <v>9</v>
      </c>
    </row>
    <row r="3938" spans="1:2">
      <c r="A3938" t="s">
        <v>3831</v>
      </c>
      <c r="B3938">
        <v>13</v>
      </c>
    </row>
    <row r="3939" spans="1:2">
      <c r="A3939" t="s">
        <v>3832</v>
      </c>
      <c r="B3939">
        <v>9</v>
      </c>
    </row>
    <row r="3940" spans="1:2">
      <c r="A3940" t="s">
        <v>3833</v>
      </c>
      <c r="B3940">
        <v>10</v>
      </c>
    </row>
    <row r="3941" spans="1:2">
      <c r="A3941" t="s">
        <v>3834</v>
      </c>
      <c r="B3941">
        <v>17</v>
      </c>
    </row>
    <row r="3942" spans="1:2">
      <c r="A3942" t="s">
        <v>3835</v>
      </c>
      <c r="B3942">
        <v>7</v>
      </c>
    </row>
    <row r="3943" spans="1:2">
      <c r="A3943" t="s">
        <v>3836</v>
      </c>
      <c r="B3943">
        <v>6</v>
      </c>
    </row>
    <row r="3944" spans="1:2">
      <c r="A3944" t="s">
        <v>3837</v>
      </c>
      <c r="B3944">
        <v>8</v>
      </c>
    </row>
    <row r="3945" spans="1:2">
      <c r="A3945" t="s">
        <v>3838</v>
      </c>
      <c r="B3945">
        <v>10</v>
      </c>
    </row>
    <row r="3946" spans="1:2">
      <c r="A3946" t="s">
        <v>3839</v>
      </c>
      <c r="B3946">
        <v>12</v>
      </c>
    </row>
    <row r="3947" spans="1:2">
      <c r="A3947" t="s">
        <v>3840</v>
      </c>
      <c r="B3947">
        <v>19</v>
      </c>
    </row>
    <row r="3948" spans="1:2">
      <c r="A3948" t="s">
        <v>3841</v>
      </c>
      <c r="B3948">
        <v>11</v>
      </c>
    </row>
    <row r="3949" spans="1:2">
      <c r="A3949" t="s">
        <v>3842</v>
      </c>
      <c r="B3949">
        <v>9</v>
      </c>
    </row>
    <row r="3950" spans="1:2">
      <c r="A3950" t="s">
        <v>3843</v>
      </c>
      <c r="B3950">
        <v>14</v>
      </c>
    </row>
    <row r="3951" spans="1:2">
      <c r="A3951" t="s">
        <v>3844</v>
      </c>
      <c r="B3951">
        <v>10</v>
      </c>
    </row>
    <row r="3952" spans="1:2">
      <c r="A3952" t="s">
        <v>3845</v>
      </c>
      <c r="B3952">
        <v>9</v>
      </c>
    </row>
    <row r="3953" spans="1:2">
      <c r="A3953" t="s">
        <v>3846</v>
      </c>
      <c r="B3953">
        <v>12</v>
      </c>
    </row>
    <row r="3954" spans="1:2">
      <c r="A3954" t="s">
        <v>3847</v>
      </c>
      <c r="B3954">
        <v>8</v>
      </c>
    </row>
    <row r="3955" spans="1:2">
      <c r="A3955" t="s">
        <v>3848</v>
      </c>
      <c r="B3955">
        <v>9</v>
      </c>
    </row>
    <row r="3956" spans="1:2">
      <c r="A3956" t="s">
        <v>3849</v>
      </c>
      <c r="B3956">
        <v>17</v>
      </c>
    </row>
    <row r="3957" spans="1:2">
      <c r="A3957" t="s">
        <v>3850</v>
      </c>
      <c r="B3957">
        <v>7</v>
      </c>
    </row>
    <row r="3958" spans="1:2">
      <c r="A3958" t="s">
        <v>3851</v>
      </c>
      <c r="B3958">
        <v>6</v>
      </c>
    </row>
    <row r="3959" spans="1:2">
      <c r="A3959" t="s">
        <v>3852</v>
      </c>
      <c r="B3959">
        <v>8</v>
      </c>
    </row>
    <row r="3960" spans="1:2">
      <c r="A3960" t="s">
        <v>3853</v>
      </c>
      <c r="B3960">
        <v>10</v>
      </c>
    </row>
    <row r="3961" spans="1:2">
      <c r="A3961" t="s">
        <v>3854</v>
      </c>
      <c r="B3961">
        <v>12</v>
      </c>
    </row>
    <row r="3962" spans="1:2">
      <c r="A3962" t="s">
        <v>3855</v>
      </c>
      <c r="B3962">
        <v>28</v>
      </c>
    </row>
    <row r="3963" spans="1:2">
      <c r="A3963" t="s">
        <v>3856</v>
      </c>
      <c r="B3963">
        <v>18</v>
      </c>
    </row>
    <row r="3964" spans="1:2">
      <c r="A3964" t="s">
        <v>3857</v>
      </c>
      <c r="B3964">
        <v>15</v>
      </c>
    </row>
    <row r="3965" spans="1:2">
      <c r="A3965" t="s">
        <v>3858</v>
      </c>
      <c r="B3965">
        <v>22</v>
      </c>
    </row>
    <row r="3966" spans="1:2">
      <c r="A3966" t="s">
        <v>3859</v>
      </c>
      <c r="B3966">
        <v>16</v>
      </c>
    </row>
    <row r="3967" spans="1:2">
      <c r="A3967" t="s">
        <v>3860</v>
      </c>
      <c r="B3967">
        <v>14</v>
      </c>
    </row>
    <row r="3968" spans="1:2">
      <c r="A3968" t="s">
        <v>3861</v>
      </c>
      <c r="B3968">
        <v>18</v>
      </c>
    </row>
    <row r="3969" spans="1:2">
      <c r="A3969" t="s">
        <v>3862</v>
      </c>
      <c r="B3969">
        <v>13</v>
      </c>
    </row>
    <row r="3970" spans="1:2">
      <c r="A3970" t="s">
        <v>3863</v>
      </c>
      <c r="B3970">
        <v>13</v>
      </c>
    </row>
    <row r="3971" spans="1:2">
      <c r="A3971" t="s">
        <v>3864</v>
      </c>
      <c r="B3971">
        <v>21</v>
      </c>
    </row>
    <row r="3972" spans="1:2">
      <c r="A3972" t="s">
        <v>3865</v>
      </c>
      <c r="B3972">
        <v>12</v>
      </c>
    </row>
    <row r="3973" spans="1:2">
      <c r="A3973" t="s">
        <v>3866</v>
      </c>
      <c r="B3973">
        <v>10</v>
      </c>
    </row>
    <row r="3974" spans="1:2">
      <c r="A3974" t="s">
        <v>3867</v>
      </c>
      <c r="B3974">
        <v>11</v>
      </c>
    </row>
    <row r="3975" spans="1:2">
      <c r="A3975" t="s">
        <v>3868</v>
      </c>
      <c r="B3975">
        <v>13</v>
      </c>
    </row>
    <row r="3976" spans="1:2">
      <c r="A3976" t="s">
        <v>3869</v>
      </c>
      <c r="B3976">
        <v>16</v>
      </c>
    </row>
    <row r="3977" spans="1:2">
      <c r="A3977" t="s">
        <v>3870</v>
      </c>
      <c r="B3977">
        <v>25</v>
      </c>
    </row>
    <row r="3978" spans="1:2">
      <c r="A3978" t="s">
        <v>3871</v>
      </c>
      <c r="B3978">
        <v>17</v>
      </c>
    </row>
    <row r="3979" spans="1:2">
      <c r="A3979" t="s">
        <v>3872</v>
      </c>
      <c r="B3979">
        <v>14</v>
      </c>
    </row>
    <row r="3980" spans="1:2">
      <c r="A3980" t="s">
        <v>3873</v>
      </c>
      <c r="B3980">
        <v>20</v>
      </c>
    </row>
    <row r="3981" spans="1:2">
      <c r="A3981" t="s">
        <v>3874</v>
      </c>
      <c r="B3981">
        <v>15</v>
      </c>
    </row>
    <row r="3982" spans="1:2">
      <c r="A3982" t="s">
        <v>3875</v>
      </c>
      <c r="B3982">
        <v>13</v>
      </c>
    </row>
    <row r="3983" spans="1:2">
      <c r="A3983" t="s">
        <v>3876</v>
      </c>
      <c r="B3983">
        <v>17</v>
      </c>
    </row>
    <row r="3984" spans="1:2">
      <c r="A3984" t="s">
        <v>3877</v>
      </c>
      <c r="B3984">
        <v>12</v>
      </c>
    </row>
    <row r="3985" spans="1:2">
      <c r="A3985" t="s">
        <v>3878</v>
      </c>
      <c r="B3985">
        <v>12</v>
      </c>
    </row>
    <row r="3986" spans="1:2">
      <c r="A3986" t="s">
        <v>3879</v>
      </c>
      <c r="B3986">
        <v>20</v>
      </c>
    </row>
    <row r="3987" spans="1:2">
      <c r="A3987" t="s">
        <v>3880</v>
      </c>
      <c r="B3987">
        <v>11</v>
      </c>
    </row>
    <row r="3988" spans="1:2">
      <c r="A3988" t="s">
        <v>3881</v>
      </c>
      <c r="B3988">
        <v>9</v>
      </c>
    </row>
    <row r="3989" spans="1:2">
      <c r="A3989" t="s">
        <v>3882</v>
      </c>
      <c r="B3989">
        <v>10</v>
      </c>
    </row>
    <row r="3990" spans="1:2">
      <c r="A3990" t="s">
        <v>3883</v>
      </c>
      <c r="B3990">
        <v>12</v>
      </c>
    </row>
    <row r="3991" spans="1:2">
      <c r="A3991" t="s">
        <v>3884</v>
      </c>
      <c r="B3991">
        <v>15</v>
      </c>
    </row>
    <row r="3992" spans="1:2">
      <c r="A3992" t="s">
        <v>3885</v>
      </c>
      <c r="B3992">
        <v>24</v>
      </c>
    </row>
    <row r="3993" spans="1:2">
      <c r="A3993" t="s">
        <v>3886</v>
      </c>
      <c r="B3993">
        <v>16</v>
      </c>
    </row>
    <row r="3994" spans="1:2">
      <c r="A3994" t="s">
        <v>3887</v>
      </c>
      <c r="B3994">
        <v>13</v>
      </c>
    </row>
    <row r="3995" spans="1:2">
      <c r="A3995" t="s">
        <v>3888</v>
      </c>
      <c r="B3995">
        <v>19</v>
      </c>
    </row>
    <row r="3996" spans="1:2">
      <c r="A3996" t="s">
        <v>3889</v>
      </c>
      <c r="B3996">
        <v>14</v>
      </c>
    </row>
    <row r="3997" spans="1:2">
      <c r="A3997" t="s">
        <v>3890</v>
      </c>
      <c r="B3997">
        <v>12</v>
      </c>
    </row>
    <row r="3998" spans="1:2">
      <c r="A3998" t="s">
        <v>3891</v>
      </c>
      <c r="B3998">
        <v>16</v>
      </c>
    </row>
    <row r="3999" spans="1:2">
      <c r="A3999" t="s">
        <v>3892</v>
      </c>
      <c r="B3999">
        <v>11</v>
      </c>
    </row>
    <row r="4000" spans="1:2">
      <c r="A4000" t="s">
        <v>3893</v>
      </c>
      <c r="B4000">
        <v>12</v>
      </c>
    </row>
    <row r="4001" spans="1:2">
      <c r="A4001" t="s">
        <v>3894</v>
      </c>
      <c r="B4001">
        <v>19</v>
      </c>
    </row>
    <row r="4002" spans="1:2">
      <c r="A4002" t="s">
        <v>3895</v>
      </c>
      <c r="B4002">
        <v>10</v>
      </c>
    </row>
    <row r="4003" spans="1:2">
      <c r="A4003" t="s">
        <v>3896</v>
      </c>
      <c r="B4003">
        <v>8</v>
      </c>
    </row>
    <row r="4004" spans="1:2">
      <c r="A4004" t="s">
        <v>3897</v>
      </c>
      <c r="B4004">
        <v>10</v>
      </c>
    </row>
    <row r="4005" spans="1:2">
      <c r="A4005" t="s">
        <v>3898</v>
      </c>
      <c r="B4005">
        <v>12</v>
      </c>
    </row>
    <row r="4006" spans="1:2">
      <c r="A4006" t="s">
        <v>3899</v>
      </c>
      <c r="B4006">
        <v>14</v>
      </c>
    </row>
    <row r="4007" spans="1:2">
      <c r="A4007" t="s">
        <v>3900</v>
      </c>
      <c r="B4007">
        <v>23</v>
      </c>
    </row>
    <row r="4008" spans="1:2">
      <c r="A4008" t="s">
        <v>3901</v>
      </c>
      <c r="B4008">
        <v>16</v>
      </c>
    </row>
    <row r="4009" spans="1:2">
      <c r="A4009" t="s">
        <v>3902</v>
      </c>
      <c r="B4009">
        <v>13</v>
      </c>
    </row>
    <row r="4010" spans="1:2">
      <c r="A4010" t="s">
        <v>3903</v>
      </c>
      <c r="B4010">
        <v>19</v>
      </c>
    </row>
    <row r="4011" spans="1:2">
      <c r="A4011" t="s">
        <v>3904</v>
      </c>
      <c r="B4011">
        <v>14</v>
      </c>
    </row>
    <row r="4012" spans="1:2">
      <c r="A4012" t="s">
        <v>3905</v>
      </c>
      <c r="B4012">
        <v>12</v>
      </c>
    </row>
    <row r="4013" spans="1:2">
      <c r="A4013" t="s">
        <v>3906</v>
      </c>
      <c r="B4013">
        <v>16</v>
      </c>
    </row>
    <row r="4014" spans="1:2">
      <c r="A4014" t="s">
        <v>3907</v>
      </c>
      <c r="B4014">
        <v>11</v>
      </c>
    </row>
    <row r="4015" spans="1:2">
      <c r="A4015" t="s">
        <v>3908</v>
      </c>
      <c r="B4015">
        <v>12</v>
      </c>
    </row>
    <row r="4016" spans="1:2">
      <c r="A4016" t="s">
        <v>3909</v>
      </c>
      <c r="B4016">
        <v>19</v>
      </c>
    </row>
    <row r="4017" spans="1:2">
      <c r="A4017" t="s">
        <v>3910</v>
      </c>
      <c r="B4017">
        <v>10</v>
      </c>
    </row>
    <row r="4018" spans="1:2">
      <c r="A4018" t="s">
        <v>3911</v>
      </c>
      <c r="B4018">
        <v>8</v>
      </c>
    </row>
    <row r="4019" spans="1:2">
      <c r="A4019" t="s">
        <v>3912</v>
      </c>
      <c r="B4019">
        <v>10</v>
      </c>
    </row>
    <row r="4020" spans="1:2">
      <c r="A4020" t="s">
        <v>3913</v>
      </c>
      <c r="B4020">
        <v>12</v>
      </c>
    </row>
    <row r="4021" spans="1:2">
      <c r="A4021" t="s">
        <v>3914</v>
      </c>
      <c r="B4021">
        <v>14</v>
      </c>
    </row>
    <row r="4022" spans="1:2">
      <c r="A4022" t="s">
        <v>3915</v>
      </c>
      <c r="B4022">
        <v>22</v>
      </c>
    </row>
    <row r="4023" spans="1:2">
      <c r="A4023" t="s">
        <v>3916</v>
      </c>
      <c r="B4023">
        <v>15</v>
      </c>
    </row>
    <row r="4024" spans="1:2">
      <c r="A4024" t="s">
        <v>3917</v>
      </c>
      <c r="B4024">
        <v>12</v>
      </c>
    </row>
    <row r="4025" spans="1:2">
      <c r="A4025" t="s">
        <v>3918</v>
      </c>
      <c r="B4025">
        <v>18</v>
      </c>
    </row>
    <row r="4026" spans="1:2">
      <c r="A4026" t="s">
        <v>3919</v>
      </c>
      <c r="B4026">
        <v>13</v>
      </c>
    </row>
    <row r="4027" spans="1:2">
      <c r="A4027" t="s">
        <v>3920</v>
      </c>
      <c r="B4027">
        <v>11</v>
      </c>
    </row>
    <row r="4028" spans="1:2">
      <c r="A4028" t="s">
        <v>3921</v>
      </c>
      <c r="B4028">
        <v>15</v>
      </c>
    </row>
    <row r="4029" spans="1:2">
      <c r="A4029" t="s">
        <v>3922</v>
      </c>
      <c r="B4029">
        <v>10</v>
      </c>
    </row>
    <row r="4030" spans="1:2">
      <c r="A4030" t="s">
        <v>3923</v>
      </c>
      <c r="B4030">
        <v>11</v>
      </c>
    </row>
    <row r="4031" spans="1:2">
      <c r="A4031" t="s">
        <v>3924</v>
      </c>
      <c r="B4031">
        <v>18</v>
      </c>
    </row>
    <row r="4032" spans="1:2">
      <c r="A4032" t="s">
        <v>3925</v>
      </c>
      <c r="B4032">
        <v>9</v>
      </c>
    </row>
    <row r="4033" spans="1:2">
      <c r="A4033" t="s">
        <v>3926</v>
      </c>
      <c r="B4033">
        <v>7</v>
      </c>
    </row>
    <row r="4034" spans="1:2">
      <c r="A4034" t="s">
        <v>3927</v>
      </c>
      <c r="B4034">
        <v>9</v>
      </c>
    </row>
    <row r="4035" spans="1:2">
      <c r="A4035" t="s">
        <v>3928</v>
      </c>
      <c r="B4035">
        <v>11</v>
      </c>
    </row>
    <row r="4036" spans="1:2">
      <c r="A4036" t="s">
        <v>3929</v>
      </c>
      <c r="B4036">
        <v>13</v>
      </c>
    </row>
    <row r="4037" spans="1:2">
      <c r="A4037" t="s">
        <v>3930</v>
      </c>
      <c r="B4037">
        <v>20</v>
      </c>
    </row>
    <row r="4038" spans="1:2">
      <c r="A4038" t="s">
        <v>3931</v>
      </c>
      <c r="B4038">
        <v>12</v>
      </c>
    </row>
    <row r="4039" spans="1:2">
      <c r="A4039" t="s">
        <v>3932</v>
      </c>
      <c r="B4039">
        <v>9</v>
      </c>
    </row>
    <row r="4040" spans="1:2">
      <c r="A4040" t="s">
        <v>3933</v>
      </c>
      <c r="B4040">
        <v>15</v>
      </c>
    </row>
    <row r="4041" spans="1:2">
      <c r="A4041" t="s">
        <v>3934</v>
      </c>
      <c r="B4041">
        <v>11</v>
      </c>
    </row>
    <row r="4042" spans="1:2">
      <c r="A4042" t="s">
        <v>3935</v>
      </c>
      <c r="B4042">
        <v>9</v>
      </c>
    </row>
    <row r="4043" spans="1:2">
      <c r="A4043" t="s">
        <v>3936</v>
      </c>
      <c r="B4043">
        <v>13</v>
      </c>
    </row>
    <row r="4044" spans="1:2">
      <c r="A4044" t="s">
        <v>3937</v>
      </c>
      <c r="B4044">
        <v>9</v>
      </c>
    </row>
    <row r="4045" spans="1:2">
      <c r="A4045" t="s">
        <v>3938</v>
      </c>
      <c r="B4045">
        <v>10</v>
      </c>
    </row>
    <row r="4046" spans="1:2">
      <c r="A4046" t="s">
        <v>3939</v>
      </c>
      <c r="B4046">
        <v>17</v>
      </c>
    </row>
    <row r="4047" spans="1:2">
      <c r="A4047" t="s">
        <v>3940</v>
      </c>
      <c r="B4047">
        <v>7</v>
      </c>
    </row>
    <row r="4048" spans="1:2">
      <c r="A4048" t="s">
        <v>3941</v>
      </c>
      <c r="B4048">
        <v>6</v>
      </c>
    </row>
    <row r="4049" spans="1:2">
      <c r="A4049" t="s">
        <v>3942</v>
      </c>
      <c r="B4049">
        <v>8</v>
      </c>
    </row>
    <row r="4050" spans="1:2">
      <c r="A4050" t="s">
        <v>3943</v>
      </c>
      <c r="B4050">
        <v>10</v>
      </c>
    </row>
    <row r="4051" spans="1:2">
      <c r="A4051" t="s">
        <v>3944</v>
      </c>
      <c r="B4051">
        <v>12</v>
      </c>
    </row>
    <row r="4052" spans="1:2">
      <c r="A4052" t="s">
        <v>3945</v>
      </c>
      <c r="B4052">
        <v>19</v>
      </c>
    </row>
    <row r="4053" spans="1:2">
      <c r="A4053" t="s">
        <v>3946</v>
      </c>
      <c r="B4053">
        <v>11</v>
      </c>
    </row>
    <row r="4054" spans="1:2">
      <c r="A4054" t="s">
        <v>3947</v>
      </c>
      <c r="B4054">
        <v>9</v>
      </c>
    </row>
    <row r="4055" spans="1:2">
      <c r="A4055" t="s">
        <v>3948</v>
      </c>
      <c r="B4055">
        <v>14</v>
      </c>
    </row>
    <row r="4056" spans="1:2">
      <c r="A4056" t="s">
        <v>3949</v>
      </c>
      <c r="B4056">
        <v>10</v>
      </c>
    </row>
    <row r="4057" spans="1:2">
      <c r="A4057" t="s">
        <v>3950</v>
      </c>
      <c r="B4057">
        <v>9</v>
      </c>
    </row>
    <row r="4058" spans="1:2">
      <c r="A4058" t="s">
        <v>3951</v>
      </c>
      <c r="B4058">
        <v>12</v>
      </c>
    </row>
    <row r="4059" spans="1:2">
      <c r="A4059" t="s">
        <v>3952</v>
      </c>
      <c r="B4059">
        <v>8</v>
      </c>
    </row>
    <row r="4060" spans="1:2">
      <c r="A4060" t="s">
        <v>3953</v>
      </c>
      <c r="B4060">
        <v>9</v>
      </c>
    </row>
    <row r="4061" spans="1:2">
      <c r="A4061" t="s">
        <v>3954</v>
      </c>
      <c r="B4061">
        <v>17</v>
      </c>
    </row>
    <row r="4062" spans="1:2">
      <c r="A4062" t="s">
        <v>3955</v>
      </c>
      <c r="B4062">
        <v>7</v>
      </c>
    </row>
    <row r="4063" spans="1:2">
      <c r="A4063" t="s">
        <v>3956</v>
      </c>
      <c r="B4063">
        <v>6</v>
      </c>
    </row>
    <row r="4064" spans="1:2">
      <c r="A4064" t="s">
        <v>3957</v>
      </c>
      <c r="B4064">
        <v>8</v>
      </c>
    </row>
    <row r="4065" spans="1:2">
      <c r="A4065" t="s">
        <v>3958</v>
      </c>
      <c r="B4065">
        <v>10</v>
      </c>
    </row>
    <row r="4066" spans="1:2">
      <c r="A4066" t="s">
        <v>3959</v>
      </c>
      <c r="B4066">
        <v>12</v>
      </c>
    </row>
    <row r="4067" spans="1:2">
      <c r="A4067" t="s">
        <v>3960</v>
      </c>
      <c r="B4067">
        <v>28</v>
      </c>
    </row>
    <row r="4068" spans="1:2">
      <c r="A4068" t="s">
        <v>3961</v>
      </c>
      <c r="B4068">
        <v>18</v>
      </c>
    </row>
    <row r="4069" spans="1:2">
      <c r="A4069" t="s">
        <v>3962</v>
      </c>
      <c r="B4069">
        <v>15</v>
      </c>
    </row>
    <row r="4070" spans="1:2">
      <c r="A4070" t="s">
        <v>3963</v>
      </c>
      <c r="B4070">
        <v>22</v>
      </c>
    </row>
    <row r="4071" spans="1:2">
      <c r="A4071" t="s">
        <v>3964</v>
      </c>
      <c r="B4071">
        <v>16</v>
      </c>
    </row>
    <row r="4072" spans="1:2">
      <c r="A4072" t="s">
        <v>3965</v>
      </c>
      <c r="B4072">
        <v>14</v>
      </c>
    </row>
    <row r="4073" spans="1:2">
      <c r="A4073" t="s">
        <v>3966</v>
      </c>
      <c r="B4073">
        <v>18</v>
      </c>
    </row>
    <row r="4074" spans="1:2">
      <c r="A4074" t="s">
        <v>3967</v>
      </c>
      <c r="B4074">
        <v>13</v>
      </c>
    </row>
    <row r="4075" spans="1:2">
      <c r="A4075" t="s">
        <v>3968</v>
      </c>
      <c r="B4075">
        <v>13</v>
      </c>
    </row>
    <row r="4076" spans="1:2">
      <c r="A4076" t="s">
        <v>3969</v>
      </c>
      <c r="B4076">
        <v>21</v>
      </c>
    </row>
    <row r="4077" spans="1:2">
      <c r="A4077" t="s">
        <v>3970</v>
      </c>
      <c r="B4077">
        <v>12</v>
      </c>
    </row>
    <row r="4078" spans="1:2">
      <c r="A4078" t="s">
        <v>3971</v>
      </c>
      <c r="B4078">
        <v>10</v>
      </c>
    </row>
    <row r="4079" spans="1:2">
      <c r="A4079" t="s">
        <v>3972</v>
      </c>
      <c r="B4079">
        <v>11</v>
      </c>
    </row>
    <row r="4080" spans="1:2">
      <c r="A4080" t="s">
        <v>3973</v>
      </c>
      <c r="B4080">
        <v>13</v>
      </c>
    </row>
    <row r="4081" spans="1:2">
      <c r="A4081" t="s">
        <v>3974</v>
      </c>
      <c r="B4081">
        <v>16</v>
      </c>
    </row>
    <row r="4082" spans="1:2">
      <c r="A4082" t="s">
        <v>3975</v>
      </c>
      <c r="B4082">
        <v>25</v>
      </c>
    </row>
    <row r="4083" spans="1:2">
      <c r="A4083" t="s">
        <v>3976</v>
      </c>
      <c r="B4083">
        <v>17</v>
      </c>
    </row>
    <row r="4084" spans="1:2">
      <c r="A4084" t="s">
        <v>3977</v>
      </c>
      <c r="B4084">
        <v>14</v>
      </c>
    </row>
    <row r="4085" spans="1:2">
      <c r="A4085" t="s">
        <v>3978</v>
      </c>
      <c r="B4085">
        <v>20</v>
      </c>
    </row>
    <row r="4086" spans="1:2">
      <c r="A4086" t="s">
        <v>3979</v>
      </c>
      <c r="B4086">
        <v>15</v>
      </c>
    </row>
    <row r="4087" spans="1:2">
      <c r="A4087" t="s">
        <v>3980</v>
      </c>
      <c r="B4087">
        <v>13</v>
      </c>
    </row>
    <row r="4088" spans="1:2">
      <c r="A4088" t="s">
        <v>3981</v>
      </c>
      <c r="B4088">
        <v>17</v>
      </c>
    </row>
    <row r="4089" spans="1:2">
      <c r="A4089" t="s">
        <v>3982</v>
      </c>
      <c r="B4089">
        <v>12</v>
      </c>
    </row>
    <row r="4090" spans="1:2">
      <c r="A4090" t="s">
        <v>3983</v>
      </c>
      <c r="B4090">
        <v>12</v>
      </c>
    </row>
    <row r="4091" spans="1:2">
      <c r="A4091" t="s">
        <v>3984</v>
      </c>
      <c r="B4091">
        <v>20</v>
      </c>
    </row>
    <row r="4092" spans="1:2">
      <c r="A4092" t="s">
        <v>3985</v>
      </c>
      <c r="B4092">
        <v>11</v>
      </c>
    </row>
    <row r="4093" spans="1:2">
      <c r="A4093" t="s">
        <v>3986</v>
      </c>
      <c r="B4093">
        <v>9</v>
      </c>
    </row>
    <row r="4094" spans="1:2">
      <c r="A4094" t="s">
        <v>3987</v>
      </c>
      <c r="B4094">
        <v>10</v>
      </c>
    </row>
    <row r="4095" spans="1:2">
      <c r="A4095" t="s">
        <v>3988</v>
      </c>
      <c r="B4095">
        <v>12</v>
      </c>
    </row>
    <row r="4096" spans="1:2">
      <c r="A4096" t="s">
        <v>3989</v>
      </c>
      <c r="B4096">
        <v>15</v>
      </c>
    </row>
    <row r="4097" spans="1:2">
      <c r="A4097" t="s">
        <v>3990</v>
      </c>
      <c r="B4097">
        <v>24</v>
      </c>
    </row>
    <row r="4098" spans="1:2">
      <c r="A4098" t="s">
        <v>3991</v>
      </c>
      <c r="B4098">
        <v>16</v>
      </c>
    </row>
    <row r="4099" spans="1:2">
      <c r="A4099" t="s">
        <v>3992</v>
      </c>
      <c r="B4099">
        <v>13</v>
      </c>
    </row>
    <row r="4100" spans="1:2">
      <c r="A4100" t="s">
        <v>3993</v>
      </c>
      <c r="B4100">
        <v>19</v>
      </c>
    </row>
    <row r="4101" spans="1:2">
      <c r="A4101" t="s">
        <v>3994</v>
      </c>
      <c r="B4101">
        <v>14</v>
      </c>
    </row>
    <row r="4102" spans="1:2">
      <c r="A4102" t="s">
        <v>3995</v>
      </c>
      <c r="B4102">
        <v>12</v>
      </c>
    </row>
    <row r="4103" spans="1:2">
      <c r="A4103" t="s">
        <v>3996</v>
      </c>
      <c r="B4103">
        <v>16</v>
      </c>
    </row>
    <row r="4104" spans="1:2">
      <c r="A4104" t="s">
        <v>3997</v>
      </c>
      <c r="B4104">
        <v>11</v>
      </c>
    </row>
    <row r="4105" spans="1:2">
      <c r="A4105" t="s">
        <v>3998</v>
      </c>
      <c r="B4105">
        <v>12</v>
      </c>
    </row>
    <row r="4106" spans="1:2">
      <c r="A4106" t="s">
        <v>3999</v>
      </c>
      <c r="B4106">
        <v>19</v>
      </c>
    </row>
    <row r="4107" spans="1:2">
      <c r="A4107" t="s">
        <v>4000</v>
      </c>
      <c r="B4107">
        <v>10</v>
      </c>
    </row>
    <row r="4108" spans="1:2">
      <c r="A4108" t="s">
        <v>4001</v>
      </c>
      <c r="B4108">
        <v>8</v>
      </c>
    </row>
    <row r="4109" spans="1:2">
      <c r="A4109" t="s">
        <v>4002</v>
      </c>
      <c r="B4109">
        <v>10</v>
      </c>
    </row>
    <row r="4110" spans="1:2">
      <c r="A4110" t="s">
        <v>4003</v>
      </c>
      <c r="B4110">
        <v>12</v>
      </c>
    </row>
    <row r="4111" spans="1:2">
      <c r="A4111" t="s">
        <v>4004</v>
      </c>
      <c r="B4111">
        <v>14</v>
      </c>
    </row>
    <row r="4112" spans="1:2">
      <c r="A4112" t="s">
        <v>4005</v>
      </c>
      <c r="B4112">
        <v>23</v>
      </c>
    </row>
    <row r="4113" spans="1:2">
      <c r="A4113" t="s">
        <v>4006</v>
      </c>
      <c r="B4113">
        <v>16</v>
      </c>
    </row>
    <row r="4114" spans="1:2">
      <c r="A4114" t="s">
        <v>4007</v>
      </c>
      <c r="B4114">
        <v>13</v>
      </c>
    </row>
    <row r="4115" spans="1:2">
      <c r="A4115" t="s">
        <v>4008</v>
      </c>
      <c r="B4115">
        <v>19</v>
      </c>
    </row>
    <row r="4116" spans="1:2">
      <c r="A4116" t="s">
        <v>4009</v>
      </c>
      <c r="B4116">
        <v>14</v>
      </c>
    </row>
    <row r="4117" spans="1:2">
      <c r="A4117" t="s">
        <v>4010</v>
      </c>
      <c r="B4117">
        <v>12</v>
      </c>
    </row>
    <row r="4118" spans="1:2">
      <c r="A4118" t="s">
        <v>4011</v>
      </c>
      <c r="B4118">
        <v>16</v>
      </c>
    </row>
    <row r="4119" spans="1:2">
      <c r="A4119" t="s">
        <v>4012</v>
      </c>
      <c r="B4119">
        <v>11</v>
      </c>
    </row>
    <row r="4120" spans="1:2">
      <c r="A4120" t="s">
        <v>4013</v>
      </c>
      <c r="B4120">
        <v>12</v>
      </c>
    </row>
    <row r="4121" spans="1:2">
      <c r="A4121" t="s">
        <v>4014</v>
      </c>
      <c r="B4121">
        <v>19</v>
      </c>
    </row>
    <row r="4122" spans="1:2">
      <c r="A4122" t="s">
        <v>4015</v>
      </c>
      <c r="B4122">
        <v>10</v>
      </c>
    </row>
    <row r="4123" spans="1:2">
      <c r="A4123" t="s">
        <v>4016</v>
      </c>
      <c r="B4123">
        <v>8</v>
      </c>
    </row>
    <row r="4124" spans="1:2">
      <c r="A4124" t="s">
        <v>4017</v>
      </c>
      <c r="B4124">
        <v>10</v>
      </c>
    </row>
    <row r="4125" spans="1:2">
      <c r="A4125" t="s">
        <v>4018</v>
      </c>
      <c r="B4125">
        <v>12</v>
      </c>
    </row>
    <row r="4126" spans="1:2">
      <c r="A4126" t="s">
        <v>4019</v>
      </c>
      <c r="B4126">
        <v>14</v>
      </c>
    </row>
    <row r="4127" spans="1:2">
      <c r="A4127" t="s">
        <v>4020</v>
      </c>
      <c r="B4127">
        <v>22</v>
      </c>
    </row>
    <row r="4128" spans="1:2">
      <c r="A4128" t="s">
        <v>4021</v>
      </c>
      <c r="B4128">
        <v>15</v>
      </c>
    </row>
    <row r="4129" spans="1:2">
      <c r="A4129" t="s">
        <v>4022</v>
      </c>
      <c r="B4129">
        <v>12</v>
      </c>
    </row>
    <row r="4130" spans="1:2">
      <c r="A4130" t="s">
        <v>4023</v>
      </c>
      <c r="B4130">
        <v>18</v>
      </c>
    </row>
    <row r="4131" spans="1:2">
      <c r="A4131" t="s">
        <v>4024</v>
      </c>
      <c r="B4131">
        <v>13</v>
      </c>
    </row>
    <row r="4132" spans="1:2">
      <c r="A4132" t="s">
        <v>4025</v>
      </c>
      <c r="B4132">
        <v>11</v>
      </c>
    </row>
    <row r="4133" spans="1:2">
      <c r="A4133" t="s">
        <v>4026</v>
      </c>
      <c r="B4133">
        <v>15</v>
      </c>
    </row>
    <row r="4134" spans="1:2">
      <c r="A4134" t="s">
        <v>4027</v>
      </c>
      <c r="B4134">
        <v>10</v>
      </c>
    </row>
    <row r="4135" spans="1:2">
      <c r="A4135" t="s">
        <v>4028</v>
      </c>
      <c r="B4135">
        <v>11</v>
      </c>
    </row>
    <row r="4136" spans="1:2">
      <c r="A4136" t="s">
        <v>4029</v>
      </c>
      <c r="B4136">
        <v>18</v>
      </c>
    </row>
    <row r="4137" spans="1:2">
      <c r="A4137" t="s">
        <v>4030</v>
      </c>
      <c r="B4137">
        <v>9</v>
      </c>
    </row>
    <row r="4138" spans="1:2">
      <c r="A4138" t="s">
        <v>4031</v>
      </c>
      <c r="B4138">
        <v>7</v>
      </c>
    </row>
    <row r="4139" spans="1:2">
      <c r="A4139" t="s">
        <v>4032</v>
      </c>
      <c r="B4139">
        <v>9</v>
      </c>
    </row>
    <row r="4140" spans="1:2">
      <c r="A4140" t="s">
        <v>4033</v>
      </c>
      <c r="B4140">
        <v>11</v>
      </c>
    </row>
    <row r="4141" spans="1:2">
      <c r="A4141" t="s">
        <v>4034</v>
      </c>
      <c r="B4141">
        <v>13</v>
      </c>
    </row>
    <row r="4142" spans="1:2">
      <c r="A4142" t="s">
        <v>4035</v>
      </c>
      <c r="B4142">
        <v>20</v>
      </c>
    </row>
    <row r="4143" spans="1:2">
      <c r="A4143" t="s">
        <v>4036</v>
      </c>
      <c r="B4143">
        <v>12</v>
      </c>
    </row>
    <row r="4144" spans="1:2">
      <c r="A4144" t="s">
        <v>4037</v>
      </c>
      <c r="B4144">
        <v>9</v>
      </c>
    </row>
    <row r="4145" spans="1:2">
      <c r="A4145" t="s">
        <v>4038</v>
      </c>
      <c r="B4145">
        <v>15</v>
      </c>
    </row>
    <row r="4146" spans="1:2">
      <c r="A4146" t="s">
        <v>4039</v>
      </c>
      <c r="B4146">
        <v>11</v>
      </c>
    </row>
    <row r="4147" spans="1:2">
      <c r="A4147" t="s">
        <v>4040</v>
      </c>
      <c r="B4147">
        <v>9</v>
      </c>
    </row>
    <row r="4148" spans="1:2">
      <c r="A4148" t="s">
        <v>4041</v>
      </c>
      <c r="B4148">
        <v>13</v>
      </c>
    </row>
    <row r="4149" spans="1:2">
      <c r="A4149" t="s">
        <v>4042</v>
      </c>
      <c r="B4149">
        <v>9</v>
      </c>
    </row>
    <row r="4150" spans="1:2">
      <c r="A4150" t="s">
        <v>4043</v>
      </c>
      <c r="B4150">
        <v>10</v>
      </c>
    </row>
    <row r="4151" spans="1:2">
      <c r="A4151" t="s">
        <v>4044</v>
      </c>
      <c r="B4151">
        <v>17</v>
      </c>
    </row>
    <row r="4152" spans="1:2">
      <c r="A4152" t="s">
        <v>4045</v>
      </c>
      <c r="B4152">
        <v>7</v>
      </c>
    </row>
    <row r="4153" spans="1:2">
      <c r="A4153" t="s">
        <v>4046</v>
      </c>
      <c r="B4153">
        <v>6</v>
      </c>
    </row>
    <row r="4154" spans="1:2">
      <c r="A4154" t="s">
        <v>4047</v>
      </c>
      <c r="B4154">
        <v>8</v>
      </c>
    </row>
    <row r="4155" spans="1:2">
      <c r="A4155" t="s">
        <v>4048</v>
      </c>
      <c r="B4155">
        <v>10</v>
      </c>
    </row>
    <row r="4156" spans="1:2">
      <c r="A4156" t="s">
        <v>4049</v>
      </c>
      <c r="B4156">
        <v>12</v>
      </c>
    </row>
    <row r="4157" spans="1:2">
      <c r="A4157" t="s">
        <v>4050</v>
      </c>
      <c r="B4157">
        <v>19</v>
      </c>
    </row>
    <row r="4158" spans="1:2">
      <c r="A4158" t="s">
        <v>4051</v>
      </c>
      <c r="B4158">
        <v>11</v>
      </c>
    </row>
    <row r="4159" spans="1:2">
      <c r="A4159" t="s">
        <v>4052</v>
      </c>
      <c r="B4159">
        <v>9</v>
      </c>
    </row>
    <row r="4160" spans="1:2">
      <c r="A4160" t="s">
        <v>4053</v>
      </c>
      <c r="B4160">
        <v>14</v>
      </c>
    </row>
    <row r="4161" spans="1:2">
      <c r="A4161" t="s">
        <v>4054</v>
      </c>
      <c r="B4161">
        <v>10</v>
      </c>
    </row>
    <row r="4162" spans="1:2">
      <c r="A4162" t="s">
        <v>4055</v>
      </c>
      <c r="B4162">
        <v>9</v>
      </c>
    </row>
    <row r="4163" spans="1:2">
      <c r="A4163" t="s">
        <v>4056</v>
      </c>
      <c r="B4163">
        <v>12</v>
      </c>
    </row>
    <row r="4164" spans="1:2">
      <c r="A4164" t="s">
        <v>4057</v>
      </c>
      <c r="B4164">
        <v>8</v>
      </c>
    </row>
    <row r="4165" spans="1:2">
      <c r="A4165" t="s">
        <v>4058</v>
      </c>
      <c r="B4165">
        <v>9</v>
      </c>
    </row>
    <row r="4166" spans="1:2">
      <c r="A4166" t="s">
        <v>4059</v>
      </c>
      <c r="B4166">
        <v>17</v>
      </c>
    </row>
    <row r="4167" spans="1:2">
      <c r="A4167" t="s">
        <v>4060</v>
      </c>
      <c r="B4167">
        <v>7</v>
      </c>
    </row>
    <row r="4168" spans="1:2">
      <c r="A4168" t="s">
        <v>4061</v>
      </c>
      <c r="B4168">
        <v>6</v>
      </c>
    </row>
    <row r="4169" spans="1:2">
      <c r="A4169" t="s">
        <v>4062</v>
      </c>
      <c r="B4169">
        <v>8</v>
      </c>
    </row>
    <row r="4170" spans="1:2">
      <c r="A4170" t="s">
        <v>4063</v>
      </c>
      <c r="B4170">
        <v>10</v>
      </c>
    </row>
    <row r="4171" spans="1:2">
      <c r="A4171" t="s">
        <v>4064</v>
      </c>
      <c r="B4171">
        <v>12</v>
      </c>
    </row>
    <row r="4172" spans="1:2">
      <c r="A4172" t="s">
        <v>4065</v>
      </c>
      <c r="B4172">
        <v>28</v>
      </c>
    </row>
    <row r="4173" spans="1:2">
      <c r="A4173" t="s">
        <v>4066</v>
      </c>
      <c r="B4173">
        <v>18</v>
      </c>
    </row>
    <row r="4174" spans="1:2">
      <c r="A4174" t="s">
        <v>4067</v>
      </c>
      <c r="B4174">
        <v>15</v>
      </c>
    </row>
    <row r="4175" spans="1:2">
      <c r="A4175" t="s">
        <v>4068</v>
      </c>
      <c r="B4175">
        <v>22</v>
      </c>
    </row>
    <row r="4176" spans="1:2">
      <c r="A4176" t="s">
        <v>4069</v>
      </c>
      <c r="B4176">
        <v>16</v>
      </c>
    </row>
    <row r="4177" spans="1:2">
      <c r="A4177" t="s">
        <v>4070</v>
      </c>
      <c r="B4177">
        <v>14</v>
      </c>
    </row>
    <row r="4178" spans="1:2">
      <c r="A4178" t="s">
        <v>4071</v>
      </c>
      <c r="B4178">
        <v>18</v>
      </c>
    </row>
    <row r="4179" spans="1:2">
      <c r="A4179" t="s">
        <v>4072</v>
      </c>
      <c r="B4179">
        <v>13</v>
      </c>
    </row>
    <row r="4180" spans="1:2">
      <c r="A4180" t="s">
        <v>4073</v>
      </c>
      <c r="B4180">
        <v>13</v>
      </c>
    </row>
    <row r="4181" spans="1:2">
      <c r="A4181" t="s">
        <v>4074</v>
      </c>
      <c r="B4181">
        <v>21</v>
      </c>
    </row>
    <row r="4182" spans="1:2">
      <c r="A4182" t="s">
        <v>4075</v>
      </c>
      <c r="B4182">
        <v>12</v>
      </c>
    </row>
    <row r="4183" spans="1:2">
      <c r="A4183" t="s">
        <v>4076</v>
      </c>
      <c r="B4183">
        <v>10</v>
      </c>
    </row>
    <row r="4184" spans="1:2">
      <c r="A4184" t="s">
        <v>4077</v>
      </c>
      <c r="B4184">
        <v>11</v>
      </c>
    </row>
    <row r="4185" spans="1:2">
      <c r="A4185" t="s">
        <v>4078</v>
      </c>
      <c r="B4185">
        <v>13</v>
      </c>
    </row>
    <row r="4186" spans="1:2">
      <c r="A4186" t="s">
        <v>4079</v>
      </c>
      <c r="B4186">
        <v>16</v>
      </c>
    </row>
  </sheetData>
  <autoFilter ref="A1:B4186" xr:uid="{95BEC0E0-0230-46E3-8D8D-FEF9A761414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9FC832BDF8A4889D4D9389C0AE438" ma:contentTypeVersion="11" ma:contentTypeDescription="Create a new document." ma:contentTypeScope="" ma:versionID="86d0e618bb5ba55fb8d5483925906dc3">
  <xsd:schema xmlns:xsd="http://www.w3.org/2001/XMLSchema" xmlns:xs="http://www.w3.org/2001/XMLSchema" xmlns:p="http://schemas.microsoft.com/office/2006/metadata/properties" xmlns:ns2="1a4676b6-428d-431f-ab50-7c96a0475888" xmlns:ns3="eaf17d2e-dd5a-4187-893d-531c38034a79" targetNamespace="http://schemas.microsoft.com/office/2006/metadata/properties" ma:root="true" ma:fieldsID="7c9a9624dc1b74862ca19ab97511aa4e" ns2:_="" ns3:_="">
    <xsd:import namespace="1a4676b6-428d-431f-ab50-7c96a0475888"/>
    <xsd:import namespace="eaf17d2e-dd5a-4187-893d-531c38034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676b6-428d-431f-ab50-7c96a047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9686e7b-279c-4301-9393-d6c06500f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17d2e-dd5a-4187-893d-531c38034a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abe895-1b9a-44e3-b6a8-274dd64eb75b}" ma:internalName="TaxCatchAll" ma:showField="CatchAllData" ma:web="eaf17d2e-dd5a-4187-893d-531c38034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17d2e-dd5a-4187-893d-531c38034a79" xsi:nil="true"/>
    <lcf76f155ced4ddcb4097134ff3c332f xmlns="1a4676b6-428d-431f-ab50-7c96a047588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6EACF5-AF57-44C8-B5B0-D8276BF35015}"/>
</file>

<file path=customXml/itemProps2.xml><?xml version="1.0" encoding="utf-8"?>
<ds:datastoreItem xmlns:ds="http://schemas.openxmlformats.org/officeDocument/2006/customXml" ds:itemID="{7B01B2DB-977D-40BF-957B-4897F1338A7E}"/>
</file>

<file path=customXml/itemProps3.xml><?xml version="1.0" encoding="utf-8"?>
<ds:datastoreItem xmlns:ds="http://schemas.openxmlformats.org/officeDocument/2006/customXml" ds:itemID="{0D934232-322A-4D02-B707-71BF0D6ED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Ghost Touch</dc:creator>
  <cp:keywords/>
  <dc:description/>
  <cp:lastModifiedBy/>
  <cp:revision/>
  <dcterms:created xsi:type="dcterms:W3CDTF">2026-06-06T15:23:32Z</dcterms:created>
  <dcterms:modified xsi:type="dcterms:W3CDTF">2026-07-17T11:24:10Z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0x0101008679FC832BDF8A4889D4D9389C0AE438</vt:lpwstr>
  </property>
  <property fmtid="{D5CDD505-2E9C-101B-9397-08002B2CF9AE}" pid="3" name="MediaServiceImageTags">
    <vt:lpwstr/>
  </property>
</Properties>
</file>
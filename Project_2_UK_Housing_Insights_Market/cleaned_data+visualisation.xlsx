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pivotTables/pivotTable7.xml" ContentType="application/vnd.openxmlformats-officedocument.spreadsheetml.pivotTable+xml"/>
  <Override PartName="/xl/drawings/drawing7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pivotTables/pivotTable8.xml" ContentType="application/vnd.openxmlformats-officedocument.spreadsheetml.pivotTable+xml"/>
  <Override PartName="/xl/drawings/drawing8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pivotTables/pivotTable9.xml" ContentType="application/vnd.openxmlformats-officedocument.spreadsheetml.pivotTable+xml"/>
  <Override PartName="/xl/drawings/drawing9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10.xml" ContentType="application/vnd.openxmlformats-officedocument.drawing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pivotTables/pivotTable10.xml" ContentType="application/vnd.openxmlformats-officedocument.spreadsheetml.pivotTable+xml"/>
  <Override PartName="/xl/drawings/drawing11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pivotTables/pivotTable11.xml" ContentType="application/vnd.openxmlformats-officedocument.spreadsheetml.pivotTable+xml"/>
  <Override PartName="/xl/drawings/drawing12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pivotTables/pivotTable12.xml" ContentType="application/vnd.openxmlformats-officedocument.spreadsheetml.pivotTable+xml"/>
  <Override PartName="/xl/drawings/drawing13.xml" ContentType="application/vnd.openxmlformats-officedocument.drawing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pivotTables/pivotTable13.xml" ContentType="application/vnd.openxmlformats-officedocument.spreadsheetml.pivotTable+xml"/>
  <Override PartName="/xl/drawings/drawing14.xml" ContentType="application/vnd.openxmlformats-officedocument.drawing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pivotTables/pivotTable14.xml" ContentType="application/vnd.openxmlformats-officedocument.spreadsheetml.pivotTable+xml"/>
  <Override PartName="/xl/drawings/drawing15.xml" ContentType="application/vnd.openxmlformats-officedocument.drawing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pivotTables/pivotTable15.xml" ContentType="application/vnd.openxmlformats-officedocument.spreadsheetml.pivotTable+xml"/>
  <Override PartName="/xl/drawings/drawing16.xml" ContentType="application/vnd.openxmlformats-officedocument.drawing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pivotTables/pivotTable16.xml" ContentType="application/vnd.openxmlformats-officedocument.spreadsheetml.pivotTable+xml"/>
  <Override PartName="/xl/drawings/drawing17.xml" ContentType="application/vnd.openxmlformats-officedocument.drawing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drawings/drawing18.xml" ContentType="application/vnd.openxmlformats-officedocument.drawing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shaqu\Desktop\"/>
    </mc:Choice>
  </mc:AlternateContent>
  <xr:revisionPtr revIDLastSave="0" documentId="8_{004E1649-AACE-4B23-BBED-11DB978AA33D}" xr6:coauthVersionLast="47" xr6:coauthVersionMax="47" xr10:uidLastSave="{00000000-0000-0000-0000-000000000000}"/>
  <bookViews>
    <workbookView xWindow="-110" yWindow="-110" windowWidth="19420" windowHeight="10300" firstSheet="1" activeTab="1" xr2:uid="{8BCAE21C-608E-4984-87B1-EC57AF796FB9}"/>
  </bookViews>
  <sheets>
    <sheet name="Sheet1" sheetId="1" r:id="rId1"/>
    <sheet name="Copy" sheetId="2" r:id="rId2"/>
    <sheet name="Average_price by region" sheetId="3" r:id="rId3"/>
    <sheet name="Sales_volume" sheetId="4" r:id="rId4"/>
    <sheet name="Property_average_price by regio" sheetId="5" r:id="rId5"/>
    <sheet name="Property_growth_rate" sheetId="7" r:id="rId6"/>
    <sheet name="Dashboard" sheetId="21" r:id="rId7"/>
    <sheet name="Sheet6" sheetId="8" r:id="rId8"/>
    <sheet name="Mortgage_model" sheetId="9" r:id="rId9"/>
    <sheet name="Sheet7" sheetId="10" r:id="rId10"/>
    <sheet name="Sheet8" sheetId="11" r:id="rId11"/>
    <sheet name="Sheet9" sheetId="12" r:id="rId12"/>
    <sheet name="Sheet13" sheetId="16" r:id="rId13"/>
    <sheet name="Sheet10" sheetId="13" r:id="rId14"/>
    <sheet name="Sheet11" sheetId="14" r:id="rId15"/>
    <sheet name="Sheet12" sheetId="15" r:id="rId16"/>
    <sheet name="Sheet14" sheetId="17" r:id="rId17"/>
    <sheet name="Sheet15" sheetId="18" r:id="rId18"/>
    <sheet name="Sheet16" sheetId="19" r:id="rId19"/>
    <sheet name="Sheet17" sheetId="20" r:id="rId20"/>
    <sheet name="Sheet4" sheetId="6" r:id="rId21"/>
  </sheets>
  <definedNames>
    <definedName name="_xlnm._FilterDatabase" localSheetId="0" hidden="1">Sheet1!$A$1:$J$800</definedName>
    <definedName name="_xlnm._FilterDatabase" localSheetId="1" hidden="1">Copy!$A$1:$O$800</definedName>
  </definedNames>
  <calcPr calcId="191028"/>
  <pivotCaches>
    <pivotCache cacheId="107" r:id="rId22"/>
    <pivotCache cacheId="108" r:id="rId23"/>
    <pivotCache cacheId="109" r:id="rId24"/>
    <pivotCache cacheId="110" r:id="rId25"/>
    <pivotCache cacheId="111" r:id="rId2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3" i="2" l="1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S53" i="2"/>
  <c r="S54" i="2"/>
  <c r="S55" i="2"/>
  <c r="S56" i="2"/>
  <c r="S57" i="2"/>
  <c r="S58" i="2"/>
  <c r="S59" i="2"/>
  <c r="S60" i="2"/>
  <c r="S61" i="2"/>
  <c r="S62" i="2"/>
  <c r="S63" i="2"/>
  <c r="S64" i="2"/>
  <c r="S65" i="2"/>
  <c r="S66" i="2"/>
  <c r="S67" i="2"/>
  <c r="S68" i="2"/>
  <c r="S69" i="2"/>
  <c r="S70" i="2"/>
  <c r="S71" i="2"/>
  <c r="S72" i="2"/>
  <c r="S73" i="2"/>
  <c r="S74" i="2"/>
  <c r="S75" i="2"/>
  <c r="S76" i="2"/>
  <c r="S77" i="2"/>
  <c r="S78" i="2"/>
  <c r="S79" i="2"/>
  <c r="S80" i="2"/>
  <c r="S81" i="2"/>
  <c r="S82" i="2"/>
  <c r="S83" i="2"/>
  <c r="S84" i="2"/>
  <c r="S85" i="2"/>
  <c r="S86" i="2"/>
  <c r="S87" i="2"/>
  <c r="S88" i="2"/>
  <c r="S89" i="2"/>
  <c r="S90" i="2"/>
  <c r="S91" i="2"/>
  <c r="S92" i="2"/>
  <c r="S93" i="2"/>
  <c r="S94" i="2"/>
  <c r="S95" i="2"/>
  <c r="S96" i="2"/>
  <c r="S97" i="2"/>
  <c r="S98" i="2"/>
  <c r="S99" i="2"/>
  <c r="S100" i="2"/>
  <c r="S101" i="2"/>
  <c r="S102" i="2"/>
  <c r="S103" i="2"/>
  <c r="S104" i="2"/>
  <c r="S105" i="2"/>
  <c r="S106" i="2"/>
  <c r="S107" i="2"/>
  <c r="S108" i="2"/>
  <c r="S109" i="2"/>
  <c r="S110" i="2"/>
  <c r="S111" i="2"/>
  <c r="S112" i="2"/>
  <c r="S113" i="2"/>
  <c r="S114" i="2"/>
  <c r="S115" i="2"/>
  <c r="S116" i="2"/>
  <c r="S117" i="2"/>
  <c r="S118" i="2"/>
  <c r="S119" i="2"/>
  <c r="S120" i="2"/>
  <c r="S121" i="2"/>
  <c r="S122" i="2"/>
  <c r="S123" i="2"/>
  <c r="S124" i="2"/>
  <c r="S125" i="2"/>
  <c r="S126" i="2"/>
  <c r="S127" i="2"/>
  <c r="S128" i="2"/>
  <c r="S129" i="2"/>
  <c r="S130" i="2"/>
  <c r="S131" i="2"/>
  <c r="S132" i="2"/>
  <c r="S133" i="2"/>
  <c r="S134" i="2"/>
  <c r="S135" i="2"/>
  <c r="S136" i="2"/>
  <c r="S137" i="2"/>
  <c r="S138" i="2"/>
  <c r="S139" i="2"/>
  <c r="S140" i="2"/>
  <c r="S141" i="2"/>
  <c r="S142" i="2"/>
  <c r="S143" i="2"/>
  <c r="S144" i="2"/>
  <c r="S145" i="2"/>
  <c r="S146" i="2"/>
  <c r="S147" i="2"/>
  <c r="S148" i="2"/>
  <c r="S149" i="2"/>
  <c r="S150" i="2"/>
  <c r="S151" i="2"/>
  <c r="S152" i="2"/>
  <c r="S153" i="2"/>
  <c r="S154" i="2"/>
  <c r="S155" i="2"/>
  <c r="S156" i="2"/>
  <c r="S157" i="2"/>
  <c r="S158" i="2"/>
  <c r="S159" i="2"/>
  <c r="S160" i="2"/>
  <c r="S161" i="2"/>
  <c r="S162" i="2"/>
  <c r="S163" i="2"/>
  <c r="S164" i="2"/>
  <c r="S165" i="2"/>
  <c r="S166" i="2"/>
  <c r="S167" i="2"/>
  <c r="S168" i="2"/>
  <c r="S169" i="2"/>
  <c r="S170" i="2"/>
  <c r="S171" i="2"/>
  <c r="S172" i="2"/>
  <c r="S173" i="2"/>
  <c r="S174" i="2"/>
  <c r="S175" i="2"/>
  <c r="S176" i="2"/>
  <c r="S177" i="2"/>
  <c r="S178" i="2"/>
  <c r="S179" i="2"/>
  <c r="S180" i="2"/>
  <c r="S181" i="2"/>
  <c r="S182" i="2"/>
  <c r="S183" i="2"/>
  <c r="S184" i="2"/>
  <c r="S185" i="2"/>
  <c r="S186" i="2"/>
  <c r="S187" i="2"/>
  <c r="S188" i="2"/>
  <c r="S189" i="2"/>
  <c r="S190" i="2"/>
  <c r="S191" i="2"/>
  <c r="S192" i="2"/>
  <c r="S193" i="2"/>
  <c r="S194" i="2"/>
  <c r="S195" i="2"/>
  <c r="S196" i="2"/>
  <c r="S197" i="2"/>
  <c r="S198" i="2"/>
  <c r="S199" i="2"/>
  <c r="S200" i="2"/>
  <c r="S201" i="2"/>
  <c r="S202" i="2"/>
  <c r="S203" i="2"/>
  <c r="S204" i="2"/>
  <c r="S205" i="2"/>
  <c r="S206" i="2"/>
  <c r="S207" i="2"/>
  <c r="S208" i="2"/>
  <c r="S209" i="2"/>
  <c r="S210" i="2"/>
  <c r="S211" i="2"/>
  <c r="S212" i="2"/>
  <c r="S213" i="2"/>
  <c r="S214" i="2"/>
  <c r="S215" i="2"/>
  <c r="S216" i="2"/>
  <c r="S217" i="2"/>
  <c r="S218" i="2"/>
  <c r="S219" i="2"/>
  <c r="S220" i="2"/>
  <c r="S221" i="2"/>
  <c r="S222" i="2"/>
  <c r="S223" i="2"/>
  <c r="S224" i="2"/>
  <c r="S225" i="2"/>
  <c r="S226" i="2"/>
  <c r="S227" i="2"/>
  <c r="S228" i="2"/>
  <c r="S229" i="2"/>
  <c r="S230" i="2"/>
  <c r="S231" i="2"/>
  <c r="S232" i="2"/>
  <c r="S233" i="2"/>
  <c r="S234" i="2"/>
  <c r="S235" i="2"/>
  <c r="S236" i="2"/>
  <c r="S237" i="2"/>
  <c r="S238" i="2"/>
  <c r="S239" i="2"/>
  <c r="S240" i="2"/>
  <c r="S241" i="2"/>
  <c r="S242" i="2"/>
  <c r="S243" i="2"/>
  <c r="S244" i="2"/>
  <c r="S245" i="2"/>
  <c r="S246" i="2"/>
  <c r="S247" i="2"/>
  <c r="S248" i="2"/>
  <c r="S249" i="2"/>
  <c r="S250" i="2"/>
  <c r="S251" i="2"/>
  <c r="S252" i="2"/>
  <c r="S253" i="2"/>
  <c r="S254" i="2"/>
  <c r="S255" i="2"/>
  <c r="S256" i="2"/>
  <c r="S257" i="2"/>
  <c r="S258" i="2"/>
  <c r="S259" i="2"/>
  <c r="S260" i="2"/>
  <c r="S261" i="2"/>
  <c r="S262" i="2"/>
  <c r="S263" i="2"/>
  <c r="S264" i="2"/>
  <c r="S265" i="2"/>
  <c r="S266" i="2"/>
  <c r="S267" i="2"/>
  <c r="S268" i="2"/>
  <c r="S269" i="2"/>
  <c r="S270" i="2"/>
  <c r="S271" i="2"/>
  <c r="S272" i="2"/>
  <c r="S273" i="2"/>
  <c r="S274" i="2"/>
  <c r="S275" i="2"/>
  <c r="S276" i="2"/>
  <c r="S277" i="2"/>
  <c r="S278" i="2"/>
  <c r="S279" i="2"/>
  <c r="S280" i="2"/>
  <c r="S281" i="2"/>
  <c r="S282" i="2"/>
  <c r="S283" i="2"/>
  <c r="S284" i="2"/>
  <c r="S285" i="2"/>
  <c r="S286" i="2"/>
  <c r="S287" i="2"/>
  <c r="S288" i="2"/>
  <c r="S289" i="2"/>
  <c r="S290" i="2"/>
  <c r="S291" i="2"/>
  <c r="S292" i="2"/>
  <c r="S293" i="2"/>
  <c r="S294" i="2"/>
  <c r="S295" i="2"/>
  <c r="S296" i="2"/>
  <c r="S297" i="2"/>
  <c r="S298" i="2"/>
  <c r="S299" i="2"/>
  <c r="S300" i="2"/>
  <c r="S301" i="2"/>
  <c r="S302" i="2"/>
  <c r="S303" i="2"/>
  <c r="S304" i="2"/>
  <c r="S305" i="2"/>
  <c r="S306" i="2"/>
  <c r="S307" i="2"/>
  <c r="S308" i="2"/>
  <c r="S309" i="2"/>
  <c r="S310" i="2"/>
  <c r="S311" i="2"/>
  <c r="S312" i="2"/>
  <c r="S313" i="2"/>
  <c r="S314" i="2"/>
  <c r="S315" i="2"/>
  <c r="S316" i="2"/>
  <c r="S317" i="2"/>
  <c r="S318" i="2"/>
  <c r="S319" i="2"/>
  <c r="S320" i="2"/>
  <c r="S321" i="2"/>
  <c r="S322" i="2"/>
  <c r="S323" i="2"/>
  <c r="S324" i="2"/>
  <c r="S325" i="2"/>
  <c r="S326" i="2"/>
  <c r="S327" i="2"/>
  <c r="S328" i="2"/>
  <c r="S329" i="2"/>
  <c r="S330" i="2"/>
  <c r="S331" i="2"/>
  <c r="S332" i="2"/>
  <c r="S333" i="2"/>
  <c r="S334" i="2"/>
  <c r="S335" i="2"/>
  <c r="S336" i="2"/>
  <c r="S337" i="2"/>
  <c r="S338" i="2"/>
  <c r="S339" i="2"/>
  <c r="S340" i="2"/>
  <c r="S341" i="2"/>
  <c r="S342" i="2"/>
  <c r="S343" i="2"/>
  <c r="S344" i="2"/>
  <c r="S345" i="2"/>
  <c r="S346" i="2"/>
  <c r="S347" i="2"/>
  <c r="S348" i="2"/>
  <c r="S349" i="2"/>
  <c r="S350" i="2"/>
  <c r="S351" i="2"/>
  <c r="S352" i="2"/>
  <c r="S353" i="2"/>
  <c r="S354" i="2"/>
  <c r="S355" i="2"/>
  <c r="S356" i="2"/>
  <c r="S357" i="2"/>
  <c r="S358" i="2"/>
  <c r="S359" i="2"/>
  <c r="S360" i="2"/>
  <c r="S361" i="2"/>
  <c r="S362" i="2"/>
  <c r="S363" i="2"/>
  <c r="S364" i="2"/>
  <c r="S365" i="2"/>
  <c r="S366" i="2"/>
  <c r="S367" i="2"/>
  <c r="S368" i="2"/>
  <c r="S369" i="2"/>
  <c r="S370" i="2"/>
  <c r="S371" i="2"/>
  <c r="S372" i="2"/>
  <c r="S373" i="2"/>
  <c r="S374" i="2"/>
  <c r="S375" i="2"/>
  <c r="S376" i="2"/>
  <c r="S377" i="2"/>
  <c r="S378" i="2"/>
  <c r="S379" i="2"/>
  <c r="S380" i="2"/>
  <c r="S381" i="2"/>
  <c r="S382" i="2"/>
  <c r="S383" i="2"/>
  <c r="S384" i="2"/>
  <c r="S385" i="2"/>
  <c r="S386" i="2"/>
  <c r="S387" i="2"/>
  <c r="S388" i="2"/>
  <c r="S389" i="2"/>
  <c r="S390" i="2"/>
  <c r="S391" i="2"/>
  <c r="S392" i="2"/>
  <c r="S393" i="2"/>
  <c r="S394" i="2"/>
  <c r="S395" i="2"/>
  <c r="S396" i="2"/>
  <c r="S397" i="2"/>
  <c r="S398" i="2"/>
  <c r="S399" i="2"/>
  <c r="S400" i="2"/>
  <c r="S401" i="2"/>
  <c r="S402" i="2"/>
  <c r="S403" i="2"/>
  <c r="S404" i="2"/>
  <c r="S405" i="2"/>
  <c r="S406" i="2"/>
  <c r="S407" i="2"/>
  <c r="S408" i="2"/>
  <c r="S409" i="2"/>
  <c r="S410" i="2"/>
  <c r="S411" i="2"/>
  <c r="S412" i="2"/>
  <c r="S413" i="2"/>
  <c r="S414" i="2"/>
  <c r="S415" i="2"/>
  <c r="S416" i="2"/>
  <c r="S417" i="2"/>
  <c r="S418" i="2"/>
  <c r="S419" i="2"/>
  <c r="S420" i="2"/>
  <c r="S421" i="2"/>
  <c r="S422" i="2"/>
  <c r="S423" i="2"/>
  <c r="S424" i="2"/>
  <c r="S425" i="2"/>
  <c r="S426" i="2"/>
  <c r="S427" i="2"/>
  <c r="S428" i="2"/>
  <c r="S429" i="2"/>
  <c r="S430" i="2"/>
  <c r="S431" i="2"/>
  <c r="S432" i="2"/>
  <c r="S433" i="2"/>
  <c r="S434" i="2"/>
  <c r="S435" i="2"/>
  <c r="S436" i="2"/>
  <c r="S437" i="2"/>
  <c r="S438" i="2"/>
  <c r="S439" i="2"/>
  <c r="S440" i="2"/>
  <c r="S441" i="2"/>
  <c r="S442" i="2"/>
  <c r="S443" i="2"/>
  <c r="S444" i="2"/>
  <c r="S445" i="2"/>
  <c r="S446" i="2"/>
  <c r="S447" i="2"/>
  <c r="S448" i="2"/>
  <c r="S449" i="2"/>
  <c r="S450" i="2"/>
  <c r="S451" i="2"/>
  <c r="S452" i="2"/>
  <c r="S453" i="2"/>
  <c r="S454" i="2"/>
  <c r="S455" i="2"/>
  <c r="S456" i="2"/>
  <c r="S457" i="2"/>
  <c r="S458" i="2"/>
  <c r="S459" i="2"/>
  <c r="S460" i="2"/>
  <c r="S461" i="2"/>
  <c r="S462" i="2"/>
  <c r="S463" i="2"/>
  <c r="S464" i="2"/>
  <c r="S465" i="2"/>
  <c r="S466" i="2"/>
  <c r="S467" i="2"/>
  <c r="S468" i="2"/>
  <c r="S469" i="2"/>
  <c r="S470" i="2"/>
  <c r="S471" i="2"/>
  <c r="S472" i="2"/>
  <c r="S473" i="2"/>
  <c r="S474" i="2"/>
  <c r="S475" i="2"/>
  <c r="S476" i="2"/>
  <c r="S477" i="2"/>
  <c r="S478" i="2"/>
  <c r="S479" i="2"/>
  <c r="S480" i="2"/>
  <c r="S481" i="2"/>
  <c r="S482" i="2"/>
  <c r="S483" i="2"/>
  <c r="S484" i="2"/>
  <c r="S485" i="2"/>
  <c r="S486" i="2"/>
  <c r="S487" i="2"/>
  <c r="S488" i="2"/>
  <c r="S489" i="2"/>
  <c r="S490" i="2"/>
  <c r="S491" i="2"/>
  <c r="S492" i="2"/>
  <c r="S493" i="2"/>
  <c r="S494" i="2"/>
  <c r="S495" i="2"/>
  <c r="S496" i="2"/>
  <c r="S497" i="2"/>
  <c r="S498" i="2"/>
  <c r="S499" i="2"/>
  <c r="S500" i="2"/>
  <c r="S501" i="2"/>
  <c r="S502" i="2"/>
  <c r="S503" i="2"/>
  <c r="S504" i="2"/>
  <c r="S505" i="2"/>
  <c r="S506" i="2"/>
  <c r="S507" i="2"/>
  <c r="S508" i="2"/>
  <c r="S509" i="2"/>
  <c r="S510" i="2"/>
  <c r="S511" i="2"/>
  <c r="S512" i="2"/>
  <c r="S513" i="2"/>
  <c r="S514" i="2"/>
  <c r="S515" i="2"/>
  <c r="S516" i="2"/>
  <c r="S517" i="2"/>
  <c r="S518" i="2"/>
  <c r="S519" i="2"/>
  <c r="S520" i="2"/>
  <c r="S521" i="2"/>
  <c r="S522" i="2"/>
  <c r="S523" i="2"/>
  <c r="S524" i="2"/>
  <c r="S525" i="2"/>
  <c r="S526" i="2"/>
  <c r="S527" i="2"/>
  <c r="S528" i="2"/>
  <c r="S529" i="2"/>
  <c r="S530" i="2"/>
  <c r="S531" i="2"/>
  <c r="S532" i="2"/>
  <c r="S533" i="2"/>
  <c r="S534" i="2"/>
  <c r="S535" i="2"/>
  <c r="S536" i="2"/>
  <c r="S537" i="2"/>
  <c r="S538" i="2"/>
  <c r="S539" i="2"/>
  <c r="S540" i="2"/>
  <c r="S541" i="2"/>
  <c r="S542" i="2"/>
  <c r="S543" i="2"/>
  <c r="S544" i="2"/>
  <c r="S545" i="2"/>
  <c r="S546" i="2"/>
  <c r="S547" i="2"/>
  <c r="S548" i="2"/>
  <c r="S549" i="2"/>
  <c r="S550" i="2"/>
  <c r="S551" i="2"/>
  <c r="S552" i="2"/>
  <c r="S553" i="2"/>
  <c r="S554" i="2"/>
  <c r="S555" i="2"/>
  <c r="S556" i="2"/>
  <c r="S557" i="2"/>
  <c r="S558" i="2"/>
  <c r="S559" i="2"/>
  <c r="S560" i="2"/>
  <c r="S561" i="2"/>
  <c r="S562" i="2"/>
  <c r="S563" i="2"/>
  <c r="S564" i="2"/>
  <c r="S565" i="2"/>
  <c r="S566" i="2"/>
  <c r="S567" i="2"/>
  <c r="S568" i="2"/>
  <c r="S569" i="2"/>
  <c r="S570" i="2"/>
  <c r="S571" i="2"/>
  <c r="S572" i="2"/>
  <c r="S573" i="2"/>
  <c r="S574" i="2"/>
  <c r="S575" i="2"/>
  <c r="S576" i="2"/>
  <c r="S577" i="2"/>
  <c r="S578" i="2"/>
  <c r="S579" i="2"/>
  <c r="S580" i="2"/>
  <c r="S581" i="2"/>
  <c r="S582" i="2"/>
  <c r="S583" i="2"/>
  <c r="S584" i="2"/>
  <c r="S585" i="2"/>
  <c r="S586" i="2"/>
  <c r="S587" i="2"/>
  <c r="S588" i="2"/>
  <c r="S589" i="2"/>
  <c r="S590" i="2"/>
  <c r="S591" i="2"/>
  <c r="S592" i="2"/>
  <c r="S593" i="2"/>
  <c r="S594" i="2"/>
  <c r="S595" i="2"/>
  <c r="S596" i="2"/>
  <c r="S597" i="2"/>
  <c r="S598" i="2"/>
  <c r="S599" i="2"/>
  <c r="S600" i="2"/>
  <c r="S601" i="2"/>
  <c r="S602" i="2"/>
  <c r="S603" i="2"/>
  <c r="S604" i="2"/>
  <c r="S605" i="2"/>
  <c r="S606" i="2"/>
  <c r="S607" i="2"/>
  <c r="S608" i="2"/>
  <c r="S609" i="2"/>
  <c r="S610" i="2"/>
  <c r="S611" i="2"/>
  <c r="S612" i="2"/>
  <c r="S613" i="2"/>
  <c r="S614" i="2"/>
  <c r="S615" i="2"/>
  <c r="S616" i="2"/>
  <c r="S617" i="2"/>
  <c r="S618" i="2"/>
  <c r="S619" i="2"/>
  <c r="S620" i="2"/>
  <c r="S621" i="2"/>
  <c r="S622" i="2"/>
  <c r="S623" i="2"/>
  <c r="S624" i="2"/>
  <c r="S625" i="2"/>
  <c r="S626" i="2"/>
  <c r="S627" i="2"/>
  <c r="S628" i="2"/>
  <c r="S629" i="2"/>
  <c r="S630" i="2"/>
  <c r="S631" i="2"/>
  <c r="S632" i="2"/>
  <c r="S633" i="2"/>
  <c r="S634" i="2"/>
  <c r="S635" i="2"/>
  <c r="S636" i="2"/>
  <c r="S637" i="2"/>
  <c r="S638" i="2"/>
  <c r="S639" i="2"/>
  <c r="S640" i="2"/>
  <c r="S641" i="2"/>
  <c r="S642" i="2"/>
  <c r="S643" i="2"/>
  <c r="S644" i="2"/>
  <c r="S645" i="2"/>
  <c r="S646" i="2"/>
  <c r="S647" i="2"/>
  <c r="S648" i="2"/>
  <c r="S649" i="2"/>
  <c r="S650" i="2"/>
  <c r="S651" i="2"/>
  <c r="S652" i="2"/>
  <c r="S653" i="2"/>
  <c r="S654" i="2"/>
  <c r="S655" i="2"/>
  <c r="S656" i="2"/>
  <c r="S657" i="2"/>
  <c r="S658" i="2"/>
  <c r="S659" i="2"/>
  <c r="S660" i="2"/>
  <c r="S661" i="2"/>
  <c r="S662" i="2"/>
  <c r="S663" i="2"/>
  <c r="S664" i="2"/>
  <c r="S665" i="2"/>
  <c r="S666" i="2"/>
  <c r="S667" i="2"/>
  <c r="S668" i="2"/>
  <c r="S669" i="2"/>
  <c r="S670" i="2"/>
  <c r="S671" i="2"/>
  <c r="S672" i="2"/>
  <c r="S673" i="2"/>
  <c r="S674" i="2"/>
  <c r="S675" i="2"/>
  <c r="S676" i="2"/>
  <c r="S677" i="2"/>
  <c r="S678" i="2"/>
  <c r="S679" i="2"/>
  <c r="S680" i="2"/>
  <c r="S681" i="2"/>
  <c r="S682" i="2"/>
  <c r="S683" i="2"/>
  <c r="S684" i="2"/>
  <c r="S685" i="2"/>
  <c r="S686" i="2"/>
  <c r="S687" i="2"/>
  <c r="S688" i="2"/>
  <c r="S689" i="2"/>
  <c r="S690" i="2"/>
  <c r="S691" i="2"/>
  <c r="S692" i="2"/>
  <c r="S693" i="2"/>
  <c r="S694" i="2"/>
  <c r="S695" i="2"/>
  <c r="S696" i="2"/>
  <c r="S697" i="2"/>
  <c r="S698" i="2"/>
  <c r="S699" i="2"/>
  <c r="S700" i="2"/>
  <c r="S701" i="2"/>
  <c r="S702" i="2"/>
  <c r="S703" i="2"/>
  <c r="S704" i="2"/>
  <c r="S705" i="2"/>
  <c r="S706" i="2"/>
  <c r="S707" i="2"/>
  <c r="S708" i="2"/>
  <c r="S709" i="2"/>
  <c r="S710" i="2"/>
  <c r="S711" i="2"/>
  <c r="S712" i="2"/>
  <c r="S713" i="2"/>
  <c r="S714" i="2"/>
  <c r="S715" i="2"/>
  <c r="S716" i="2"/>
  <c r="S717" i="2"/>
  <c r="S718" i="2"/>
  <c r="S719" i="2"/>
  <c r="S720" i="2"/>
  <c r="S721" i="2"/>
  <c r="S722" i="2"/>
  <c r="S723" i="2"/>
  <c r="S724" i="2"/>
  <c r="S725" i="2"/>
  <c r="S726" i="2"/>
  <c r="S727" i="2"/>
  <c r="S728" i="2"/>
  <c r="S729" i="2"/>
  <c r="S730" i="2"/>
  <c r="S731" i="2"/>
  <c r="S732" i="2"/>
  <c r="S733" i="2"/>
  <c r="S734" i="2"/>
  <c r="S735" i="2"/>
  <c r="S736" i="2"/>
  <c r="S737" i="2"/>
  <c r="S738" i="2"/>
  <c r="S739" i="2"/>
  <c r="S740" i="2"/>
  <c r="S741" i="2"/>
  <c r="S742" i="2"/>
  <c r="S743" i="2"/>
  <c r="S744" i="2"/>
  <c r="S745" i="2"/>
  <c r="S746" i="2"/>
  <c r="S747" i="2"/>
  <c r="S748" i="2"/>
  <c r="S749" i="2"/>
  <c r="S750" i="2"/>
  <c r="S751" i="2"/>
  <c r="S752" i="2"/>
  <c r="S753" i="2"/>
  <c r="S754" i="2"/>
  <c r="S755" i="2"/>
  <c r="S756" i="2"/>
  <c r="S757" i="2"/>
  <c r="S758" i="2"/>
  <c r="S759" i="2"/>
  <c r="S760" i="2"/>
  <c r="S761" i="2"/>
  <c r="S762" i="2"/>
  <c r="S763" i="2"/>
  <c r="S764" i="2"/>
  <c r="S765" i="2"/>
  <c r="S766" i="2"/>
  <c r="S767" i="2"/>
  <c r="S768" i="2"/>
  <c r="S769" i="2"/>
  <c r="S770" i="2"/>
  <c r="S771" i="2"/>
  <c r="S772" i="2"/>
  <c r="S773" i="2"/>
  <c r="S774" i="2"/>
  <c r="S775" i="2"/>
  <c r="S776" i="2"/>
  <c r="S777" i="2"/>
  <c r="S778" i="2"/>
  <c r="S779" i="2"/>
  <c r="S780" i="2"/>
  <c r="S781" i="2"/>
  <c r="S782" i="2"/>
  <c r="S783" i="2"/>
  <c r="S784" i="2"/>
  <c r="S785" i="2"/>
  <c r="S786" i="2"/>
  <c r="S787" i="2"/>
  <c r="S788" i="2"/>
  <c r="S789" i="2"/>
  <c r="S790" i="2"/>
  <c r="S791" i="2"/>
  <c r="S792" i="2"/>
  <c r="S793" i="2"/>
  <c r="S794" i="2"/>
  <c r="S795" i="2"/>
  <c r="S796" i="2"/>
  <c r="S797" i="2"/>
  <c r="S798" i="2"/>
  <c r="S799" i="2"/>
  <c r="S800" i="2"/>
  <c r="S2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R87" i="2"/>
  <c r="R88" i="2"/>
  <c r="R89" i="2"/>
  <c r="R90" i="2"/>
  <c r="R91" i="2"/>
  <c r="R92" i="2"/>
  <c r="R93" i="2"/>
  <c r="R94" i="2"/>
  <c r="R95" i="2"/>
  <c r="R96" i="2"/>
  <c r="R97" i="2"/>
  <c r="R98" i="2"/>
  <c r="R99" i="2"/>
  <c r="R100" i="2"/>
  <c r="R101" i="2"/>
  <c r="R102" i="2"/>
  <c r="R103" i="2"/>
  <c r="R104" i="2"/>
  <c r="R105" i="2"/>
  <c r="R106" i="2"/>
  <c r="R107" i="2"/>
  <c r="R108" i="2"/>
  <c r="R109" i="2"/>
  <c r="R110" i="2"/>
  <c r="R111" i="2"/>
  <c r="R112" i="2"/>
  <c r="R113" i="2"/>
  <c r="R114" i="2"/>
  <c r="R115" i="2"/>
  <c r="R116" i="2"/>
  <c r="R117" i="2"/>
  <c r="R118" i="2"/>
  <c r="R119" i="2"/>
  <c r="R120" i="2"/>
  <c r="R121" i="2"/>
  <c r="R122" i="2"/>
  <c r="R123" i="2"/>
  <c r="R124" i="2"/>
  <c r="R125" i="2"/>
  <c r="R126" i="2"/>
  <c r="R127" i="2"/>
  <c r="R128" i="2"/>
  <c r="R129" i="2"/>
  <c r="R130" i="2"/>
  <c r="R131" i="2"/>
  <c r="R132" i="2"/>
  <c r="R133" i="2"/>
  <c r="R134" i="2"/>
  <c r="R135" i="2"/>
  <c r="R136" i="2"/>
  <c r="R137" i="2"/>
  <c r="R138" i="2"/>
  <c r="R139" i="2"/>
  <c r="R140" i="2"/>
  <c r="R141" i="2"/>
  <c r="R142" i="2"/>
  <c r="R143" i="2"/>
  <c r="R144" i="2"/>
  <c r="R145" i="2"/>
  <c r="R146" i="2"/>
  <c r="R147" i="2"/>
  <c r="R148" i="2"/>
  <c r="R149" i="2"/>
  <c r="R150" i="2"/>
  <c r="R151" i="2"/>
  <c r="R152" i="2"/>
  <c r="R153" i="2"/>
  <c r="R154" i="2"/>
  <c r="R155" i="2"/>
  <c r="R156" i="2"/>
  <c r="R157" i="2"/>
  <c r="R158" i="2"/>
  <c r="R159" i="2"/>
  <c r="R160" i="2"/>
  <c r="R161" i="2"/>
  <c r="R162" i="2"/>
  <c r="R163" i="2"/>
  <c r="R164" i="2"/>
  <c r="R165" i="2"/>
  <c r="R166" i="2"/>
  <c r="R167" i="2"/>
  <c r="R168" i="2"/>
  <c r="R169" i="2"/>
  <c r="R170" i="2"/>
  <c r="R171" i="2"/>
  <c r="R172" i="2"/>
  <c r="R173" i="2"/>
  <c r="R174" i="2"/>
  <c r="R175" i="2"/>
  <c r="R176" i="2"/>
  <c r="R177" i="2"/>
  <c r="R178" i="2"/>
  <c r="R179" i="2"/>
  <c r="R180" i="2"/>
  <c r="R181" i="2"/>
  <c r="R182" i="2"/>
  <c r="R183" i="2"/>
  <c r="R184" i="2"/>
  <c r="R185" i="2"/>
  <c r="R186" i="2"/>
  <c r="R187" i="2"/>
  <c r="R188" i="2"/>
  <c r="R189" i="2"/>
  <c r="R190" i="2"/>
  <c r="R191" i="2"/>
  <c r="R192" i="2"/>
  <c r="R193" i="2"/>
  <c r="R194" i="2"/>
  <c r="R195" i="2"/>
  <c r="R196" i="2"/>
  <c r="R197" i="2"/>
  <c r="R198" i="2"/>
  <c r="R199" i="2"/>
  <c r="R200" i="2"/>
  <c r="R201" i="2"/>
  <c r="R202" i="2"/>
  <c r="R203" i="2"/>
  <c r="R204" i="2"/>
  <c r="R205" i="2"/>
  <c r="R206" i="2"/>
  <c r="R207" i="2"/>
  <c r="R208" i="2"/>
  <c r="R209" i="2"/>
  <c r="R210" i="2"/>
  <c r="R211" i="2"/>
  <c r="R212" i="2"/>
  <c r="R213" i="2"/>
  <c r="R214" i="2"/>
  <c r="R215" i="2"/>
  <c r="R216" i="2"/>
  <c r="R217" i="2"/>
  <c r="R218" i="2"/>
  <c r="R219" i="2"/>
  <c r="R220" i="2"/>
  <c r="R221" i="2"/>
  <c r="R222" i="2"/>
  <c r="R223" i="2"/>
  <c r="R224" i="2"/>
  <c r="R225" i="2"/>
  <c r="R226" i="2"/>
  <c r="R227" i="2"/>
  <c r="R228" i="2"/>
  <c r="R229" i="2"/>
  <c r="R230" i="2"/>
  <c r="R231" i="2"/>
  <c r="R232" i="2"/>
  <c r="R233" i="2"/>
  <c r="R234" i="2"/>
  <c r="R235" i="2"/>
  <c r="R236" i="2"/>
  <c r="R237" i="2"/>
  <c r="R238" i="2"/>
  <c r="R239" i="2"/>
  <c r="R240" i="2"/>
  <c r="R241" i="2"/>
  <c r="R242" i="2"/>
  <c r="R243" i="2"/>
  <c r="R244" i="2"/>
  <c r="R245" i="2"/>
  <c r="R246" i="2"/>
  <c r="R247" i="2"/>
  <c r="R248" i="2"/>
  <c r="R249" i="2"/>
  <c r="R250" i="2"/>
  <c r="R251" i="2"/>
  <c r="R252" i="2"/>
  <c r="R253" i="2"/>
  <c r="R254" i="2"/>
  <c r="R255" i="2"/>
  <c r="R256" i="2"/>
  <c r="R257" i="2"/>
  <c r="R258" i="2"/>
  <c r="R259" i="2"/>
  <c r="R260" i="2"/>
  <c r="R261" i="2"/>
  <c r="R262" i="2"/>
  <c r="R263" i="2"/>
  <c r="R264" i="2"/>
  <c r="R265" i="2"/>
  <c r="R266" i="2"/>
  <c r="R267" i="2"/>
  <c r="R268" i="2"/>
  <c r="R269" i="2"/>
  <c r="R270" i="2"/>
  <c r="R271" i="2"/>
  <c r="R272" i="2"/>
  <c r="R273" i="2"/>
  <c r="R274" i="2"/>
  <c r="R275" i="2"/>
  <c r="R276" i="2"/>
  <c r="R277" i="2"/>
  <c r="R278" i="2"/>
  <c r="R279" i="2"/>
  <c r="R280" i="2"/>
  <c r="R281" i="2"/>
  <c r="R282" i="2"/>
  <c r="R283" i="2"/>
  <c r="R284" i="2"/>
  <c r="R285" i="2"/>
  <c r="R286" i="2"/>
  <c r="R287" i="2"/>
  <c r="R288" i="2"/>
  <c r="R289" i="2"/>
  <c r="R290" i="2"/>
  <c r="R291" i="2"/>
  <c r="R292" i="2"/>
  <c r="R293" i="2"/>
  <c r="R294" i="2"/>
  <c r="R295" i="2"/>
  <c r="R296" i="2"/>
  <c r="R297" i="2"/>
  <c r="R298" i="2"/>
  <c r="R299" i="2"/>
  <c r="R300" i="2"/>
  <c r="R301" i="2"/>
  <c r="R302" i="2"/>
  <c r="R303" i="2"/>
  <c r="R304" i="2"/>
  <c r="R305" i="2"/>
  <c r="R306" i="2"/>
  <c r="R307" i="2"/>
  <c r="R308" i="2"/>
  <c r="R309" i="2"/>
  <c r="R310" i="2"/>
  <c r="R311" i="2"/>
  <c r="R312" i="2"/>
  <c r="R313" i="2"/>
  <c r="R314" i="2"/>
  <c r="R315" i="2"/>
  <c r="R316" i="2"/>
  <c r="R317" i="2"/>
  <c r="R318" i="2"/>
  <c r="R319" i="2"/>
  <c r="R320" i="2"/>
  <c r="R321" i="2"/>
  <c r="R322" i="2"/>
  <c r="R323" i="2"/>
  <c r="R324" i="2"/>
  <c r="R325" i="2"/>
  <c r="R326" i="2"/>
  <c r="R327" i="2"/>
  <c r="R328" i="2"/>
  <c r="R329" i="2"/>
  <c r="R330" i="2"/>
  <c r="R331" i="2"/>
  <c r="R332" i="2"/>
  <c r="R333" i="2"/>
  <c r="R334" i="2"/>
  <c r="R335" i="2"/>
  <c r="R336" i="2"/>
  <c r="R337" i="2"/>
  <c r="R338" i="2"/>
  <c r="R339" i="2"/>
  <c r="R340" i="2"/>
  <c r="R341" i="2"/>
  <c r="R342" i="2"/>
  <c r="R343" i="2"/>
  <c r="R344" i="2"/>
  <c r="R345" i="2"/>
  <c r="R346" i="2"/>
  <c r="R347" i="2"/>
  <c r="R348" i="2"/>
  <c r="R349" i="2"/>
  <c r="R350" i="2"/>
  <c r="R351" i="2"/>
  <c r="R352" i="2"/>
  <c r="R353" i="2"/>
  <c r="R354" i="2"/>
  <c r="R355" i="2"/>
  <c r="R356" i="2"/>
  <c r="R357" i="2"/>
  <c r="R358" i="2"/>
  <c r="R359" i="2"/>
  <c r="R360" i="2"/>
  <c r="R361" i="2"/>
  <c r="R362" i="2"/>
  <c r="R363" i="2"/>
  <c r="R364" i="2"/>
  <c r="R365" i="2"/>
  <c r="R366" i="2"/>
  <c r="R367" i="2"/>
  <c r="R368" i="2"/>
  <c r="R369" i="2"/>
  <c r="R370" i="2"/>
  <c r="R371" i="2"/>
  <c r="R372" i="2"/>
  <c r="R373" i="2"/>
  <c r="R374" i="2"/>
  <c r="R375" i="2"/>
  <c r="R376" i="2"/>
  <c r="R377" i="2"/>
  <c r="R378" i="2"/>
  <c r="R379" i="2"/>
  <c r="R380" i="2"/>
  <c r="R381" i="2"/>
  <c r="R382" i="2"/>
  <c r="R383" i="2"/>
  <c r="R384" i="2"/>
  <c r="R385" i="2"/>
  <c r="R386" i="2"/>
  <c r="R387" i="2"/>
  <c r="R388" i="2"/>
  <c r="R389" i="2"/>
  <c r="R390" i="2"/>
  <c r="R391" i="2"/>
  <c r="R392" i="2"/>
  <c r="R393" i="2"/>
  <c r="R394" i="2"/>
  <c r="R395" i="2"/>
  <c r="R396" i="2"/>
  <c r="R397" i="2"/>
  <c r="R398" i="2"/>
  <c r="R399" i="2"/>
  <c r="R400" i="2"/>
  <c r="R401" i="2"/>
  <c r="R402" i="2"/>
  <c r="R403" i="2"/>
  <c r="R404" i="2"/>
  <c r="R405" i="2"/>
  <c r="R406" i="2"/>
  <c r="R407" i="2"/>
  <c r="R408" i="2"/>
  <c r="R409" i="2"/>
  <c r="R410" i="2"/>
  <c r="R411" i="2"/>
  <c r="R412" i="2"/>
  <c r="R413" i="2"/>
  <c r="R414" i="2"/>
  <c r="R415" i="2"/>
  <c r="R416" i="2"/>
  <c r="R417" i="2"/>
  <c r="R418" i="2"/>
  <c r="R419" i="2"/>
  <c r="R420" i="2"/>
  <c r="R421" i="2"/>
  <c r="R422" i="2"/>
  <c r="R423" i="2"/>
  <c r="R424" i="2"/>
  <c r="R425" i="2"/>
  <c r="R426" i="2"/>
  <c r="R427" i="2"/>
  <c r="R428" i="2"/>
  <c r="R429" i="2"/>
  <c r="R430" i="2"/>
  <c r="R431" i="2"/>
  <c r="R432" i="2"/>
  <c r="R433" i="2"/>
  <c r="R434" i="2"/>
  <c r="R435" i="2"/>
  <c r="R436" i="2"/>
  <c r="R437" i="2"/>
  <c r="R438" i="2"/>
  <c r="R439" i="2"/>
  <c r="R440" i="2"/>
  <c r="R441" i="2"/>
  <c r="R442" i="2"/>
  <c r="R443" i="2"/>
  <c r="R444" i="2"/>
  <c r="R445" i="2"/>
  <c r="R446" i="2"/>
  <c r="R447" i="2"/>
  <c r="R448" i="2"/>
  <c r="R449" i="2"/>
  <c r="R450" i="2"/>
  <c r="R451" i="2"/>
  <c r="R452" i="2"/>
  <c r="R453" i="2"/>
  <c r="R454" i="2"/>
  <c r="R455" i="2"/>
  <c r="R456" i="2"/>
  <c r="R457" i="2"/>
  <c r="R458" i="2"/>
  <c r="R459" i="2"/>
  <c r="R460" i="2"/>
  <c r="R461" i="2"/>
  <c r="R462" i="2"/>
  <c r="R463" i="2"/>
  <c r="R464" i="2"/>
  <c r="R465" i="2"/>
  <c r="R466" i="2"/>
  <c r="R467" i="2"/>
  <c r="R468" i="2"/>
  <c r="R469" i="2"/>
  <c r="R470" i="2"/>
  <c r="R471" i="2"/>
  <c r="R472" i="2"/>
  <c r="R473" i="2"/>
  <c r="R474" i="2"/>
  <c r="R475" i="2"/>
  <c r="R476" i="2"/>
  <c r="R477" i="2"/>
  <c r="R478" i="2"/>
  <c r="R479" i="2"/>
  <c r="R480" i="2"/>
  <c r="R481" i="2"/>
  <c r="R482" i="2"/>
  <c r="R483" i="2"/>
  <c r="R484" i="2"/>
  <c r="R485" i="2"/>
  <c r="R486" i="2"/>
  <c r="R487" i="2"/>
  <c r="R488" i="2"/>
  <c r="R489" i="2"/>
  <c r="R490" i="2"/>
  <c r="R491" i="2"/>
  <c r="R492" i="2"/>
  <c r="R493" i="2"/>
  <c r="R494" i="2"/>
  <c r="R495" i="2"/>
  <c r="R496" i="2"/>
  <c r="R497" i="2"/>
  <c r="R498" i="2"/>
  <c r="R499" i="2"/>
  <c r="R500" i="2"/>
  <c r="R501" i="2"/>
  <c r="R502" i="2"/>
  <c r="R503" i="2"/>
  <c r="R504" i="2"/>
  <c r="R505" i="2"/>
  <c r="R506" i="2"/>
  <c r="R507" i="2"/>
  <c r="R508" i="2"/>
  <c r="R509" i="2"/>
  <c r="R510" i="2"/>
  <c r="R511" i="2"/>
  <c r="R512" i="2"/>
  <c r="R513" i="2"/>
  <c r="R514" i="2"/>
  <c r="R515" i="2"/>
  <c r="R516" i="2"/>
  <c r="R517" i="2"/>
  <c r="R518" i="2"/>
  <c r="R519" i="2"/>
  <c r="R520" i="2"/>
  <c r="R521" i="2"/>
  <c r="R522" i="2"/>
  <c r="R523" i="2"/>
  <c r="R524" i="2"/>
  <c r="R525" i="2"/>
  <c r="R526" i="2"/>
  <c r="R527" i="2"/>
  <c r="R528" i="2"/>
  <c r="R529" i="2"/>
  <c r="R530" i="2"/>
  <c r="R531" i="2"/>
  <c r="R532" i="2"/>
  <c r="R533" i="2"/>
  <c r="R534" i="2"/>
  <c r="R535" i="2"/>
  <c r="R536" i="2"/>
  <c r="R537" i="2"/>
  <c r="R538" i="2"/>
  <c r="R539" i="2"/>
  <c r="R540" i="2"/>
  <c r="R541" i="2"/>
  <c r="R542" i="2"/>
  <c r="R543" i="2"/>
  <c r="R544" i="2"/>
  <c r="R545" i="2"/>
  <c r="R546" i="2"/>
  <c r="R547" i="2"/>
  <c r="R548" i="2"/>
  <c r="R549" i="2"/>
  <c r="R550" i="2"/>
  <c r="R551" i="2"/>
  <c r="R552" i="2"/>
  <c r="R553" i="2"/>
  <c r="R554" i="2"/>
  <c r="R555" i="2"/>
  <c r="R556" i="2"/>
  <c r="R557" i="2"/>
  <c r="R558" i="2"/>
  <c r="R559" i="2"/>
  <c r="R560" i="2"/>
  <c r="R561" i="2"/>
  <c r="R562" i="2"/>
  <c r="R563" i="2"/>
  <c r="R564" i="2"/>
  <c r="R565" i="2"/>
  <c r="R566" i="2"/>
  <c r="R567" i="2"/>
  <c r="R568" i="2"/>
  <c r="R569" i="2"/>
  <c r="R570" i="2"/>
  <c r="R571" i="2"/>
  <c r="R572" i="2"/>
  <c r="R573" i="2"/>
  <c r="R574" i="2"/>
  <c r="R575" i="2"/>
  <c r="R576" i="2"/>
  <c r="R577" i="2"/>
  <c r="R578" i="2"/>
  <c r="R579" i="2"/>
  <c r="R580" i="2"/>
  <c r="R581" i="2"/>
  <c r="R582" i="2"/>
  <c r="R583" i="2"/>
  <c r="R584" i="2"/>
  <c r="R585" i="2"/>
  <c r="R586" i="2"/>
  <c r="R587" i="2"/>
  <c r="R588" i="2"/>
  <c r="R589" i="2"/>
  <c r="R590" i="2"/>
  <c r="R591" i="2"/>
  <c r="R592" i="2"/>
  <c r="R593" i="2"/>
  <c r="R594" i="2"/>
  <c r="R595" i="2"/>
  <c r="R596" i="2"/>
  <c r="R597" i="2"/>
  <c r="R598" i="2"/>
  <c r="R599" i="2"/>
  <c r="R600" i="2"/>
  <c r="R601" i="2"/>
  <c r="R602" i="2"/>
  <c r="R603" i="2"/>
  <c r="R604" i="2"/>
  <c r="R605" i="2"/>
  <c r="R606" i="2"/>
  <c r="R607" i="2"/>
  <c r="R608" i="2"/>
  <c r="R609" i="2"/>
  <c r="R610" i="2"/>
  <c r="R611" i="2"/>
  <c r="R612" i="2"/>
  <c r="R613" i="2"/>
  <c r="R614" i="2"/>
  <c r="R615" i="2"/>
  <c r="R616" i="2"/>
  <c r="R617" i="2"/>
  <c r="R618" i="2"/>
  <c r="R619" i="2"/>
  <c r="R620" i="2"/>
  <c r="R621" i="2"/>
  <c r="R622" i="2"/>
  <c r="R623" i="2"/>
  <c r="R624" i="2"/>
  <c r="R625" i="2"/>
  <c r="R626" i="2"/>
  <c r="R627" i="2"/>
  <c r="R628" i="2"/>
  <c r="R629" i="2"/>
  <c r="R630" i="2"/>
  <c r="R631" i="2"/>
  <c r="R632" i="2"/>
  <c r="R633" i="2"/>
  <c r="R634" i="2"/>
  <c r="R635" i="2"/>
  <c r="R636" i="2"/>
  <c r="R637" i="2"/>
  <c r="R638" i="2"/>
  <c r="R639" i="2"/>
  <c r="R640" i="2"/>
  <c r="R641" i="2"/>
  <c r="R642" i="2"/>
  <c r="R643" i="2"/>
  <c r="R644" i="2"/>
  <c r="R645" i="2"/>
  <c r="R646" i="2"/>
  <c r="R647" i="2"/>
  <c r="R648" i="2"/>
  <c r="R649" i="2"/>
  <c r="R650" i="2"/>
  <c r="R651" i="2"/>
  <c r="R652" i="2"/>
  <c r="R653" i="2"/>
  <c r="R654" i="2"/>
  <c r="R655" i="2"/>
  <c r="R656" i="2"/>
  <c r="R657" i="2"/>
  <c r="R658" i="2"/>
  <c r="R659" i="2"/>
  <c r="R660" i="2"/>
  <c r="R661" i="2"/>
  <c r="R662" i="2"/>
  <c r="R663" i="2"/>
  <c r="R664" i="2"/>
  <c r="R665" i="2"/>
  <c r="R666" i="2"/>
  <c r="R667" i="2"/>
  <c r="R668" i="2"/>
  <c r="R669" i="2"/>
  <c r="R670" i="2"/>
  <c r="R671" i="2"/>
  <c r="R672" i="2"/>
  <c r="R673" i="2"/>
  <c r="R674" i="2"/>
  <c r="R675" i="2"/>
  <c r="R676" i="2"/>
  <c r="R677" i="2"/>
  <c r="R678" i="2"/>
  <c r="R679" i="2"/>
  <c r="R680" i="2"/>
  <c r="R681" i="2"/>
  <c r="R682" i="2"/>
  <c r="R683" i="2"/>
  <c r="R684" i="2"/>
  <c r="R685" i="2"/>
  <c r="R686" i="2"/>
  <c r="R687" i="2"/>
  <c r="R688" i="2"/>
  <c r="R689" i="2"/>
  <c r="R690" i="2"/>
  <c r="R691" i="2"/>
  <c r="R692" i="2"/>
  <c r="R693" i="2"/>
  <c r="R694" i="2"/>
  <c r="R695" i="2"/>
  <c r="R696" i="2"/>
  <c r="R697" i="2"/>
  <c r="R698" i="2"/>
  <c r="R699" i="2"/>
  <c r="R700" i="2"/>
  <c r="R701" i="2"/>
  <c r="R702" i="2"/>
  <c r="R703" i="2"/>
  <c r="R704" i="2"/>
  <c r="R705" i="2"/>
  <c r="R706" i="2"/>
  <c r="R707" i="2"/>
  <c r="R708" i="2"/>
  <c r="R709" i="2"/>
  <c r="R710" i="2"/>
  <c r="R711" i="2"/>
  <c r="R712" i="2"/>
  <c r="R713" i="2"/>
  <c r="R714" i="2"/>
  <c r="R715" i="2"/>
  <c r="R716" i="2"/>
  <c r="R717" i="2"/>
  <c r="R718" i="2"/>
  <c r="R719" i="2"/>
  <c r="R720" i="2"/>
  <c r="R721" i="2"/>
  <c r="R722" i="2"/>
  <c r="R723" i="2"/>
  <c r="R724" i="2"/>
  <c r="R725" i="2"/>
  <c r="R726" i="2"/>
  <c r="R727" i="2"/>
  <c r="R728" i="2"/>
  <c r="R729" i="2"/>
  <c r="R730" i="2"/>
  <c r="R731" i="2"/>
  <c r="R732" i="2"/>
  <c r="R733" i="2"/>
  <c r="R734" i="2"/>
  <c r="R735" i="2"/>
  <c r="R736" i="2"/>
  <c r="R737" i="2"/>
  <c r="R738" i="2"/>
  <c r="R739" i="2"/>
  <c r="R740" i="2"/>
  <c r="R741" i="2"/>
  <c r="R742" i="2"/>
  <c r="R743" i="2"/>
  <c r="R744" i="2"/>
  <c r="R745" i="2"/>
  <c r="R746" i="2"/>
  <c r="R747" i="2"/>
  <c r="R748" i="2"/>
  <c r="R749" i="2"/>
  <c r="R750" i="2"/>
  <c r="R751" i="2"/>
  <c r="R752" i="2"/>
  <c r="R753" i="2"/>
  <c r="R754" i="2"/>
  <c r="R755" i="2"/>
  <c r="R756" i="2"/>
  <c r="R757" i="2"/>
  <c r="R758" i="2"/>
  <c r="R759" i="2"/>
  <c r="R760" i="2"/>
  <c r="R761" i="2"/>
  <c r="R762" i="2"/>
  <c r="R763" i="2"/>
  <c r="R764" i="2"/>
  <c r="R765" i="2"/>
  <c r="R766" i="2"/>
  <c r="R767" i="2"/>
  <c r="R768" i="2"/>
  <c r="R769" i="2"/>
  <c r="R770" i="2"/>
  <c r="R771" i="2"/>
  <c r="R772" i="2"/>
  <c r="R773" i="2"/>
  <c r="R774" i="2"/>
  <c r="R775" i="2"/>
  <c r="R776" i="2"/>
  <c r="R777" i="2"/>
  <c r="R778" i="2"/>
  <c r="R779" i="2"/>
  <c r="R780" i="2"/>
  <c r="R781" i="2"/>
  <c r="R782" i="2"/>
  <c r="R783" i="2"/>
  <c r="R784" i="2"/>
  <c r="R785" i="2"/>
  <c r="R786" i="2"/>
  <c r="R787" i="2"/>
  <c r="R788" i="2"/>
  <c r="R789" i="2"/>
  <c r="R790" i="2"/>
  <c r="R791" i="2"/>
  <c r="R792" i="2"/>
  <c r="R793" i="2"/>
  <c r="R794" i="2"/>
  <c r="R795" i="2"/>
  <c r="R796" i="2"/>
  <c r="R797" i="2"/>
  <c r="R798" i="2"/>
  <c r="R799" i="2"/>
  <c r="R800" i="2"/>
  <c r="R3" i="2"/>
  <c r="R4" i="2"/>
  <c r="R5" i="2"/>
  <c r="R6" i="2"/>
  <c r="R7" i="2"/>
  <c r="R8" i="2"/>
  <c r="R9" i="2"/>
  <c r="R10" i="2"/>
  <c r="R2" i="2"/>
  <c r="L2" i="2"/>
  <c r="O2" i="2"/>
  <c r="B17" i="10"/>
  <c r="E3" i="3"/>
  <c r="E5" i="5"/>
  <c r="E16" i="5"/>
  <c r="H5" i="14"/>
  <c r="H4" i="14"/>
  <c r="H3" i="14"/>
  <c r="H2" i="14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N215" i="2"/>
  <c r="N216" i="2"/>
  <c r="N217" i="2"/>
  <c r="N218" i="2"/>
  <c r="N219" i="2"/>
  <c r="N220" i="2"/>
  <c r="N221" i="2"/>
  <c r="N222" i="2"/>
  <c r="N223" i="2"/>
  <c r="N224" i="2"/>
  <c r="N225" i="2"/>
  <c r="N226" i="2"/>
  <c r="N227" i="2"/>
  <c r="N228" i="2"/>
  <c r="N229" i="2"/>
  <c r="N230" i="2"/>
  <c r="N231" i="2"/>
  <c r="N232" i="2"/>
  <c r="N233" i="2"/>
  <c r="N234" i="2"/>
  <c r="N235" i="2"/>
  <c r="N236" i="2"/>
  <c r="N237" i="2"/>
  <c r="N238" i="2"/>
  <c r="N239" i="2"/>
  <c r="N240" i="2"/>
  <c r="N241" i="2"/>
  <c r="N242" i="2"/>
  <c r="N243" i="2"/>
  <c r="N244" i="2"/>
  <c r="N245" i="2"/>
  <c r="N246" i="2"/>
  <c r="N247" i="2"/>
  <c r="N248" i="2"/>
  <c r="N249" i="2"/>
  <c r="N250" i="2"/>
  <c r="N251" i="2"/>
  <c r="N252" i="2"/>
  <c r="N253" i="2"/>
  <c r="N254" i="2"/>
  <c r="N255" i="2"/>
  <c r="N256" i="2"/>
  <c r="N257" i="2"/>
  <c r="N258" i="2"/>
  <c r="N259" i="2"/>
  <c r="N260" i="2"/>
  <c r="N261" i="2"/>
  <c r="N262" i="2"/>
  <c r="N263" i="2"/>
  <c r="N264" i="2"/>
  <c r="N265" i="2"/>
  <c r="N266" i="2"/>
  <c r="N267" i="2"/>
  <c r="N268" i="2"/>
  <c r="N269" i="2"/>
  <c r="N270" i="2"/>
  <c r="N271" i="2"/>
  <c r="N272" i="2"/>
  <c r="N273" i="2"/>
  <c r="N274" i="2"/>
  <c r="N275" i="2"/>
  <c r="N276" i="2"/>
  <c r="N277" i="2"/>
  <c r="N278" i="2"/>
  <c r="N279" i="2"/>
  <c r="N280" i="2"/>
  <c r="N281" i="2"/>
  <c r="N282" i="2"/>
  <c r="N283" i="2"/>
  <c r="N284" i="2"/>
  <c r="N285" i="2"/>
  <c r="N286" i="2"/>
  <c r="N287" i="2"/>
  <c r="N288" i="2"/>
  <c r="N289" i="2"/>
  <c r="N290" i="2"/>
  <c r="N291" i="2"/>
  <c r="N292" i="2"/>
  <c r="N293" i="2"/>
  <c r="N294" i="2"/>
  <c r="N295" i="2"/>
  <c r="N296" i="2"/>
  <c r="N297" i="2"/>
  <c r="N298" i="2"/>
  <c r="N299" i="2"/>
  <c r="N300" i="2"/>
  <c r="N301" i="2"/>
  <c r="N302" i="2"/>
  <c r="N303" i="2"/>
  <c r="N304" i="2"/>
  <c r="N305" i="2"/>
  <c r="N306" i="2"/>
  <c r="N307" i="2"/>
  <c r="N308" i="2"/>
  <c r="N309" i="2"/>
  <c r="N310" i="2"/>
  <c r="N311" i="2"/>
  <c r="N312" i="2"/>
  <c r="N313" i="2"/>
  <c r="N314" i="2"/>
  <c r="N315" i="2"/>
  <c r="N316" i="2"/>
  <c r="N317" i="2"/>
  <c r="N318" i="2"/>
  <c r="N319" i="2"/>
  <c r="N320" i="2"/>
  <c r="N321" i="2"/>
  <c r="N322" i="2"/>
  <c r="N323" i="2"/>
  <c r="N324" i="2"/>
  <c r="N325" i="2"/>
  <c r="N326" i="2"/>
  <c r="N327" i="2"/>
  <c r="N328" i="2"/>
  <c r="N329" i="2"/>
  <c r="N330" i="2"/>
  <c r="N331" i="2"/>
  <c r="N332" i="2"/>
  <c r="N333" i="2"/>
  <c r="N334" i="2"/>
  <c r="N335" i="2"/>
  <c r="N336" i="2"/>
  <c r="N337" i="2"/>
  <c r="N338" i="2"/>
  <c r="N339" i="2"/>
  <c r="N340" i="2"/>
  <c r="N341" i="2"/>
  <c r="N342" i="2"/>
  <c r="N343" i="2"/>
  <c r="N344" i="2"/>
  <c r="N345" i="2"/>
  <c r="N346" i="2"/>
  <c r="N347" i="2"/>
  <c r="N348" i="2"/>
  <c r="N349" i="2"/>
  <c r="N350" i="2"/>
  <c r="N351" i="2"/>
  <c r="N352" i="2"/>
  <c r="N353" i="2"/>
  <c r="N354" i="2"/>
  <c r="N355" i="2"/>
  <c r="N356" i="2"/>
  <c r="N357" i="2"/>
  <c r="N358" i="2"/>
  <c r="N359" i="2"/>
  <c r="N360" i="2"/>
  <c r="N361" i="2"/>
  <c r="N362" i="2"/>
  <c r="N363" i="2"/>
  <c r="N364" i="2"/>
  <c r="N365" i="2"/>
  <c r="N366" i="2"/>
  <c r="N367" i="2"/>
  <c r="N368" i="2"/>
  <c r="N369" i="2"/>
  <c r="N370" i="2"/>
  <c r="N371" i="2"/>
  <c r="N372" i="2"/>
  <c r="N373" i="2"/>
  <c r="N374" i="2"/>
  <c r="N375" i="2"/>
  <c r="N376" i="2"/>
  <c r="N377" i="2"/>
  <c r="N378" i="2"/>
  <c r="N379" i="2"/>
  <c r="N380" i="2"/>
  <c r="N381" i="2"/>
  <c r="N382" i="2"/>
  <c r="N383" i="2"/>
  <c r="N384" i="2"/>
  <c r="N385" i="2"/>
  <c r="N386" i="2"/>
  <c r="N387" i="2"/>
  <c r="N388" i="2"/>
  <c r="N389" i="2"/>
  <c r="N390" i="2"/>
  <c r="N391" i="2"/>
  <c r="N392" i="2"/>
  <c r="N393" i="2"/>
  <c r="N394" i="2"/>
  <c r="N395" i="2"/>
  <c r="N396" i="2"/>
  <c r="N397" i="2"/>
  <c r="N398" i="2"/>
  <c r="N399" i="2"/>
  <c r="N400" i="2"/>
  <c r="N401" i="2"/>
  <c r="N402" i="2"/>
  <c r="N403" i="2"/>
  <c r="N404" i="2"/>
  <c r="N405" i="2"/>
  <c r="N406" i="2"/>
  <c r="N407" i="2"/>
  <c r="N408" i="2"/>
  <c r="N409" i="2"/>
  <c r="N410" i="2"/>
  <c r="N411" i="2"/>
  <c r="N412" i="2"/>
  <c r="N413" i="2"/>
  <c r="N414" i="2"/>
  <c r="N415" i="2"/>
  <c r="N416" i="2"/>
  <c r="N417" i="2"/>
  <c r="N418" i="2"/>
  <c r="N419" i="2"/>
  <c r="N420" i="2"/>
  <c r="N421" i="2"/>
  <c r="N422" i="2"/>
  <c r="N423" i="2"/>
  <c r="N424" i="2"/>
  <c r="N425" i="2"/>
  <c r="N426" i="2"/>
  <c r="N427" i="2"/>
  <c r="N428" i="2"/>
  <c r="N429" i="2"/>
  <c r="N430" i="2"/>
  <c r="N431" i="2"/>
  <c r="N432" i="2"/>
  <c r="N433" i="2"/>
  <c r="N434" i="2"/>
  <c r="N435" i="2"/>
  <c r="N436" i="2"/>
  <c r="N437" i="2"/>
  <c r="N438" i="2"/>
  <c r="N439" i="2"/>
  <c r="N440" i="2"/>
  <c r="N441" i="2"/>
  <c r="N442" i="2"/>
  <c r="N443" i="2"/>
  <c r="N444" i="2"/>
  <c r="N445" i="2"/>
  <c r="N446" i="2"/>
  <c r="N447" i="2"/>
  <c r="N448" i="2"/>
  <c r="N449" i="2"/>
  <c r="N450" i="2"/>
  <c r="N451" i="2"/>
  <c r="N452" i="2"/>
  <c r="N453" i="2"/>
  <c r="N454" i="2"/>
  <c r="N455" i="2"/>
  <c r="N456" i="2"/>
  <c r="N457" i="2"/>
  <c r="N458" i="2"/>
  <c r="N459" i="2"/>
  <c r="N460" i="2"/>
  <c r="N461" i="2"/>
  <c r="N462" i="2"/>
  <c r="N463" i="2"/>
  <c r="N464" i="2"/>
  <c r="N465" i="2"/>
  <c r="N466" i="2"/>
  <c r="N467" i="2"/>
  <c r="N468" i="2"/>
  <c r="N469" i="2"/>
  <c r="N470" i="2"/>
  <c r="N471" i="2"/>
  <c r="N472" i="2"/>
  <c r="N473" i="2"/>
  <c r="N474" i="2"/>
  <c r="N475" i="2"/>
  <c r="N476" i="2"/>
  <c r="N477" i="2"/>
  <c r="N478" i="2"/>
  <c r="N479" i="2"/>
  <c r="N480" i="2"/>
  <c r="N481" i="2"/>
  <c r="N482" i="2"/>
  <c r="N483" i="2"/>
  <c r="N484" i="2"/>
  <c r="N485" i="2"/>
  <c r="N486" i="2"/>
  <c r="N487" i="2"/>
  <c r="N488" i="2"/>
  <c r="N489" i="2"/>
  <c r="N490" i="2"/>
  <c r="N491" i="2"/>
  <c r="N492" i="2"/>
  <c r="N493" i="2"/>
  <c r="N494" i="2"/>
  <c r="N495" i="2"/>
  <c r="N496" i="2"/>
  <c r="N497" i="2"/>
  <c r="N498" i="2"/>
  <c r="N499" i="2"/>
  <c r="N500" i="2"/>
  <c r="N501" i="2"/>
  <c r="N502" i="2"/>
  <c r="N503" i="2"/>
  <c r="N504" i="2"/>
  <c r="N505" i="2"/>
  <c r="N506" i="2"/>
  <c r="N507" i="2"/>
  <c r="N508" i="2"/>
  <c r="N509" i="2"/>
  <c r="N510" i="2"/>
  <c r="N511" i="2"/>
  <c r="N512" i="2"/>
  <c r="N513" i="2"/>
  <c r="N514" i="2"/>
  <c r="N515" i="2"/>
  <c r="N516" i="2"/>
  <c r="N517" i="2"/>
  <c r="N518" i="2"/>
  <c r="N519" i="2"/>
  <c r="N520" i="2"/>
  <c r="N521" i="2"/>
  <c r="N522" i="2"/>
  <c r="N523" i="2"/>
  <c r="N524" i="2"/>
  <c r="N525" i="2"/>
  <c r="N526" i="2"/>
  <c r="N527" i="2"/>
  <c r="N528" i="2"/>
  <c r="N529" i="2"/>
  <c r="N530" i="2"/>
  <c r="N531" i="2"/>
  <c r="N532" i="2"/>
  <c r="N533" i="2"/>
  <c r="N534" i="2"/>
  <c r="N535" i="2"/>
  <c r="N536" i="2"/>
  <c r="N537" i="2"/>
  <c r="N538" i="2"/>
  <c r="N539" i="2"/>
  <c r="N540" i="2"/>
  <c r="N541" i="2"/>
  <c r="N542" i="2"/>
  <c r="N543" i="2"/>
  <c r="N544" i="2"/>
  <c r="N545" i="2"/>
  <c r="N546" i="2"/>
  <c r="N547" i="2"/>
  <c r="N548" i="2"/>
  <c r="N549" i="2"/>
  <c r="N550" i="2"/>
  <c r="N551" i="2"/>
  <c r="N552" i="2"/>
  <c r="N553" i="2"/>
  <c r="N554" i="2"/>
  <c r="N555" i="2"/>
  <c r="N556" i="2"/>
  <c r="N557" i="2"/>
  <c r="N558" i="2"/>
  <c r="N559" i="2"/>
  <c r="N560" i="2"/>
  <c r="N561" i="2"/>
  <c r="N562" i="2"/>
  <c r="N563" i="2"/>
  <c r="N564" i="2"/>
  <c r="N565" i="2"/>
  <c r="N566" i="2"/>
  <c r="N567" i="2"/>
  <c r="N568" i="2"/>
  <c r="N569" i="2"/>
  <c r="N570" i="2"/>
  <c r="N571" i="2"/>
  <c r="N572" i="2"/>
  <c r="N573" i="2"/>
  <c r="N574" i="2"/>
  <c r="N575" i="2"/>
  <c r="N576" i="2"/>
  <c r="N577" i="2"/>
  <c r="N578" i="2"/>
  <c r="N579" i="2"/>
  <c r="N580" i="2"/>
  <c r="N581" i="2"/>
  <c r="N582" i="2"/>
  <c r="N583" i="2"/>
  <c r="N584" i="2"/>
  <c r="N585" i="2"/>
  <c r="N586" i="2"/>
  <c r="N587" i="2"/>
  <c r="N588" i="2"/>
  <c r="N589" i="2"/>
  <c r="N590" i="2"/>
  <c r="N591" i="2"/>
  <c r="N592" i="2"/>
  <c r="N593" i="2"/>
  <c r="N594" i="2"/>
  <c r="N595" i="2"/>
  <c r="N596" i="2"/>
  <c r="N597" i="2"/>
  <c r="N598" i="2"/>
  <c r="N599" i="2"/>
  <c r="N600" i="2"/>
  <c r="N601" i="2"/>
  <c r="N602" i="2"/>
  <c r="N603" i="2"/>
  <c r="N604" i="2"/>
  <c r="N605" i="2"/>
  <c r="N606" i="2"/>
  <c r="N607" i="2"/>
  <c r="N608" i="2"/>
  <c r="N609" i="2"/>
  <c r="N610" i="2"/>
  <c r="N611" i="2"/>
  <c r="N612" i="2"/>
  <c r="N613" i="2"/>
  <c r="N614" i="2"/>
  <c r="N615" i="2"/>
  <c r="N616" i="2"/>
  <c r="N617" i="2"/>
  <c r="N618" i="2"/>
  <c r="N619" i="2"/>
  <c r="N620" i="2"/>
  <c r="N621" i="2"/>
  <c r="N622" i="2"/>
  <c r="N623" i="2"/>
  <c r="N624" i="2"/>
  <c r="N625" i="2"/>
  <c r="N626" i="2"/>
  <c r="N627" i="2"/>
  <c r="N628" i="2"/>
  <c r="N629" i="2"/>
  <c r="N630" i="2"/>
  <c r="N631" i="2"/>
  <c r="N632" i="2"/>
  <c r="N633" i="2"/>
  <c r="N634" i="2"/>
  <c r="N635" i="2"/>
  <c r="N636" i="2"/>
  <c r="N637" i="2"/>
  <c r="N638" i="2"/>
  <c r="N639" i="2"/>
  <c r="N640" i="2"/>
  <c r="N641" i="2"/>
  <c r="N642" i="2"/>
  <c r="N643" i="2"/>
  <c r="N644" i="2"/>
  <c r="N645" i="2"/>
  <c r="N646" i="2"/>
  <c r="N647" i="2"/>
  <c r="N648" i="2"/>
  <c r="N649" i="2"/>
  <c r="N650" i="2"/>
  <c r="N651" i="2"/>
  <c r="N652" i="2"/>
  <c r="N653" i="2"/>
  <c r="N654" i="2"/>
  <c r="N655" i="2"/>
  <c r="N656" i="2"/>
  <c r="N657" i="2"/>
  <c r="N658" i="2"/>
  <c r="N659" i="2"/>
  <c r="N660" i="2"/>
  <c r="N661" i="2"/>
  <c r="N662" i="2"/>
  <c r="N663" i="2"/>
  <c r="N664" i="2"/>
  <c r="N665" i="2"/>
  <c r="N666" i="2"/>
  <c r="N667" i="2"/>
  <c r="N668" i="2"/>
  <c r="N669" i="2"/>
  <c r="N670" i="2"/>
  <c r="N671" i="2"/>
  <c r="N672" i="2"/>
  <c r="N673" i="2"/>
  <c r="N674" i="2"/>
  <c r="N675" i="2"/>
  <c r="N676" i="2"/>
  <c r="N677" i="2"/>
  <c r="N678" i="2"/>
  <c r="N679" i="2"/>
  <c r="N680" i="2"/>
  <c r="N681" i="2"/>
  <c r="N682" i="2"/>
  <c r="N683" i="2"/>
  <c r="N684" i="2"/>
  <c r="N685" i="2"/>
  <c r="N686" i="2"/>
  <c r="N687" i="2"/>
  <c r="N688" i="2"/>
  <c r="N689" i="2"/>
  <c r="N690" i="2"/>
  <c r="N691" i="2"/>
  <c r="N692" i="2"/>
  <c r="N693" i="2"/>
  <c r="N694" i="2"/>
  <c r="N695" i="2"/>
  <c r="N696" i="2"/>
  <c r="N697" i="2"/>
  <c r="N698" i="2"/>
  <c r="N699" i="2"/>
  <c r="N700" i="2"/>
  <c r="N701" i="2"/>
  <c r="N702" i="2"/>
  <c r="N703" i="2"/>
  <c r="N704" i="2"/>
  <c r="N705" i="2"/>
  <c r="N706" i="2"/>
  <c r="N707" i="2"/>
  <c r="N708" i="2"/>
  <c r="N709" i="2"/>
  <c r="N710" i="2"/>
  <c r="N711" i="2"/>
  <c r="N712" i="2"/>
  <c r="N713" i="2"/>
  <c r="N714" i="2"/>
  <c r="N715" i="2"/>
  <c r="N716" i="2"/>
  <c r="N717" i="2"/>
  <c r="N718" i="2"/>
  <c r="N719" i="2"/>
  <c r="N720" i="2"/>
  <c r="N721" i="2"/>
  <c r="N722" i="2"/>
  <c r="N723" i="2"/>
  <c r="N724" i="2"/>
  <c r="N725" i="2"/>
  <c r="N726" i="2"/>
  <c r="N727" i="2"/>
  <c r="N728" i="2"/>
  <c r="N729" i="2"/>
  <c r="N730" i="2"/>
  <c r="N731" i="2"/>
  <c r="N732" i="2"/>
  <c r="N733" i="2"/>
  <c r="N734" i="2"/>
  <c r="N735" i="2"/>
  <c r="N736" i="2"/>
  <c r="N737" i="2"/>
  <c r="N738" i="2"/>
  <c r="N739" i="2"/>
  <c r="N740" i="2"/>
  <c r="N741" i="2"/>
  <c r="N742" i="2"/>
  <c r="N743" i="2"/>
  <c r="N744" i="2"/>
  <c r="N745" i="2"/>
  <c r="N746" i="2"/>
  <c r="N747" i="2"/>
  <c r="N748" i="2"/>
  <c r="N749" i="2"/>
  <c r="N750" i="2"/>
  <c r="N751" i="2"/>
  <c r="N752" i="2"/>
  <c r="N753" i="2"/>
  <c r="N754" i="2"/>
  <c r="N755" i="2"/>
  <c r="N756" i="2"/>
  <c r="N757" i="2"/>
  <c r="N758" i="2"/>
  <c r="N759" i="2"/>
  <c r="N760" i="2"/>
  <c r="N761" i="2"/>
  <c r="N762" i="2"/>
  <c r="N763" i="2"/>
  <c r="N764" i="2"/>
  <c r="N765" i="2"/>
  <c r="N766" i="2"/>
  <c r="N767" i="2"/>
  <c r="N768" i="2"/>
  <c r="N769" i="2"/>
  <c r="N770" i="2"/>
  <c r="N771" i="2"/>
  <c r="N772" i="2"/>
  <c r="N773" i="2"/>
  <c r="N774" i="2"/>
  <c r="N775" i="2"/>
  <c r="N776" i="2"/>
  <c r="N777" i="2"/>
  <c r="N778" i="2"/>
  <c r="N779" i="2"/>
  <c r="N780" i="2"/>
  <c r="N781" i="2"/>
  <c r="N782" i="2"/>
  <c r="N783" i="2"/>
  <c r="N784" i="2"/>
  <c r="N785" i="2"/>
  <c r="N786" i="2"/>
  <c r="N787" i="2"/>
  <c r="N788" i="2"/>
  <c r="N789" i="2"/>
  <c r="N790" i="2"/>
  <c r="N791" i="2"/>
  <c r="N792" i="2"/>
  <c r="N793" i="2"/>
  <c r="N794" i="2"/>
  <c r="N795" i="2"/>
  <c r="N796" i="2"/>
  <c r="N797" i="2"/>
  <c r="N798" i="2"/>
  <c r="N799" i="2"/>
  <c r="N800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M372" i="2"/>
  <c r="M373" i="2"/>
  <c r="M374" i="2"/>
  <c r="M375" i="2"/>
  <c r="M376" i="2"/>
  <c r="M377" i="2"/>
  <c r="M378" i="2"/>
  <c r="M379" i="2"/>
  <c r="M380" i="2"/>
  <c r="M381" i="2"/>
  <c r="M382" i="2"/>
  <c r="M383" i="2"/>
  <c r="M384" i="2"/>
  <c r="M385" i="2"/>
  <c r="M386" i="2"/>
  <c r="M387" i="2"/>
  <c r="M388" i="2"/>
  <c r="M389" i="2"/>
  <c r="M390" i="2"/>
  <c r="M391" i="2"/>
  <c r="M392" i="2"/>
  <c r="M393" i="2"/>
  <c r="M394" i="2"/>
  <c r="M395" i="2"/>
  <c r="M396" i="2"/>
  <c r="M397" i="2"/>
  <c r="M398" i="2"/>
  <c r="M399" i="2"/>
  <c r="M400" i="2"/>
  <c r="M401" i="2"/>
  <c r="M402" i="2"/>
  <c r="M403" i="2"/>
  <c r="M404" i="2"/>
  <c r="M405" i="2"/>
  <c r="M406" i="2"/>
  <c r="M407" i="2"/>
  <c r="M408" i="2"/>
  <c r="M409" i="2"/>
  <c r="M410" i="2"/>
  <c r="M411" i="2"/>
  <c r="M412" i="2"/>
  <c r="M413" i="2"/>
  <c r="M414" i="2"/>
  <c r="M415" i="2"/>
  <c r="M416" i="2"/>
  <c r="M417" i="2"/>
  <c r="M418" i="2"/>
  <c r="M419" i="2"/>
  <c r="M420" i="2"/>
  <c r="M421" i="2"/>
  <c r="M422" i="2"/>
  <c r="M423" i="2"/>
  <c r="M424" i="2"/>
  <c r="M425" i="2"/>
  <c r="M426" i="2"/>
  <c r="M427" i="2"/>
  <c r="M428" i="2"/>
  <c r="M429" i="2"/>
  <c r="M430" i="2"/>
  <c r="M431" i="2"/>
  <c r="M432" i="2"/>
  <c r="M433" i="2"/>
  <c r="M434" i="2"/>
  <c r="M435" i="2"/>
  <c r="M436" i="2"/>
  <c r="M437" i="2"/>
  <c r="M438" i="2"/>
  <c r="M439" i="2"/>
  <c r="M440" i="2"/>
  <c r="M441" i="2"/>
  <c r="M442" i="2"/>
  <c r="M443" i="2"/>
  <c r="M444" i="2"/>
  <c r="M445" i="2"/>
  <c r="M446" i="2"/>
  <c r="M447" i="2"/>
  <c r="M448" i="2"/>
  <c r="M449" i="2"/>
  <c r="M450" i="2"/>
  <c r="M451" i="2"/>
  <c r="M452" i="2"/>
  <c r="M453" i="2"/>
  <c r="M454" i="2"/>
  <c r="M455" i="2"/>
  <c r="M456" i="2"/>
  <c r="M457" i="2"/>
  <c r="M458" i="2"/>
  <c r="M459" i="2"/>
  <c r="M460" i="2"/>
  <c r="M461" i="2"/>
  <c r="M462" i="2"/>
  <c r="M463" i="2"/>
  <c r="M464" i="2"/>
  <c r="M465" i="2"/>
  <c r="M466" i="2"/>
  <c r="M467" i="2"/>
  <c r="M468" i="2"/>
  <c r="M469" i="2"/>
  <c r="M470" i="2"/>
  <c r="M471" i="2"/>
  <c r="M472" i="2"/>
  <c r="M473" i="2"/>
  <c r="M474" i="2"/>
  <c r="M475" i="2"/>
  <c r="M476" i="2"/>
  <c r="M477" i="2"/>
  <c r="M478" i="2"/>
  <c r="M479" i="2"/>
  <c r="M480" i="2"/>
  <c r="M481" i="2"/>
  <c r="M482" i="2"/>
  <c r="M483" i="2"/>
  <c r="M484" i="2"/>
  <c r="M485" i="2"/>
  <c r="M486" i="2"/>
  <c r="M487" i="2"/>
  <c r="M488" i="2"/>
  <c r="M489" i="2"/>
  <c r="M490" i="2"/>
  <c r="M491" i="2"/>
  <c r="M492" i="2"/>
  <c r="M493" i="2"/>
  <c r="M494" i="2"/>
  <c r="M495" i="2"/>
  <c r="M496" i="2"/>
  <c r="M497" i="2"/>
  <c r="M498" i="2"/>
  <c r="M499" i="2"/>
  <c r="M500" i="2"/>
  <c r="M501" i="2"/>
  <c r="M502" i="2"/>
  <c r="M503" i="2"/>
  <c r="M504" i="2"/>
  <c r="M505" i="2"/>
  <c r="M506" i="2"/>
  <c r="M507" i="2"/>
  <c r="M508" i="2"/>
  <c r="M509" i="2"/>
  <c r="M510" i="2"/>
  <c r="M511" i="2"/>
  <c r="M512" i="2"/>
  <c r="M513" i="2"/>
  <c r="M514" i="2"/>
  <c r="M515" i="2"/>
  <c r="M516" i="2"/>
  <c r="M517" i="2"/>
  <c r="M518" i="2"/>
  <c r="M519" i="2"/>
  <c r="M520" i="2"/>
  <c r="M521" i="2"/>
  <c r="M522" i="2"/>
  <c r="M523" i="2"/>
  <c r="M524" i="2"/>
  <c r="M525" i="2"/>
  <c r="M526" i="2"/>
  <c r="M527" i="2"/>
  <c r="M528" i="2"/>
  <c r="M529" i="2"/>
  <c r="M530" i="2"/>
  <c r="M531" i="2"/>
  <c r="M532" i="2"/>
  <c r="M533" i="2"/>
  <c r="M534" i="2"/>
  <c r="M535" i="2"/>
  <c r="M536" i="2"/>
  <c r="M537" i="2"/>
  <c r="M538" i="2"/>
  <c r="M539" i="2"/>
  <c r="M540" i="2"/>
  <c r="M541" i="2"/>
  <c r="M542" i="2"/>
  <c r="M543" i="2"/>
  <c r="M544" i="2"/>
  <c r="M545" i="2"/>
  <c r="M546" i="2"/>
  <c r="M547" i="2"/>
  <c r="M548" i="2"/>
  <c r="M549" i="2"/>
  <c r="M550" i="2"/>
  <c r="M551" i="2"/>
  <c r="M552" i="2"/>
  <c r="M553" i="2"/>
  <c r="M554" i="2"/>
  <c r="M555" i="2"/>
  <c r="M556" i="2"/>
  <c r="M557" i="2"/>
  <c r="M558" i="2"/>
  <c r="M559" i="2"/>
  <c r="M560" i="2"/>
  <c r="M561" i="2"/>
  <c r="M562" i="2"/>
  <c r="M563" i="2"/>
  <c r="M564" i="2"/>
  <c r="M565" i="2"/>
  <c r="M566" i="2"/>
  <c r="M567" i="2"/>
  <c r="M568" i="2"/>
  <c r="M569" i="2"/>
  <c r="M570" i="2"/>
  <c r="M571" i="2"/>
  <c r="M572" i="2"/>
  <c r="M573" i="2"/>
  <c r="M574" i="2"/>
  <c r="M575" i="2"/>
  <c r="M576" i="2"/>
  <c r="M577" i="2"/>
  <c r="M578" i="2"/>
  <c r="M579" i="2"/>
  <c r="M580" i="2"/>
  <c r="M581" i="2"/>
  <c r="M582" i="2"/>
  <c r="M583" i="2"/>
  <c r="M584" i="2"/>
  <c r="M585" i="2"/>
  <c r="M586" i="2"/>
  <c r="M587" i="2"/>
  <c r="M588" i="2"/>
  <c r="M589" i="2"/>
  <c r="M590" i="2"/>
  <c r="M591" i="2"/>
  <c r="M592" i="2"/>
  <c r="M593" i="2"/>
  <c r="M594" i="2"/>
  <c r="M595" i="2"/>
  <c r="M596" i="2"/>
  <c r="M597" i="2"/>
  <c r="M598" i="2"/>
  <c r="M599" i="2"/>
  <c r="M600" i="2"/>
  <c r="M601" i="2"/>
  <c r="M602" i="2"/>
  <c r="M603" i="2"/>
  <c r="M604" i="2"/>
  <c r="M605" i="2"/>
  <c r="M606" i="2"/>
  <c r="M607" i="2"/>
  <c r="M608" i="2"/>
  <c r="M609" i="2"/>
  <c r="M610" i="2"/>
  <c r="M611" i="2"/>
  <c r="M612" i="2"/>
  <c r="M613" i="2"/>
  <c r="M614" i="2"/>
  <c r="M615" i="2"/>
  <c r="M616" i="2"/>
  <c r="M617" i="2"/>
  <c r="M618" i="2"/>
  <c r="M619" i="2"/>
  <c r="M620" i="2"/>
  <c r="M621" i="2"/>
  <c r="M622" i="2"/>
  <c r="M623" i="2"/>
  <c r="M624" i="2"/>
  <c r="M625" i="2"/>
  <c r="M626" i="2"/>
  <c r="M627" i="2"/>
  <c r="M628" i="2"/>
  <c r="M629" i="2"/>
  <c r="M630" i="2"/>
  <c r="M631" i="2"/>
  <c r="M632" i="2"/>
  <c r="M633" i="2"/>
  <c r="M634" i="2"/>
  <c r="M635" i="2"/>
  <c r="M636" i="2"/>
  <c r="M637" i="2"/>
  <c r="M638" i="2"/>
  <c r="M639" i="2"/>
  <c r="M640" i="2"/>
  <c r="M641" i="2"/>
  <c r="M642" i="2"/>
  <c r="M643" i="2"/>
  <c r="M644" i="2"/>
  <c r="M645" i="2"/>
  <c r="M646" i="2"/>
  <c r="M647" i="2"/>
  <c r="M648" i="2"/>
  <c r="M649" i="2"/>
  <c r="M650" i="2"/>
  <c r="M651" i="2"/>
  <c r="M652" i="2"/>
  <c r="M653" i="2"/>
  <c r="M654" i="2"/>
  <c r="M655" i="2"/>
  <c r="M656" i="2"/>
  <c r="M657" i="2"/>
  <c r="M658" i="2"/>
  <c r="M659" i="2"/>
  <c r="M660" i="2"/>
  <c r="M661" i="2"/>
  <c r="M662" i="2"/>
  <c r="M663" i="2"/>
  <c r="M664" i="2"/>
  <c r="M665" i="2"/>
  <c r="M666" i="2"/>
  <c r="M667" i="2"/>
  <c r="M668" i="2"/>
  <c r="M669" i="2"/>
  <c r="M670" i="2"/>
  <c r="M671" i="2"/>
  <c r="M672" i="2"/>
  <c r="M673" i="2"/>
  <c r="M674" i="2"/>
  <c r="M675" i="2"/>
  <c r="M676" i="2"/>
  <c r="M677" i="2"/>
  <c r="M678" i="2"/>
  <c r="M679" i="2"/>
  <c r="M680" i="2"/>
  <c r="M681" i="2"/>
  <c r="M682" i="2"/>
  <c r="M683" i="2"/>
  <c r="M684" i="2"/>
  <c r="M685" i="2"/>
  <c r="M686" i="2"/>
  <c r="M687" i="2"/>
  <c r="M688" i="2"/>
  <c r="M689" i="2"/>
  <c r="M690" i="2"/>
  <c r="M691" i="2"/>
  <c r="M692" i="2"/>
  <c r="M693" i="2"/>
  <c r="M694" i="2"/>
  <c r="M695" i="2"/>
  <c r="M696" i="2"/>
  <c r="M697" i="2"/>
  <c r="M698" i="2"/>
  <c r="M699" i="2"/>
  <c r="M700" i="2"/>
  <c r="M701" i="2"/>
  <c r="M702" i="2"/>
  <c r="M703" i="2"/>
  <c r="M704" i="2"/>
  <c r="M705" i="2"/>
  <c r="M706" i="2"/>
  <c r="M707" i="2"/>
  <c r="M708" i="2"/>
  <c r="M709" i="2"/>
  <c r="M710" i="2"/>
  <c r="M711" i="2"/>
  <c r="M712" i="2"/>
  <c r="M713" i="2"/>
  <c r="M714" i="2"/>
  <c r="M715" i="2"/>
  <c r="M716" i="2"/>
  <c r="M717" i="2"/>
  <c r="M718" i="2"/>
  <c r="M719" i="2"/>
  <c r="M720" i="2"/>
  <c r="M721" i="2"/>
  <c r="M722" i="2"/>
  <c r="M723" i="2"/>
  <c r="M724" i="2"/>
  <c r="M725" i="2"/>
  <c r="M726" i="2"/>
  <c r="M727" i="2"/>
  <c r="M728" i="2"/>
  <c r="M729" i="2"/>
  <c r="M730" i="2"/>
  <c r="M731" i="2"/>
  <c r="M732" i="2"/>
  <c r="M733" i="2"/>
  <c r="M734" i="2"/>
  <c r="M735" i="2"/>
  <c r="M736" i="2"/>
  <c r="M737" i="2"/>
  <c r="M738" i="2"/>
  <c r="M739" i="2"/>
  <c r="M740" i="2"/>
  <c r="M741" i="2"/>
  <c r="M742" i="2"/>
  <c r="M743" i="2"/>
  <c r="M744" i="2"/>
  <c r="M745" i="2"/>
  <c r="M746" i="2"/>
  <c r="M747" i="2"/>
  <c r="M748" i="2"/>
  <c r="M749" i="2"/>
  <c r="M750" i="2"/>
  <c r="M751" i="2"/>
  <c r="M752" i="2"/>
  <c r="M753" i="2"/>
  <c r="M754" i="2"/>
  <c r="M755" i="2"/>
  <c r="M756" i="2"/>
  <c r="M757" i="2"/>
  <c r="M758" i="2"/>
  <c r="M759" i="2"/>
  <c r="M760" i="2"/>
  <c r="M761" i="2"/>
  <c r="M762" i="2"/>
  <c r="M763" i="2"/>
  <c r="M764" i="2"/>
  <c r="M765" i="2"/>
  <c r="M766" i="2"/>
  <c r="M767" i="2"/>
  <c r="M768" i="2"/>
  <c r="M769" i="2"/>
  <c r="M770" i="2"/>
  <c r="M771" i="2"/>
  <c r="M772" i="2"/>
  <c r="M773" i="2"/>
  <c r="M774" i="2"/>
  <c r="M775" i="2"/>
  <c r="M776" i="2"/>
  <c r="M777" i="2"/>
  <c r="M778" i="2"/>
  <c r="M779" i="2"/>
  <c r="M780" i="2"/>
  <c r="M781" i="2"/>
  <c r="M782" i="2"/>
  <c r="M783" i="2"/>
  <c r="M784" i="2"/>
  <c r="M785" i="2"/>
  <c r="M786" i="2"/>
  <c r="M787" i="2"/>
  <c r="M788" i="2"/>
  <c r="M789" i="2"/>
  <c r="M790" i="2"/>
  <c r="M791" i="2"/>
  <c r="M792" i="2"/>
  <c r="M793" i="2"/>
  <c r="M794" i="2"/>
  <c r="M795" i="2"/>
  <c r="M796" i="2"/>
  <c r="M797" i="2"/>
  <c r="M798" i="2"/>
  <c r="M799" i="2"/>
  <c r="M800" i="2"/>
  <c r="M2" i="2"/>
  <c r="N2" i="2" s="1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O182" i="2"/>
  <c r="O183" i="2"/>
  <c r="O184" i="2"/>
  <c r="O185" i="2"/>
  <c r="O186" i="2"/>
  <c r="O187" i="2"/>
  <c r="O188" i="2"/>
  <c r="O189" i="2"/>
  <c r="O190" i="2"/>
  <c r="O191" i="2"/>
  <c r="O192" i="2"/>
  <c r="O193" i="2"/>
  <c r="O194" i="2"/>
  <c r="O195" i="2"/>
  <c r="O196" i="2"/>
  <c r="O197" i="2"/>
  <c r="O198" i="2"/>
  <c r="O199" i="2"/>
  <c r="O200" i="2"/>
  <c r="O201" i="2"/>
  <c r="O202" i="2"/>
  <c r="O203" i="2"/>
  <c r="O204" i="2"/>
  <c r="O205" i="2"/>
  <c r="O206" i="2"/>
  <c r="O207" i="2"/>
  <c r="O208" i="2"/>
  <c r="O209" i="2"/>
  <c r="O210" i="2"/>
  <c r="O211" i="2"/>
  <c r="O212" i="2"/>
  <c r="O213" i="2"/>
  <c r="O214" i="2"/>
  <c r="O215" i="2"/>
  <c r="O216" i="2"/>
  <c r="O217" i="2"/>
  <c r="O218" i="2"/>
  <c r="O219" i="2"/>
  <c r="O220" i="2"/>
  <c r="O221" i="2"/>
  <c r="O222" i="2"/>
  <c r="O223" i="2"/>
  <c r="O224" i="2"/>
  <c r="O225" i="2"/>
  <c r="O226" i="2"/>
  <c r="O227" i="2"/>
  <c r="O228" i="2"/>
  <c r="O229" i="2"/>
  <c r="O230" i="2"/>
  <c r="O231" i="2"/>
  <c r="O232" i="2"/>
  <c r="O233" i="2"/>
  <c r="O234" i="2"/>
  <c r="O235" i="2"/>
  <c r="O236" i="2"/>
  <c r="O237" i="2"/>
  <c r="O238" i="2"/>
  <c r="O239" i="2"/>
  <c r="O240" i="2"/>
  <c r="O241" i="2"/>
  <c r="O242" i="2"/>
  <c r="O243" i="2"/>
  <c r="O244" i="2"/>
  <c r="O245" i="2"/>
  <c r="O246" i="2"/>
  <c r="O247" i="2"/>
  <c r="O248" i="2"/>
  <c r="O249" i="2"/>
  <c r="O250" i="2"/>
  <c r="O251" i="2"/>
  <c r="O252" i="2"/>
  <c r="O253" i="2"/>
  <c r="O254" i="2"/>
  <c r="O255" i="2"/>
  <c r="O256" i="2"/>
  <c r="O257" i="2"/>
  <c r="O258" i="2"/>
  <c r="O259" i="2"/>
  <c r="O260" i="2"/>
  <c r="O261" i="2"/>
  <c r="O262" i="2"/>
  <c r="O263" i="2"/>
  <c r="O264" i="2"/>
  <c r="O265" i="2"/>
  <c r="O266" i="2"/>
  <c r="O267" i="2"/>
  <c r="O268" i="2"/>
  <c r="O269" i="2"/>
  <c r="O270" i="2"/>
  <c r="O271" i="2"/>
  <c r="O272" i="2"/>
  <c r="O273" i="2"/>
  <c r="O274" i="2"/>
  <c r="O275" i="2"/>
  <c r="O276" i="2"/>
  <c r="O277" i="2"/>
  <c r="O278" i="2"/>
  <c r="O279" i="2"/>
  <c r="O280" i="2"/>
  <c r="O281" i="2"/>
  <c r="O282" i="2"/>
  <c r="O283" i="2"/>
  <c r="O284" i="2"/>
  <c r="O285" i="2"/>
  <c r="O286" i="2"/>
  <c r="O287" i="2"/>
  <c r="O288" i="2"/>
  <c r="O289" i="2"/>
  <c r="O290" i="2"/>
  <c r="O291" i="2"/>
  <c r="O292" i="2"/>
  <c r="O293" i="2"/>
  <c r="O294" i="2"/>
  <c r="O295" i="2"/>
  <c r="O296" i="2"/>
  <c r="O297" i="2"/>
  <c r="O298" i="2"/>
  <c r="O299" i="2"/>
  <c r="O300" i="2"/>
  <c r="O301" i="2"/>
  <c r="O302" i="2"/>
  <c r="O303" i="2"/>
  <c r="O304" i="2"/>
  <c r="O305" i="2"/>
  <c r="O306" i="2"/>
  <c r="O307" i="2"/>
  <c r="O308" i="2"/>
  <c r="O309" i="2"/>
  <c r="O310" i="2"/>
  <c r="O311" i="2"/>
  <c r="O312" i="2"/>
  <c r="O313" i="2"/>
  <c r="O314" i="2"/>
  <c r="O315" i="2"/>
  <c r="O316" i="2"/>
  <c r="O317" i="2"/>
  <c r="O318" i="2"/>
  <c r="O319" i="2"/>
  <c r="O320" i="2"/>
  <c r="O321" i="2"/>
  <c r="O322" i="2"/>
  <c r="O323" i="2"/>
  <c r="O324" i="2"/>
  <c r="O325" i="2"/>
  <c r="O326" i="2"/>
  <c r="O327" i="2"/>
  <c r="O328" i="2"/>
  <c r="O329" i="2"/>
  <c r="O330" i="2"/>
  <c r="O331" i="2"/>
  <c r="O332" i="2"/>
  <c r="O333" i="2"/>
  <c r="O334" i="2"/>
  <c r="O335" i="2"/>
  <c r="O336" i="2"/>
  <c r="O337" i="2"/>
  <c r="O338" i="2"/>
  <c r="O339" i="2"/>
  <c r="O340" i="2"/>
  <c r="O341" i="2"/>
  <c r="O342" i="2"/>
  <c r="O343" i="2"/>
  <c r="O344" i="2"/>
  <c r="O345" i="2"/>
  <c r="O346" i="2"/>
  <c r="O347" i="2"/>
  <c r="O348" i="2"/>
  <c r="O349" i="2"/>
  <c r="O350" i="2"/>
  <c r="O351" i="2"/>
  <c r="O352" i="2"/>
  <c r="O353" i="2"/>
  <c r="O354" i="2"/>
  <c r="O355" i="2"/>
  <c r="O356" i="2"/>
  <c r="O357" i="2"/>
  <c r="O358" i="2"/>
  <c r="O359" i="2"/>
  <c r="O360" i="2"/>
  <c r="O361" i="2"/>
  <c r="O362" i="2"/>
  <c r="O363" i="2"/>
  <c r="O364" i="2"/>
  <c r="O365" i="2"/>
  <c r="O366" i="2"/>
  <c r="O367" i="2"/>
  <c r="O368" i="2"/>
  <c r="O369" i="2"/>
  <c r="O370" i="2"/>
  <c r="O371" i="2"/>
  <c r="O372" i="2"/>
  <c r="O373" i="2"/>
  <c r="O374" i="2"/>
  <c r="O375" i="2"/>
  <c r="O376" i="2"/>
  <c r="O377" i="2"/>
  <c r="O378" i="2"/>
  <c r="O379" i="2"/>
  <c r="O380" i="2"/>
  <c r="O381" i="2"/>
  <c r="O382" i="2"/>
  <c r="O383" i="2"/>
  <c r="O384" i="2"/>
  <c r="O385" i="2"/>
  <c r="O386" i="2"/>
  <c r="O387" i="2"/>
  <c r="O388" i="2"/>
  <c r="O389" i="2"/>
  <c r="O390" i="2"/>
  <c r="O391" i="2"/>
  <c r="O392" i="2"/>
  <c r="O393" i="2"/>
  <c r="O394" i="2"/>
  <c r="O395" i="2"/>
  <c r="O396" i="2"/>
  <c r="O397" i="2"/>
  <c r="O398" i="2"/>
  <c r="O399" i="2"/>
  <c r="O400" i="2"/>
  <c r="O401" i="2"/>
  <c r="O402" i="2"/>
  <c r="O403" i="2"/>
  <c r="O404" i="2"/>
  <c r="O405" i="2"/>
  <c r="O406" i="2"/>
  <c r="O407" i="2"/>
  <c r="O408" i="2"/>
  <c r="O409" i="2"/>
  <c r="O410" i="2"/>
  <c r="O411" i="2"/>
  <c r="O412" i="2"/>
  <c r="O413" i="2"/>
  <c r="O414" i="2"/>
  <c r="O415" i="2"/>
  <c r="O416" i="2"/>
  <c r="O417" i="2"/>
  <c r="O418" i="2"/>
  <c r="O419" i="2"/>
  <c r="O420" i="2"/>
  <c r="O421" i="2"/>
  <c r="O422" i="2"/>
  <c r="O423" i="2"/>
  <c r="O424" i="2"/>
  <c r="O425" i="2"/>
  <c r="O426" i="2"/>
  <c r="O427" i="2"/>
  <c r="O428" i="2"/>
  <c r="O429" i="2"/>
  <c r="O430" i="2"/>
  <c r="O431" i="2"/>
  <c r="O432" i="2"/>
  <c r="O433" i="2"/>
  <c r="O434" i="2"/>
  <c r="O435" i="2"/>
  <c r="O436" i="2"/>
  <c r="O437" i="2"/>
  <c r="O438" i="2"/>
  <c r="O439" i="2"/>
  <c r="O440" i="2"/>
  <c r="O441" i="2"/>
  <c r="O442" i="2"/>
  <c r="O443" i="2"/>
  <c r="O444" i="2"/>
  <c r="O445" i="2"/>
  <c r="O446" i="2"/>
  <c r="O447" i="2"/>
  <c r="O448" i="2"/>
  <c r="O449" i="2"/>
  <c r="O450" i="2"/>
  <c r="O451" i="2"/>
  <c r="O452" i="2"/>
  <c r="O453" i="2"/>
  <c r="O454" i="2"/>
  <c r="O455" i="2"/>
  <c r="O456" i="2"/>
  <c r="O457" i="2"/>
  <c r="O458" i="2"/>
  <c r="O459" i="2"/>
  <c r="O460" i="2"/>
  <c r="O461" i="2"/>
  <c r="O462" i="2"/>
  <c r="O463" i="2"/>
  <c r="O464" i="2"/>
  <c r="O465" i="2"/>
  <c r="O466" i="2"/>
  <c r="O467" i="2"/>
  <c r="O468" i="2"/>
  <c r="O469" i="2"/>
  <c r="O470" i="2"/>
  <c r="O471" i="2"/>
  <c r="O472" i="2"/>
  <c r="O473" i="2"/>
  <c r="O474" i="2"/>
  <c r="O475" i="2"/>
  <c r="O476" i="2"/>
  <c r="O477" i="2"/>
  <c r="O478" i="2"/>
  <c r="O479" i="2"/>
  <c r="O480" i="2"/>
  <c r="O481" i="2"/>
  <c r="O482" i="2"/>
  <c r="O483" i="2"/>
  <c r="O484" i="2"/>
  <c r="O485" i="2"/>
  <c r="O486" i="2"/>
  <c r="O487" i="2"/>
  <c r="O488" i="2"/>
  <c r="O489" i="2"/>
  <c r="O490" i="2"/>
  <c r="O491" i="2"/>
  <c r="O492" i="2"/>
  <c r="O493" i="2"/>
  <c r="O494" i="2"/>
  <c r="O495" i="2"/>
  <c r="O496" i="2"/>
  <c r="O497" i="2"/>
  <c r="O498" i="2"/>
  <c r="O499" i="2"/>
  <c r="O500" i="2"/>
  <c r="O501" i="2"/>
  <c r="O502" i="2"/>
  <c r="O503" i="2"/>
  <c r="O504" i="2"/>
  <c r="O505" i="2"/>
  <c r="O506" i="2"/>
  <c r="O507" i="2"/>
  <c r="O508" i="2"/>
  <c r="O509" i="2"/>
  <c r="O510" i="2"/>
  <c r="O511" i="2"/>
  <c r="O512" i="2"/>
  <c r="O513" i="2"/>
  <c r="O514" i="2"/>
  <c r="O515" i="2"/>
  <c r="O516" i="2"/>
  <c r="O517" i="2"/>
  <c r="O518" i="2"/>
  <c r="O519" i="2"/>
  <c r="O520" i="2"/>
  <c r="O521" i="2"/>
  <c r="O522" i="2"/>
  <c r="O523" i="2"/>
  <c r="O524" i="2"/>
  <c r="O525" i="2"/>
  <c r="O526" i="2"/>
  <c r="O527" i="2"/>
  <c r="O528" i="2"/>
  <c r="O529" i="2"/>
  <c r="O530" i="2"/>
  <c r="O531" i="2"/>
  <c r="O532" i="2"/>
  <c r="O533" i="2"/>
  <c r="O534" i="2"/>
  <c r="O535" i="2"/>
  <c r="O536" i="2"/>
  <c r="O537" i="2"/>
  <c r="O538" i="2"/>
  <c r="O539" i="2"/>
  <c r="O540" i="2"/>
  <c r="O541" i="2"/>
  <c r="O542" i="2"/>
  <c r="O543" i="2"/>
  <c r="O544" i="2"/>
  <c r="O545" i="2"/>
  <c r="O546" i="2"/>
  <c r="O547" i="2"/>
  <c r="O548" i="2"/>
  <c r="O549" i="2"/>
  <c r="O550" i="2"/>
  <c r="O551" i="2"/>
  <c r="O552" i="2"/>
  <c r="O553" i="2"/>
  <c r="O554" i="2"/>
  <c r="O555" i="2"/>
  <c r="O556" i="2"/>
  <c r="O557" i="2"/>
  <c r="O558" i="2"/>
  <c r="O559" i="2"/>
  <c r="O560" i="2"/>
  <c r="O561" i="2"/>
  <c r="O562" i="2"/>
  <c r="O563" i="2"/>
  <c r="O564" i="2"/>
  <c r="O565" i="2"/>
  <c r="O566" i="2"/>
  <c r="O567" i="2"/>
  <c r="O568" i="2"/>
  <c r="O569" i="2"/>
  <c r="O570" i="2"/>
  <c r="O571" i="2"/>
  <c r="O572" i="2"/>
  <c r="O573" i="2"/>
  <c r="O574" i="2"/>
  <c r="O575" i="2"/>
  <c r="O576" i="2"/>
  <c r="O577" i="2"/>
  <c r="O578" i="2"/>
  <c r="O579" i="2"/>
  <c r="O580" i="2"/>
  <c r="O581" i="2"/>
  <c r="O582" i="2"/>
  <c r="O583" i="2"/>
  <c r="O584" i="2"/>
  <c r="O585" i="2"/>
  <c r="O586" i="2"/>
  <c r="O587" i="2"/>
  <c r="O588" i="2"/>
  <c r="O589" i="2"/>
  <c r="O590" i="2"/>
  <c r="O591" i="2"/>
  <c r="O592" i="2"/>
  <c r="O593" i="2"/>
  <c r="O594" i="2"/>
  <c r="O595" i="2"/>
  <c r="O596" i="2"/>
  <c r="O597" i="2"/>
  <c r="O598" i="2"/>
  <c r="O599" i="2"/>
  <c r="O600" i="2"/>
  <c r="O601" i="2"/>
  <c r="O602" i="2"/>
  <c r="O603" i="2"/>
  <c r="O604" i="2"/>
  <c r="O605" i="2"/>
  <c r="O606" i="2"/>
  <c r="O607" i="2"/>
  <c r="O608" i="2"/>
  <c r="O609" i="2"/>
  <c r="O610" i="2"/>
  <c r="O611" i="2"/>
  <c r="O612" i="2"/>
  <c r="O613" i="2"/>
  <c r="O614" i="2"/>
  <c r="O615" i="2"/>
  <c r="O616" i="2"/>
  <c r="O617" i="2"/>
  <c r="O618" i="2"/>
  <c r="O619" i="2"/>
  <c r="O620" i="2"/>
  <c r="O621" i="2"/>
  <c r="O622" i="2"/>
  <c r="O623" i="2"/>
  <c r="O624" i="2"/>
  <c r="O625" i="2"/>
  <c r="O626" i="2"/>
  <c r="O627" i="2"/>
  <c r="O628" i="2"/>
  <c r="O629" i="2"/>
  <c r="O630" i="2"/>
  <c r="O631" i="2"/>
  <c r="O632" i="2"/>
  <c r="O633" i="2"/>
  <c r="O634" i="2"/>
  <c r="O635" i="2"/>
  <c r="O636" i="2"/>
  <c r="O637" i="2"/>
  <c r="O638" i="2"/>
  <c r="O639" i="2"/>
  <c r="O640" i="2"/>
  <c r="O641" i="2"/>
  <c r="O642" i="2"/>
  <c r="O643" i="2"/>
  <c r="O644" i="2"/>
  <c r="O645" i="2"/>
  <c r="O646" i="2"/>
  <c r="O647" i="2"/>
  <c r="O648" i="2"/>
  <c r="O649" i="2"/>
  <c r="O650" i="2"/>
  <c r="O651" i="2"/>
  <c r="O652" i="2"/>
  <c r="O653" i="2"/>
  <c r="O654" i="2"/>
  <c r="O655" i="2"/>
  <c r="O656" i="2"/>
  <c r="O657" i="2"/>
  <c r="O658" i="2"/>
  <c r="O659" i="2"/>
  <c r="O660" i="2"/>
  <c r="O661" i="2"/>
  <c r="O662" i="2"/>
  <c r="O663" i="2"/>
  <c r="O664" i="2"/>
  <c r="O665" i="2"/>
  <c r="O666" i="2"/>
  <c r="O667" i="2"/>
  <c r="O668" i="2"/>
  <c r="O669" i="2"/>
  <c r="O670" i="2"/>
  <c r="O671" i="2"/>
  <c r="O672" i="2"/>
  <c r="O673" i="2"/>
  <c r="O674" i="2"/>
  <c r="O675" i="2"/>
  <c r="O676" i="2"/>
  <c r="O677" i="2"/>
  <c r="O678" i="2"/>
  <c r="O679" i="2"/>
  <c r="O680" i="2"/>
  <c r="O681" i="2"/>
  <c r="O682" i="2"/>
  <c r="O683" i="2"/>
  <c r="O684" i="2"/>
  <c r="O685" i="2"/>
  <c r="O686" i="2"/>
  <c r="O687" i="2"/>
  <c r="O688" i="2"/>
  <c r="O689" i="2"/>
  <c r="O690" i="2"/>
  <c r="O691" i="2"/>
  <c r="O692" i="2"/>
  <c r="O693" i="2"/>
  <c r="O694" i="2"/>
  <c r="O695" i="2"/>
  <c r="O696" i="2"/>
  <c r="O697" i="2"/>
  <c r="O698" i="2"/>
  <c r="O699" i="2"/>
  <c r="O700" i="2"/>
  <c r="O701" i="2"/>
  <c r="O702" i="2"/>
  <c r="O703" i="2"/>
  <c r="O704" i="2"/>
  <c r="O705" i="2"/>
  <c r="O706" i="2"/>
  <c r="O707" i="2"/>
  <c r="O708" i="2"/>
  <c r="O709" i="2"/>
  <c r="O710" i="2"/>
  <c r="O711" i="2"/>
  <c r="O712" i="2"/>
  <c r="O713" i="2"/>
  <c r="O714" i="2"/>
  <c r="O715" i="2"/>
  <c r="O716" i="2"/>
  <c r="O717" i="2"/>
  <c r="O718" i="2"/>
  <c r="O719" i="2"/>
  <c r="O720" i="2"/>
  <c r="O721" i="2"/>
  <c r="O722" i="2"/>
  <c r="O723" i="2"/>
  <c r="O724" i="2"/>
  <c r="O725" i="2"/>
  <c r="O726" i="2"/>
  <c r="O727" i="2"/>
  <c r="O728" i="2"/>
  <c r="O729" i="2"/>
  <c r="O730" i="2"/>
  <c r="O731" i="2"/>
  <c r="O732" i="2"/>
  <c r="O733" i="2"/>
  <c r="O734" i="2"/>
  <c r="O735" i="2"/>
  <c r="O736" i="2"/>
  <c r="O737" i="2"/>
  <c r="O738" i="2"/>
  <c r="O739" i="2"/>
  <c r="O740" i="2"/>
  <c r="O741" i="2"/>
  <c r="O742" i="2"/>
  <c r="O743" i="2"/>
  <c r="O744" i="2"/>
  <c r="O745" i="2"/>
  <c r="O746" i="2"/>
  <c r="O747" i="2"/>
  <c r="O748" i="2"/>
  <c r="O749" i="2"/>
  <c r="O750" i="2"/>
  <c r="O751" i="2"/>
  <c r="O752" i="2"/>
  <c r="O753" i="2"/>
  <c r="O754" i="2"/>
  <c r="O755" i="2"/>
  <c r="O756" i="2"/>
  <c r="O757" i="2"/>
  <c r="O758" i="2"/>
  <c r="O759" i="2"/>
  <c r="O760" i="2"/>
  <c r="O761" i="2"/>
  <c r="O762" i="2"/>
  <c r="O763" i="2"/>
  <c r="O764" i="2"/>
  <c r="O765" i="2"/>
  <c r="O766" i="2"/>
  <c r="O767" i="2"/>
  <c r="O768" i="2"/>
  <c r="O769" i="2"/>
  <c r="O770" i="2"/>
  <c r="O771" i="2"/>
  <c r="O772" i="2"/>
  <c r="O773" i="2"/>
  <c r="O774" i="2"/>
  <c r="O775" i="2"/>
  <c r="O776" i="2"/>
  <c r="O777" i="2"/>
  <c r="O778" i="2"/>
  <c r="O779" i="2"/>
  <c r="O780" i="2"/>
  <c r="O781" i="2"/>
  <c r="O782" i="2"/>
  <c r="O783" i="2"/>
  <c r="O784" i="2"/>
  <c r="O785" i="2"/>
  <c r="O786" i="2"/>
  <c r="O787" i="2"/>
  <c r="O788" i="2"/>
  <c r="O789" i="2"/>
  <c r="O790" i="2"/>
  <c r="O791" i="2"/>
  <c r="O792" i="2"/>
  <c r="O793" i="2"/>
  <c r="O794" i="2"/>
  <c r="O795" i="2"/>
  <c r="O796" i="2"/>
  <c r="O797" i="2"/>
  <c r="O798" i="2"/>
  <c r="O799" i="2"/>
  <c r="O800" i="2"/>
  <c r="D14" i="7"/>
  <c r="D15" i="7"/>
  <c r="D16" i="7"/>
  <c r="D13" i="7"/>
  <c r="E4" i="4"/>
  <c r="C4" i="6"/>
  <c r="E6" i="5"/>
  <c r="E7" i="5"/>
  <c r="E8" i="5"/>
  <c r="E9" i="5"/>
  <c r="E10" i="5"/>
  <c r="E11" i="5"/>
  <c r="E12" i="5"/>
  <c r="E13" i="5"/>
  <c r="C15" i="6"/>
  <c r="C14" i="6"/>
  <c r="C13" i="6"/>
  <c r="C12" i="6"/>
  <c r="D4" i="6"/>
  <c r="D5" i="6"/>
  <c r="D6" i="6"/>
  <c r="D7" i="6"/>
  <c r="C7" i="6"/>
  <c r="C6" i="6"/>
  <c r="C5" i="6"/>
  <c r="C16" i="5"/>
  <c r="L499" i="2"/>
  <c r="L780" i="2"/>
  <c r="L207" i="2"/>
  <c r="L336" i="2"/>
  <c r="L560" i="2"/>
  <c r="L612" i="2"/>
  <c r="L382" i="2"/>
  <c r="L61" i="2"/>
  <c r="L646" i="2"/>
  <c r="L359" i="2"/>
  <c r="L441" i="2"/>
  <c r="L539" i="2"/>
  <c r="L146" i="2"/>
  <c r="L427" i="2"/>
  <c r="L134" i="2"/>
  <c r="L692" i="2"/>
  <c r="L173" i="2"/>
  <c r="L150" i="2"/>
  <c r="L508" i="2"/>
  <c r="L693" i="2"/>
  <c r="L21" i="2"/>
  <c r="L540" i="2"/>
  <c r="L256" i="2"/>
  <c r="L420" i="2"/>
  <c r="L149" i="2"/>
  <c r="L572" i="2"/>
  <c r="L456" i="2"/>
  <c r="L773" i="2"/>
  <c r="L273" i="2"/>
  <c r="L295" i="2"/>
  <c r="L3" i="2"/>
  <c r="L663" i="2"/>
  <c r="L247" i="2"/>
  <c r="L443" i="2"/>
  <c r="L14" i="2"/>
  <c r="L673" i="2"/>
  <c r="L349" i="2"/>
  <c r="L465" i="2"/>
  <c r="L148" i="2"/>
  <c r="L544" i="2"/>
  <c r="L112" i="2"/>
  <c r="L642" i="2"/>
  <c r="L308" i="2"/>
  <c r="L361" i="2"/>
  <c r="L147" i="2"/>
  <c r="L506" i="2"/>
  <c r="L686" i="2"/>
  <c r="L40" i="2"/>
  <c r="L327" i="2"/>
  <c r="L267" i="2"/>
  <c r="L107" i="2"/>
  <c r="L664" i="2"/>
  <c r="L188" i="2"/>
  <c r="L471" i="2"/>
  <c r="L776" i="2"/>
  <c r="L219" i="2"/>
  <c r="L306" i="2"/>
  <c r="L13" i="2"/>
  <c r="L688" i="2"/>
  <c r="L262" i="2"/>
  <c r="L460" i="2"/>
  <c r="L27" i="2"/>
  <c r="L681" i="2"/>
  <c r="L367" i="2"/>
  <c r="L437" i="2"/>
  <c r="L154" i="2"/>
  <c r="L534" i="2"/>
  <c r="L98" i="2"/>
  <c r="L614" i="2"/>
  <c r="L310" i="2"/>
  <c r="L342" i="2"/>
  <c r="L144" i="2"/>
  <c r="L503" i="2"/>
  <c r="L683" i="2"/>
  <c r="L33" i="2"/>
  <c r="L315" i="2"/>
  <c r="L241" i="2"/>
  <c r="L114" i="2"/>
  <c r="L656" i="2"/>
  <c r="L170" i="2"/>
  <c r="L458" i="2"/>
  <c r="L771" i="2"/>
  <c r="L220" i="2"/>
  <c r="L301" i="2"/>
  <c r="L6" i="2"/>
  <c r="L674" i="2"/>
  <c r="L251" i="2"/>
  <c r="L438" i="2"/>
  <c r="L16" i="2"/>
  <c r="L651" i="2"/>
  <c r="L747" i="2"/>
  <c r="L210" i="2"/>
  <c r="L139" i="2"/>
  <c r="L303" i="2"/>
  <c r="L68" i="2"/>
  <c r="L586" i="2"/>
  <c r="L311" i="2"/>
  <c r="L645" i="2"/>
  <c r="L357" i="2"/>
  <c r="L426" i="2"/>
  <c r="L533" i="2"/>
  <c r="L153" i="2"/>
  <c r="L424" i="2"/>
  <c r="L103" i="2"/>
  <c r="L640" i="2"/>
  <c r="L168" i="2"/>
  <c r="L151" i="2"/>
  <c r="L493" i="2"/>
  <c r="L671" i="2"/>
  <c r="L37" i="2"/>
  <c r="L531" i="2"/>
  <c r="L239" i="2"/>
  <c r="L423" i="2"/>
  <c r="L166" i="2"/>
  <c r="L568" i="2"/>
  <c r="L453" i="2"/>
  <c r="L742" i="2"/>
  <c r="L277" i="2"/>
  <c r="L281" i="2"/>
  <c r="L11" i="2"/>
  <c r="L666" i="2"/>
  <c r="L243" i="2"/>
  <c r="L433" i="2"/>
  <c r="L20" i="2"/>
  <c r="L641" i="2"/>
  <c r="L343" i="2"/>
  <c r="L425" i="2"/>
  <c r="L158" i="2"/>
  <c r="L530" i="2"/>
  <c r="L91" i="2"/>
  <c r="L605" i="2"/>
  <c r="L314" i="2"/>
  <c r="L344" i="2"/>
  <c r="L152" i="2"/>
  <c r="L494" i="2"/>
  <c r="L658" i="2"/>
  <c r="L41" i="2"/>
  <c r="L319" i="2"/>
  <c r="L235" i="2"/>
  <c r="L109" i="2"/>
  <c r="L632" i="2"/>
  <c r="L165" i="2"/>
  <c r="L450" i="2"/>
  <c r="L741" i="2"/>
  <c r="L212" i="2"/>
  <c r="L293" i="2"/>
  <c r="L10" i="2"/>
  <c r="L653" i="2"/>
  <c r="L248" i="2"/>
  <c r="L431" i="2"/>
  <c r="L22" i="2"/>
  <c r="L634" i="2"/>
  <c r="L351" i="2"/>
  <c r="L415" i="2"/>
  <c r="L157" i="2"/>
  <c r="L526" i="2"/>
  <c r="L110" i="2"/>
  <c r="L600" i="2"/>
  <c r="L317" i="2"/>
  <c r="L335" i="2"/>
  <c r="L156" i="2"/>
  <c r="L492" i="2"/>
  <c r="L654" i="2"/>
  <c r="L44" i="2"/>
  <c r="L326" i="2"/>
  <c r="L244" i="2"/>
  <c r="L111" i="2"/>
  <c r="L629" i="2"/>
  <c r="L174" i="2"/>
  <c r="L452" i="2"/>
  <c r="L739" i="2"/>
  <c r="L215" i="2"/>
  <c r="L294" i="2"/>
  <c r="L17" i="2"/>
  <c r="L650" i="2"/>
  <c r="L253" i="2"/>
  <c r="L432" i="2"/>
  <c r="L24" i="2"/>
  <c r="L631" i="2"/>
  <c r="L735" i="2"/>
  <c r="L216" i="2"/>
  <c r="L160" i="2"/>
  <c r="L316" i="2"/>
  <c r="L89" i="2"/>
  <c r="L593" i="2"/>
  <c r="L322" i="2"/>
  <c r="L30" i="2"/>
  <c r="L628" i="2"/>
  <c r="L350" i="2"/>
  <c r="L430" i="2"/>
  <c r="L527" i="2"/>
  <c r="L141" i="2"/>
  <c r="L407" i="2"/>
  <c r="L120" i="2"/>
  <c r="L625" i="2"/>
  <c r="L185" i="2"/>
  <c r="L159" i="2"/>
  <c r="L490" i="2"/>
  <c r="L643" i="2"/>
  <c r="L50" i="2"/>
  <c r="L525" i="2"/>
  <c r="L234" i="2"/>
  <c r="L406" i="2"/>
  <c r="L176" i="2"/>
  <c r="L563" i="2"/>
  <c r="L451" i="2"/>
  <c r="L734" i="2"/>
  <c r="L280" i="2"/>
  <c r="L290" i="2"/>
  <c r="L28" i="2"/>
  <c r="L633" i="2"/>
  <c r="L245" i="2"/>
  <c r="L422" i="2"/>
  <c r="L25" i="2"/>
  <c r="L619" i="2"/>
  <c r="L356" i="2"/>
  <c r="L419" i="2"/>
  <c r="L163" i="2"/>
  <c r="L524" i="2"/>
  <c r="L85" i="2"/>
  <c r="L594" i="2"/>
  <c r="L323" i="2"/>
  <c r="L355" i="2"/>
  <c r="L161" i="2"/>
  <c r="L489" i="2"/>
  <c r="L637" i="2"/>
  <c r="L51" i="2"/>
  <c r="L320" i="2"/>
  <c r="L236" i="2"/>
  <c r="L127" i="2"/>
  <c r="L618" i="2"/>
  <c r="L189" i="2"/>
  <c r="L446" i="2"/>
  <c r="L732" i="2"/>
  <c r="L214" i="2"/>
  <c r="L297" i="2"/>
  <c r="L42" i="2"/>
  <c r="L630" i="2"/>
  <c r="L252" i="2"/>
  <c r="L416" i="2"/>
  <c r="L23" i="2"/>
  <c r="L615" i="2"/>
  <c r="L358" i="2"/>
  <c r="L414" i="2"/>
  <c r="L177" i="2"/>
  <c r="L523" i="2"/>
  <c r="L84" i="2"/>
  <c r="L590" i="2"/>
  <c r="L325" i="2"/>
  <c r="L362" i="2"/>
  <c r="L172" i="2"/>
  <c r="L488" i="2"/>
  <c r="L635" i="2"/>
  <c r="L56" i="2"/>
  <c r="L312" i="2"/>
  <c r="L246" i="2"/>
  <c r="L133" i="2"/>
  <c r="L610" i="2"/>
  <c r="L193" i="2"/>
  <c r="L449" i="2"/>
  <c r="L730" i="2"/>
  <c r="L217" i="2"/>
  <c r="L298" i="2"/>
  <c r="L48" i="2"/>
  <c r="L620" i="2"/>
  <c r="L257" i="2"/>
  <c r="L421" i="2"/>
  <c r="L35" i="2"/>
  <c r="L611" i="2"/>
  <c r="L728" i="2"/>
  <c r="L213" i="2"/>
  <c r="L179" i="2"/>
  <c r="L318" i="2"/>
  <c r="L106" i="2"/>
  <c r="L585" i="2"/>
  <c r="L307" i="2"/>
  <c r="L38" i="2"/>
  <c r="L603" i="2"/>
  <c r="L364" i="2"/>
  <c r="L408" i="2"/>
  <c r="L519" i="2"/>
  <c r="L140" i="2"/>
  <c r="L404" i="2"/>
  <c r="L117" i="2"/>
  <c r="L591" i="2"/>
  <c r="L191" i="2"/>
  <c r="L178" i="2"/>
  <c r="L486" i="2"/>
  <c r="L606" i="2"/>
  <c r="L59" i="2"/>
  <c r="L520" i="2"/>
  <c r="L232" i="2"/>
  <c r="L405" i="2"/>
  <c r="L164" i="2"/>
  <c r="L542" i="2"/>
  <c r="L434" i="2"/>
  <c r="L727" i="2"/>
  <c r="L275" i="2"/>
  <c r="L282" i="2"/>
  <c r="L52" i="2"/>
  <c r="L609" i="2"/>
  <c r="L227" i="2"/>
  <c r="L409" i="2"/>
  <c r="L43" i="2"/>
  <c r="L604" i="2"/>
  <c r="L365" i="2"/>
  <c r="L410" i="2"/>
  <c r="L183" i="2"/>
  <c r="L516" i="2"/>
  <c r="L105" i="2"/>
  <c r="L575" i="2"/>
  <c r="L300" i="2"/>
  <c r="L345" i="2"/>
  <c r="L171" i="2"/>
  <c r="L484" i="2"/>
  <c r="L592" i="2"/>
  <c r="L60" i="2"/>
  <c r="L309" i="2"/>
  <c r="L237" i="2"/>
  <c r="L115" i="2"/>
  <c r="L573" i="2"/>
  <c r="L195" i="2"/>
  <c r="L417" i="2"/>
  <c r="L725" i="2"/>
  <c r="L221" i="2"/>
  <c r="L287" i="2"/>
  <c r="L53" i="2"/>
  <c r="L595" i="2"/>
  <c r="L230" i="2"/>
  <c r="L411" i="2"/>
  <c r="L46" i="2"/>
  <c r="L608" i="2"/>
  <c r="L369" i="2"/>
  <c r="L412" i="2"/>
  <c r="L515" i="2"/>
  <c r="L102" i="2"/>
  <c r="L567" i="2"/>
  <c r="L292" i="2"/>
  <c r="L354" i="2"/>
  <c r="L169" i="2"/>
  <c r="L483" i="2"/>
  <c r="L588" i="2"/>
  <c r="L63" i="2"/>
  <c r="L304" i="2"/>
  <c r="L233" i="2"/>
  <c r="L116" i="2"/>
  <c r="L582" i="2"/>
  <c r="L197" i="2"/>
  <c r="L428" i="2"/>
  <c r="L722" i="2"/>
  <c r="L613" i="2"/>
  <c r="L383" i="2"/>
  <c r="L331" i="2"/>
  <c r="L86" i="2"/>
  <c r="L601" i="2"/>
  <c r="L337" i="2"/>
  <c r="L12" i="2"/>
  <c r="L675" i="2"/>
  <c r="L374" i="2"/>
  <c r="L436" i="2"/>
  <c r="L538" i="2"/>
  <c r="L167" i="2"/>
  <c r="L463" i="2"/>
  <c r="L128" i="2"/>
  <c r="L672" i="2"/>
  <c r="L192" i="2"/>
  <c r="L162" i="2"/>
  <c r="L510" i="2"/>
  <c r="L687" i="2"/>
  <c r="L54" i="2"/>
  <c r="L547" i="2"/>
  <c r="L268" i="2"/>
  <c r="L442" i="2"/>
  <c r="L194" i="2"/>
  <c r="L581" i="2"/>
  <c r="L468" i="2"/>
  <c r="L749" i="2"/>
  <c r="L299" i="2"/>
  <c r="L305" i="2"/>
  <c r="L34" i="2"/>
  <c r="L684" i="2"/>
  <c r="L258" i="2"/>
  <c r="L454" i="2"/>
  <c r="L49" i="2"/>
  <c r="L659" i="2"/>
  <c r="L370" i="2"/>
  <c r="L447" i="2"/>
  <c r="L181" i="2"/>
  <c r="L546" i="2"/>
  <c r="L130" i="2"/>
  <c r="L621" i="2"/>
  <c r="L339" i="2"/>
  <c r="L368" i="2"/>
  <c r="L175" i="2"/>
  <c r="L497" i="2"/>
  <c r="L665" i="2"/>
  <c r="L55" i="2"/>
  <c r="L346" i="2"/>
  <c r="L265" i="2"/>
  <c r="L122" i="2"/>
  <c r="L649" i="2"/>
  <c r="L196" i="2"/>
  <c r="L470" i="2"/>
  <c r="L743" i="2"/>
  <c r="L224" i="2"/>
  <c r="L334" i="2"/>
  <c r="L47" i="2"/>
  <c r="L677" i="2"/>
  <c r="L271" i="2"/>
  <c r="L461" i="2"/>
  <c r="L45" i="2"/>
  <c r="L657" i="2"/>
  <c r="L372" i="2"/>
  <c r="L440" i="2"/>
  <c r="L187" i="2"/>
  <c r="L541" i="2"/>
  <c r="L136" i="2"/>
  <c r="L626" i="2"/>
  <c r="L347" i="2"/>
  <c r="L366" i="2"/>
  <c r="L184" i="2"/>
  <c r="L501" i="2"/>
  <c r="L682" i="2"/>
  <c r="L57" i="2"/>
  <c r="L348" i="2"/>
  <c r="L279" i="2"/>
  <c r="L137" i="2"/>
  <c r="L652" i="2"/>
  <c r="L205" i="2"/>
  <c r="L474" i="2"/>
  <c r="L744" i="2"/>
  <c r="L225" i="2"/>
  <c r="L352" i="2"/>
  <c r="L58" i="2"/>
  <c r="L680" i="2"/>
  <c r="L285" i="2"/>
  <c r="L464" i="2"/>
  <c r="L62" i="2"/>
  <c r="L661" i="2"/>
  <c r="L378" i="2"/>
  <c r="L627" i="2"/>
  <c r="L767" i="2"/>
  <c r="L380" i="2"/>
  <c r="L794" i="2"/>
  <c r="L387" i="2"/>
  <c r="L764" i="2"/>
  <c r="L543" i="2"/>
  <c r="L667" i="2"/>
  <c r="L472" i="2"/>
  <c r="L145" i="2"/>
  <c r="L413" i="2"/>
  <c r="L578" i="2"/>
  <c r="L200" i="2"/>
  <c r="L787" i="2"/>
  <c r="L790" i="2"/>
  <c r="L579" i="2"/>
  <c r="L562" i="2"/>
  <c r="L706" i="2"/>
  <c r="L736" i="2"/>
  <c r="L702" i="2"/>
  <c r="L536" i="2"/>
  <c r="L765" i="2"/>
  <c r="L750" i="2"/>
  <c r="L751" i="2"/>
  <c r="L716" i="2"/>
  <c r="L549" i="2"/>
  <c r="L768" i="2"/>
  <c r="L707" i="2"/>
  <c r="L755" i="2"/>
  <c r="L513" i="2"/>
  <c r="L462" i="2"/>
  <c r="L783" i="2"/>
  <c r="L777" i="2"/>
  <c r="L703" i="2"/>
  <c r="L761" i="2"/>
  <c r="L668" i="2"/>
  <c r="L781" i="2"/>
  <c r="L737" i="2"/>
  <c r="L696" i="2"/>
  <c r="L708" i="2"/>
  <c r="L788" i="2"/>
  <c r="L791" i="2"/>
  <c r="L596" i="2"/>
  <c r="L720" i="2"/>
  <c r="L709" i="2"/>
  <c r="L669" i="2"/>
  <c r="L537" i="2"/>
  <c r="L597" i="2"/>
  <c r="L769" i="2"/>
  <c r="L753" i="2"/>
  <c r="L752" i="2"/>
  <c r="L395" i="2"/>
  <c r="L644" i="2"/>
  <c r="L622" i="2"/>
  <c r="L748" i="2"/>
  <c r="L391" i="2"/>
  <c r="L770" i="2"/>
  <c r="L553" i="2"/>
  <c r="L689" i="2"/>
  <c r="L738" i="2"/>
  <c r="L670" i="2"/>
  <c r="L480" i="2"/>
  <c r="L598" i="2"/>
  <c r="L211" i="2"/>
  <c r="L789" i="2"/>
  <c r="L792" i="2"/>
  <c r="L599" i="2"/>
  <c r="L757" i="2"/>
  <c r="L710" i="2"/>
  <c r="L745" i="2"/>
  <c r="L711" i="2"/>
  <c r="L691" i="2"/>
  <c r="L774" i="2"/>
  <c r="L759" i="2"/>
  <c r="L756" i="2"/>
  <c r="L721" i="2"/>
  <c r="L564" i="2"/>
  <c r="L775" i="2"/>
  <c r="L717" i="2"/>
  <c r="L758" i="2"/>
  <c r="L529" i="2"/>
  <c r="L678" i="2"/>
  <c r="L785" i="2"/>
  <c r="L782" i="2"/>
  <c r="L712" i="2"/>
  <c r="L766" i="2"/>
  <c r="L690" i="2"/>
  <c r="L784" i="2"/>
  <c r="L746" i="2"/>
  <c r="L704" i="2"/>
  <c r="L718" i="2"/>
  <c r="L760" i="2"/>
  <c r="L360" i="2"/>
  <c r="L796" i="2"/>
  <c r="L333" i="2"/>
  <c r="L795" i="2"/>
  <c r="L126" i="2"/>
  <c r="L798" i="2"/>
  <c r="L466" i="2"/>
  <c r="L26" i="2"/>
  <c r="L655" i="2"/>
  <c r="L740" i="2"/>
  <c r="L223" i="2"/>
  <c r="L778" i="2"/>
  <c r="L521" i="2"/>
  <c r="L401" i="2"/>
  <c r="L123" i="2"/>
  <c r="L797" i="2"/>
  <c r="L190" i="2"/>
  <c r="L685" i="2"/>
  <c r="L507" i="2"/>
  <c r="L457" i="2"/>
  <c r="L772" i="2"/>
  <c r="L676" i="2"/>
  <c r="L662" i="2"/>
  <c r="L135" i="2"/>
  <c r="L799" i="2"/>
  <c r="L731" i="2"/>
  <c r="L31" i="2"/>
  <c r="L353" i="2"/>
  <c r="L733" i="2"/>
  <c r="L793" i="2"/>
  <c r="L762" i="2"/>
  <c r="L514" i="2"/>
  <c r="L398" i="2"/>
  <c r="L638" i="2"/>
  <c r="L504" i="2"/>
  <c r="L647" i="2"/>
  <c r="L800" i="2"/>
  <c r="L448" i="2"/>
  <c r="L340" i="2"/>
  <c r="L660" i="2"/>
  <c r="L330" i="2"/>
  <c r="L786" i="2"/>
  <c r="L125" i="2"/>
  <c r="L589" i="2"/>
  <c r="L439" i="2"/>
  <c r="L32" i="2"/>
  <c r="L338" i="2"/>
  <c r="L729" i="2"/>
  <c r="L222" i="2"/>
  <c r="L132" i="2"/>
  <c r="L511" i="2"/>
  <c r="L396" i="2"/>
  <c r="L119" i="2"/>
  <c r="L624" i="2"/>
  <c r="L186" i="2"/>
  <c r="L636" i="2"/>
  <c r="L435" i="2"/>
  <c r="L754" i="2"/>
  <c r="L648" i="2"/>
  <c r="L321" i="2"/>
  <c r="L779" i="2"/>
  <c r="L124" i="2"/>
  <c r="L36" i="2"/>
  <c r="L332" i="2"/>
  <c r="L726" i="2"/>
  <c r="L218" i="2"/>
  <c r="L131" i="2"/>
  <c r="L500" i="2"/>
  <c r="L390" i="2"/>
  <c r="L118" i="2"/>
  <c r="L616" i="2"/>
  <c r="L182" i="2"/>
  <c r="L623" i="2"/>
  <c r="L498" i="2"/>
  <c r="L429" i="2"/>
  <c r="L328" i="2"/>
  <c r="L639" i="2"/>
  <c r="L313" i="2"/>
  <c r="L763" i="2"/>
  <c r="L121" i="2"/>
  <c r="L576" i="2"/>
  <c r="L39" i="2"/>
  <c r="L324" i="2"/>
  <c r="L724" i="2"/>
  <c r="L129" i="2"/>
  <c r="L495" i="2"/>
  <c r="L386" i="2"/>
  <c r="L607" i="2"/>
  <c r="L180" i="2"/>
  <c r="L617" i="2"/>
  <c r="L496" i="2"/>
  <c r="L418" i="2"/>
  <c r="L302" i="2"/>
  <c r="L602" i="2"/>
  <c r="L278" i="2"/>
  <c r="L723" i="2"/>
  <c r="L558" i="2"/>
  <c r="L402" i="2"/>
  <c r="L29" i="2"/>
  <c r="L288" i="2"/>
  <c r="L719" i="2"/>
  <c r="L209" i="2"/>
  <c r="L113" i="2"/>
  <c r="L481" i="2"/>
  <c r="L373" i="2"/>
  <c r="L100" i="2"/>
  <c r="L580" i="2"/>
  <c r="L155" i="2"/>
  <c r="L584" i="2"/>
  <c r="L491" i="2"/>
  <c r="L403" i="2"/>
  <c r="L291" i="2"/>
  <c r="L587" i="2"/>
  <c r="L272" i="2"/>
  <c r="L715" i="2"/>
  <c r="L90" i="2"/>
  <c r="L552" i="2"/>
  <c r="L399" i="2"/>
  <c r="L19" i="2"/>
  <c r="L276" i="2"/>
  <c r="L714" i="2"/>
  <c r="L208" i="2"/>
  <c r="L108" i="2"/>
  <c r="L479" i="2"/>
  <c r="L371" i="2"/>
  <c r="L87" i="2"/>
  <c r="L571" i="2"/>
  <c r="L143" i="2"/>
  <c r="L577" i="2"/>
  <c r="L487" i="2"/>
  <c r="L400" i="2"/>
  <c r="L283" i="2"/>
  <c r="L583" i="2"/>
  <c r="L264" i="2"/>
  <c r="L699" i="2"/>
  <c r="L82" i="2"/>
  <c r="L545" i="2"/>
  <c r="L394" i="2"/>
  <c r="L18" i="2"/>
  <c r="L269" i="2"/>
  <c r="L713" i="2"/>
  <c r="L206" i="2"/>
  <c r="L95" i="2"/>
  <c r="L477" i="2"/>
  <c r="L363" i="2"/>
  <c r="L80" i="2"/>
  <c r="L565" i="2"/>
  <c r="L142" i="2"/>
  <c r="L570" i="2"/>
  <c r="L485" i="2"/>
  <c r="L397" i="2"/>
  <c r="L274" i="2"/>
  <c r="L574" i="2"/>
  <c r="L254" i="2"/>
  <c r="L694" i="2"/>
  <c r="L71" i="2"/>
  <c r="L535" i="2"/>
  <c r="L388" i="2"/>
  <c r="L15" i="2"/>
  <c r="L260" i="2"/>
  <c r="L705" i="2"/>
  <c r="L204" i="2"/>
  <c r="L88" i="2"/>
  <c r="L469" i="2"/>
  <c r="L341" i="2"/>
  <c r="L72" i="2"/>
  <c r="L561" i="2"/>
  <c r="L138" i="2"/>
  <c r="L566" i="2"/>
  <c r="L482" i="2"/>
  <c r="L393" i="2"/>
  <c r="L270" i="2"/>
  <c r="L569" i="2"/>
  <c r="L238" i="2"/>
  <c r="L679" i="2"/>
  <c r="L69" i="2"/>
  <c r="L532" i="2"/>
  <c r="L381" i="2"/>
  <c r="L9" i="2"/>
  <c r="L249" i="2"/>
  <c r="L701" i="2"/>
  <c r="L198" i="2"/>
  <c r="L73" i="2"/>
  <c r="L459" i="2"/>
  <c r="L329" i="2"/>
  <c r="L70" i="2"/>
  <c r="L266" i="2"/>
  <c r="L512" i="2"/>
  <c r="L231" i="2"/>
  <c r="L78" i="2"/>
  <c r="L64" i="2"/>
  <c r="L528" i="2"/>
  <c r="L379" i="2"/>
  <c r="L4" i="2"/>
  <c r="L255" i="2"/>
  <c r="L700" i="2"/>
  <c r="L203" i="2"/>
  <c r="L94" i="2"/>
  <c r="L467" i="2"/>
  <c r="L296" i="2"/>
  <c r="L79" i="2"/>
  <c r="L554" i="2"/>
  <c r="L101" i="2"/>
  <c r="L559" i="2"/>
  <c r="L476" i="2"/>
  <c r="L392" i="2"/>
  <c r="L261" i="2"/>
  <c r="L509" i="2"/>
  <c r="L228" i="2"/>
  <c r="L76" i="2"/>
  <c r="L65" i="2"/>
  <c r="L522" i="2"/>
  <c r="L377" i="2"/>
  <c r="L5" i="2"/>
  <c r="L250" i="2"/>
  <c r="L698" i="2"/>
  <c r="L202" i="2"/>
  <c r="L93" i="2"/>
  <c r="L455" i="2"/>
  <c r="L289" i="2"/>
  <c r="L77" i="2"/>
  <c r="L551" i="2"/>
  <c r="L99" i="2"/>
  <c r="L557" i="2"/>
  <c r="L475" i="2"/>
  <c r="L389" i="2"/>
  <c r="L259" i="2"/>
  <c r="L502" i="2"/>
  <c r="L226" i="2"/>
  <c r="L74" i="2"/>
  <c r="L66" i="2"/>
  <c r="L517" i="2"/>
  <c r="L375" i="2"/>
  <c r="L7" i="2"/>
  <c r="L240" i="2"/>
  <c r="L695" i="2"/>
  <c r="L199" i="2"/>
  <c r="L92" i="2"/>
  <c r="L445" i="2"/>
  <c r="L284" i="2"/>
  <c r="L75" i="2"/>
  <c r="L548" i="2"/>
  <c r="L97" i="2"/>
  <c r="L555" i="2"/>
  <c r="L473" i="2"/>
  <c r="L384" i="2"/>
  <c r="L263" i="2"/>
  <c r="L505" i="2"/>
  <c r="L229" i="2"/>
  <c r="L83" i="2"/>
  <c r="L67" i="2"/>
  <c r="L518" i="2"/>
  <c r="L376" i="2"/>
  <c r="L8" i="2"/>
  <c r="L242" i="2"/>
  <c r="L697" i="2"/>
  <c r="L201" i="2"/>
  <c r="L96" i="2"/>
  <c r="L444" i="2"/>
  <c r="L286" i="2"/>
  <c r="L81" i="2"/>
  <c r="L550" i="2"/>
  <c r="L104" i="2"/>
  <c r="L556" i="2"/>
  <c r="L478" i="2"/>
  <c r="L385" i="2"/>
  <c r="K780" i="2"/>
  <c r="K499" i="2"/>
  <c r="K207" i="2"/>
  <c r="K336" i="2"/>
  <c r="K560" i="2"/>
  <c r="K612" i="2"/>
  <c r="K382" i="2"/>
  <c r="K61" i="2"/>
  <c r="K646" i="2"/>
  <c r="K359" i="2"/>
  <c r="K441" i="2"/>
  <c r="K539" i="2"/>
  <c r="K146" i="2"/>
  <c r="K427" i="2"/>
  <c r="K134" i="2"/>
  <c r="K692" i="2"/>
  <c r="K173" i="2"/>
  <c r="K150" i="2"/>
  <c r="K508" i="2"/>
  <c r="K693" i="2"/>
  <c r="K21" i="2"/>
  <c r="K540" i="2"/>
  <c r="K256" i="2"/>
  <c r="K420" i="2"/>
  <c r="K149" i="2"/>
  <c r="K572" i="2"/>
  <c r="K456" i="2"/>
  <c r="K773" i="2"/>
  <c r="K273" i="2"/>
  <c r="K295" i="2"/>
  <c r="K3" i="2"/>
  <c r="K663" i="2"/>
  <c r="K247" i="2"/>
  <c r="K443" i="2"/>
  <c r="K14" i="2"/>
  <c r="K673" i="2"/>
  <c r="K349" i="2"/>
  <c r="K465" i="2"/>
  <c r="K148" i="2"/>
  <c r="K544" i="2"/>
  <c r="K112" i="2"/>
  <c r="K642" i="2"/>
  <c r="K308" i="2"/>
  <c r="K361" i="2"/>
  <c r="K147" i="2"/>
  <c r="K506" i="2"/>
  <c r="K686" i="2"/>
  <c r="K40" i="2"/>
  <c r="K327" i="2"/>
  <c r="K267" i="2"/>
  <c r="K107" i="2"/>
  <c r="K664" i="2"/>
  <c r="K188" i="2"/>
  <c r="K471" i="2"/>
  <c r="K776" i="2"/>
  <c r="K219" i="2"/>
  <c r="K306" i="2"/>
  <c r="K13" i="2"/>
  <c r="K688" i="2"/>
  <c r="K262" i="2"/>
  <c r="K460" i="2"/>
  <c r="K27" i="2"/>
  <c r="K681" i="2"/>
  <c r="K367" i="2"/>
  <c r="K437" i="2"/>
  <c r="K154" i="2"/>
  <c r="K534" i="2"/>
  <c r="K98" i="2"/>
  <c r="K614" i="2"/>
  <c r="K310" i="2"/>
  <c r="K342" i="2"/>
  <c r="K144" i="2"/>
  <c r="K503" i="2"/>
  <c r="K683" i="2"/>
  <c r="K33" i="2"/>
  <c r="K315" i="2"/>
  <c r="K241" i="2"/>
  <c r="K114" i="2"/>
  <c r="K656" i="2"/>
  <c r="K170" i="2"/>
  <c r="K458" i="2"/>
  <c r="K771" i="2"/>
  <c r="K220" i="2"/>
  <c r="K301" i="2"/>
  <c r="K6" i="2"/>
  <c r="K674" i="2"/>
  <c r="K251" i="2"/>
  <c r="K438" i="2"/>
  <c r="K16" i="2"/>
  <c r="K651" i="2"/>
  <c r="K747" i="2"/>
  <c r="K210" i="2"/>
  <c r="K139" i="2"/>
  <c r="K303" i="2"/>
  <c r="K68" i="2"/>
  <c r="K586" i="2"/>
  <c r="K311" i="2"/>
  <c r="K2" i="2"/>
  <c r="K645" i="2"/>
  <c r="K357" i="2"/>
  <c r="K426" i="2"/>
  <c r="K533" i="2"/>
  <c r="K153" i="2"/>
  <c r="K424" i="2"/>
  <c r="K103" i="2"/>
  <c r="K640" i="2"/>
  <c r="K168" i="2"/>
  <c r="K151" i="2"/>
  <c r="K493" i="2"/>
  <c r="K671" i="2"/>
  <c r="K37" i="2"/>
  <c r="K531" i="2"/>
  <c r="K239" i="2"/>
  <c r="K423" i="2"/>
  <c r="K166" i="2"/>
  <c r="K568" i="2"/>
  <c r="K453" i="2"/>
  <c r="K742" i="2"/>
  <c r="K277" i="2"/>
  <c r="K281" i="2"/>
  <c r="K11" i="2"/>
  <c r="K666" i="2"/>
  <c r="K243" i="2"/>
  <c r="K433" i="2"/>
  <c r="K20" i="2"/>
  <c r="K641" i="2"/>
  <c r="K343" i="2"/>
  <c r="K425" i="2"/>
  <c r="K158" i="2"/>
  <c r="K530" i="2"/>
  <c r="K91" i="2"/>
  <c r="K605" i="2"/>
  <c r="K314" i="2"/>
  <c r="K344" i="2"/>
  <c r="K152" i="2"/>
  <c r="K494" i="2"/>
  <c r="K658" i="2"/>
  <c r="K41" i="2"/>
  <c r="K319" i="2"/>
  <c r="K235" i="2"/>
  <c r="K109" i="2"/>
  <c r="K632" i="2"/>
  <c r="K165" i="2"/>
  <c r="K450" i="2"/>
  <c r="K741" i="2"/>
  <c r="K212" i="2"/>
  <c r="K293" i="2"/>
  <c r="K10" i="2"/>
  <c r="K653" i="2"/>
  <c r="K248" i="2"/>
  <c r="K431" i="2"/>
  <c r="K22" i="2"/>
  <c r="K634" i="2"/>
  <c r="K351" i="2"/>
  <c r="K415" i="2"/>
  <c r="K157" i="2"/>
  <c r="K526" i="2"/>
  <c r="K110" i="2"/>
  <c r="K600" i="2"/>
  <c r="K317" i="2"/>
  <c r="K335" i="2"/>
  <c r="K156" i="2"/>
  <c r="K492" i="2"/>
  <c r="K654" i="2"/>
  <c r="K44" i="2"/>
  <c r="K326" i="2"/>
  <c r="K244" i="2"/>
  <c r="K111" i="2"/>
  <c r="K629" i="2"/>
  <c r="K174" i="2"/>
  <c r="K452" i="2"/>
  <c r="K739" i="2"/>
  <c r="K215" i="2"/>
  <c r="K294" i="2"/>
  <c r="K17" i="2"/>
  <c r="K650" i="2"/>
  <c r="K253" i="2"/>
  <c r="K432" i="2"/>
  <c r="K24" i="2"/>
  <c r="K631" i="2"/>
  <c r="K735" i="2"/>
  <c r="K216" i="2"/>
  <c r="K160" i="2"/>
  <c r="K316" i="2"/>
  <c r="K89" i="2"/>
  <c r="K593" i="2"/>
  <c r="K322" i="2"/>
  <c r="K30" i="2"/>
  <c r="K628" i="2"/>
  <c r="K350" i="2"/>
  <c r="K430" i="2"/>
  <c r="K527" i="2"/>
  <c r="K141" i="2"/>
  <c r="K407" i="2"/>
  <c r="K120" i="2"/>
  <c r="K625" i="2"/>
  <c r="K185" i="2"/>
  <c r="K159" i="2"/>
  <c r="K490" i="2"/>
  <c r="K643" i="2"/>
  <c r="K50" i="2"/>
  <c r="K525" i="2"/>
  <c r="K234" i="2"/>
  <c r="K406" i="2"/>
  <c r="K176" i="2"/>
  <c r="K563" i="2"/>
  <c r="K451" i="2"/>
  <c r="K734" i="2"/>
  <c r="K280" i="2"/>
  <c r="K290" i="2"/>
  <c r="K28" i="2"/>
  <c r="K633" i="2"/>
  <c r="K245" i="2"/>
  <c r="K422" i="2"/>
  <c r="K25" i="2"/>
  <c r="K619" i="2"/>
  <c r="K356" i="2"/>
  <c r="K419" i="2"/>
  <c r="K163" i="2"/>
  <c r="K524" i="2"/>
  <c r="K85" i="2"/>
  <c r="K594" i="2"/>
  <c r="K323" i="2"/>
  <c r="K355" i="2"/>
  <c r="K161" i="2"/>
  <c r="K489" i="2"/>
  <c r="K637" i="2"/>
  <c r="K51" i="2"/>
  <c r="K320" i="2"/>
  <c r="K236" i="2"/>
  <c r="K127" i="2"/>
  <c r="K618" i="2"/>
  <c r="K189" i="2"/>
  <c r="K446" i="2"/>
  <c r="K732" i="2"/>
  <c r="K214" i="2"/>
  <c r="K297" i="2"/>
  <c r="K42" i="2"/>
  <c r="K630" i="2"/>
  <c r="K252" i="2"/>
  <c r="K416" i="2"/>
  <c r="K23" i="2"/>
  <c r="K615" i="2"/>
  <c r="K358" i="2"/>
  <c r="K414" i="2"/>
  <c r="K177" i="2"/>
  <c r="K523" i="2"/>
  <c r="K84" i="2"/>
  <c r="K590" i="2"/>
  <c r="K325" i="2"/>
  <c r="K362" i="2"/>
  <c r="K172" i="2"/>
  <c r="K488" i="2"/>
  <c r="K635" i="2"/>
  <c r="K56" i="2"/>
  <c r="K312" i="2"/>
  <c r="K246" i="2"/>
  <c r="K133" i="2"/>
  <c r="K610" i="2"/>
  <c r="K193" i="2"/>
  <c r="K449" i="2"/>
  <c r="K730" i="2"/>
  <c r="K217" i="2"/>
  <c r="K298" i="2"/>
  <c r="K48" i="2"/>
  <c r="K620" i="2"/>
  <c r="K257" i="2"/>
  <c r="K421" i="2"/>
  <c r="K35" i="2"/>
  <c r="K611" i="2"/>
  <c r="K728" i="2"/>
  <c r="K213" i="2"/>
  <c r="K179" i="2"/>
  <c r="K318" i="2"/>
  <c r="K106" i="2"/>
  <c r="K585" i="2"/>
  <c r="K307" i="2"/>
  <c r="K38" i="2"/>
  <c r="K603" i="2"/>
  <c r="K364" i="2"/>
  <c r="K408" i="2"/>
  <c r="K519" i="2"/>
  <c r="K140" i="2"/>
  <c r="K404" i="2"/>
  <c r="K117" i="2"/>
  <c r="K591" i="2"/>
  <c r="K191" i="2"/>
  <c r="K178" i="2"/>
  <c r="K486" i="2"/>
  <c r="K606" i="2"/>
  <c r="K59" i="2"/>
  <c r="K520" i="2"/>
  <c r="K232" i="2"/>
  <c r="K405" i="2"/>
  <c r="K164" i="2"/>
  <c r="K542" i="2"/>
  <c r="K434" i="2"/>
  <c r="K727" i="2"/>
  <c r="K275" i="2"/>
  <c r="K282" i="2"/>
  <c r="K52" i="2"/>
  <c r="K609" i="2"/>
  <c r="K227" i="2"/>
  <c r="K409" i="2"/>
  <c r="K43" i="2"/>
  <c r="K604" i="2"/>
  <c r="K365" i="2"/>
  <c r="K410" i="2"/>
  <c r="K183" i="2"/>
  <c r="K516" i="2"/>
  <c r="K105" i="2"/>
  <c r="K575" i="2"/>
  <c r="K300" i="2"/>
  <c r="K345" i="2"/>
  <c r="K171" i="2"/>
  <c r="K484" i="2"/>
  <c r="K592" i="2"/>
  <c r="K60" i="2"/>
  <c r="K309" i="2"/>
  <c r="K237" i="2"/>
  <c r="K115" i="2"/>
  <c r="K573" i="2"/>
  <c r="K195" i="2"/>
  <c r="K417" i="2"/>
  <c r="K725" i="2"/>
  <c r="K221" i="2"/>
  <c r="K287" i="2"/>
  <c r="K53" i="2"/>
  <c r="K595" i="2"/>
  <c r="K230" i="2"/>
  <c r="K411" i="2"/>
  <c r="K46" i="2"/>
  <c r="K608" i="2"/>
  <c r="K369" i="2"/>
  <c r="K412" i="2"/>
  <c r="K515" i="2"/>
  <c r="K102" i="2"/>
  <c r="K567" i="2"/>
  <c r="K292" i="2"/>
  <c r="K354" i="2"/>
  <c r="K169" i="2"/>
  <c r="K483" i="2"/>
  <c r="K588" i="2"/>
  <c r="K63" i="2"/>
  <c r="K304" i="2"/>
  <c r="K233" i="2"/>
  <c r="K116" i="2"/>
  <c r="K582" i="2"/>
  <c r="K197" i="2"/>
  <c r="K428" i="2"/>
  <c r="K722" i="2"/>
  <c r="K613" i="2"/>
  <c r="K383" i="2"/>
  <c r="K331" i="2"/>
  <c r="K86" i="2"/>
  <c r="K601" i="2"/>
  <c r="K337" i="2"/>
  <c r="K12" i="2"/>
  <c r="K675" i="2"/>
  <c r="K374" i="2"/>
  <c r="K436" i="2"/>
  <c r="K538" i="2"/>
  <c r="K167" i="2"/>
  <c r="K463" i="2"/>
  <c r="K128" i="2"/>
  <c r="K672" i="2"/>
  <c r="K192" i="2"/>
  <c r="K162" i="2"/>
  <c r="K510" i="2"/>
  <c r="K687" i="2"/>
  <c r="K54" i="2"/>
  <c r="K547" i="2"/>
  <c r="K268" i="2"/>
  <c r="K442" i="2"/>
  <c r="K194" i="2"/>
  <c r="K581" i="2"/>
  <c r="K468" i="2"/>
  <c r="K749" i="2"/>
  <c r="K299" i="2"/>
  <c r="K305" i="2"/>
  <c r="K34" i="2"/>
  <c r="K684" i="2"/>
  <c r="K258" i="2"/>
  <c r="K454" i="2"/>
  <c r="K49" i="2"/>
  <c r="K659" i="2"/>
  <c r="K370" i="2"/>
  <c r="K447" i="2"/>
  <c r="K181" i="2"/>
  <c r="K546" i="2"/>
  <c r="K130" i="2"/>
  <c r="K621" i="2"/>
  <c r="K339" i="2"/>
  <c r="K368" i="2"/>
  <c r="K175" i="2"/>
  <c r="K497" i="2"/>
  <c r="K665" i="2"/>
  <c r="K55" i="2"/>
  <c r="K346" i="2"/>
  <c r="K265" i="2"/>
  <c r="K122" i="2"/>
  <c r="K649" i="2"/>
  <c r="K196" i="2"/>
  <c r="K470" i="2"/>
  <c r="K743" i="2"/>
  <c r="K224" i="2"/>
  <c r="K334" i="2"/>
  <c r="K47" i="2"/>
  <c r="K677" i="2"/>
  <c r="K271" i="2"/>
  <c r="K461" i="2"/>
  <c r="K45" i="2"/>
  <c r="K657" i="2"/>
  <c r="K372" i="2"/>
  <c r="K440" i="2"/>
  <c r="K187" i="2"/>
  <c r="K541" i="2"/>
  <c r="K136" i="2"/>
  <c r="K626" i="2"/>
  <c r="K347" i="2"/>
  <c r="K366" i="2"/>
  <c r="K184" i="2"/>
  <c r="K501" i="2"/>
  <c r="K682" i="2"/>
  <c r="K57" i="2"/>
  <c r="K348" i="2"/>
  <c r="K279" i="2"/>
  <c r="K137" i="2"/>
  <c r="K652" i="2"/>
  <c r="K205" i="2"/>
  <c r="K474" i="2"/>
  <c r="K744" i="2"/>
  <c r="K225" i="2"/>
  <c r="K352" i="2"/>
  <c r="K58" i="2"/>
  <c r="K680" i="2"/>
  <c r="K285" i="2"/>
  <c r="K464" i="2"/>
  <c r="K62" i="2"/>
  <c r="K661" i="2"/>
  <c r="K378" i="2"/>
  <c r="K627" i="2"/>
  <c r="K767" i="2"/>
  <c r="K380" i="2"/>
  <c r="K794" i="2"/>
  <c r="K387" i="2"/>
  <c r="K764" i="2"/>
  <c r="K543" i="2"/>
  <c r="K667" i="2"/>
  <c r="K472" i="2"/>
  <c r="K145" i="2"/>
  <c r="K413" i="2"/>
  <c r="K578" i="2"/>
  <c r="K200" i="2"/>
  <c r="K787" i="2"/>
  <c r="K790" i="2"/>
  <c r="K579" i="2"/>
  <c r="K562" i="2"/>
  <c r="K706" i="2"/>
  <c r="K736" i="2"/>
  <c r="K702" i="2"/>
  <c r="K536" i="2"/>
  <c r="K765" i="2"/>
  <c r="K750" i="2"/>
  <c r="K751" i="2"/>
  <c r="K716" i="2"/>
  <c r="K549" i="2"/>
  <c r="K768" i="2"/>
  <c r="K707" i="2"/>
  <c r="K755" i="2"/>
  <c r="K513" i="2"/>
  <c r="K462" i="2"/>
  <c r="K783" i="2"/>
  <c r="K777" i="2"/>
  <c r="K703" i="2"/>
  <c r="K761" i="2"/>
  <c r="K668" i="2"/>
  <c r="K781" i="2"/>
  <c r="K737" i="2"/>
  <c r="K696" i="2"/>
  <c r="K708" i="2"/>
  <c r="K788" i="2"/>
  <c r="K791" i="2"/>
  <c r="K596" i="2"/>
  <c r="K720" i="2"/>
  <c r="K709" i="2"/>
  <c r="K669" i="2"/>
  <c r="K537" i="2"/>
  <c r="K597" i="2"/>
  <c r="K769" i="2"/>
  <c r="K753" i="2"/>
  <c r="K752" i="2"/>
  <c r="K395" i="2"/>
  <c r="K644" i="2"/>
  <c r="K622" i="2"/>
  <c r="K748" i="2"/>
  <c r="K391" i="2"/>
  <c r="K770" i="2"/>
  <c r="K553" i="2"/>
  <c r="K689" i="2"/>
  <c r="K738" i="2"/>
  <c r="K670" i="2"/>
  <c r="K480" i="2"/>
  <c r="K598" i="2"/>
  <c r="K211" i="2"/>
  <c r="K789" i="2"/>
  <c r="K792" i="2"/>
  <c r="K599" i="2"/>
  <c r="K757" i="2"/>
  <c r="K710" i="2"/>
  <c r="K745" i="2"/>
  <c r="K711" i="2"/>
  <c r="K691" i="2"/>
  <c r="K774" i="2"/>
  <c r="K759" i="2"/>
  <c r="K756" i="2"/>
  <c r="K721" i="2"/>
  <c r="K564" i="2"/>
  <c r="K775" i="2"/>
  <c r="K717" i="2"/>
  <c r="K758" i="2"/>
  <c r="K529" i="2"/>
  <c r="K678" i="2"/>
  <c r="K785" i="2"/>
  <c r="K782" i="2"/>
  <c r="K712" i="2"/>
  <c r="K766" i="2"/>
  <c r="K690" i="2"/>
  <c r="K784" i="2"/>
  <c r="K746" i="2"/>
  <c r="K704" i="2"/>
  <c r="K718" i="2"/>
  <c r="K760" i="2"/>
  <c r="K360" i="2"/>
  <c r="K796" i="2"/>
  <c r="K333" i="2"/>
  <c r="K795" i="2"/>
  <c r="K126" i="2"/>
  <c r="K798" i="2"/>
  <c r="K466" i="2"/>
  <c r="K26" i="2"/>
  <c r="K655" i="2"/>
  <c r="K740" i="2"/>
  <c r="K223" i="2"/>
  <c r="K778" i="2"/>
  <c r="K521" i="2"/>
  <c r="K401" i="2"/>
  <c r="K123" i="2"/>
  <c r="K797" i="2"/>
  <c r="K190" i="2"/>
  <c r="K685" i="2"/>
  <c r="K507" i="2"/>
  <c r="K457" i="2"/>
  <c r="K772" i="2"/>
  <c r="K676" i="2"/>
  <c r="K662" i="2"/>
  <c r="K135" i="2"/>
  <c r="K799" i="2"/>
  <c r="K731" i="2"/>
  <c r="K31" i="2"/>
  <c r="K353" i="2"/>
  <c r="K733" i="2"/>
  <c r="K793" i="2"/>
  <c r="K762" i="2"/>
  <c r="K514" i="2"/>
  <c r="K398" i="2"/>
  <c r="K638" i="2"/>
  <c r="K504" i="2"/>
  <c r="K647" i="2"/>
  <c r="K800" i="2"/>
  <c r="K448" i="2"/>
  <c r="K340" i="2"/>
  <c r="K660" i="2"/>
  <c r="K330" i="2"/>
  <c r="K786" i="2"/>
  <c r="K125" i="2"/>
  <c r="K589" i="2"/>
  <c r="K439" i="2"/>
  <c r="K32" i="2"/>
  <c r="K338" i="2"/>
  <c r="K729" i="2"/>
  <c r="K222" i="2"/>
  <c r="K132" i="2"/>
  <c r="K511" i="2"/>
  <c r="K396" i="2"/>
  <c r="K119" i="2"/>
  <c r="K624" i="2"/>
  <c r="K186" i="2"/>
  <c r="K636" i="2"/>
  <c r="K435" i="2"/>
  <c r="K754" i="2"/>
  <c r="K648" i="2"/>
  <c r="K321" i="2"/>
  <c r="K779" i="2"/>
  <c r="K124" i="2"/>
  <c r="K36" i="2"/>
  <c r="K332" i="2"/>
  <c r="K726" i="2"/>
  <c r="K218" i="2"/>
  <c r="K131" i="2"/>
  <c r="K500" i="2"/>
  <c r="K390" i="2"/>
  <c r="K118" i="2"/>
  <c r="K616" i="2"/>
  <c r="K182" i="2"/>
  <c r="K623" i="2"/>
  <c r="K498" i="2"/>
  <c r="K429" i="2"/>
  <c r="K328" i="2"/>
  <c r="K639" i="2"/>
  <c r="K313" i="2"/>
  <c r="K763" i="2"/>
  <c r="K121" i="2"/>
  <c r="K576" i="2"/>
  <c r="K39" i="2"/>
  <c r="K324" i="2"/>
  <c r="K724" i="2"/>
  <c r="K129" i="2"/>
  <c r="K495" i="2"/>
  <c r="K386" i="2"/>
  <c r="K607" i="2"/>
  <c r="K180" i="2"/>
  <c r="K617" i="2"/>
  <c r="K496" i="2"/>
  <c r="K418" i="2"/>
  <c r="K302" i="2"/>
  <c r="K602" i="2"/>
  <c r="K278" i="2"/>
  <c r="K723" i="2"/>
  <c r="K558" i="2"/>
  <c r="K402" i="2"/>
  <c r="K29" i="2"/>
  <c r="K288" i="2"/>
  <c r="K719" i="2"/>
  <c r="K209" i="2"/>
  <c r="K113" i="2"/>
  <c r="K481" i="2"/>
  <c r="K373" i="2"/>
  <c r="K100" i="2"/>
  <c r="K580" i="2"/>
  <c r="K155" i="2"/>
  <c r="K584" i="2"/>
  <c r="K491" i="2"/>
  <c r="K403" i="2"/>
  <c r="K291" i="2"/>
  <c r="K587" i="2"/>
  <c r="K272" i="2"/>
  <c r="K715" i="2"/>
  <c r="K90" i="2"/>
  <c r="K552" i="2"/>
  <c r="K399" i="2"/>
  <c r="K19" i="2"/>
  <c r="K276" i="2"/>
  <c r="K714" i="2"/>
  <c r="K208" i="2"/>
  <c r="K108" i="2"/>
  <c r="K479" i="2"/>
  <c r="K371" i="2"/>
  <c r="K87" i="2"/>
  <c r="K571" i="2"/>
  <c r="K143" i="2"/>
  <c r="K577" i="2"/>
  <c r="K487" i="2"/>
  <c r="K400" i="2"/>
  <c r="K283" i="2"/>
  <c r="K583" i="2"/>
  <c r="K264" i="2"/>
  <c r="K699" i="2"/>
  <c r="K82" i="2"/>
  <c r="K545" i="2"/>
  <c r="K394" i="2"/>
  <c r="K18" i="2"/>
  <c r="K269" i="2"/>
  <c r="K713" i="2"/>
  <c r="K206" i="2"/>
  <c r="K95" i="2"/>
  <c r="K477" i="2"/>
  <c r="K363" i="2"/>
  <c r="K80" i="2"/>
  <c r="K565" i="2"/>
  <c r="K142" i="2"/>
  <c r="K570" i="2"/>
  <c r="K485" i="2"/>
  <c r="K397" i="2"/>
  <c r="K274" i="2"/>
  <c r="K574" i="2"/>
  <c r="K254" i="2"/>
  <c r="K694" i="2"/>
  <c r="K71" i="2"/>
  <c r="K535" i="2"/>
  <c r="K388" i="2"/>
  <c r="K15" i="2"/>
  <c r="K260" i="2"/>
  <c r="K705" i="2"/>
  <c r="K204" i="2"/>
  <c r="K88" i="2"/>
  <c r="K469" i="2"/>
  <c r="K341" i="2"/>
  <c r="K72" i="2"/>
  <c r="K561" i="2"/>
  <c r="K138" i="2"/>
  <c r="K566" i="2"/>
  <c r="K482" i="2"/>
  <c r="K393" i="2"/>
  <c r="K270" i="2"/>
  <c r="K569" i="2"/>
  <c r="K238" i="2"/>
  <c r="K679" i="2"/>
  <c r="K69" i="2"/>
  <c r="K532" i="2"/>
  <c r="K381" i="2"/>
  <c r="K9" i="2"/>
  <c r="K249" i="2"/>
  <c r="K701" i="2"/>
  <c r="K198" i="2"/>
  <c r="K73" i="2"/>
  <c r="K459" i="2"/>
  <c r="K329" i="2"/>
  <c r="K70" i="2"/>
  <c r="K266" i="2"/>
  <c r="K512" i="2"/>
  <c r="K231" i="2"/>
  <c r="K78" i="2"/>
  <c r="K64" i="2"/>
  <c r="K528" i="2"/>
  <c r="K379" i="2"/>
  <c r="K4" i="2"/>
  <c r="K255" i="2"/>
  <c r="K700" i="2"/>
  <c r="K203" i="2"/>
  <c r="K94" i="2"/>
  <c r="K467" i="2"/>
  <c r="K296" i="2"/>
  <c r="K79" i="2"/>
  <c r="K554" i="2"/>
  <c r="K101" i="2"/>
  <c r="K559" i="2"/>
  <c r="K476" i="2"/>
  <c r="K392" i="2"/>
  <c r="K261" i="2"/>
  <c r="K509" i="2"/>
  <c r="K228" i="2"/>
  <c r="K76" i="2"/>
  <c r="K65" i="2"/>
  <c r="K522" i="2"/>
  <c r="K377" i="2"/>
  <c r="K5" i="2"/>
  <c r="K250" i="2"/>
  <c r="K698" i="2"/>
  <c r="K202" i="2"/>
  <c r="K93" i="2"/>
  <c r="K455" i="2"/>
  <c r="K289" i="2"/>
  <c r="K77" i="2"/>
  <c r="K551" i="2"/>
  <c r="K99" i="2"/>
  <c r="K557" i="2"/>
  <c r="K475" i="2"/>
  <c r="K389" i="2"/>
  <c r="K259" i="2"/>
  <c r="K502" i="2"/>
  <c r="K226" i="2"/>
  <c r="K74" i="2"/>
  <c r="K66" i="2"/>
  <c r="K517" i="2"/>
  <c r="K375" i="2"/>
  <c r="K7" i="2"/>
  <c r="K240" i="2"/>
  <c r="K695" i="2"/>
  <c r="K199" i="2"/>
  <c r="K92" i="2"/>
  <c r="K445" i="2"/>
  <c r="K284" i="2"/>
  <c r="K75" i="2"/>
  <c r="K548" i="2"/>
  <c r="K97" i="2"/>
  <c r="K555" i="2"/>
  <c r="K473" i="2"/>
  <c r="K384" i="2"/>
  <c r="K263" i="2"/>
  <c r="K505" i="2"/>
  <c r="K229" i="2"/>
  <c r="K83" i="2"/>
  <c r="K67" i="2"/>
  <c r="K518" i="2"/>
  <c r="K376" i="2"/>
  <c r="K8" i="2"/>
  <c r="K242" i="2"/>
  <c r="K697" i="2"/>
  <c r="K201" i="2"/>
  <c r="K96" i="2"/>
  <c r="K444" i="2"/>
  <c r="K286" i="2"/>
  <c r="K81" i="2"/>
  <c r="K550" i="2"/>
  <c r="K104" i="2"/>
  <c r="K556" i="2"/>
  <c r="K478" i="2"/>
  <c r="K385" i="2"/>
  <c r="E1" i="6" l="1"/>
  <c r="E7" i="6"/>
  <c r="E6" i="6"/>
  <c r="E5" i="6"/>
  <c r="E4" i="6"/>
</calcChain>
</file>

<file path=xl/sharedStrings.xml><?xml version="1.0" encoding="utf-8"?>
<sst xmlns="http://schemas.openxmlformats.org/spreadsheetml/2006/main" count="9745" uniqueCount="70">
  <si>
    <t>Region</t>
  </si>
  <si>
    <t>Property_Type</t>
  </si>
  <si>
    <t>Average_Price</t>
  </si>
  <si>
    <t>Sales_Volume</t>
  </si>
  <si>
    <t>Year</t>
  </si>
  <si>
    <t>Mortgage_Rate</t>
  </si>
  <si>
    <t>Deposit_Percent</t>
  </si>
  <si>
    <t>Energy_Rating</t>
  </si>
  <si>
    <t>New_Build</t>
  </si>
  <si>
    <t>Buyer_Type</t>
  </si>
  <si>
    <t>London</t>
  </si>
  <si>
    <t>Detached</t>
  </si>
  <si>
    <t>18</t>
  </si>
  <si>
    <t>B</t>
  </si>
  <si>
    <t>Yes</t>
  </si>
  <si>
    <t>Investor</t>
  </si>
  <si>
    <t>South East</t>
  </si>
  <si>
    <t>Flat</t>
  </si>
  <si>
    <t>12</t>
  </si>
  <si>
    <t>C</t>
  </si>
  <si>
    <t>No</t>
  </si>
  <si>
    <t>First Timer</t>
  </si>
  <si>
    <t>North West</t>
  </si>
  <si>
    <t>Terraced</t>
  </si>
  <si>
    <t>10</t>
  </si>
  <si>
    <t>D</t>
  </si>
  <si>
    <t>Yorkshire</t>
  </si>
  <si>
    <t>Semi Detached</t>
  </si>
  <si>
    <t>15</t>
  </si>
  <si>
    <t>Upsizer</t>
  </si>
  <si>
    <t>East Midlands</t>
  </si>
  <si>
    <t>8</t>
  </si>
  <si>
    <t>West Midlands</t>
  </si>
  <si>
    <t>South West</t>
  </si>
  <si>
    <t>21</t>
  </si>
  <si>
    <t>North East</t>
  </si>
  <si>
    <t>5</t>
  </si>
  <si>
    <t>East of England</t>
  </si>
  <si>
    <t>22</t>
  </si>
  <si>
    <t>14</t>
  </si>
  <si>
    <t>7</t>
  </si>
  <si>
    <t>20</t>
  </si>
  <si>
    <t>6</t>
  </si>
  <si>
    <t>A</t>
  </si>
  <si>
    <t>25</t>
  </si>
  <si>
    <t xml:space="preserve"> 8 </t>
  </si>
  <si>
    <t>Affordability_Index</t>
  </si>
  <si>
    <t>Monthly_Mortgage_cost</t>
  </si>
  <si>
    <t>Total Interest Paid</t>
  </si>
  <si>
    <t>25-Year total cost</t>
  </si>
  <si>
    <t>Loan Amount</t>
  </si>
  <si>
    <t>Investment_Score</t>
  </si>
  <si>
    <t>Investment_Score_1</t>
  </si>
  <si>
    <t>Average of Average_Price</t>
  </si>
  <si>
    <t>Grand Total</t>
  </si>
  <si>
    <t>Average of Sales_Volume</t>
  </si>
  <si>
    <t>Sum of Average_Price</t>
  </si>
  <si>
    <t>Grow rate</t>
  </si>
  <si>
    <t>Average of Affordability_Index</t>
  </si>
  <si>
    <t>Average of Monthly_Mortgage_cost</t>
  </si>
  <si>
    <t>Values</t>
  </si>
  <si>
    <t>Total Average of Sales_Volume</t>
  </si>
  <si>
    <t>Total Average of Average_Price</t>
  </si>
  <si>
    <t>Count of Sales_Volume</t>
  </si>
  <si>
    <t>Average of Investment_Score</t>
  </si>
  <si>
    <t>2023 Total</t>
  </si>
  <si>
    <t>2024 Total</t>
  </si>
  <si>
    <t>Average of Investment_Score_1</t>
  </si>
  <si>
    <t>(blank)</t>
  </si>
  <si>
    <t>East Midlands
East of England
London
North East
North West
South East
South West
West Midlands
Yorkshire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</si>
</sst>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£&quot;#,##0.00;[Red]\-&quot;£&quot;#,##0.00"/>
    <numFmt numFmtId="164" formatCode="0.0%"/>
    <numFmt numFmtId="165" formatCode="&quot;£&quot;#,##0"/>
  </numFmts>
  <fonts count="4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onsolas"/>
      <charset val="1"/>
    </font>
  </fonts>
  <fills count="6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6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0" fillId="3" borderId="1" xfId="0" applyFill="1" applyBorder="1"/>
    <xf numFmtId="0" fontId="0" fillId="3" borderId="2" xfId="0" applyFill="1" applyBorder="1"/>
    <xf numFmtId="0" fontId="0" fillId="0" borderId="1" xfId="0" applyBorder="1"/>
    <xf numFmtId="0" fontId="0" fillId="0" borderId="2" xfId="0" applyBorder="1"/>
    <xf numFmtId="0" fontId="0" fillId="0" borderId="2" xfId="0" applyBorder="1" applyAlignment="1">
      <alignment horizontal="left"/>
    </xf>
    <xf numFmtId="0" fontId="0" fillId="3" borderId="2" xfId="0" applyFill="1" applyBorder="1" applyAlignment="1">
      <alignment horizontal="left"/>
    </xf>
    <xf numFmtId="0" fontId="0" fillId="0" borderId="0" xfId="0" pivotButton="1"/>
    <xf numFmtId="1" fontId="0" fillId="0" borderId="0" xfId="0" applyNumberFormat="1"/>
    <xf numFmtId="8" fontId="0" fillId="0" borderId="0" xfId="0" applyNumberFormat="1"/>
    <xf numFmtId="0" fontId="0" fillId="0" borderId="3" xfId="0" applyBorder="1"/>
    <xf numFmtId="1" fontId="0" fillId="0" borderId="3" xfId="0" applyNumberFormat="1" applyBorder="1"/>
    <xf numFmtId="10" fontId="0" fillId="0" borderId="0" xfId="0" applyNumberFormat="1"/>
    <xf numFmtId="164" fontId="0" fillId="0" borderId="0" xfId="0" applyNumberFormat="1"/>
    <xf numFmtId="0" fontId="0" fillId="0" borderId="0" xfId="0" applyAlignment="1">
      <alignment wrapText="1"/>
    </xf>
    <xf numFmtId="0" fontId="2" fillId="0" borderId="0" xfId="0" applyFont="1"/>
    <xf numFmtId="165" fontId="0" fillId="0" borderId="0" xfId="0" applyNumberFormat="1"/>
    <xf numFmtId="10" fontId="0" fillId="4" borderId="0" xfId="0" applyNumberFormat="1" applyFill="1"/>
    <xf numFmtId="2" fontId="0" fillId="0" borderId="0" xfId="0" applyNumberFormat="1"/>
    <xf numFmtId="0" fontId="2" fillId="5" borderId="4" xfId="0" applyFont="1" applyFill="1" applyBorder="1"/>
    <xf numFmtId="0" fontId="3" fillId="0" borderId="0" xfId="0" applyFont="1"/>
    <xf numFmtId="0" fontId="2" fillId="5" borderId="5" xfId="0" applyFont="1" applyFill="1" applyBorder="1"/>
  </cellXfs>
  <cellStyles count="1">
    <cellStyle name="Normal" xfId="0" builtinId="0"/>
  </cellStyles>
  <dxfs count="26">
    <dxf>
      <numFmt numFmtId="12" formatCode="&quot;£&quot;#,##0.00;[Red]\-&quot;£&quot;#,##0.00"/>
    </dxf>
    <dxf>
      <numFmt numFmtId="12" formatCode="&quot;£&quot;#,##0.00;[Red]\-&quot;£&quot;#,##0.00"/>
    </dxf>
    <dxf>
      <numFmt numFmtId="12" formatCode="&quot;£&quot;#,##0.00;[Red]\-&quot;£&quot;#,##0.00"/>
    </dxf>
    <dxf>
      <numFmt numFmtId="2" formatCode="0.00"/>
    </dxf>
    <dxf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left style="thin">
          <color theme="9" tint="0.39997558519241921"/>
        </lef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2" formatCode="0.0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65" formatCode="&quot;£&quot;#,##0"/>
    </dxf>
    <dxf>
      <numFmt numFmtId="1" formatCode="0"/>
    </dxf>
    <dxf>
      <numFmt numFmtId="1" formatCode="0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pivotCacheDefinition" Target="pivotCache/pivotCacheDefinition5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pivotCacheDefinition" Target="pivotCache/pivotCacheDefinition4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ivotCacheDefinition" Target="pivotCache/pivotCacheDefinition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pivotCacheDefinition" Target="pivotCache/pivotCacheDefinition2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pivotCacheDefinition" Target="pivotCache/pivotCacheDefinition1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[Shaakiru kelly cleaned 11.xlsx]Average_price by region!PivotTable1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Region vs Average_Price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'Average_price by region'!$B$3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'Average_price by region'!$A$4:$A$13</c:f>
              <c:strCache>
                <c:ptCount val="9"/>
                <c:pt idx="0">
                  <c:v>East Midlands</c:v>
                </c:pt>
                <c:pt idx="1">
                  <c:v>East of England</c:v>
                </c:pt>
                <c:pt idx="2">
                  <c:v>London</c:v>
                </c:pt>
                <c:pt idx="3">
                  <c:v>North East</c:v>
                </c:pt>
                <c:pt idx="4">
                  <c:v>North West</c:v>
                </c:pt>
                <c:pt idx="5">
                  <c:v>South East</c:v>
                </c:pt>
                <c:pt idx="6">
                  <c:v>South West</c:v>
                </c:pt>
                <c:pt idx="7">
                  <c:v>West Midlands</c:v>
                </c:pt>
                <c:pt idx="8">
                  <c:v>Yorkshire</c:v>
                </c:pt>
              </c:strCache>
            </c:strRef>
          </c:cat>
          <c:val>
            <c:numRef>
              <c:f>'Average_price by region'!$B$4:$B$13</c:f>
              <c:numCache>
                <c:formatCode>General</c:formatCode>
                <c:ptCount val="9"/>
                <c:pt idx="0">
                  <c:v>326625</c:v>
                </c:pt>
                <c:pt idx="1">
                  <c:v>448712.64367816091</c:v>
                </c:pt>
                <c:pt idx="2">
                  <c:v>653520</c:v>
                </c:pt>
                <c:pt idx="3">
                  <c:v>239406.97674418605</c:v>
                </c:pt>
                <c:pt idx="4">
                  <c:v>298952.38095238095</c:v>
                </c:pt>
                <c:pt idx="5">
                  <c:v>474319.58762886596</c:v>
                </c:pt>
                <c:pt idx="6">
                  <c:v>418697.67441860464</c:v>
                </c:pt>
                <c:pt idx="7">
                  <c:v>361305.8823529412</c:v>
                </c:pt>
                <c:pt idx="8">
                  <c:v>323627.90697674418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27-4B72-946D-1C9713062F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50976775"/>
        <c:axId val="2095981576"/>
      </c:barChart>
      <c:catAx>
        <c:axId val="25097677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rgbClr val="70AD47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Region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rgbClr val="70AD47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ED7D3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5981576"/>
        <c:crosses val="autoZero"/>
        <c:auto val="1"/>
        <c:lblAlgn val="ctr"/>
        <c:lblOffset val="100"/>
        <c:noMultiLvlLbl val="0"/>
      </c:catAx>
      <c:valAx>
        <c:axId val="2095981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rgbClr val="70AD47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Average_Price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rgbClr val="70AD47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ED7D3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0976775"/>
        <c:crosses val="autoZero"/>
        <c:crossBetween val="between"/>
        <c:majorUnit val="10000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[Shaakiru kelly cleaned 11.xlsx]Sales_volume!PivotTable3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BF8F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of Sales_Volume vs Property_type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BF8F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rgbClr val="FFFFFF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rgbClr val="FFFFFF"/>
            </a:solidFill>
            <a:prstDash val="solid"/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rgbClr val="FFFFFF"/>
            </a:solidFill>
            <a:prstDash val="solid"/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rgbClr val="FFFFFF"/>
            </a:solidFill>
            <a:prstDash val="solid"/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rgbClr val="FFFFFF"/>
            </a:solidFill>
            <a:prstDash val="solid"/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Sales_volume!$B$3</c:f>
              <c:strCache>
                <c:ptCount val="1"/>
                <c:pt idx="0">
                  <c:v>Average of Sales_Volume</c:v>
                </c:pt>
              </c:strCache>
            </c:strRef>
          </c:tx>
          <c:spPr>
            <a:ln>
              <a:solidFill>
                <a:srgbClr val="FFFFFF"/>
              </a:solidFill>
              <a:prstDash val="solid"/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rgbClr val="FFFFFF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1-E5D0-483B-A4D3-07BFFA2ACE6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rgbClr val="FFFFFF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3-E5D0-483B-A4D3-07BFFA2ACE6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rgbClr val="FFFFFF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5-E5D0-483B-A4D3-07BFFA2ACE6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rgbClr val="FFFFFF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7-E5D0-483B-A4D3-07BFFA2ACE6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Sales_volume!$A$4:$A$8</c:f>
              <c:strCache>
                <c:ptCount val="4"/>
                <c:pt idx="0">
                  <c:v>Detached</c:v>
                </c:pt>
                <c:pt idx="1">
                  <c:v>Flat</c:v>
                </c:pt>
                <c:pt idx="2">
                  <c:v>Semi Detached</c:v>
                </c:pt>
                <c:pt idx="3">
                  <c:v>Terraced</c:v>
                </c:pt>
              </c:strCache>
            </c:strRef>
          </c:cat>
          <c:val>
            <c:numRef>
              <c:f>Sales_volume!$B$4:$B$8</c:f>
              <c:numCache>
                <c:formatCode>0</c:formatCode>
                <c:ptCount val="4"/>
                <c:pt idx="0">
                  <c:v>1608.3333333333333</c:v>
                </c:pt>
                <c:pt idx="1">
                  <c:v>2332.4884792626726</c:v>
                </c:pt>
                <c:pt idx="2">
                  <c:v>1915.7272727272727</c:v>
                </c:pt>
                <c:pt idx="3">
                  <c:v>1994.8387096774193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0A-4CF4-86E4-DF05AFD34FB5}"/>
            </c:ext>
          </c:extLst>
        </c:ser>
        <c:ser>
          <c:idx val="1"/>
          <c:order val="1"/>
          <c:tx>
            <c:strRef>
              <c:f>Sales_volume!$C$3</c:f>
              <c:strCache>
                <c:ptCount val="1"/>
                <c:pt idx="0">
                  <c:v>Sum of Average_Price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4F32-4AF4-A305-41057167C71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4F32-4AF4-A305-41057167C71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4F32-4AF4-A305-41057167C71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4F32-4AF4-A305-41057167C716}"/>
              </c:ext>
            </c:extLst>
          </c:dPt>
          <c:cat>
            <c:strRef>
              <c:f>Sales_volume!$A$4:$A$8</c:f>
              <c:strCache>
                <c:ptCount val="4"/>
                <c:pt idx="0">
                  <c:v>Detached</c:v>
                </c:pt>
                <c:pt idx="1">
                  <c:v>Flat</c:v>
                </c:pt>
                <c:pt idx="2">
                  <c:v>Semi Detached</c:v>
                </c:pt>
                <c:pt idx="3">
                  <c:v>Terraced</c:v>
                </c:pt>
              </c:strCache>
            </c:strRef>
          </c:cat>
          <c:val>
            <c:numRef>
              <c:f>Sales_volume!$C$4:$C$8</c:f>
              <c:numCache>
                <c:formatCode>General</c:formatCode>
                <c:ptCount val="4"/>
                <c:pt idx="0">
                  <c:v>129502000</c:v>
                </c:pt>
                <c:pt idx="1">
                  <c:v>62637000</c:v>
                </c:pt>
                <c:pt idx="2">
                  <c:v>62998000</c:v>
                </c:pt>
                <c:pt idx="3">
                  <c:v>64257000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7453-41B2-BF4B-1C6F8DFEB0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[Shaakiru kelly cleaned 11.xlsx]Sales_volume!PivotTable4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ED7D3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Property_type vs Average_Price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ED7D3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rgbClr val="70AD47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rgbClr val="70AD47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rgbClr val="70AD47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rgbClr val="70AD47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rgbClr val="70AD47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Sales_volume!$B$23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70AD47"/>
            </a:solidFill>
            <a:ln w="19050">
              <a:solidFill>
                <a:schemeClr val="lt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70AD4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C55-496C-9BC9-D077AB94712A}"/>
              </c:ext>
            </c:extLst>
          </c:dPt>
          <c:dPt>
            <c:idx val="1"/>
            <c:invertIfNegative val="0"/>
            <c:bubble3D val="0"/>
            <c:spPr>
              <a:solidFill>
                <a:srgbClr val="70AD4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C55-496C-9BC9-D077AB94712A}"/>
              </c:ext>
            </c:extLst>
          </c:dPt>
          <c:dPt>
            <c:idx val="2"/>
            <c:invertIfNegative val="0"/>
            <c:bubble3D val="0"/>
            <c:spPr>
              <a:solidFill>
                <a:srgbClr val="70AD4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C55-496C-9BC9-D077AB94712A}"/>
              </c:ext>
            </c:extLst>
          </c:dPt>
          <c:dPt>
            <c:idx val="3"/>
            <c:invertIfNegative val="0"/>
            <c:bubble3D val="0"/>
            <c:spPr>
              <a:solidFill>
                <a:srgbClr val="70AD4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C55-496C-9BC9-D077AB94712A}"/>
              </c:ext>
            </c:extLst>
          </c:dPt>
          <c:cat>
            <c:strRef>
              <c:f>Sales_volume!$A$24:$A$28</c:f>
              <c:strCache>
                <c:ptCount val="4"/>
                <c:pt idx="0">
                  <c:v>Detached</c:v>
                </c:pt>
                <c:pt idx="1">
                  <c:v>Flat</c:v>
                </c:pt>
                <c:pt idx="2">
                  <c:v>Semi Detached</c:v>
                </c:pt>
                <c:pt idx="3">
                  <c:v>Terraced</c:v>
                </c:pt>
              </c:strCache>
            </c:strRef>
          </c:cat>
          <c:val>
            <c:numRef>
              <c:f>Sales_volume!$B$24:$B$28</c:f>
              <c:numCache>
                <c:formatCode>General</c:formatCode>
                <c:ptCount val="4"/>
                <c:pt idx="0">
                  <c:v>560614.71861471864</c:v>
                </c:pt>
                <c:pt idx="1">
                  <c:v>288649.76958525344</c:v>
                </c:pt>
                <c:pt idx="2">
                  <c:v>381806.06060606061</c:v>
                </c:pt>
                <c:pt idx="3">
                  <c:v>345467.74193548388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C55-496C-9BC9-D077AB9471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546176520"/>
        <c:axId val="1546186760"/>
      </c:barChart>
      <c:catAx>
        <c:axId val="15461765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4472C4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6186760"/>
        <c:crosses val="autoZero"/>
        <c:auto val="1"/>
        <c:lblAlgn val="ctr"/>
        <c:lblOffset val="100"/>
        <c:noMultiLvlLbl val="0"/>
      </c:catAx>
      <c:valAx>
        <c:axId val="1546186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4472C4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6176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[Shaakiru kelly cleaned 11.xlsx]Property_average_price by regio!PivotTable5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70AD47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Region vs Average_Price vs Year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70AD47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7030A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7030A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3.9%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7030A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"/>
        <c:spPr>
          <a:solidFill>
            <a:schemeClr val="accent2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7030A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6.2%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7030A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4"/>
        <c:spPr>
          <a:solidFill>
            <a:schemeClr val="accent2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7030A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3.7%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7030A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7030A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-7.17%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7030A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6"/>
        <c:spPr>
          <a:solidFill>
            <a:schemeClr val="accent2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7030A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12.9%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7030A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7"/>
        <c:spPr>
          <a:solidFill>
            <a:schemeClr val="accent2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7030A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12.1%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7030A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8"/>
        <c:spPr>
          <a:solidFill>
            <a:schemeClr val="accent2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7030A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-0.09%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7030A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9"/>
        <c:spPr>
          <a:solidFill>
            <a:schemeClr val="accent2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7030A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7.7%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7030A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0"/>
        <c:spPr>
          <a:solidFill>
            <a:schemeClr val="accent2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7030A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8.4%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7030A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'Property_average_price by regio'!$B$3:$B$4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'Property_average_price by regio'!$A$5:$A$14</c:f>
              <c:strCache>
                <c:ptCount val="9"/>
                <c:pt idx="0">
                  <c:v>East Midlands</c:v>
                </c:pt>
                <c:pt idx="1">
                  <c:v>East of England</c:v>
                </c:pt>
                <c:pt idx="2">
                  <c:v>London</c:v>
                </c:pt>
                <c:pt idx="3">
                  <c:v>North East</c:v>
                </c:pt>
                <c:pt idx="4">
                  <c:v>North West</c:v>
                </c:pt>
                <c:pt idx="5">
                  <c:v>South East</c:v>
                </c:pt>
                <c:pt idx="6">
                  <c:v>South West</c:v>
                </c:pt>
                <c:pt idx="7">
                  <c:v>West Midlands</c:v>
                </c:pt>
                <c:pt idx="8">
                  <c:v>Yorkshire</c:v>
                </c:pt>
              </c:strCache>
            </c:strRef>
          </c:cat>
          <c:val>
            <c:numRef>
              <c:f>'Property_average_price by regio'!$B$5:$B$14</c:f>
              <c:numCache>
                <c:formatCode>0</c:formatCode>
                <c:ptCount val="9"/>
                <c:pt idx="0">
                  <c:v>317478.26086956525</c:v>
                </c:pt>
                <c:pt idx="1">
                  <c:v>427736.84210526315</c:v>
                </c:pt>
                <c:pt idx="2">
                  <c:v>635090.90909090906</c:v>
                </c:pt>
                <c:pt idx="3">
                  <c:v>251344.8275862069</c:v>
                </c:pt>
                <c:pt idx="4">
                  <c:v>273173.91304347827</c:v>
                </c:pt>
                <c:pt idx="5">
                  <c:v>434130.4347826087</c:v>
                </c:pt>
                <c:pt idx="6">
                  <c:v>419000</c:v>
                </c:pt>
                <c:pt idx="7">
                  <c:v>343074.0740740741</c:v>
                </c:pt>
                <c:pt idx="8">
                  <c:v>306142.85714285716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A2-46E8-B58C-C5BEBA67BA6D}"/>
            </c:ext>
          </c:extLst>
        </c:ser>
        <c:ser>
          <c:idx val="1"/>
          <c:order val="1"/>
          <c:tx>
            <c:strRef>
              <c:f>'Property_average_price by regio'!$C$3:$C$4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146-4821-8F53-1B6955A680DA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B146-4821-8F53-1B6955A680DA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146-4821-8F53-1B6955A680DA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B146-4821-8F53-1B6955A680DA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B146-4821-8F53-1B6955A680DA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B146-4821-8F53-1B6955A680DA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B146-4821-8F53-1B6955A680DA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B146-4821-8F53-1B6955A680DA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B146-4821-8F53-1B6955A680DA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3.9%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B146-4821-8F53-1B6955A680DA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6.2%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B146-4821-8F53-1B6955A680DA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3.7%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B146-4821-8F53-1B6955A680DA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/>
                      <a:t>-7.17%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B146-4821-8F53-1B6955A680DA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r>
                      <a:rPr lang="en-US"/>
                      <a:t>12.9%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B146-4821-8F53-1B6955A680DA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r>
                      <a:rPr lang="en-US"/>
                      <a:t>12.1%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6-B146-4821-8F53-1B6955A680DA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r>
                      <a:rPr lang="en-US"/>
                      <a:t>-0.09%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7-B146-4821-8F53-1B6955A680DA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r>
                      <a:rPr lang="en-US"/>
                      <a:t>7.7%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8-B146-4821-8F53-1B6955A680DA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r>
                      <a:rPr lang="en-US"/>
                      <a:t>8.4%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9-B146-4821-8F53-1B6955A680D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7030A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'Property_average_price by regio'!$A$5:$A$14</c:f>
              <c:strCache>
                <c:ptCount val="9"/>
                <c:pt idx="0">
                  <c:v>East Midlands</c:v>
                </c:pt>
                <c:pt idx="1">
                  <c:v>East of England</c:v>
                </c:pt>
                <c:pt idx="2">
                  <c:v>London</c:v>
                </c:pt>
                <c:pt idx="3">
                  <c:v>North East</c:v>
                </c:pt>
                <c:pt idx="4">
                  <c:v>North West</c:v>
                </c:pt>
                <c:pt idx="5">
                  <c:v>South East</c:v>
                </c:pt>
                <c:pt idx="6">
                  <c:v>South West</c:v>
                </c:pt>
                <c:pt idx="7">
                  <c:v>West Midlands</c:v>
                </c:pt>
                <c:pt idx="8">
                  <c:v>Yorkshire</c:v>
                </c:pt>
              </c:strCache>
            </c:strRef>
          </c:cat>
          <c:val>
            <c:numRef>
              <c:f>'Property_average_price by regio'!$C$5:$C$14</c:f>
              <c:numCache>
                <c:formatCode>0</c:formatCode>
                <c:ptCount val="9"/>
                <c:pt idx="0">
                  <c:v>329861.53846153844</c:v>
                </c:pt>
                <c:pt idx="1">
                  <c:v>454573.5294117647</c:v>
                </c:pt>
                <c:pt idx="2">
                  <c:v>658717.94871794875</c:v>
                </c:pt>
                <c:pt idx="3">
                  <c:v>233333.33333333334</c:v>
                </c:pt>
                <c:pt idx="4">
                  <c:v>308672.13114754099</c:v>
                </c:pt>
                <c:pt idx="5">
                  <c:v>486810.81081081083</c:v>
                </c:pt>
                <c:pt idx="6">
                  <c:v>418623.18840579712</c:v>
                </c:pt>
                <c:pt idx="7">
                  <c:v>369793.10344827588</c:v>
                </c:pt>
                <c:pt idx="8">
                  <c:v>332068.96551724139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DA2-46E8-B58C-C5BEBA67BA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138528264"/>
        <c:axId val="2141724680"/>
      </c:barChart>
      <c:catAx>
        <c:axId val="21385282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806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1724680"/>
        <c:crosses val="autoZero"/>
        <c:auto val="1"/>
        <c:lblAlgn val="ctr"/>
        <c:lblOffset val="100"/>
        <c:noMultiLvlLbl val="0"/>
      </c:catAx>
      <c:valAx>
        <c:axId val="21417246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833C0C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8528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Property_type growth rate (2023 - 2024)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Property_growth_rate!$B$12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rgbClr val="C65911"/>
            </a:solidFill>
            <a:ln>
              <a:noFill/>
            </a:ln>
            <a:effectLst/>
          </c:spPr>
          <c:invertIfNegative val="0"/>
          <c:cat>
            <c:strRef>
              <c:f>Property_growth_rate!$A$13:$A$16</c:f>
              <c:strCache>
                <c:ptCount val="4"/>
                <c:pt idx="0">
                  <c:v>Detached</c:v>
                </c:pt>
                <c:pt idx="1">
                  <c:v>Flat</c:v>
                </c:pt>
                <c:pt idx="2">
                  <c:v>Semi Detached</c:v>
                </c:pt>
                <c:pt idx="3">
                  <c:v>Terraced</c:v>
                </c:pt>
              </c:strCache>
            </c:strRef>
          </c:cat>
          <c:val>
            <c:numRef>
              <c:f>Property_growth_rate!$B$13:$B$16</c:f>
              <c:numCache>
                <c:formatCode>0</c:formatCode>
                <c:ptCount val="4"/>
                <c:pt idx="0">
                  <c:v>521280.70175438595</c:v>
                </c:pt>
                <c:pt idx="1">
                  <c:v>270920.63492063491</c:v>
                </c:pt>
                <c:pt idx="2">
                  <c:v>364378.3783783784</c:v>
                </c:pt>
                <c:pt idx="3">
                  <c:v>326907.40740740742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3E-4FE0-A32A-C965008738CA}"/>
            </c:ext>
          </c:extLst>
        </c:ser>
        <c:ser>
          <c:idx val="1"/>
          <c:order val="1"/>
          <c:tx>
            <c:strRef>
              <c:f>Property_growth_rate!$C$12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10.02%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583E-4FE0-A32A-C965008738CA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9.22%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6-583E-4FE0-A32A-C965008738CA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6.17%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7-583E-4FE0-A32A-C965008738CA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/>
                      <a:t>8%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8-583E-4FE0-A32A-C965008738C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Property_growth_rate!$A$13:$A$16</c:f>
              <c:strCache>
                <c:ptCount val="4"/>
                <c:pt idx="0">
                  <c:v>Detached</c:v>
                </c:pt>
                <c:pt idx="1">
                  <c:v>Flat</c:v>
                </c:pt>
                <c:pt idx="2">
                  <c:v>Semi Detached</c:v>
                </c:pt>
                <c:pt idx="3">
                  <c:v>Terraced</c:v>
                </c:pt>
              </c:strCache>
            </c:strRef>
          </c:cat>
          <c:val>
            <c:numRef>
              <c:f>Property_growth_rate!$C$13:$C$16</c:f>
              <c:numCache>
                <c:formatCode>0</c:formatCode>
                <c:ptCount val="4"/>
                <c:pt idx="0" formatCode="General">
                  <c:v>573500</c:v>
                </c:pt>
                <c:pt idx="1">
                  <c:v>295902.59740259743</c:v>
                </c:pt>
                <c:pt idx="2">
                  <c:v>386843.75</c:v>
                </c:pt>
                <c:pt idx="3">
                  <c:v>353060.60606060608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83E-4FE0-A32A-C965008738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0054280"/>
        <c:axId val="200056328"/>
      </c:barChart>
      <c:catAx>
        <c:axId val="2000542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Property_type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1" u="none" strike="noStrike" kern="1200" baseline="0">
                <a:solidFill>
                  <a:srgbClr val="70AD47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056328"/>
        <c:crosses val="autoZero"/>
        <c:auto val="1"/>
        <c:lblAlgn val="ctr"/>
        <c:lblOffset val="100"/>
        <c:noMultiLvlLbl val="0"/>
      </c:catAx>
      <c:valAx>
        <c:axId val="200056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Average_price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70AD47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054280"/>
        <c:crosses val="autoZero"/>
        <c:crossBetween val="between"/>
        <c:majorUnit val="150000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[Shaakiru kelly cleaned 11.xlsx]Average_price by region!PivotTable1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Region vs Average_Price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'Average_price by region'!$B$3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'Average_price by region'!$A$4:$A$13</c:f>
              <c:strCache>
                <c:ptCount val="9"/>
                <c:pt idx="0">
                  <c:v>East Midlands</c:v>
                </c:pt>
                <c:pt idx="1">
                  <c:v>East of England</c:v>
                </c:pt>
                <c:pt idx="2">
                  <c:v>London</c:v>
                </c:pt>
                <c:pt idx="3">
                  <c:v>North East</c:v>
                </c:pt>
                <c:pt idx="4">
                  <c:v>North West</c:v>
                </c:pt>
                <c:pt idx="5">
                  <c:v>South East</c:v>
                </c:pt>
                <c:pt idx="6">
                  <c:v>South West</c:v>
                </c:pt>
                <c:pt idx="7">
                  <c:v>West Midlands</c:v>
                </c:pt>
                <c:pt idx="8">
                  <c:v>Yorkshire</c:v>
                </c:pt>
              </c:strCache>
            </c:strRef>
          </c:cat>
          <c:val>
            <c:numRef>
              <c:f>'Average_price by region'!$B$4:$B$13</c:f>
              <c:numCache>
                <c:formatCode>General</c:formatCode>
                <c:ptCount val="9"/>
                <c:pt idx="0">
                  <c:v>326625</c:v>
                </c:pt>
                <c:pt idx="1">
                  <c:v>448712.64367816091</c:v>
                </c:pt>
                <c:pt idx="2">
                  <c:v>653520</c:v>
                </c:pt>
                <c:pt idx="3">
                  <c:v>239406.97674418605</c:v>
                </c:pt>
                <c:pt idx="4">
                  <c:v>298952.38095238095</c:v>
                </c:pt>
                <c:pt idx="5">
                  <c:v>474319.58762886596</c:v>
                </c:pt>
                <c:pt idx="6">
                  <c:v>418697.67441860464</c:v>
                </c:pt>
                <c:pt idx="7">
                  <c:v>361305.8823529412</c:v>
                </c:pt>
                <c:pt idx="8">
                  <c:v>323627.90697674418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66-410A-A26D-3B457116E9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50976775"/>
        <c:axId val="2095981576"/>
      </c:barChart>
      <c:catAx>
        <c:axId val="25097677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rgbClr val="70AD47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Region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rgbClr val="70AD47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ED7D3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5981576"/>
        <c:crosses val="autoZero"/>
        <c:auto val="1"/>
        <c:lblAlgn val="ctr"/>
        <c:lblOffset val="100"/>
        <c:noMultiLvlLbl val="0"/>
      </c:catAx>
      <c:valAx>
        <c:axId val="2095981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rgbClr val="70AD47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Average_Price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rgbClr val="70AD47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ED7D3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0976775"/>
        <c:crosses val="autoZero"/>
        <c:crossBetween val="between"/>
        <c:majorUnit val="10000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[Shaakiru kelly cleaned 11.xlsx]Sales_volume!PivotTable3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BF8F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of Sales_Volume vs Property_type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BF8F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rgbClr val="FFFFFF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rgbClr val="FFFFFF"/>
            </a:solidFill>
            <a:prstDash val="solid"/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rgbClr val="FFFFFF"/>
            </a:solidFill>
            <a:prstDash val="solid"/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rgbClr val="FFFFFF"/>
            </a:solidFill>
            <a:prstDash val="solid"/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rgbClr val="FFFFFF"/>
            </a:solidFill>
            <a:prstDash val="solid"/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rgbClr val="FFFFFF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19050">
            <a:solidFill>
              <a:srgbClr val="FFFFFF"/>
            </a:solidFill>
            <a:prstDash val="solid"/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rgbClr val="FFFFFF"/>
            </a:solidFill>
            <a:prstDash val="solid"/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rgbClr val="FFFFFF"/>
            </a:solidFill>
            <a:prstDash val="solid"/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rgbClr val="FFFFFF"/>
            </a:solidFill>
            <a:prstDash val="solid"/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chemeClr val="accent1"/>
          </a:solidFill>
          <a:ln w="19050">
            <a:solidFill>
              <a:srgbClr val="FFFFFF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 w="19050">
            <a:solidFill>
              <a:srgbClr val="FFFFFF"/>
            </a:solidFill>
            <a:prstDash val="solid"/>
          </a:ln>
          <a:effectLst/>
        </c:spPr>
      </c:pivotFmt>
      <c:pivotFmt>
        <c:idx val="27"/>
        <c:spPr>
          <a:solidFill>
            <a:schemeClr val="accent1"/>
          </a:solidFill>
          <a:ln w="19050">
            <a:solidFill>
              <a:srgbClr val="FFFFFF"/>
            </a:solidFill>
            <a:prstDash val="solid"/>
          </a:ln>
          <a:effectLst/>
        </c:spPr>
      </c:pivotFmt>
      <c:pivotFmt>
        <c:idx val="28"/>
        <c:spPr>
          <a:solidFill>
            <a:schemeClr val="accent1"/>
          </a:solidFill>
          <a:ln w="19050">
            <a:solidFill>
              <a:srgbClr val="FFFFFF"/>
            </a:solidFill>
            <a:prstDash val="solid"/>
          </a:ln>
          <a:effectLst/>
        </c:spPr>
      </c:pivotFmt>
      <c:pivotFmt>
        <c:idx val="29"/>
        <c:spPr>
          <a:solidFill>
            <a:schemeClr val="accent1"/>
          </a:solidFill>
          <a:ln w="19050">
            <a:solidFill>
              <a:srgbClr val="FFFFFF"/>
            </a:solidFill>
            <a:prstDash val="solid"/>
          </a:ln>
          <a:effectLst/>
        </c:spPr>
      </c:pivotFmt>
      <c:pivotFmt>
        <c:idx val="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"/>
        <c:spPr>
          <a:solidFill>
            <a:schemeClr val="accent1"/>
          </a:solidFill>
          <a:ln w="19050">
            <a:solidFill>
              <a:srgbClr val="FFFFFF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 w="19050">
            <a:solidFill>
              <a:srgbClr val="FFFFFF"/>
            </a:solidFill>
            <a:prstDash val="solid"/>
          </a:ln>
          <a:effectLst/>
        </c:spPr>
      </c:pivotFmt>
      <c:pivotFmt>
        <c:idx val="37"/>
        <c:spPr>
          <a:solidFill>
            <a:schemeClr val="accent1"/>
          </a:solidFill>
          <a:ln w="19050">
            <a:solidFill>
              <a:srgbClr val="FFFFFF"/>
            </a:solidFill>
            <a:prstDash val="solid"/>
          </a:ln>
          <a:effectLst/>
        </c:spPr>
      </c:pivotFmt>
      <c:pivotFmt>
        <c:idx val="38"/>
        <c:spPr>
          <a:solidFill>
            <a:schemeClr val="accent1"/>
          </a:solidFill>
          <a:ln w="19050">
            <a:solidFill>
              <a:srgbClr val="FFFFFF"/>
            </a:solidFill>
            <a:prstDash val="solid"/>
          </a:ln>
          <a:effectLst/>
        </c:spPr>
      </c:pivotFmt>
      <c:pivotFmt>
        <c:idx val="39"/>
        <c:spPr>
          <a:solidFill>
            <a:schemeClr val="accent1"/>
          </a:solidFill>
          <a:ln w="19050">
            <a:solidFill>
              <a:srgbClr val="FFFFFF"/>
            </a:solidFill>
            <a:prstDash val="solid"/>
          </a:ln>
          <a:effectLst/>
        </c:spPr>
      </c:pivotFmt>
      <c:pivotFmt>
        <c:idx val="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"/>
        <c:spPr>
          <a:solidFill>
            <a:schemeClr val="accent1"/>
          </a:solidFill>
          <a:ln w="19050">
            <a:solidFill>
              <a:srgbClr val="FFFFFF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 w="19050">
            <a:solidFill>
              <a:srgbClr val="FFFFFF"/>
            </a:solidFill>
            <a:prstDash val="solid"/>
          </a:ln>
          <a:effectLst/>
        </c:spPr>
      </c:pivotFmt>
      <c:pivotFmt>
        <c:idx val="47"/>
        <c:spPr>
          <a:solidFill>
            <a:schemeClr val="accent1"/>
          </a:solidFill>
          <a:ln w="19050">
            <a:solidFill>
              <a:srgbClr val="FFFFFF"/>
            </a:solidFill>
            <a:prstDash val="solid"/>
          </a:ln>
          <a:effectLst/>
        </c:spPr>
      </c:pivotFmt>
      <c:pivotFmt>
        <c:idx val="48"/>
        <c:spPr>
          <a:solidFill>
            <a:schemeClr val="accent1"/>
          </a:solidFill>
          <a:ln w="19050">
            <a:solidFill>
              <a:srgbClr val="FFFFFF"/>
            </a:solidFill>
            <a:prstDash val="solid"/>
          </a:ln>
          <a:effectLst/>
        </c:spPr>
      </c:pivotFmt>
      <c:pivotFmt>
        <c:idx val="49"/>
        <c:spPr>
          <a:solidFill>
            <a:schemeClr val="accent1"/>
          </a:solidFill>
          <a:ln w="19050">
            <a:solidFill>
              <a:srgbClr val="FFFFFF"/>
            </a:solidFill>
            <a:prstDash val="solid"/>
          </a:ln>
          <a:effectLst/>
        </c:spPr>
      </c:pivotFmt>
      <c:pivotFmt>
        <c:idx val="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Sales_volume!$B$3</c:f>
              <c:strCache>
                <c:ptCount val="1"/>
                <c:pt idx="0">
                  <c:v>Average of Sales_Volume</c:v>
                </c:pt>
              </c:strCache>
            </c:strRef>
          </c:tx>
          <c:spPr>
            <a:ln>
              <a:solidFill>
                <a:srgbClr val="FFFFFF"/>
              </a:solidFill>
              <a:prstDash val="solid"/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rgbClr val="FFFFFF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1-5CAF-4650-94FA-9D98EB05099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rgbClr val="FFFFFF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3-5CAF-4650-94FA-9D98EB05099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rgbClr val="FFFFFF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5-5CAF-4650-94FA-9D98EB05099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rgbClr val="FFFFFF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7-5CAF-4650-94FA-9D98EB05099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Sales_volume!$A$4:$A$8</c:f>
              <c:strCache>
                <c:ptCount val="4"/>
                <c:pt idx="0">
                  <c:v>Detached</c:v>
                </c:pt>
                <c:pt idx="1">
                  <c:v>Flat</c:v>
                </c:pt>
                <c:pt idx="2">
                  <c:v>Semi Detached</c:v>
                </c:pt>
                <c:pt idx="3">
                  <c:v>Terraced</c:v>
                </c:pt>
              </c:strCache>
            </c:strRef>
          </c:cat>
          <c:val>
            <c:numRef>
              <c:f>Sales_volume!$B$4:$B$8</c:f>
              <c:numCache>
                <c:formatCode>0</c:formatCode>
                <c:ptCount val="4"/>
                <c:pt idx="0">
                  <c:v>1608.3333333333333</c:v>
                </c:pt>
                <c:pt idx="1">
                  <c:v>2332.4884792626726</c:v>
                </c:pt>
                <c:pt idx="2">
                  <c:v>1915.7272727272727</c:v>
                </c:pt>
                <c:pt idx="3">
                  <c:v>1994.8387096774193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CAF-4650-94FA-9D98EB050991}"/>
            </c:ext>
          </c:extLst>
        </c:ser>
        <c:ser>
          <c:idx val="1"/>
          <c:order val="1"/>
          <c:tx>
            <c:strRef>
              <c:f>Sales_volume!$C$3</c:f>
              <c:strCache>
                <c:ptCount val="1"/>
                <c:pt idx="0">
                  <c:v>Sum of Average_Price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5CAF-4650-94FA-9D98EB05099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5CAF-4650-94FA-9D98EB05099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E-5CAF-4650-94FA-9D98EB05099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0-5CAF-4650-94FA-9D98EB05099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Sales_volume!$A$4:$A$8</c:f>
              <c:strCache>
                <c:ptCount val="4"/>
                <c:pt idx="0">
                  <c:v>Detached</c:v>
                </c:pt>
                <c:pt idx="1">
                  <c:v>Flat</c:v>
                </c:pt>
                <c:pt idx="2">
                  <c:v>Semi Detached</c:v>
                </c:pt>
                <c:pt idx="3">
                  <c:v>Terraced</c:v>
                </c:pt>
              </c:strCache>
            </c:strRef>
          </c:cat>
          <c:val>
            <c:numRef>
              <c:f>Sales_volume!$C$4:$C$8</c:f>
              <c:numCache>
                <c:formatCode>General</c:formatCode>
                <c:ptCount val="4"/>
                <c:pt idx="0">
                  <c:v>129502000</c:v>
                </c:pt>
                <c:pt idx="1">
                  <c:v>62637000</c:v>
                </c:pt>
                <c:pt idx="2">
                  <c:v>62998000</c:v>
                </c:pt>
                <c:pt idx="3">
                  <c:v>64257000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5CAF-4650-94FA-9D98EB050991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[Shaakiru kelly cleaned 11.xlsx]Property_average_price by regio!PivotTable5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70AD47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Region vs Average_Price and Growth_rate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70AD47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7030A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7030A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3.9%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7030A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"/>
        <c:spPr>
          <a:solidFill>
            <a:schemeClr val="accent2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7030A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6.2%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7030A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4"/>
        <c:spPr>
          <a:solidFill>
            <a:schemeClr val="accent2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7030A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3.7%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7030A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7030A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-7.17%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7030A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6"/>
        <c:spPr>
          <a:solidFill>
            <a:schemeClr val="accent2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7030A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12.9%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7030A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7"/>
        <c:spPr>
          <a:solidFill>
            <a:schemeClr val="accent2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7030A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12.1%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7030A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8"/>
        <c:spPr>
          <a:solidFill>
            <a:schemeClr val="accent2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7030A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-0.09%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7030A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9"/>
        <c:spPr>
          <a:solidFill>
            <a:schemeClr val="accent2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7030A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7.7%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7030A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0"/>
        <c:spPr>
          <a:solidFill>
            <a:schemeClr val="accent2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7030A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8.4%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7030A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7030A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2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7030A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3.9%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7030A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4"/>
        <c:spPr>
          <a:solidFill>
            <a:schemeClr val="accent2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7030A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6.2%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7030A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5"/>
        <c:spPr>
          <a:solidFill>
            <a:schemeClr val="accent2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7030A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3.7%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7030A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6"/>
        <c:spPr>
          <a:solidFill>
            <a:schemeClr val="accent2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7030A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-7.17%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7030A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7"/>
        <c:spPr>
          <a:solidFill>
            <a:schemeClr val="accent2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7030A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12.9%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7030A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8"/>
        <c:spPr>
          <a:solidFill>
            <a:schemeClr val="accent2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7030A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12.1%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7030A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9"/>
        <c:spPr>
          <a:solidFill>
            <a:schemeClr val="accent2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7030A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-0.09%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7030A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0"/>
        <c:spPr>
          <a:solidFill>
            <a:schemeClr val="accent2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7030A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7.7%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7030A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1"/>
        <c:spPr>
          <a:solidFill>
            <a:schemeClr val="accent2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7030A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8.4%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7030A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7030A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2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7030A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3.9%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7030A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5"/>
        <c:spPr>
          <a:solidFill>
            <a:schemeClr val="accent2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7030A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6.2%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7030A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6"/>
        <c:spPr>
          <a:solidFill>
            <a:schemeClr val="accent2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7030A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3.7%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7030A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7"/>
        <c:spPr>
          <a:solidFill>
            <a:schemeClr val="accent2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7030A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-7.17%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7030A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8"/>
        <c:spPr>
          <a:solidFill>
            <a:schemeClr val="accent2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7030A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12.9%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7030A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9"/>
        <c:spPr>
          <a:solidFill>
            <a:schemeClr val="accent2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7030A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12.1%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7030A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0"/>
        <c:spPr>
          <a:solidFill>
            <a:schemeClr val="accent2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7030A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-0.09%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7030A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1"/>
        <c:spPr>
          <a:solidFill>
            <a:schemeClr val="accent2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7030A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7.7%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7030A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2"/>
        <c:spPr>
          <a:solidFill>
            <a:schemeClr val="accent2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7030A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8.4%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7030A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7030A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2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7030A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3.9%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7030A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6"/>
        <c:spPr>
          <a:solidFill>
            <a:schemeClr val="accent2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7030A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6.2%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7030A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7"/>
        <c:spPr>
          <a:solidFill>
            <a:schemeClr val="accent2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7030A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3.7%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7030A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8"/>
        <c:spPr>
          <a:solidFill>
            <a:schemeClr val="accent2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7030A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-7.17%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7030A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9"/>
        <c:spPr>
          <a:solidFill>
            <a:schemeClr val="accent2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7030A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12.9%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7030A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40"/>
        <c:spPr>
          <a:solidFill>
            <a:schemeClr val="accent2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7030A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12.1%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7030A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41"/>
        <c:spPr>
          <a:solidFill>
            <a:schemeClr val="accent2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7030A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-0.09%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7030A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42"/>
        <c:spPr>
          <a:solidFill>
            <a:schemeClr val="accent2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7030A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7.7%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7030A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43"/>
        <c:spPr>
          <a:solidFill>
            <a:schemeClr val="accent2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7030A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8.4%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7030A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7030A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2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7030A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3.9%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7030A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47"/>
        <c:spPr>
          <a:solidFill>
            <a:schemeClr val="accent2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7030A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6.2%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7030A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48"/>
        <c:spPr>
          <a:solidFill>
            <a:schemeClr val="accent2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7030A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3.7%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7030A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49"/>
        <c:spPr>
          <a:solidFill>
            <a:schemeClr val="accent2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7030A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-7.17%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7030A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50"/>
        <c:spPr>
          <a:solidFill>
            <a:schemeClr val="accent2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7030A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12.9%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7030A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51"/>
        <c:spPr>
          <a:solidFill>
            <a:schemeClr val="accent2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7030A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12.1%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7030A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52"/>
        <c:spPr>
          <a:solidFill>
            <a:schemeClr val="accent2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7030A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-0.09%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7030A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53"/>
        <c:spPr>
          <a:solidFill>
            <a:schemeClr val="accent2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7030A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7.7%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7030A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54"/>
        <c:spPr>
          <a:solidFill>
            <a:schemeClr val="accent2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7030A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8.4%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7030A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'Property_average_price by regio'!$B$3:$B$4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'Property_average_price by regio'!$A$5:$A$14</c:f>
              <c:strCache>
                <c:ptCount val="9"/>
                <c:pt idx="0">
                  <c:v>East Midlands</c:v>
                </c:pt>
                <c:pt idx="1">
                  <c:v>East of England</c:v>
                </c:pt>
                <c:pt idx="2">
                  <c:v>London</c:v>
                </c:pt>
                <c:pt idx="3">
                  <c:v>North East</c:v>
                </c:pt>
                <c:pt idx="4">
                  <c:v>North West</c:v>
                </c:pt>
                <c:pt idx="5">
                  <c:v>South East</c:v>
                </c:pt>
                <c:pt idx="6">
                  <c:v>South West</c:v>
                </c:pt>
                <c:pt idx="7">
                  <c:v>West Midlands</c:v>
                </c:pt>
                <c:pt idx="8">
                  <c:v>Yorkshire</c:v>
                </c:pt>
              </c:strCache>
            </c:strRef>
          </c:cat>
          <c:val>
            <c:numRef>
              <c:f>'Property_average_price by regio'!$B$5:$B$14</c:f>
              <c:numCache>
                <c:formatCode>0</c:formatCode>
                <c:ptCount val="9"/>
                <c:pt idx="0">
                  <c:v>317478.26086956525</c:v>
                </c:pt>
                <c:pt idx="1">
                  <c:v>427736.84210526315</c:v>
                </c:pt>
                <c:pt idx="2">
                  <c:v>635090.90909090906</c:v>
                </c:pt>
                <c:pt idx="3">
                  <c:v>251344.8275862069</c:v>
                </c:pt>
                <c:pt idx="4">
                  <c:v>273173.91304347827</c:v>
                </c:pt>
                <c:pt idx="5">
                  <c:v>434130.4347826087</c:v>
                </c:pt>
                <c:pt idx="6">
                  <c:v>419000</c:v>
                </c:pt>
                <c:pt idx="7">
                  <c:v>343074.0740740741</c:v>
                </c:pt>
                <c:pt idx="8">
                  <c:v>306142.85714285716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C4-4379-857F-E13366EC240A}"/>
            </c:ext>
          </c:extLst>
        </c:ser>
        <c:ser>
          <c:idx val="1"/>
          <c:order val="1"/>
          <c:tx>
            <c:strRef>
              <c:f>'Property_average_price by regio'!$C$3:$C$4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C3C4-4379-857F-E13366EC240A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C3C4-4379-857F-E13366EC240A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C3C4-4379-857F-E13366EC240A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C3C4-4379-857F-E13366EC240A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C3C4-4379-857F-E13366EC240A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C3C4-4379-857F-E13366EC240A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E-C3C4-4379-857F-E13366EC240A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0-C3C4-4379-857F-E13366EC240A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2-C3C4-4379-857F-E13366EC240A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3.9%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C3C4-4379-857F-E13366EC240A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6.2%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C3C4-4379-857F-E13366EC240A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3.7%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6-C3C4-4379-857F-E13366EC240A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/>
                      <a:t>-7.17%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8-C3C4-4379-857F-E13366EC240A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r>
                      <a:rPr lang="en-US"/>
                      <a:t>12.9%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A-C3C4-4379-857F-E13366EC240A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r>
                      <a:rPr lang="en-US"/>
                      <a:t>12.1%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C-C3C4-4379-857F-E13366EC240A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r>
                      <a:rPr lang="en-US"/>
                      <a:t>-0.09%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E-C3C4-4379-857F-E13366EC240A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r>
                      <a:rPr lang="en-US"/>
                      <a:t>7.7%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0-C3C4-4379-857F-E13366EC240A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r>
                      <a:rPr lang="en-US"/>
                      <a:t>8.4%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2-C3C4-4379-857F-E13366EC240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7030A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'Property_average_price by regio'!$A$5:$A$14</c:f>
              <c:strCache>
                <c:ptCount val="9"/>
                <c:pt idx="0">
                  <c:v>East Midlands</c:v>
                </c:pt>
                <c:pt idx="1">
                  <c:v>East of England</c:v>
                </c:pt>
                <c:pt idx="2">
                  <c:v>London</c:v>
                </c:pt>
                <c:pt idx="3">
                  <c:v>North East</c:v>
                </c:pt>
                <c:pt idx="4">
                  <c:v>North West</c:v>
                </c:pt>
                <c:pt idx="5">
                  <c:v>South East</c:v>
                </c:pt>
                <c:pt idx="6">
                  <c:v>South West</c:v>
                </c:pt>
                <c:pt idx="7">
                  <c:v>West Midlands</c:v>
                </c:pt>
                <c:pt idx="8">
                  <c:v>Yorkshire</c:v>
                </c:pt>
              </c:strCache>
            </c:strRef>
          </c:cat>
          <c:val>
            <c:numRef>
              <c:f>'Property_average_price by regio'!$C$5:$C$14</c:f>
              <c:numCache>
                <c:formatCode>0</c:formatCode>
                <c:ptCount val="9"/>
                <c:pt idx="0">
                  <c:v>329861.53846153844</c:v>
                </c:pt>
                <c:pt idx="1">
                  <c:v>454573.5294117647</c:v>
                </c:pt>
                <c:pt idx="2">
                  <c:v>658717.94871794875</c:v>
                </c:pt>
                <c:pt idx="3">
                  <c:v>233333.33333333334</c:v>
                </c:pt>
                <c:pt idx="4">
                  <c:v>308672.13114754099</c:v>
                </c:pt>
                <c:pt idx="5">
                  <c:v>486810.81081081083</c:v>
                </c:pt>
                <c:pt idx="6">
                  <c:v>418623.18840579712</c:v>
                </c:pt>
                <c:pt idx="7">
                  <c:v>369793.10344827588</c:v>
                </c:pt>
                <c:pt idx="8">
                  <c:v>332068.96551724139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C3C4-4379-857F-E13366EC24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138528264"/>
        <c:axId val="2141724680"/>
      </c:barChart>
      <c:catAx>
        <c:axId val="21385282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806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1724680"/>
        <c:crosses val="autoZero"/>
        <c:auto val="1"/>
        <c:lblAlgn val="ctr"/>
        <c:lblOffset val="100"/>
        <c:noMultiLvlLbl val="0"/>
      </c:catAx>
      <c:valAx>
        <c:axId val="21417246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833C0C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8528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[Shaakiru kelly cleaned 11.xlsx]Sheet7!PivotTable2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FFC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_Mortgage_Cost vs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FFC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Sheet7!$B$3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Sheet7!$A$4:$A$13</c:f>
              <c:strCache>
                <c:ptCount val="9"/>
                <c:pt idx="0">
                  <c:v>East Midlands</c:v>
                </c:pt>
                <c:pt idx="1">
                  <c:v>East of England</c:v>
                </c:pt>
                <c:pt idx="2">
                  <c:v>London</c:v>
                </c:pt>
                <c:pt idx="3">
                  <c:v>North East</c:v>
                </c:pt>
                <c:pt idx="4">
                  <c:v>North West</c:v>
                </c:pt>
                <c:pt idx="5">
                  <c:v>South East</c:v>
                </c:pt>
                <c:pt idx="6">
                  <c:v>South West</c:v>
                </c:pt>
                <c:pt idx="7">
                  <c:v>West Midlands</c:v>
                </c:pt>
                <c:pt idx="8">
                  <c:v>Yorkshire</c:v>
                </c:pt>
              </c:strCache>
            </c:strRef>
          </c:cat>
          <c:val>
            <c:numRef>
              <c:f>Sheet7!$B$4:$B$13</c:f>
              <c:numCache>
                <c:formatCode>"£"#,##0.00_);[Red]\("£"#,##0.00\)</c:formatCode>
                <c:ptCount val="9"/>
                <c:pt idx="0">
                  <c:v>1743.8924945381043</c:v>
                </c:pt>
                <c:pt idx="1">
                  <c:v>2272.3082011439428</c:v>
                </c:pt>
                <c:pt idx="2">
                  <c:v>3280.8675049982312</c:v>
                </c:pt>
                <c:pt idx="3">
                  <c:v>1363.5603728057565</c:v>
                </c:pt>
                <c:pt idx="4">
                  <c:v>1646.06010834669</c:v>
                </c:pt>
                <c:pt idx="5">
                  <c:v>2402.5527865348336</c:v>
                </c:pt>
                <c:pt idx="6">
                  <c:v>2126.4191060658063</c:v>
                </c:pt>
                <c:pt idx="7">
                  <c:v>1901.3800950464617</c:v>
                </c:pt>
                <c:pt idx="8">
                  <c:v>1728.4580181329402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517-4631-985F-70B9FEB5D2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9694856"/>
        <c:axId val="79726088"/>
      </c:lineChart>
      <c:catAx>
        <c:axId val="79694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726088"/>
        <c:crosses val="autoZero"/>
        <c:auto val="1"/>
        <c:lblAlgn val="ctr"/>
        <c:lblOffset val="100"/>
        <c:noMultiLvlLbl val="0"/>
      </c:catAx>
      <c:valAx>
        <c:axId val="79726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Monthy_Cost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£&quot;#,##0.00_);[Red]\(&quot;£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694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Property_type growth rate (2023 - 2024)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Property_growth_rate!$B$12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rgbClr val="C65911"/>
            </a:solidFill>
            <a:ln>
              <a:noFill/>
            </a:ln>
            <a:effectLst/>
          </c:spPr>
          <c:invertIfNegative val="0"/>
          <c:cat>
            <c:strRef>
              <c:f>Property_growth_rate!$A$13:$A$16</c:f>
              <c:strCache>
                <c:ptCount val="4"/>
                <c:pt idx="0">
                  <c:v>Detached</c:v>
                </c:pt>
                <c:pt idx="1">
                  <c:v>Flat</c:v>
                </c:pt>
                <c:pt idx="2">
                  <c:v>Semi Detached</c:v>
                </c:pt>
                <c:pt idx="3">
                  <c:v>Terraced</c:v>
                </c:pt>
              </c:strCache>
            </c:strRef>
          </c:cat>
          <c:val>
            <c:numRef>
              <c:f>Property_growth_rate!$B$13:$B$16</c:f>
              <c:numCache>
                <c:formatCode>0</c:formatCode>
                <c:ptCount val="4"/>
                <c:pt idx="0">
                  <c:v>521280.70175438595</c:v>
                </c:pt>
                <c:pt idx="1">
                  <c:v>270920.63492063491</c:v>
                </c:pt>
                <c:pt idx="2">
                  <c:v>364378.3783783784</c:v>
                </c:pt>
                <c:pt idx="3">
                  <c:v>326907.40740740742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B3-462E-A948-914350794511}"/>
            </c:ext>
          </c:extLst>
        </c:ser>
        <c:ser>
          <c:idx val="1"/>
          <c:order val="1"/>
          <c:tx>
            <c:strRef>
              <c:f>Property_growth_rate!$C$12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10.02%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64B3-462E-A948-914350794511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9.22%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64B3-462E-A948-914350794511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6.17%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64B3-462E-A948-914350794511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/>
                      <a:t>8%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64B3-462E-A948-91435079451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Property_growth_rate!$A$13:$A$16</c:f>
              <c:strCache>
                <c:ptCount val="4"/>
                <c:pt idx="0">
                  <c:v>Detached</c:v>
                </c:pt>
                <c:pt idx="1">
                  <c:v>Flat</c:v>
                </c:pt>
                <c:pt idx="2">
                  <c:v>Semi Detached</c:v>
                </c:pt>
                <c:pt idx="3">
                  <c:v>Terraced</c:v>
                </c:pt>
              </c:strCache>
            </c:strRef>
          </c:cat>
          <c:val>
            <c:numRef>
              <c:f>Property_growth_rate!$C$13:$C$16</c:f>
              <c:numCache>
                <c:formatCode>0</c:formatCode>
                <c:ptCount val="4"/>
                <c:pt idx="0" formatCode="General">
                  <c:v>573500</c:v>
                </c:pt>
                <c:pt idx="1">
                  <c:v>295902.59740259743</c:v>
                </c:pt>
                <c:pt idx="2">
                  <c:v>386843.75</c:v>
                </c:pt>
                <c:pt idx="3">
                  <c:v>353060.60606060608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4B3-462E-A948-9143507945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0054280"/>
        <c:axId val="200056328"/>
      </c:barChart>
      <c:catAx>
        <c:axId val="2000542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Property_type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1" u="none" strike="noStrike" kern="1200" baseline="0">
                <a:solidFill>
                  <a:srgbClr val="70AD47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056328"/>
        <c:crosses val="autoZero"/>
        <c:auto val="1"/>
        <c:lblAlgn val="ctr"/>
        <c:lblOffset val="100"/>
        <c:noMultiLvlLbl val="0"/>
      </c:catAx>
      <c:valAx>
        <c:axId val="200056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Average_price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70AD47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054280"/>
        <c:crosses val="autoZero"/>
        <c:crossBetween val="between"/>
        <c:majorUnit val="150000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[Shaakiru kelly cleaned 11.xlsx]Sheet11!PivotTable6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ED7D3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Energy_Rating vs Average_price vs Sales_volume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ED7D3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1795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"/>
        <c:spPr>
          <a:solidFill>
            <a:schemeClr val="accent2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1759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4"/>
        <c:spPr>
          <a:solidFill>
            <a:schemeClr val="accent2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2076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2142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2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1795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9"/>
        <c:spPr>
          <a:solidFill>
            <a:schemeClr val="accent2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1759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0"/>
        <c:spPr>
          <a:solidFill>
            <a:schemeClr val="accent2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2076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1"/>
        <c:spPr>
          <a:solidFill>
            <a:schemeClr val="accent2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2142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2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1795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5"/>
        <c:spPr>
          <a:solidFill>
            <a:schemeClr val="accent2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1759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6"/>
        <c:spPr>
          <a:solidFill>
            <a:schemeClr val="accent2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2076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7"/>
        <c:spPr>
          <a:solidFill>
            <a:schemeClr val="accent2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2142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2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1795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1"/>
        <c:spPr>
          <a:solidFill>
            <a:schemeClr val="accent2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1759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2"/>
        <c:spPr>
          <a:solidFill>
            <a:schemeClr val="accent2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2076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3"/>
        <c:spPr>
          <a:solidFill>
            <a:schemeClr val="accent2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2142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2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1795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7"/>
        <c:spPr>
          <a:solidFill>
            <a:schemeClr val="accent2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1759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8"/>
        <c:spPr>
          <a:solidFill>
            <a:schemeClr val="accent2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2076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9"/>
        <c:spPr>
          <a:solidFill>
            <a:schemeClr val="accent2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2142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Sheet11!$B$3</c:f>
              <c:strCache>
                <c:ptCount val="1"/>
                <c:pt idx="0">
                  <c:v>Average of Average_Price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Sheet11!$A$4:$A$8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Sheet11!$B$4:$B$8</c:f>
              <c:numCache>
                <c:formatCode>General</c:formatCode>
                <c:ptCount val="4"/>
                <c:pt idx="0">
                  <c:v>745852.9411764706</c:v>
                </c:pt>
                <c:pt idx="1">
                  <c:v>475277.58007117437</c:v>
                </c:pt>
                <c:pt idx="2">
                  <c:v>348000</c:v>
                </c:pt>
                <c:pt idx="3">
                  <c:v>249481.65137614679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00-431B-BA4B-03CDBDC3C960}"/>
            </c:ext>
          </c:extLst>
        </c:ser>
        <c:ser>
          <c:idx val="1"/>
          <c:order val="1"/>
          <c:tx>
            <c:strRef>
              <c:f>Sheet11!$C$3</c:f>
              <c:strCache>
                <c:ptCount val="1"/>
                <c:pt idx="0">
                  <c:v>Average of Sales_Volume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8A00-431B-BA4B-03CDBDC3C960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8A00-431B-BA4B-03CDBDC3C960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8A00-431B-BA4B-03CDBDC3C960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8A00-431B-BA4B-03CDBDC3C960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1795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8A00-431B-BA4B-03CDBDC3C960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1759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8A00-431B-BA4B-03CDBDC3C960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2076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6-8A00-431B-BA4B-03CDBDC3C960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/>
                      <a:t>2142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8-8A00-431B-BA4B-03CDBDC3C96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Sheet11!$A$4:$A$8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Sheet11!$C$4:$C$8</c:f>
              <c:numCache>
                <c:formatCode>General</c:formatCode>
                <c:ptCount val="4"/>
                <c:pt idx="0">
                  <c:v>1795.4411764705883</c:v>
                </c:pt>
                <c:pt idx="1">
                  <c:v>1758.8078291814948</c:v>
                </c:pt>
                <c:pt idx="2">
                  <c:v>2075.9482758620688</c:v>
                </c:pt>
                <c:pt idx="3">
                  <c:v>2141.6284403669724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8A00-431B-BA4B-03CDBDC3C9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25551880"/>
        <c:axId val="425589256"/>
      </c:barChart>
      <c:catAx>
        <c:axId val="425551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5589256"/>
        <c:crosses val="autoZero"/>
        <c:auto val="1"/>
        <c:lblAlgn val="ctr"/>
        <c:lblOffset val="100"/>
        <c:noMultiLvlLbl val="0"/>
      </c:catAx>
      <c:valAx>
        <c:axId val="425589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5551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[Shaakiru kelly cleaned 11.xlsx]Sheet12!PivotTable7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70AD47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Investment Score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70AD47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strRef>
              <c:f>Sheet12!$A$4:$A$13</c:f>
              <c:strCache>
                <c:ptCount val="9"/>
                <c:pt idx="0">
                  <c:v>East Midlands</c:v>
                </c:pt>
                <c:pt idx="1">
                  <c:v>East of England</c:v>
                </c:pt>
                <c:pt idx="2">
                  <c:v>London</c:v>
                </c:pt>
                <c:pt idx="3">
                  <c:v>North East</c:v>
                </c:pt>
                <c:pt idx="4">
                  <c:v>North West</c:v>
                </c:pt>
                <c:pt idx="5">
                  <c:v>South East</c:v>
                </c:pt>
                <c:pt idx="6">
                  <c:v>South West</c:v>
                </c:pt>
                <c:pt idx="7">
                  <c:v>West Midlands</c:v>
                </c:pt>
                <c:pt idx="8">
                  <c:v>Yorkshire</c:v>
                </c:pt>
              </c:strCache>
            </c:strRef>
          </c:cat>
          <c:val>
            <c:numRef>
              <c:f>Sheet12!$B$4:$B$13</c:f>
              <c:numCache>
                <c:formatCode>General</c:formatCode>
                <c:ptCount val="9"/>
                <c:pt idx="0">
                  <c:v>742.49729518583604</c:v>
                </c:pt>
                <c:pt idx="1">
                  <c:v>783.63134057660727</c:v>
                </c:pt>
                <c:pt idx="2">
                  <c:v>886.16711839864661</c:v>
                </c:pt>
                <c:pt idx="3">
                  <c:v>779.04445368383028</c:v>
                </c:pt>
                <c:pt idx="4">
                  <c:v>850.79865755426124</c:v>
                </c:pt>
                <c:pt idx="5">
                  <c:v>833.42823884997711</c:v>
                </c:pt>
                <c:pt idx="6">
                  <c:v>711.26529395536215</c:v>
                </c:pt>
                <c:pt idx="7">
                  <c:v>749.19822904496107</c:v>
                </c:pt>
                <c:pt idx="8">
                  <c:v>699.6971276682898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92-4682-A381-8E5CB34B75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3351048"/>
        <c:axId val="83424776"/>
      </c:barChart>
      <c:catAx>
        <c:axId val="83351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424776"/>
        <c:crosses val="autoZero"/>
        <c:auto val="1"/>
        <c:lblAlgn val="ctr"/>
        <c:lblOffset val="100"/>
        <c:noMultiLvlLbl val="0"/>
      </c:catAx>
      <c:valAx>
        <c:axId val="83424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Investment_Score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351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[Shaakiru kelly cleaned 11.xlsx]Sheet9!PivotTable4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Buyer_type vs Property_type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4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1942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2331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1604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7"/>
        <c:spPr>
          <a:solidFill>
            <a:schemeClr val="accent4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2267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8"/>
        <c:spPr>
          <a:solidFill>
            <a:schemeClr val="accent3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1916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1641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1604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1641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2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2331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3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1916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4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1942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9"/>
        <c:spPr>
          <a:solidFill>
            <a:schemeClr val="accent4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2267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1604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1641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2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2331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3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1916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4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1942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9"/>
        <c:spPr>
          <a:solidFill>
            <a:schemeClr val="accent4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2267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1604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1641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2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2331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3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1916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4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1942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9"/>
        <c:spPr>
          <a:solidFill>
            <a:schemeClr val="accent4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2267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1604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1641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2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2331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3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1916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4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1942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49"/>
        <c:spPr>
          <a:solidFill>
            <a:schemeClr val="accent4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2267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1604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1641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2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2331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3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1916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4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1942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59"/>
        <c:spPr>
          <a:solidFill>
            <a:schemeClr val="accent4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2267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1604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62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1641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2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2331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3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1916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4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1942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69"/>
        <c:spPr>
          <a:solidFill>
            <a:schemeClr val="accent4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2267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1604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72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1641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solidFill>
            <a:schemeClr val="accent2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2331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solidFill>
            <a:schemeClr val="accent3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1916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solidFill>
            <a:schemeClr val="accent4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1942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79"/>
        <c:spPr>
          <a:solidFill>
            <a:schemeClr val="accent4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2267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1604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82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1641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solidFill>
            <a:schemeClr val="accent2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2331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solidFill>
            <a:schemeClr val="accent3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1916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8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spPr>
          <a:solidFill>
            <a:schemeClr val="accent4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1942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89"/>
        <c:spPr>
          <a:solidFill>
            <a:schemeClr val="accent4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2267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Sheet9!$B$3:$B$4</c:f>
              <c:strCache>
                <c:ptCount val="1"/>
                <c:pt idx="0">
                  <c:v>Detached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69E-4450-BB63-E121A476BECB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69E-4450-BB63-E121A476BECB}"/>
              </c:ext>
            </c:extLst>
          </c:dPt>
          <c:dLbls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1604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B69E-4450-BB63-E121A476BECB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1641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B69E-4450-BB63-E121A476BEC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Sheet9!$A$5:$A$8</c:f>
              <c:strCache>
                <c:ptCount val="3"/>
                <c:pt idx="0">
                  <c:v>First Timer</c:v>
                </c:pt>
                <c:pt idx="1">
                  <c:v>Investor</c:v>
                </c:pt>
                <c:pt idx="2">
                  <c:v>Upsizer</c:v>
                </c:pt>
              </c:strCache>
            </c:strRef>
          </c:cat>
          <c:val>
            <c:numRef>
              <c:f>Sheet9!$B$5:$B$8</c:f>
              <c:numCache>
                <c:formatCode>General</c:formatCode>
                <c:ptCount val="3"/>
                <c:pt idx="1">
                  <c:v>203</c:v>
                </c:pt>
                <c:pt idx="2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69E-4450-BB63-E121A476BECB}"/>
            </c:ext>
          </c:extLst>
        </c:ser>
        <c:ser>
          <c:idx val="1"/>
          <c:order val="1"/>
          <c:tx>
            <c:strRef>
              <c:f>Sheet9!$C$3:$C$4</c:f>
              <c:strCache>
                <c:ptCount val="1"/>
                <c:pt idx="0">
                  <c:v>Flat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B69E-4450-BB63-E121A476BECB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2331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6-B69E-4450-BB63-E121A476BEC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Sheet9!$A$5:$A$8</c:f>
              <c:strCache>
                <c:ptCount val="3"/>
                <c:pt idx="0">
                  <c:v>First Timer</c:v>
                </c:pt>
                <c:pt idx="1">
                  <c:v>Investor</c:v>
                </c:pt>
                <c:pt idx="2">
                  <c:v>Upsizer</c:v>
                </c:pt>
              </c:strCache>
            </c:strRef>
          </c:cat>
          <c:val>
            <c:numRef>
              <c:f>Sheet9!$C$5:$C$8</c:f>
              <c:numCache>
                <c:formatCode>General</c:formatCode>
                <c:ptCount val="3"/>
                <c:pt idx="0">
                  <c:v>216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69E-4450-BB63-E121A476BECB}"/>
            </c:ext>
          </c:extLst>
        </c:ser>
        <c:ser>
          <c:idx val="2"/>
          <c:order val="2"/>
          <c:tx>
            <c:strRef>
              <c:f>Sheet9!$D$3:$D$4</c:f>
              <c:strCache>
                <c:ptCount val="1"/>
                <c:pt idx="0">
                  <c:v>Semi Detached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Pt>
            <c:idx val="2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B69E-4450-BB63-E121A476BECB}"/>
              </c:ext>
            </c:extLst>
          </c:dPt>
          <c:dLbls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1916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9-B69E-4450-BB63-E121A476BEC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Sheet9!$A$5:$A$8</c:f>
              <c:strCache>
                <c:ptCount val="3"/>
                <c:pt idx="0">
                  <c:v>First Timer</c:v>
                </c:pt>
                <c:pt idx="1">
                  <c:v>Investor</c:v>
                </c:pt>
                <c:pt idx="2">
                  <c:v>Upsizer</c:v>
                </c:pt>
              </c:strCache>
            </c:strRef>
          </c:cat>
          <c:val>
            <c:numRef>
              <c:f>Sheet9!$D$5:$D$8</c:f>
              <c:numCache>
                <c:formatCode>General</c:formatCode>
                <c:ptCount val="3"/>
                <c:pt idx="0">
                  <c:v>1</c:v>
                </c:pt>
                <c:pt idx="2">
                  <c:v>164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B69E-4450-BB63-E121A476BECB}"/>
            </c:ext>
          </c:extLst>
        </c:ser>
        <c:ser>
          <c:idx val="3"/>
          <c:order val="3"/>
          <c:tx>
            <c:strRef>
              <c:f>Sheet9!$E$3:$E$4</c:f>
              <c:strCache>
                <c:ptCount val="1"/>
                <c:pt idx="0">
                  <c:v>Terraced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B69E-4450-BB63-E121A476BECB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E-B69E-4450-BB63-E121A476BECB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1942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C-B69E-4450-BB63-E121A476BECB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2267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E-B69E-4450-BB63-E121A476BEC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Sheet9!$A$5:$A$8</c:f>
              <c:strCache>
                <c:ptCount val="3"/>
                <c:pt idx="0">
                  <c:v>First Timer</c:v>
                </c:pt>
                <c:pt idx="1">
                  <c:v>Investor</c:v>
                </c:pt>
                <c:pt idx="2">
                  <c:v>Upsizer</c:v>
                </c:pt>
              </c:strCache>
            </c:strRef>
          </c:cat>
          <c:val>
            <c:numRef>
              <c:f>Sheet9!$E$5:$E$8</c:f>
              <c:numCache>
                <c:formatCode>General</c:formatCode>
                <c:ptCount val="3"/>
                <c:pt idx="0">
                  <c:v>156</c:v>
                </c:pt>
                <c:pt idx="2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B69E-4450-BB63-E121A476BE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123680263"/>
        <c:axId val="53489672"/>
      </c:barChart>
      <c:catAx>
        <c:axId val="212368026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Property_type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489672"/>
        <c:crosses val="autoZero"/>
        <c:auto val="1"/>
        <c:lblAlgn val="ctr"/>
        <c:lblOffset val="100"/>
        <c:noMultiLvlLbl val="0"/>
      </c:catAx>
      <c:valAx>
        <c:axId val="53489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Sales_Volume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36802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[Shaakiru kelly cleaned 11.xlsx]Sheet6!PivotTable1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ED7D3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Affordability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ED7D3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Sheet6!$B$3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cat>
            <c:strRef>
              <c:f>Sheet6!$A$4:$A$13</c:f>
              <c:strCache>
                <c:ptCount val="9"/>
                <c:pt idx="0">
                  <c:v>East Midlands</c:v>
                </c:pt>
                <c:pt idx="1">
                  <c:v>East of England</c:v>
                </c:pt>
                <c:pt idx="2">
                  <c:v>London</c:v>
                </c:pt>
                <c:pt idx="3">
                  <c:v>North East</c:v>
                </c:pt>
                <c:pt idx="4">
                  <c:v>North West</c:v>
                </c:pt>
                <c:pt idx="5">
                  <c:v>South East</c:v>
                </c:pt>
                <c:pt idx="6">
                  <c:v>South West</c:v>
                </c:pt>
                <c:pt idx="7">
                  <c:v>West Midlands</c:v>
                </c:pt>
                <c:pt idx="8">
                  <c:v>Yorkshire</c:v>
                </c:pt>
              </c:strCache>
            </c:strRef>
          </c:cat>
          <c:val>
            <c:numRef>
              <c:f>Sheet6!$B$4:$B$13</c:f>
              <c:numCache>
                <c:formatCode>0.00</c:formatCode>
                <c:ptCount val="9"/>
                <c:pt idx="0">
                  <c:v>225.10602221627008</c:v>
                </c:pt>
                <c:pt idx="1">
                  <c:v>261.68975222331062</c:v>
                </c:pt>
                <c:pt idx="2">
                  <c:v>359.72055559503445</c:v>
                </c:pt>
                <c:pt idx="3">
                  <c:v>144.30476188399109</c:v>
                </c:pt>
                <c:pt idx="4">
                  <c:v>172.01106527961176</c:v>
                </c:pt>
                <c:pt idx="5">
                  <c:v>277.63699425733898</c:v>
                </c:pt>
                <c:pt idx="6">
                  <c:v>268.27737555317395</c:v>
                </c:pt>
                <c:pt idx="7">
                  <c:v>235.65145107732008</c:v>
                </c:pt>
                <c:pt idx="8">
                  <c:v>241.03384427590544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AC-424D-9F67-AA35DD9DCC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06123528"/>
        <c:axId val="606125576"/>
      </c:barChart>
      <c:catAx>
        <c:axId val="60612352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BF8F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6125576"/>
        <c:crosses val="autoZero"/>
        <c:auto val="1"/>
        <c:lblAlgn val="ctr"/>
        <c:lblOffset val="100"/>
        <c:noMultiLvlLbl val="0"/>
      </c:catAx>
      <c:valAx>
        <c:axId val="6061255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Affordability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6123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[Shaakiru kelly cleaned 11.xlsx]Sheet7!PivotTable2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FFC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_Mortgage_Cost vs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FFC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Sheet7!$B$3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Sheet7!$A$4:$A$13</c:f>
              <c:strCache>
                <c:ptCount val="9"/>
                <c:pt idx="0">
                  <c:v>East Midlands</c:v>
                </c:pt>
                <c:pt idx="1">
                  <c:v>East of England</c:v>
                </c:pt>
                <c:pt idx="2">
                  <c:v>London</c:v>
                </c:pt>
                <c:pt idx="3">
                  <c:v>North East</c:v>
                </c:pt>
                <c:pt idx="4">
                  <c:v>North West</c:v>
                </c:pt>
                <c:pt idx="5">
                  <c:v>South East</c:v>
                </c:pt>
                <c:pt idx="6">
                  <c:v>South West</c:v>
                </c:pt>
                <c:pt idx="7">
                  <c:v>West Midlands</c:v>
                </c:pt>
                <c:pt idx="8">
                  <c:v>Yorkshire</c:v>
                </c:pt>
              </c:strCache>
            </c:strRef>
          </c:cat>
          <c:val>
            <c:numRef>
              <c:f>Sheet7!$B$4:$B$13</c:f>
              <c:numCache>
                <c:formatCode>"£"#,##0.00_);[Red]\("£"#,##0.00\)</c:formatCode>
                <c:ptCount val="9"/>
                <c:pt idx="0">
                  <c:v>1743.8924945381043</c:v>
                </c:pt>
                <c:pt idx="1">
                  <c:v>2272.3082011439428</c:v>
                </c:pt>
                <c:pt idx="2">
                  <c:v>3280.8675049982312</c:v>
                </c:pt>
                <c:pt idx="3">
                  <c:v>1363.5603728057565</c:v>
                </c:pt>
                <c:pt idx="4">
                  <c:v>1646.06010834669</c:v>
                </c:pt>
                <c:pt idx="5">
                  <c:v>2402.5527865348336</c:v>
                </c:pt>
                <c:pt idx="6">
                  <c:v>2126.4191060658063</c:v>
                </c:pt>
                <c:pt idx="7">
                  <c:v>1901.3800950464617</c:v>
                </c:pt>
                <c:pt idx="8">
                  <c:v>1728.4580181329402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062-4C55-8E16-8EC15D1290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9694856"/>
        <c:axId val="79726088"/>
      </c:lineChart>
      <c:catAx>
        <c:axId val="79694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726088"/>
        <c:crosses val="autoZero"/>
        <c:auto val="1"/>
        <c:lblAlgn val="ctr"/>
        <c:lblOffset val="100"/>
        <c:noMultiLvlLbl val="0"/>
      </c:catAx>
      <c:valAx>
        <c:axId val="79726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Monthy_Cost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£&quot;#,##0.00_);[Red]\(&quot;£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694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[Shaakiru kelly cleaned 11.xlsx]Sheet8!PivotTable3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1" u="none" strike="noStrike" kern="1200" spc="0" baseline="0">
                <a:solidFill>
                  <a:srgbClr val="305496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Buyer_segmentation  VS  Property_type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1" u="none" strike="noStrike" kern="1200" spc="0" baseline="0">
              <a:solidFill>
                <a:srgbClr val="305496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4472C4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5B9BD5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4472C4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4472C4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2">
              <a:lumMod val="6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7.9419535975302417E-4"/>
              <c:y val="-2.2990657751789365E-2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296545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5"/>
        <c:spPr>
          <a:solidFill>
            <a:schemeClr val="accent1">
              <a:lumMod val="60000"/>
            </a:schemeClr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1942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6"/>
        <c:spPr>
          <a:solidFill>
            <a:schemeClr val="accent4"/>
          </a:solidFill>
          <a:ln>
            <a:noFill/>
          </a:ln>
          <a:effectLst/>
        </c:spPr>
        <c:dLbl>
          <c:idx val="0"/>
          <c:layout>
            <c:manualLayout>
              <c:x val="1.6494874031313003E-3"/>
              <c:y val="-2.2061150985748977E-2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287880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7"/>
        <c:spPr>
          <a:solidFill>
            <a:schemeClr val="accent3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2331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1604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9"/>
        <c:spPr>
          <a:solidFill>
            <a:schemeClr val="accent2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574103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0"/>
        <c:spPr>
          <a:solidFill>
            <a:schemeClr val="accent6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382274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1"/>
        <c:spPr>
          <a:solidFill>
            <a:schemeClr val="accent5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1916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2"/>
        <c:spPr>
          <a:solidFill>
            <a:schemeClr val="accent2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462821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1641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4"/>
        <c:spPr>
          <a:solidFill>
            <a:schemeClr val="accent2">
              <a:lumMod val="60000"/>
            </a:schemeClr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599867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5"/>
        <c:spPr>
          <a:solidFill>
            <a:schemeClr val="accent1">
              <a:lumMod val="60000"/>
            </a:schemeClr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2267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6"/>
        <c:spPr>
          <a:solidFill>
            <a:schemeClr val="accent6"/>
          </a:solidFill>
          <a:ln>
            <a:noFill/>
          </a:ln>
          <a:effectLst/>
        </c:spPr>
        <c:dLbl>
          <c:idx val="0"/>
          <c:layout>
            <c:manualLayout>
              <c:x val="4.8871194162676415E-4"/>
              <c:y val="-1.90865920365222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Sheet8!$B$3:$B$5</c:f>
              <c:strCache>
                <c:ptCount val="1"/>
                <c:pt idx="0">
                  <c:v>Detached - Average of Sales_Volume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D-E044-4187-B59D-EE3D5673AFD6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2-E044-4187-B59D-EE3D5673AFD6}"/>
              </c:ext>
            </c:extLst>
          </c:dPt>
          <c:dLbls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1604</a:t>
                    </a:r>
                  </a:p>
                </c:rich>
              </c:tx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D-E044-4187-B59D-EE3D5673AFD6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1641</a:t>
                    </a:r>
                  </a:p>
                </c:rich>
              </c:tx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2-E044-4187-B59D-EE3D5673AFD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Sheet8!$A$6:$A$9</c:f>
              <c:strCache>
                <c:ptCount val="3"/>
                <c:pt idx="0">
                  <c:v>First Timer</c:v>
                </c:pt>
                <c:pt idx="1">
                  <c:v>Investor</c:v>
                </c:pt>
                <c:pt idx="2">
                  <c:v>Upsizer</c:v>
                </c:pt>
              </c:strCache>
            </c:strRef>
          </c:cat>
          <c:val>
            <c:numRef>
              <c:f>Sheet8!$B$6:$B$9</c:f>
              <c:numCache>
                <c:formatCode>General</c:formatCode>
                <c:ptCount val="3"/>
                <c:pt idx="1">
                  <c:v>1603.8177339901479</c:v>
                </c:pt>
                <c:pt idx="2">
                  <c:v>1641.0714285714287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44-4187-B59D-EE3D5673AFD6}"/>
            </c:ext>
          </c:extLst>
        </c:ser>
        <c:ser>
          <c:idx val="1"/>
          <c:order val="1"/>
          <c:tx>
            <c:strRef>
              <c:f>Sheet8!$C$3:$C$5</c:f>
              <c:strCache>
                <c:ptCount val="1"/>
                <c:pt idx="0">
                  <c:v>Detached - Average of Average_Price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E-E044-4187-B59D-EE3D5673AFD6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1-E044-4187-B59D-EE3D5673AFD6}"/>
              </c:ext>
            </c:extLst>
          </c:dPt>
          <c:dLbls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574103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E-E044-4187-B59D-EE3D5673AFD6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462821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1-E044-4187-B59D-EE3D5673AFD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Sheet8!$A$6:$A$9</c:f>
              <c:strCache>
                <c:ptCount val="3"/>
                <c:pt idx="0">
                  <c:v>First Timer</c:v>
                </c:pt>
                <c:pt idx="1">
                  <c:v>Investor</c:v>
                </c:pt>
                <c:pt idx="2">
                  <c:v>Upsizer</c:v>
                </c:pt>
              </c:strCache>
            </c:strRef>
          </c:cat>
          <c:val>
            <c:numRef>
              <c:f>Sheet8!$C$6:$C$9</c:f>
              <c:numCache>
                <c:formatCode>General</c:formatCode>
                <c:ptCount val="3"/>
                <c:pt idx="1">
                  <c:v>574103.44827586203</c:v>
                </c:pt>
                <c:pt idx="2">
                  <c:v>462821.42857142858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044-4187-B59D-EE3D5673AFD6}"/>
            </c:ext>
          </c:extLst>
        </c:ser>
        <c:ser>
          <c:idx val="2"/>
          <c:order val="2"/>
          <c:tx>
            <c:strRef>
              <c:f>Sheet8!$D$3:$D$5</c:f>
              <c:strCache>
                <c:ptCount val="1"/>
                <c:pt idx="0">
                  <c:v>Flat - Average of Sales_Volume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C-E044-4187-B59D-EE3D5673AFD6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2331</a:t>
                    </a:r>
                  </a:p>
                </c:rich>
              </c:tx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C-E044-4187-B59D-EE3D5673AFD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Sheet8!$A$6:$A$9</c:f>
              <c:strCache>
                <c:ptCount val="3"/>
                <c:pt idx="0">
                  <c:v>First Timer</c:v>
                </c:pt>
                <c:pt idx="1">
                  <c:v>Investor</c:v>
                </c:pt>
                <c:pt idx="2">
                  <c:v>Upsizer</c:v>
                </c:pt>
              </c:strCache>
            </c:strRef>
          </c:cat>
          <c:val>
            <c:numRef>
              <c:f>Sheet8!$D$6:$D$9</c:f>
              <c:numCache>
                <c:formatCode>General</c:formatCode>
                <c:ptCount val="3"/>
                <c:pt idx="0">
                  <c:v>2330.787037037037</c:v>
                </c:pt>
                <c:pt idx="2">
                  <c:v>2700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044-4187-B59D-EE3D5673AFD6}"/>
            </c:ext>
          </c:extLst>
        </c:ser>
        <c:ser>
          <c:idx val="3"/>
          <c:order val="3"/>
          <c:tx>
            <c:strRef>
              <c:f>Sheet8!$E$3:$E$5</c:f>
              <c:strCache>
                <c:ptCount val="1"/>
                <c:pt idx="0">
                  <c:v>Flat - Average of Average_Price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B-E044-4187-B59D-EE3D5673AFD6}"/>
              </c:ext>
            </c:extLst>
          </c:dPt>
          <c:dLbls>
            <c:dLbl>
              <c:idx val="0"/>
              <c:layout>
                <c:manualLayout>
                  <c:x val="1.6494874031313003E-3"/>
                  <c:y val="-2.2061150985748977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287880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B-E044-4187-B59D-EE3D5673AFD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Sheet8!$A$6:$A$9</c:f>
              <c:strCache>
                <c:ptCount val="3"/>
                <c:pt idx="0">
                  <c:v>First Timer</c:v>
                </c:pt>
                <c:pt idx="1">
                  <c:v>Investor</c:v>
                </c:pt>
                <c:pt idx="2">
                  <c:v>Upsizer</c:v>
                </c:pt>
              </c:strCache>
            </c:strRef>
          </c:cat>
          <c:val>
            <c:numRef>
              <c:f>Sheet8!$E$6:$E$9</c:f>
              <c:numCache>
                <c:formatCode>General</c:formatCode>
                <c:ptCount val="3"/>
                <c:pt idx="0">
                  <c:v>287879.62962962961</c:v>
                </c:pt>
                <c:pt idx="2">
                  <c:v>455000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044-4187-B59D-EE3D5673AFD6}"/>
            </c:ext>
          </c:extLst>
        </c:ser>
        <c:ser>
          <c:idx val="4"/>
          <c:order val="4"/>
          <c:tx>
            <c:strRef>
              <c:f>Sheet8!$F$3:$F$5</c:f>
              <c:strCache>
                <c:ptCount val="1"/>
                <c:pt idx="0">
                  <c:v>Semi Detached - Average of Sales_Volume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Pt>
            <c:idx val="2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0-E044-4187-B59D-EE3D5673AFD6}"/>
              </c:ext>
            </c:extLst>
          </c:dPt>
          <c:dLbls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1916</a:t>
                    </a:r>
                  </a:p>
                </c:rich>
              </c:tx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0-E044-4187-B59D-EE3D5673AFD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Sheet8!$A$6:$A$9</c:f>
              <c:strCache>
                <c:ptCount val="3"/>
                <c:pt idx="0">
                  <c:v>First Timer</c:v>
                </c:pt>
                <c:pt idx="1">
                  <c:v>Investor</c:v>
                </c:pt>
                <c:pt idx="2">
                  <c:v>Upsizer</c:v>
                </c:pt>
              </c:strCache>
            </c:strRef>
          </c:cat>
          <c:val>
            <c:numRef>
              <c:f>Sheet8!$F$6:$F$9</c:f>
              <c:numCache>
                <c:formatCode>General</c:formatCode>
                <c:ptCount val="3"/>
                <c:pt idx="0">
                  <c:v>1850</c:v>
                </c:pt>
                <c:pt idx="2">
                  <c:v>1916.1280487804879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E044-4187-B59D-EE3D5673AFD6}"/>
            </c:ext>
          </c:extLst>
        </c:ser>
        <c:ser>
          <c:idx val="5"/>
          <c:order val="5"/>
          <c:tx>
            <c:strRef>
              <c:f>Sheet8!$G$3:$G$5</c:f>
              <c:strCache>
                <c:ptCount val="1"/>
                <c:pt idx="0">
                  <c:v>Semi Detached - Average of Average_Price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5-E044-4187-B59D-EE3D5673AFD6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F-E044-4187-B59D-EE3D5673AFD6}"/>
              </c:ext>
            </c:extLst>
          </c:dPt>
          <c:dLbls>
            <c:dLbl>
              <c:idx val="0"/>
              <c:layout>
                <c:manualLayout>
                  <c:x val="4.8871194162676415E-4"/>
                  <c:y val="-1.90865920365222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E044-4187-B59D-EE3D5673AFD6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382274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F-E044-4187-B59D-EE3D5673AFD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Sheet8!$A$6:$A$9</c:f>
              <c:strCache>
                <c:ptCount val="3"/>
                <c:pt idx="0">
                  <c:v>First Timer</c:v>
                </c:pt>
                <c:pt idx="1">
                  <c:v>Investor</c:v>
                </c:pt>
                <c:pt idx="2">
                  <c:v>Upsizer</c:v>
                </c:pt>
              </c:strCache>
            </c:strRef>
          </c:cat>
          <c:val>
            <c:numRef>
              <c:f>Sheet8!$G$6:$G$9</c:f>
              <c:numCache>
                <c:formatCode>General</c:formatCode>
                <c:ptCount val="3"/>
                <c:pt idx="0">
                  <c:v>305000</c:v>
                </c:pt>
                <c:pt idx="2">
                  <c:v>382274.39024390245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E044-4187-B59D-EE3D5673AFD6}"/>
            </c:ext>
          </c:extLst>
        </c:ser>
        <c:ser>
          <c:idx val="6"/>
          <c:order val="6"/>
          <c:tx>
            <c:strRef>
              <c:f>Sheet8!$H$3:$H$5</c:f>
              <c:strCache>
                <c:ptCount val="1"/>
                <c:pt idx="0">
                  <c:v>Terraced - Average of Sales_Volume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A-E044-4187-B59D-EE3D5673AFD6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4-E044-4187-B59D-EE3D5673AFD6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1942</a:t>
                    </a:r>
                  </a:p>
                </c:rich>
              </c:tx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A-E044-4187-B59D-EE3D5673AFD6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2267</a:t>
                    </a:r>
                  </a:p>
                </c:rich>
              </c:tx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4-E044-4187-B59D-EE3D5673AFD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Sheet8!$A$6:$A$9</c:f>
              <c:strCache>
                <c:ptCount val="3"/>
                <c:pt idx="0">
                  <c:v>First Timer</c:v>
                </c:pt>
                <c:pt idx="1">
                  <c:v>Investor</c:v>
                </c:pt>
                <c:pt idx="2">
                  <c:v>Upsizer</c:v>
                </c:pt>
              </c:strCache>
            </c:strRef>
          </c:cat>
          <c:val>
            <c:numRef>
              <c:f>Sheet8!$H$6:$H$9</c:f>
              <c:numCache>
                <c:formatCode>General</c:formatCode>
                <c:ptCount val="3"/>
                <c:pt idx="0">
                  <c:v>1942.4358974358975</c:v>
                </c:pt>
                <c:pt idx="2">
                  <c:v>2267.3333333333335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E044-4187-B59D-EE3D5673AFD6}"/>
            </c:ext>
          </c:extLst>
        </c:ser>
        <c:ser>
          <c:idx val="7"/>
          <c:order val="7"/>
          <c:tx>
            <c:strRef>
              <c:f>Sheet8!$I$3:$I$5</c:f>
              <c:strCache>
                <c:ptCount val="1"/>
                <c:pt idx="0">
                  <c:v>Terraced - Average of Average_Price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9-E044-4187-B59D-EE3D5673AFD6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3-E044-4187-B59D-EE3D5673AFD6}"/>
              </c:ext>
            </c:extLst>
          </c:dPt>
          <c:dLbls>
            <c:dLbl>
              <c:idx val="0"/>
              <c:layout>
                <c:manualLayout>
                  <c:x val="7.9419535975302417E-4"/>
                  <c:y val="-2.2990657751789365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296545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9-E044-4187-B59D-EE3D5673AFD6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599867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3-E044-4187-B59D-EE3D5673AFD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Sheet8!$A$6:$A$9</c:f>
              <c:strCache>
                <c:ptCount val="3"/>
                <c:pt idx="0">
                  <c:v>First Timer</c:v>
                </c:pt>
                <c:pt idx="1">
                  <c:v>Investor</c:v>
                </c:pt>
                <c:pt idx="2">
                  <c:v>Upsizer</c:v>
                </c:pt>
              </c:strCache>
            </c:strRef>
          </c:cat>
          <c:val>
            <c:numRef>
              <c:f>Sheet8!$I$6:$I$9</c:f>
              <c:numCache>
                <c:formatCode>General</c:formatCode>
                <c:ptCount val="3"/>
                <c:pt idx="0">
                  <c:v>296544.87179487181</c:v>
                </c:pt>
                <c:pt idx="2">
                  <c:v>599866.66666666663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E044-4187-B59D-EE3D5673AF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43149064"/>
        <c:axId val="323350536"/>
      </c:barChart>
      <c:catAx>
        <c:axId val="19431490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Property_type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3350536"/>
        <c:crosses val="autoZero"/>
        <c:auto val="1"/>
        <c:lblAlgn val="ctr"/>
        <c:lblOffset val="100"/>
        <c:noMultiLvlLbl val="0"/>
      </c:catAx>
      <c:valAx>
        <c:axId val="323350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Average_price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3149064"/>
        <c:crosses val="autoZero"/>
        <c:crossBetween val="between"/>
        <c:majorUnit val="20000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[Shaakiru kelly cleaned 11.xlsx]Sheet9!PivotTable4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Buyer_type vs Property_type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4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1942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2331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1604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7"/>
        <c:spPr>
          <a:solidFill>
            <a:schemeClr val="accent4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2267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8"/>
        <c:spPr>
          <a:solidFill>
            <a:schemeClr val="accent3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1916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1641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Sheet9!$B$3:$B$4</c:f>
              <c:strCache>
                <c:ptCount val="1"/>
                <c:pt idx="0">
                  <c:v>Detached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F5B3-485A-BC84-0F2A227A48F2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E-F5B3-485A-BC84-0F2A227A48F2}"/>
              </c:ext>
            </c:extLst>
          </c:dPt>
          <c:dLbls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1604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B-F5B3-485A-BC84-0F2A227A48F2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1641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E-F5B3-485A-BC84-0F2A227A48F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Sheet9!$A$5:$A$8</c:f>
              <c:strCache>
                <c:ptCount val="3"/>
                <c:pt idx="0">
                  <c:v>First Timer</c:v>
                </c:pt>
                <c:pt idx="1">
                  <c:v>Investor</c:v>
                </c:pt>
                <c:pt idx="2">
                  <c:v>Upsizer</c:v>
                </c:pt>
              </c:strCache>
            </c:strRef>
          </c:cat>
          <c:val>
            <c:numRef>
              <c:f>Sheet9!$B$5:$B$8</c:f>
              <c:numCache>
                <c:formatCode>General</c:formatCode>
                <c:ptCount val="3"/>
                <c:pt idx="1">
                  <c:v>203</c:v>
                </c:pt>
                <c:pt idx="2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B3-485A-BC84-0F2A227A48F2}"/>
            </c:ext>
          </c:extLst>
        </c:ser>
        <c:ser>
          <c:idx val="1"/>
          <c:order val="1"/>
          <c:tx>
            <c:strRef>
              <c:f>Sheet9!$C$3:$C$4</c:f>
              <c:strCache>
                <c:ptCount val="1"/>
                <c:pt idx="0">
                  <c:v>Flat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F5B3-485A-BC84-0F2A227A48F2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2331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A-F5B3-485A-BC84-0F2A227A48F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Sheet9!$A$5:$A$8</c:f>
              <c:strCache>
                <c:ptCount val="3"/>
                <c:pt idx="0">
                  <c:v>First Timer</c:v>
                </c:pt>
                <c:pt idx="1">
                  <c:v>Investor</c:v>
                </c:pt>
                <c:pt idx="2">
                  <c:v>Upsizer</c:v>
                </c:pt>
              </c:strCache>
            </c:strRef>
          </c:cat>
          <c:val>
            <c:numRef>
              <c:f>Sheet9!$C$5:$C$8</c:f>
              <c:numCache>
                <c:formatCode>General</c:formatCode>
                <c:ptCount val="3"/>
                <c:pt idx="0">
                  <c:v>216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5B3-485A-BC84-0F2A227A48F2}"/>
            </c:ext>
          </c:extLst>
        </c:ser>
        <c:ser>
          <c:idx val="2"/>
          <c:order val="2"/>
          <c:tx>
            <c:strRef>
              <c:f>Sheet9!$D$3:$D$4</c:f>
              <c:strCache>
                <c:ptCount val="1"/>
                <c:pt idx="0">
                  <c:v>Semi Detached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Pt>
            <c:idx val="2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F5B3-485A-BC84-0F2A227A48F2}"/>
              </c:ext>
            </c:extLst>
          </c:dPt>
          <c:dLbls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1916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D-F5B3-485A-BC84-0F2A227A48F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Sheet9!$A$5:$A$8</c:f>
              <c:strCache>
                <c:ptCount val="3"/>
                <c:pt idx="0">
                  <c:v>First Timer</c:v>
                </c:pt>
                <c:pt idx="1">
                  <c:v>Investor</c:v>
                </c:pt>
                <c:pt idx="2">
                  <c:v>Upsizer</c:v>
                </c:pt>
              </c:strCache>
            </c:strRef>
          </c:cat>
          <c:val>
            <c:numRef>
              <c:f>Sheet9!$D$5:$D$8</c:f>
              <c:numCache>
                <c:formatCode>General</c:formatCode>
                <c:ptCount val="3"/>
                <c:pt idx="0">
                  <c:v>1</c:v>
                </c:pt>
                <c:pt idx="2">
                  <c:v>164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5B3-485A-BC84-0F2A227A48F2}"/>
            </c:ext>
          </c:extLst>
        </c:ser>
        <c:ser>
          <c:idx val="3"/>
          <c:order val="3"/>
          <c:tx>
            <c:strRef>
              <c:f>Sheet9!$E$3:$E$4</c:f>
              <c:strCache>
                <c:ptCount val="1"/>
                <c:pt idx="0">
                  <c:v>Terraced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F5B3-485A-BC84-0F2A227A48F2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F5B3-485A-BC84-0F2A227A48F2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1942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9-F5B3-485A-BC84-0F2A227A48F2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2267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C-F5B3-485A-BC84-0F2A227A48F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Sheet9!$A$5:$A$8</c:f>
              <c:strCache>
                <c:ptCount val="3"/>
                <c:pt idx="0">
                  <c:v>First Timer</c:v>
                </c:pt>
                <c:pt idx="1">
                  <c:v>Investor</c:v>
                </c:pt>
                <c:pt idx="2">
                  <c:v>Upsizer</c:v>
                </c:pt>
              </c:strCache>
            </c:strRef>
          </c:cat>
          <c:val>
            <c:numRef>
              <c:f>Sheet9!$E$5:$E$8</c:f>
              <c:numCache>
                <c:formatCode>General</c:formatCode>
                <c:ptCount val="3"/>
                <c:pt idx="0">
                  <c:v>156</c:v>
                </c:pt>
                <c:pt idx="2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B3-485A-BC84-0F2A227A48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123680263"/>
        <c:axId val="53489672"/>
      </c:barChart>
      <c:catAx>
        <c:axId val="212368026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Property_type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489672"/>
        <c:crosses val="autoZero"/>
        <c:auto val="1"/>
        <c:lblAlgn val="ctr"/>
        <c:lblOffset val="100"/>
        <c:noMultiLvlLbl val="0"/>
      </c:catAx>
      <c:valAx>
        <c:axId val="53489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Sales_Volume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3680263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[Shaakiru kelly cleaned 11.xlsx]Sheet9!PivotTable4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Buyer_type vs Property_type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4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1942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2331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1604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7"/>
        <c:spPr>
          <a:solidFill>
            <a:schemeClr val="accent4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2267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8"/>
        <c:spPr>
          <a:solidFill>
            <a:schemeClr val="accent3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1916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1641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1604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1641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2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2331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3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1916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4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1942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9"/>
        <c:spPr>
          <a:solidFill>
            <a:schemeClr val="accent4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2267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1604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1641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2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2331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3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1916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4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1942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9"/>
        <c:spPr>
          <a:solidFill>
            <a:schemeClr val="accent4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2267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1604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1641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2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2331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3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1916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4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1942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9"/>
        <c:spPr>
          <a:solidFill>
            <a:schemeClr val="accent4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2267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1604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1641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2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2331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3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1916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4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1942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49"/>
        <c:spPr>
          <a:solidFill>
            <a:schemeClr val="accent4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2267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Sheet9!$B$3:$B$4</c:f>
              <c:strCache>
                <c:ptCount val="1"/>
                <c:pt idx="0">
                  <c:v>Detached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7DC4-4AC9-A4FD-5F846F1BA4E7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DC4-4AC9-A4FD-5F846F1BA4E7}"/>
              </c:ext>
            </c:extLst>
          </c:dPt>
          <c:dLbls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1604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0-7DC4-4AC9-A4FD-5F846F1BA4E7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1641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7DC4-4AC9-A4FD-5F846F1BA4E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Sheet9!$A$5:$A$8</c:f>
              <c:strCache>
                <c:ptCount val="3"/>
                <c:pt idx="0">
                  <c:v>First Timer</c:v>
                </c:pt>
                <c:pt idx="1">
                  <c:v>Investor</c:v>
                </c:pt>
                <c:pt idx="2">
                  <c:v>Upsizer</c:v>
                </c:pt>
              </c:strCache>
            </c:strRef>
          </c:cat>
          <c:val>
            <c:numRef>
              <c:f>Sheet9!$B$5:$B$8</c:f>
              <c:numCache>
                <c:formatCode>General</c:formatCode>
                <c:ptCount val="3"/>
                <c:pt idx="1">
                  <c:v>203</c:v>
                </c:pt>
                <c:pt idx="2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DC4-4AC9-A4FD-5F846F1BA4E7}"/>
            </c:ext>
          </c:extLst>
        </c:ser>
        <c:ser>
          <c:idx val="1"/>
          <c:order val="1"/>
          <c:tx>
            <c:strRef>
              <c:f>Sheet9!$C$3:$C$4</c:f>
              <c:strCache>
                <c:ptCount val="1"/>
                <c:pt idx="0">
                  <c:v>Flat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7DC4-4AC9-A4FD-5F846F1BA4E7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2331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7DC4-4AC9-A4FD-5F846F1BA4E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Sheet9!$A$5:$A$8</c:f>
              <c:strCache>
                <c:ptCount val="3"/>
                <c:pt idx="0">
                  <c:v>First Timer</c:v>
                </c:pt>
                <c:pt idx="1">
                  <c:v>Investor</c:v>
                </c:pt>
                <c:pt idx="2">
                  <c:v>Upsizer</c:v>
                </c:pt>
              </c:strCache>
            </c:strRef>
          </c:cat>
          <c:val>
            <c:numRef>
              <c:f>Sheet9!$C$5:$C$8</c:f>
              <c:numCache>
                <c:formatCode>General</c:formatCode>
                <c:ptCount val="3"/>
                <c:pt idx="0">
                  <c:v>216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DC4-4AC9-A4FD-5F846F1BA4E7}"/>
            </c:ext>
          </c:extLst>
        </c:ser>
        <c:ser>
          <c:idx val="2"/>
          <c:order val="2"/>
          <c:tx>
            <c:strRef>
              <c:f>Sheet9!$D$3:$D$4</c:f>
              <c:strCache>
                <c:ptCount val="1"/>
                <c:pt idx="0">
                  <c:v>Semi Detached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Pt>
            <c:idx val="2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7DC4-4AC9-A4FD-5F846F1BA4E7}"/>
              </c:ext>
            </c:extLst>
          </c:dPt>
          <c:dLbls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1916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7DC4-4AC9-A4FD-5F846F1BA4E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Sheet9!$A$5:$A$8</c:f>
              <c:strCache>
                <c:ptCount val="3"/>
                <c:pt idx="0">
                  <c:v>First Timer</c:v>
                </c:pt>
                <c:pt idx="1">
                  <c:v>Investor</c:v>
                </c:pt>
                <c:pt idx="2">
                  <c:v>Upsizer</c:v>
                </c:pt>
              </c:strCache>
            </c:strRef>
          </c:cat>
          <c:val>
            <c:numRef>
              <c:f>Sheet9!$D$5:$D$8</c:f>
              <c:numCache>
                <c:formatCode>General</c:formatCode>
                <c:ptCount val="3"/>
                <c:pt idx="0">
                  <c:v>1</c:v>
                </c:pt>
                <c:pt idx="2">
                  <c:v>164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DC4-4AC9-A4FD-5F846F1BA4E7}"/>
            </c:ext>
          </c:extLst>
        </c:ser>
        <c:ser>
          <c:idx val="3"/>
          <c:order val="3"/>
          <c:tx>
            <c:strRef>
              <c:f>Sheet9!$E$3:$E$4</c:f>
              <c:strCache>
                <c:ptCount val="1"/>
                <c:pt idx="0">
                  <c:v>Terraced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7DC4-4AC9-A4FD-5F846F1BA4E7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7DC4-4AC9-A4FD-5F846F1BA4E7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1942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7-7DC4-4AC9-A4FD-5F846F1BA4E7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2267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8-7DC4-4AC9-A4FD-5F846F1BA4E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Sheet9!$A$5:$A$8</c:f>
              <c:strCache>
                <c:ptCount val="3"/>
                <c:pt idx="0">
                  <c:v>First Timer</c:v>
                </c:pt>
                <c:pt idx="1">
                  <c:v>Investor</c:v>
                </c:pt>
                <c:pt idx="2">
                  <c:v>Upsizer</c:v>
                </c:pt>
              </c:strCache>
            </c:strRef>
          </c:cat>
          <c:val>
            <c:numRef>
              <c:f>Sheet9!$E$5:$E$8</c:f>
              <c:numCache>
                <c:formatCode>General</c:formatCode>
                <c:ptCount val="3"/>
                <c:pt idx="0">
                  <c:v>156</c:v>
                </c:pt>
                <c:pt idx="2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7DC4-4AC9-A4FD-5F846F1BA4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123680263"/>
        <c:axId val="53489672"/>
      </c:barChart>
      <c:catAx>
        <c:axId val="212368026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Property_type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489672"/>
        <c:crosses val="autoZero"/>
        <c:auto val="1"/>
        <c:lblAlgn val="ctr"/>
        <c:lblOffset val="100"/>
        <c:noMultiLvlLbl val="0"/>
      </c:catAx>
      <c:valAx>
        <c:axId val="53489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Sales_Volume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36802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[Shaakiru kelly cleaned 11.xlsx]Sheet10!PivotTable5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Buyer_type vs Average_price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Sheet10!$B$3:$B$4</c:f>
              <c:strCache>
                <c:ptCount val="1"/>
                <c:pt idx="0">
                  <c:v>Detached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Sheet10!$A$5:$A$8</c:f>
              <c:strCache>
                <c:ptCount val="3"/>
                <c:pt idx="0">
                  <c:v>First Timer</c:v>
                </c:pt>
                <c:pt idx="1">
                  <c:v>Investor</c:v>
                </c:pt>
                <c:pt idx="2">
                  <c:v>Upsizer</c:v>
                </c:pt>
              </c:strCache>
            </c:strRef>
          </c:cat>
          <c:val>
            <c:numRef>
              <c:f>Sheet10!$B$5:$B$8</c:f>
              <c:numCache>
                <c:formatCode>General</c:formatCode>
                <c:ptCount val="3"/>
                <c:pt idx="1">
                  <c:v>574103.44827586203</c:v>
                </c:pt>
                <c:pt idx="2">
                  <c:v>462821.42857142858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BB-4156-8E85-1EC15E9920E5}"/>
            </c:ext>
          </c:extLst>
        </c:ser>
        <c:ser>
          <c:idx val="1"/>
          <c:order val="1"/>
          <c:tx>
            <c:strRef>
              <c:f>Sheet10!$C$3:$C$4</c:f>
              <c:strCache>
                <c:ptCount val="1"/>
                <c:pt idx="0">
                  <c:v>Flat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Sheet10!$A$5:$A$8</c:f>
              <c:strCache>
                <c:ptCount val="3"/>
                <c:pt idx="0">
                  <c:v>First Timer</c:v>
                </c:pt>
                <c:pt idx="1">
                  <c:v>Investor</c:v>
                </c:pt>
                <c:pt idx="2">
                  <c:v>Upsizer</c:v>
                </c:pt>
              </c:strCache>
            </c:strRef>
          </c:cat>
          <c:val>
            <c:numRef>
              <c:f>Sheet10!$C$5:$C$8</c:f>
              <c:numCache>
                <c:formatCode>General</c:formatCode>
                <c:ptCount val="3"/>
                <c:pt idx="0">
                  <c:v>287879.62962962961</c:v>
                </c:pt>
                <c:pt idx="2">
                  <c:v>455000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9BB-4156-8E85-1EC15E9920E5}"/>
            </c:ext>
          </c:extLst>
        </c:ser>
        <c:ser>
          <c:idx val="2"/>
          <c:order val="2"/>
          <c:tx>
            <c:strRef>
              <c:f>Sheet10!$D$3:$D$4</c:f>
              <c:strCache>
                <c:ptCount val="1"/>
                <c:pt idx="0">
                  <c:v>Semi Detached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Sheet10!$A$5:$A$8</c:f>
              <c:strCache>
                <c:ptCount val="3"/>
                <c:pt idx="0">
                  <c:v>First Timer</c:v>
                </c:pt>
                <c:pt idx="1">
                  <c:v>Investor</c:v>
                </c:pt>
                <c:pt idx="2">
                  <c:v>Upsizer</c:v>
                </c:pt>
              </c:strCache>
            </c:strRef>
          </c:cat>
          <c:val>
            <c:numRef>
              <c:f>Sheet10!$D$5:$D$8</c:f>
              <c:numCache>
                <c:formatCode>General</c:formatCode>
                <c:ptCount val="3"/>
                <c:pt idx="0">
                  <c:v>305000</c:v>
                </c:pt>
                <c:pt idx="2">
                  <c:v>382274.39024390245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9BB-4156-8E85-1EC15E9920E5}"/>
            </c:ext>
          </c:extLst>
        </c:ser>
        <c:ser>
          <c:idx val="3"/>
          <c:order val="3"/>
          <c:tx>
            <c:strRef>
              <c:f>Sheet10!$E$3:$E$4</c:f>
              <c:strCache>
                <c:ptCount val="1"/>
                <c:pt idx="0">
                  <c:v>Terraced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Sheet10!$A$5:$A$8</c:f>
              <c:strCache>
                <c:ptCount val="3"/>
                <c:pt idx="0">
                  <c:v>First Timer</c:v>
                </c:pt>
                <c:pt idx="1">
                  <c:v>Investor</c:v>
                </c:pt>
                <c:pt idx="2">
                  <c:v>Upsizer</c:v>
                </c:pt>
              </c:strCache>
            </c:strRef>
          </c:cat>
          <c:val>
            <c:numRef>
              <c:f>Sheet10!$E$5:$E$8</c:f>
              <c:numCache>
                <c:formatCode>General</c:formatCode>
                <c:ptCount val="3"/>
                <c:pt idx="0">
                  <c:v>296544.87179487181</c:v>
                </c:pt>
                <c:pt idx="2">
                  <c:v>599866.66666666663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9BB-4156-8E85-1EC15E99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23688455"/>
        <c:axId val="15285256"/>
      </c:barChart>
      <c:catAx>
        <c:axId val="21236884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Property_type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85256"/>
        <c:crosses val="autoZero"/>
        <c:auto val="1"/>
        <c:lblAlgn val="ctr"/>
        <c:lblOffset val="100"/>
        <c:noMultiLvlLbl val="0"/>
      </c:catAx>
      <c:valAx>
        <c:axId val="15285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Average_price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36884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[Shaakiru kelly cleaned 11.xlsx]Sheet10!PivotTable5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Buyer_type vs Average_Price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Sheet10!$B$3:$B$4</c:f>
              <c:strCache>
                <c:ptCount val="1"/>
                <c:pt idx="0">
                  <c:v>Detached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Sheet10!$A$5:$A$8</c:f>
              <c:strCache>
                <c:ptCount val="3"/>
                <c:pt idx="0">
                  <c:v>First Timer</c:v>
                </c:pt>
                <c:pt idx="1">
                  <c:v>Investor</c:v>
                </c:pt>
                <c:pt idx="2">
                  <c:v>Upsizer</c:v>
                </c:pt>
              </c:strCache>
            </c:strRef>
          </c:cat>
          <c:val>
            <c:numRef>
              <c:f>Sheet10!$B$5:$B$8</c:f>
              <c:numCache>
                <c:formatCode>General</c:formatCode>
                <c:ptCount val="3"/>
                <c:pt idx="1">
                  <c:v>574103.44827586203</c:v>
                </c:pt>
                <c:pt idx="2">
                  <c:v>462821.42857142858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36-4ACD-8D5D-F085AF450F7D}"/>
            </c:ext>
          </c:extLst>
        </c:ser>
        <c:ser>
          <c:idx val="1"/>
          <c:order val="1"/>
          <c:tx>
            <c:strRef>
              <c:f>Sheet10!$C$3:$C$4</c:f>
              <c:strCache>
                <c:ptCount val="1"/>
                <c:pt idx="0">
                  <c:v>Flat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Sheet10!$A$5:$A$8</c:f>
              <c:strCache>
                <c:ptCount val="3"/>
                <c:pt idx="0">
                  <c:v>First Timer</c:v>
                </c:pt>
                <c:pt idx="1">
                  <c:v>Investor</c:v>
                </c:pt>
                <c:pt idx="2">
                  <c:v>Upsizer</c:v>
                </c:pt>
              </c:strCache>
            </c:strRef>
          </c:cat>
          <c:val>
            <c:numRef>
              <c:f>Sheet10!$C$5:$C$8</c:f>
              <c:numCache>
                <c:formatCode>General</c:formatCode>
                <c:ptCount val="3"/>
                <c:pt idx="0">
                  <c:v>287879.62962962961</c:v>
                </c:pt>
                <c:pt idx="2">
                  <c:v>455000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836-4ACD-8D5D-F085AF450F7D}"/>
            </c:ext>
          </c:extLst>
        </c:ser>
        <c:ser>
          <c:idx val="2"/>
          <c:order val="2"/>
          <c:tx>
            <c:strRef>
              <c:f>Sheet10!$D$3:$D$4</c:f>
              <c:strCache>
                <c:ptCount val="1"/>
                <c:pt idx="0">
                  <c:v>Semi Detached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Sheet10!$A$5:$A$8</c:f>
              <c:strCache>
                <c:ptCount val="3"/>
                <c:pt idx="0">
                  <c:v>First Timer</c:v>
                </c:pt>
                <c:pt idx="1">
                  <c:v>Investor</c:v>
                </c:pt>
                <c:pt idx="2">
                  <c:v>Upsizer</c:v>
                </c:pt>
              </c:strCache>
            </c:strRef>
          </c:cat>
          <c:val>
            <c:numRef>
              <c:f>Sheet10!$D$5:$D$8</c:f>
              <c:numCache>
                <c:formatCode>General</c:formatCode>
                <c:ptCount val="3"/>
                <c:pt idx="0">
                  <c:v>305000</c:v>
                </c:pt>
                <c:pt idx="2">
                  <c:v>382274.39024390245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836-4ACD-8D5D-F085AF450F7D}"/>
            </c:ext>
          </c:extLst>
        </c:ser>
        <c:ser>
          <c:idx val="3"/>
          <c:order val="3"/>
          <c:tx>
            <c:strRef>
              <c:f>Sheet10!$E$3:$E$4</c:f>
              <c:strCache>
                <c:ptCount val="1"/>
                <c:pt idx="0">
                  <c:v>Terraced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Sheet10!$A$5:$A$8</c:f>
              <c:strCache>
                <c:ptCount val="3"/>
                <c:pt idx="0">
                  <c:v>First Timer</c:v>
                </c:pt>
                <c:pt idx="1">
                  <c:v>Investor</c:v>
                </c:pt>
                <c:pt idx="2">
                  <c:v>Upsizer</c:v>
                </c:pt>
              </c:strCache>
            </c:strRef>
          </c:cat>
          <c:val>
            <c:numRef>
              <c:f>Sheet10!$E$5:$E$8</c:f>
              <c:numCache>
                <c:formatCode>General</c:formatCode>
                <c:ptCount val="3"/>
                <c:pt idx="0">
                  <c:v>296544.87179487181</c:v>
                </c:pt>
                <c:pt idx="2">
                  <c:v>599866.66666666663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836-4ACD-8D5D-F085AF450F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3873160"/>
        <c:axId val="53875208"/>
      </c:barChart>
      <c:catAx>
        <c:axId val="53873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875208"/>
        <c:crosses val="autoZero"/>
        <c:auto val="1"/>
        <c:lblAlgn val="ctr"/>
        <c:lblOffset val="100"/>
        <c:noMultiLvlLbl val="0"/>
      </c:catAx>
      <c:valAx>
        <c:axId val="53875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8731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[Shaakiru kelly cleaned 11.xlsx]Sheet11!PivotTable6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ED7D3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Energy_Rating vs Average_price vs Sales_volume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ED7D3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1795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"/>
        <c:spPr>
          <a:solidFill>
            <a:schemeClr val="accent2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1759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4"/>
        <c:spPr>
          <a:solidFill>
            <a:schemeClr val="accent2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2076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2142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Sheet11!$B$3</c:f>
              <c:strCache>
                <c:ptCount val="1"/>
                <c:pt idx="0">
                  <c:v>Average of Average_Price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Sheet11!$A$4:$A$8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Sheet11!$B$4:$B$8</c:f>
              <c:numCache>
                <c:formatCode>General</c:formatCode>
                <c:ptCount val="4"/>
                <c:pt idx="0">
                  <c:v>745852.9411764706</c:v>
                </c:pt>
                <c:pt idx="1">
                  <c:v>475277.58007117437</c:v>
                </c:pt>
                <c:pt idx="2">
                  <c:v>348000</c:v>
                </c:pt>
                <c:pt idx="3">
                  <c:v>249481.65137614679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BC-4EB4-AAEB-CB2B0D21F798}"/>
            </c:ext>
          </c:extLst>
        </c:ser>
        <c:ser>
          <c:idx val="1"/>
          <c:order val="1"/>
          <c:tx>
            <c:strRef>
              <c:f>Sheet11!$C$3</c:f>
              <c:strCache>
                <c:ptCount val="1"/>
                <c:pt idx="0">
                  <c:v>Average of Sales_Volume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FDBC-4EB4-AAEB-CB2B0D21F798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FDBC-4EB4-AAEB-CB2B0D21F798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FDBC-4EB4-AAEB-CB2B0D21F798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FDBC-4EB4-AAEB-CB2B0D21F798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1795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FDBC-4EB4-AAEB-CB2B0D21F798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1759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6-FDBC-4EB4-AAEB-CB2B0D21F798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2076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7-FDBC-4EB4-AAEB-CB2B0D21F798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/>
                      <a:t>2142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8-FDBC-4EB4-AAEB-CB2B0D21F79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Sheet11!$A$4:$A$8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Sheet11!$C$4:$C$8</c:f>
              <c:numCache>
                <c:formatCode>General</c:formatCode>
                <c:ptCount val="4"/>
                <c:pt idx="0">
                  <c:v>1795.4411764705883</c:v>
                </c:pt>
                <c:pt idx="1">
                  <c:v>1758.8078291814948</c:v>
                </c:pt>
                <c:pt idx="2">
                  <c:v>2075.9482758620688</c:v>
                </c:pt>
                <c:pt idx="3">
                  <c:v>2141.6284403669724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DBC-4EB4-AAEB-CB2B0D21F7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25551880"/>
        <c:axId val="425589256"/>
      </c:barChart>
      <c:catAx>
        <c:axId val="425551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5589256"/>
        <c:crosses val="autoZero"/>
        <c:auto val="1"/>
        <c:lblAlgn val="ctr"/>
        <c:lblOffset val="100"/>
        <c:noMultiLvlLbl val="0"/>
      </c:catAx>
      <c:valAx>
        <c:axId val="425589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5551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[Shaakiru kelly cleaned 11.xlsx]Sheet12!PivotTable7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70AD47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Investment Score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70AD47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strRef>
              <c:f>Sheet12!$A$4:$A$13</c:f>
              <c:strCache>
                <c:ptCount val="9"/>
                <c:pt idx="0">
                  <c:v>East Midlands</c:v>
                </c:pt>
                <c:pt idx="1">
                  <c:v>East of England</c:v>
                </c:pt>
                <c:pt idx="2">
                  <c:v>London</c:v>
                </c:pt>
                <c:pt idx="3">
                  <c:v>North East</c:v>
                </c:pt>
                <c:pt idx="4">
                  <c:v>North West</c:v>
                </c:pt>
                <c:pt idx="5">
                  <c:v>South East</c:v>
                </c:pt>
                <c:pt idx="6">
                  <c:v>South West</c:v>
                </c:pt>
                <c:pt idx="7">
                  <c:v>West Midlands</c:v>
                </c:pt>
                <c:pt idx="8">
                  <c:v>Yorkshire</c:v>
                </c:pt>
              </c:strCache>
            </c:strRef>
          </c:cat>
          <c:val>
            <c:numRef>
              <c:f>Sheet12!$B$4:$B$13</c:f>
              <c:numCache>
                <c:formatCode>General</c:formatCode>
                <c:ptCount val="9"/>
                <c:pt idx="0">
                  <c:v>742.49729518583604</c:v>
                </c:pt>
                <c:pt idx="1">
                  <c:v>783.63134057660727</c:v>
                </c:pt>
                <c:pt idx="2">
                  <c:v>886.16711839864661</c:v>
                </c:pt>
                <c:pt idx="3">
                  <c:v>779.04445368383028</c:v>
                </c:pt>
                <c:pt idx="4">
                  <c:v>850.79865755426124</c:v>
                </c:pt>
                <c:pt idx="5">
                  <c:v>833.42823884997711</c:v>
                </c:pt>
                <c:pt idx="6">
                  <c:v>711.26529395536215</c:v>
                </c:pt>
                <c:pt idx="7">
                  <c:v>749.19822904496107</c:v>
                </c:pt>
                <c:pt idx="8">
                  <c:v>699.6971276682898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2B-4C43-B343-09D9EC47AC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3351048"/>
        <c:axId val="83424776"/>
      </c:barChart>
      <c:catAx>
        <c:axId val="83351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424776"/>
        <c:crosses val="autoZero"/>
        <c:auto val="1"/>
        <c:lblAlgn val="ctr"/>
        <c:lblOffset val="100"/>
        <c:noMultiLvlLbl val="0"/>
      </c:catAx>
      <c:valAx>
        <c:axId val="83424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Investment_Score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351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[Shaakiru kelly cleaned 11.xlsx]Sheet14!PivotTable1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Sheet14!$B$3:$B$4</c:f>
              <c:strCache>
                <c:ptCount val="1"/>
                <c:pt idx="0">
                  <c:v>Detached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Sheet14!$A$5:$A$14</c:f>
              <c:strCache>
                <c:ptCount val="9"/>
                <c:pt idx="0">
                  <c:v>East Midlands</c:v>
                </c:pt>
                <c:pt idx="1">
                  <c:v>East of England</c:v>
                </c:pt>
                <c:pt idx="2">
                  <c:v>London</c:v>
                </c:pt>
                <c:pt idx="3">
                  <c:v>North East</c:v>
                </c:pt>
                <c:pt idx="4">
                  <c:v>North West</c:v>
                </c:pt>
                <c:pt idx="5">
                  <c:v>South East</c:v>
                </c:pt>
                <c:pt idx="6">
                  <c:v>South West</c:v>
                </c:pt>
                <c:pt idx="7">
                  <c:v>West Midlands</c:v>
                </c:pt>
                <c:pt idx="8">
                  <c:v>Yorkshire</c:v>
                </c:pt>
              </c:strCache>
            </c:strRef>
          </c:cat>
          <c:val>
            <c:numRef>
              <c:f>Sheet14!$B$5:$B$14</c:f>
              <c:numCache>
                <c:formatCode>General</c:formatCode>
                <c:ptCount val="9"/>
                <c:pt idx="0">
                  <c:v>439500</c:v>
                </c:pt>
                <c:pt idx="1">
                  <c:v>568972.22222222225</c:v>
                </c:pt>
                <c:pt idx="2">
                  <c:v>853513.51351351349</c:v>
                </c:pt>
                <c:pt idx="3">
                  <c:v>350714.28571428574</c:v>
                </c:pt>
                <c:pt idx="4">
                  <c:v>407142.85714285716</c:v>
                </c:pt>
                <c:pt idx="5">
                  <c:v>622593.75</c:v>
                </c:pt>
                <c:pt idx="6">
                  <c:v>515419.3548387097</c:v>
                </c:pt>
                <c:pt idx="7">
                  <c:v>485531.25</c:v>
                </c:pt>
                <c:pt idx="8">
                  <c:v>414060.60606060608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68-4F3B-810C-8705C0482FA9}"/>
            </c:ext>
          </c:extLst>
        </c:ser>
        <c:ser>
          <c:idx val="1"/>
          <c:order val="1"/>
          <c:tx>
            <c:strRef>
              <c:f>Sheet14!$C$3:$C$4</c:f>
              <c:strCache>
                <c:ptCount val="1"/>
                <c:pt idx="0">
                  <c:v>Flat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Sheet14!$A$5:$A$14</c:f>
              <c:strCache>
                <c:ptCount val="9"/>
                <c:pt idx="0">
                  <c:v>East Midlands</c:v>
                </c:pt>
                <c:pt idx="1">
                  <c:v>East of England</c:v>
                </c:pt>
                <c:pt idx="2">
                  <c:v>London</c:v>
                </c:pt>
                <c:pt idx="3">
                  <c:v>North East</c:v>
                </c:pt>
                <c:pt idx="4">
                  <c:v>North West</c:v>
                </c:pt>
                <c:pt idx="5">
                  <c:v>South East</c:v>
                </c:pt>
                <c:pt idx="6">
                  <c:v>South West</c:v>
                </c:pt>
                <c:pt idx="7">
                  <c:v>West Midlands</c:v>
                </c:pt>
                <c:pt idx="8">
                  <c:v>Yorkshire</c:v>
                </c:pt>
              </c:strCache>
            </c:strRef>
          </c:cat>
          <c:val>
            <c:numRef>
              <c:f>Sheet14!$C$5:$C$14</c:f>
              <c:numCache>
                <c:formatCode>General</c:formatCode>
                <c:ptCount val="9"/>
                <c:pt idx="0">
                  <c:v>255812.5</c:v>
                </c:pt>
                <c:pt idx="1">
                  <c:v>300000</c:v>
                </c:pt>
                <c:pt idx="2">
                  <c:v>478060.60606060608</c:v>
                </c:pt>
                <c:pt idx="3">
                  <c:v>201222.22222222222</c:v>
                </c:pt>
                <c:pt idx="4">
                  <c:v>226666.66666666666</c:v>
                </c:pt>
                <c:pt idx="5">
                  <c:v>329461.53846153844</c:v>
                </c:pt>
                <c:pt idx="6">
                  <c:v>284285.71428571426</c:v>
                </c:pt>
                <c:pt idx="7">
                  <c:v>258166.66666666666</c:v>
                </c:pt>
                <c:pt idx="8">
                  <c:v>209375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CAA-4DAB-8D83-3CE767CD9D15}"/>
            </c:ext>
          </c:extLst>
        </c:ser>
        <c:ser>
          <c:idx val="2"/>
          <c:order val="2"/>
          <c:tx>
            <c:strRef>
              <c:f>Sheet14!$D$3:$D$4</c:f>
              <c:strCache>
                <c:ptCount val="1"/>
                <c:pt idx="0">
                  <c:v>Semi Detached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Sheet14!$A$5:$A$14</c:f>
              <c:strCache>
                <c:ptCount val="9"/>
                <c:pt idx="0">
                  <c:v>East Midlands</c:v>
                </c:pt>
                <c:pt idx="1">
                  <c:v>East of England</c:v>
                </c:pt>
                <c:pt idx="2">
                  <c:v>London</c:v>
                </c:pt>
                <c:pt idx="3">
                  <c:v>North East</c:v>
                </c:pt>
                <c:pt idx="4">
                  <c:v>North West</c:v>
                </c:pt>
                <c:pt idx="5">
                  <c:v>South East</c:v>
                </c:pt>
                <c:pt idx="6">
                  <c:v>South West</c:v>
                </c:pt>
                <c:pt idx="7">
                  <c:v>West Midlands</c:v>
                </c:pt>
                <c:pt idx="8">
                  <c:v>Yorkshire</c:v>
                </c:pt>
              </c:strCache>
            </c:strRef>
          </c:cat>
          <c:val>
            <c:numRef>
              <c:f>Sheet14!$D$5:$D$14</c:f>
              <c:numCache>
                <c:formatCode>General</c:formatCode>
                <c:ptCount val="9"/>
                <c:pt idx="0">
                  <c:v>367954.54545454547</c:v>
                </c:pt>
                <c:pt idx="1">
                  <c:v>432388.88888888888</c:v>
                </c:pt>
                <c:pt idx="3">
                  <c:v>285916.66666666669</c:v>
                </c:pt>
                <c:pt idx="4">
                  <c:v>332633.33333333331</c:v>
                </c:pt>
                <c:pt idx="5">
                  <c:v>463062.5</c:v>
                </c:pt>
                <c:pt idx="6">
                  <c:v>401464.28571428574</c:v>
                </c:pt>
                <c:pt idx="7">
                  <c:v>356142.85714285716</c:v>
                </c:pt>
                <c:pt idx="8">
                  <c:v>322375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CAA-4DAB-8D83-3CE767CD9D15}"/>
            </c:ext>
          </c:extLst>
        </c:ser>
        <c:ser>
          <c:idx val="3"/>
          <c:order val="3"/>
          <c:tx>
            <c:strRef>
              <c:f>Sheet14!$E$3:$E$4</c:f>
              <c:strCache>
                <c:ptCount val="1"/>
                <c:pt idx="0">
                  <c:v>Terraced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Sheet14!$A$5:$A$14</c:f>
              <c:strCache>
                <c:ptCount val="9"/>
                <c:pt idx="0">
                  <c:v>East Midlands</c:v>
                </c:pt>
                <c:pt idx="1">
                  <c:v>East of England</c:v>
                </c:pt>
                <c:pt idx="2">
                  <c:v>London</c:v>
                </c:pt>
                <c:pt idx="3">
                  <c:v>North East</c:v>
                </c:pt>
                <c:pt idx="4">
                  <c:v>North West</c:v>
                </c:pt>
                <c:pt idx="5">
                  <c:v>South East</c:v>
                </c:pt>
                <c:pt idx="6">
                  <c:v>South West</c:v>
                </c:pt>
                <c:pt idx="7">
                  <c:v>West Midlands</c:v>
                </c:pt>
                <c:pt idx="8">
                  <c:v>Yorkshire</c:v>
                </c:pt>
              </c:strCache>
            </c:strRef>
          </c:cat>
          <c:val>
            <c:numRef>
              <c:f>Sheet14!$E$5:$E$14</c:f>
              <c:numCache>
                <c:formatCode>General</c:formatCode>
                <c:ptCount val="9"/>
                <c:pt idx="0">
                  <c:v>301666.66666666669</c:v>
                </c:pt>
                <c:pt idx="1">
                  <c:v>362285.71428571426</c:v>
                </c:pt>
                <c:pt idx="2">
                  <c:v>599866.66666666663</c:v>
                </c:pt>
                <c:pt idx="3">
                  <c:v>240612.90322580645</c:v>
                </c:pt>
                <c:pt idx="4">
                  <c:v>282862.06896551722</c:v>
                </c:pt>
                <c:pt idx="5">
                  <c:v>386000</c:v>
                </c:pt>
                <c:pt idx="6">
                  <c:v>339950</c:v>
                </c:pt>
                <c:pt idx="7">
                  <c:v>308500</c:v>
                </c:pt>
                <c:pt idx="8">
                  <c:v>269523.80952380953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CAA-4DAB-8D83-3CE767CD9D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229831"/>
        <c:axId val="17231879"/>
      </c:barChart>
      <c:catAx>
        <c:axId val="172298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31879"/>
        <c:crosses val="autoZero"/>
        <c:auto val="1"/>
        <c:lblAlgn val="ctr"/>
        <c:lblOffset val="100"/>
        <c:noMultiLvlLbl val="0"/>
      </c:catAx>
      <c:valAx>
        <c:axId val="17231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298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[Shaakiru kelly cleaned 11.xlsx]Sheet15!PivotTable1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Sheet15!$C$3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multiLvlStrRef>
              <c:f>Sheet15!$A$4:$B$24</c:f>
              <c:multiLvlStrCache>
                <c:ptCount val="18"/>
                <c:lvl>
                  <c:pt idx="0">
                    <c:v>East Midlands</c:v>
                  </c:pt>
                  <c:pt idx="1">
                    <c:v>East of England</c:v>
                  </c:pt>
                  <c:pt idx="2">
                    <c:v>London</c:v>
                  </c:pt>
                  <c:pt idx="3">
                    <c:v>North East</c:v>
                  </c:pt>
                  <c:pt idx="4">
                    <c:v>North West</c:v>
                  </c:pt>
                  <c:pt idx="5">
                    <c:v>South East</c:v>
                  </c:pt>
                  <c:pt idx="6">
                    <c:v>South West</c:v>
                  </c:pt>
                  <c:pt idx="7">
                    <c:v>West Midlands</c:v>
                  </c:pt>
                  <c:pt idx="8">
                    <c:v>Yorkshire</c:v>
                  </c:pt>
                  <c:pt idx="9">
                    <c:v>East Midlands</c:v>
                  </c:pt>
                  <c:pt idx="10">
                    <c:v>East of England</c:v>
                  </c:pt>
                  <c:pt idx="11">
                    <c:v>London</c:v>
                  </c:pt>
                  <c:pt idx="12">
                    <c:v>North East</c:v>
                  </c:pt>
                  <c:pt idx="13">
                    <c:v>North West</c:v>
                  </c:pt>
                  <c:pt idx="14">
                    <c:v>South East</c:v>
                  </c:pt>
                  <c:pt idx="15">
                    <c:v>South West</c:v>
                  </c:pt>
                  <c:pt idx="16">
                    <c:v>West Midlands</c:v>
                  </c:pt>
                  <c:pt idx="17">
                    <c:v>Yorkshire</c:v>
                  </c:pt>
                </c:lvl>
                <c:lvl>
                  <c:pt idx="0">
                    <c:v>2023</c:v>
                  </c:pt>
                  <c:pt idx="9">
                    <c:v>2024</c:v>
                  </c:pt>
                </c:lvl>
              </c:multiLvlStrCache>
            </c:multiLvlStrRef>
          </c:cat>
          <c:val>
            <c:numRef>
              <c:f>Sheet15!$C$4:$C$24</c:f>
              <c:numCache>
                <c:formatCode>General</c:formatCode>
                <c:ptCount val="18"/>
                <c:pt idx="0">
                  <c:v>317478.26086956525</c:v>
                </c:pt>
                <c:pt idx="1">
                  <c:v>427736.84210526315</c:v>
                </c:pt>
                <c:pt idx="2">
                  <c:v>635090.90909090906</c:v>
                </c:pt>
                <c:pt idx="3">
                  <c:v>251344.8275862069</c:v>
                </c:pt>
                <c:pt idx="4">
                  <c:v>273173.91304347827</c:v>
                </c:pt>
                <c:pt idx="5">
                  <c:v>434130.4347826087</c:v>
                </c:pt>
                <c:pt idx="6">
                  <c:v>419000</c:v>
                </c:pt>
                <c:pt idx="7">
                  <c:v>343074.0740740741</c:v>
                </c:pt>
                <c:pt idx="8">
                  <c:v>306142.85714285716</c:v>
                </c:pt>
                <c:pt idx="9">
                  <c:v>329861.53846153844</c:v>
                </c:pt>
                <c:pt idx="10">
                  <c:v>454573.5294117647</c:v>
                </c:pt>
                <c:pt idx="11">
                  <c:v>658717.94871794875</c:v>
                </c:pt>
                <c:pt idx="12">
                  <c:v>233333.33333333334</c:v>
                </c:pt>
                <c:pt idx="13">
                  <c:v>308672.13114754099</c:v>
                </c:pt>
                <c:pt idx="14">
                  <c:v>486810.81081081083</c:v>
                </c:pt>
                <c:pt idx="15">
                  <c:v>418623.18840579712</c:v>
                </c:pt>
                <c:pt idx="16">
                  <c:v>369793.10344827588</c:v>
                </c:pt>
                <c:pt idx="17">
                  <c:v>332068.96551724139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F6D-44F3-BAEF-224BB34A3C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34680839"/>
        <c:axId val="2034682887"/>
      </c:lineChart>
      <c:catAx>
        <c:axId val="20346808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4682887"/>
        <c:crosses val="autoZero"/>
        <c:auto val="1"/>
        <c:lblAlgn val="ctr"/>
        <c:lblOffset val="100"/>
        <c:noMultiLvlLbl val="0"/>
      </c:catAx>
      <c:valAx>
        <c:axId val="2034682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46808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[Shaakiru kelly cleaned 11.xlsx]Sheet16!PivotTable1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Sheet16!$B$3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2F7-4AE7-A630-8664CF88C20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2F7-4AE7-A630-8664CF88C20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2F7-4AE7-A630-8664CF88C20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82F7-4AE7-A630-8664CF88C20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82F7-4AE7-A630-8664CF88C20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82F7-4AE7-A630-8664CF88C20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82F7-4AE7-A630-8664CF88C202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82F7-4AE7-A630-8664CF88C202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82F7-4AE7-A630-8664CF88C20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Sheet16!$A$4:$A$13</c:f>
              <c:strCache>
                <c:ptCount val="9"/>
                <c:pt idx="0">
                  <c:v>East Midlands</c:v>
                </c:pt>
                <c:pt idx="1">
                  <c:v>East of England</c:v>
                </c:pt>
                <c:pt idx="2">
                  <c:v>London</c:v>
                </c:pt>
                <c:pt idx="3">
                  <c:v>North East</c:v>
                </c:pt>
                <c:pt idx="4">
                  <c:v>North West</c:v>
                </c:pt>
                <c:pt idx="5">
                  <c:v>South East</c:v>
                </c:pt>
                <c:pt idx="6">
                  <c:v>South West</c:v>
                </c:pt>
                <c:pt idx="7">
                  <c:v>West Midlands</c:v>
                </c:pt>
                <c:pt idx="8">
                  <c:v>Yorkshire</c:v>
                </c:pt>
              </c:strCache>
            </c:strRef>
          </c:cat>
          <c:val>
            <c:numRef>
              <c:f>Sheet16!$B$4:$B$13</c:f>
              <c:numCache>
                <c:formatCode>General</c:formatCode>
                <c:ptCount val="9"/>
                <c:pt idx="0">
                  <c:v>1854.7727272727273</c:v>
                </c:pt>
                <c:pt idx="1">
                  <c:v>1957.1264367816093</c:v>
                </c:pt>
                <c:pt idx="2">
                  <c:v>2213.15</c:v>
                </c:pt>
                <c:pt idx="3">
                  <c:v>1946.6279069767443</c:v>
                </c:pt>
                <c:pt idx="4">
                  <c:v>2125.8928571428573</c:v>
                </c:pt>
                <c:pt idx="5">
                  <c:v>2081.3402061855668</c:v>
                </c:pt>
                <c:pt idx="6">
                  <c:v>1776.1627906976744</c:v>
                </c:pt>
                <c:pt idx="7">
                  <c:v>1871.4117647058824</c:v>
                </c:pt>
                <c:pt idx="8">
                  <c:v>1747.7906976744187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EF-45EB-819A-AF799AAB58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[Shaakiru kelly cleaned 11.xlsx]Sheet17!PivotTable2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Sheet17!$B$3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Sheet17!$A$4:$A$14</c:f>
              <c:strCache>
                <c:ptCount val="10"/>
                <c:pt idx="0">
                  <c:v>East Midlands</c:v>
                </c:pt>
                <c:pt idx="1">
                  <c:v>East of England</c:v>
                </c:pt>
                <c:pt idx="2">
                  <c:v>London</c:v>
                </c:pt>
                <c:pt idx="3">
                  <c:v>North East</c:v>
                </c:pt>
                <c:pt idx="4">
                  <c:v>North West</c:v>
                </c:pt>
                <c:pt idx="5">
                  <c:v>South East</c:v>
                </c:pt>
                <c:pt idx="6">
                  <c:v>South West</c:v>
                </c:pt>
                <c:pt idx="7">
                  <c:v>West Midlands</c:v>
                </c:pt>
                <c:pt idx="8">
                  <c:v>Yorkshire</c:v>
                </c:pt>
                <c:pt idx="9">
                  <c:v>(blank)</c:v>
                </c:pt>
              </c:strCache>
            </c:strRef>
          </c:cat>
          <c:val>
            <c:numRef>
              <c:f>Sheet17!$B$4:$B$14</c:f>
              <c:numCache>
                <c:formatCode>General</c:formatCode>
                <c:ptCount val="10"/>
                <c:pt idx="0">
                  <c:v>742.51590610524772</c:v>
                </c:pt>
                <c:pt idx="1">
                  <c:v>783.64605749231362</c:v>
                </c:pt>
                <c:pt idx="2">
                  <c:v>886.17842665163232</c:v>
                </c:pt>
                <c:pt idx="3">
                  <c:v>779.07067400638437</c:v>
                </c:pt>
                <c:pt idx="4">
                  <c:v>850.82119504734317</c:v>
                </c:pt>
                <c:pt idx="5">
                  <c:v>833.44274552666639</c:v>
                </c:pt>
                <c:pt idx="6">
                  <c:v>711.27884756604089</c:v>
                </c:pt>
                <c:pt idx="7">
                  <c:v>749.21600899629971</c:v>
                </c:pt>
                <c:pt idx="8">
                  <c:v>699.71511362699334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0E-4E51-AB46-772CADF8F8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68555527"/>
        <c:axId val="1169199623"/>
      </c:barChart>
      <c:catAx>
        <c:axId val="11685555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9199623"/>
        <c:crosses val="autoZero"/>
        <c:auto val="1"/>
        <c:lblAlgn val="ctr"/>
        <c:lblOffset val="100"/>
        <c:noMultiLvlLbl val="0"/>
      </c:catAx>
      <c:valAx>
        <c:axId val="1169199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85555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Property_Type grow rate (2023 - 2024)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Sheet4!$C$3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Sheet4!$B$4:$B$7</c:f>
              <c:strCache>
                <c:ptCount val="4"/>
                <c:pt idx="0">
                  <c:v>Detached</c:v>
                </c:pt>
                <c:pt idx="1">
                  <c:v>Semi Detached</c:v>
                </c:pt>
                <c:pt idx="2">
                  <c:v>Flat</c:v>
                </c:pt>
                <c:pt idx="3">
                  <c:v>Terraced</c:v>
                </c:pt>
              </c:strCache>
            </c:strRef>
          </c:cat>
          <c:val>
            <c:numRef>
              <c:f>Sheet4!$C$4:$C$7</c:f>
              <c:numCache>
                <c:formatCode>0</c:formatCode>
                <c:ptCount val="4"/>
                <c:pt idx="0">
                  <c:v>341779.88614800759</c:v>
                </c:pt>
                <c:pt idx="1">
                  <c:v>350350.59760956175</c:v>
                </c:pt>
                <c:pt idx="2">
                  <c:v>343164.77272727271</c:v>
                </c:pt>
                <c:pt idx="3">
                  <c:v>341067.56756756757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7F-4692-936B-AC2982598DA5}"/>
            </c:ext>
          </c:extLst>
        </c:ser>
        <c:ser>
          <c:idx val="1"/>
          <c:order val="1"/>
          <c:tx>
            <c:strRef>
              <c:f>Sheet4!$D$3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4.1%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C77F-4692-936B-AC2982598DA5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4%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6-C77F-4692-936B-AC2982598DA5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3.9%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7-C77F-4692-936B-AC2982598DA5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/>
                      <a:t>4.5%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8-C77F-4692-936B-AC2982598DA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7030A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Sheet4!$B$4:$B$7</c:f>
              <c:strCache>
                <c:ptCount val="4"/>
                <c:pt idx="0">
                  <c:v>Detached</c:v>
                </c:pt>
                <c:pt idx="1">
                  <c:v>Semi Detached</c:v>
                </c:pt>
                <c:pt idx="2">
                  <c:v>Flat</c:v>
                </c:pt>
                <c:pt idx="3">
                  <c:v>Terraced</c:v>
                </c:pt>
              </c:strCache>
            </c:strRef>
          </c:cat>
          <c:val>
            <c:numRef>
              <c:f>Sheet4!$D$4:$D$7</c:f>
              <c:numCache>
                <c:formatCode>0</c:formatCode>
                <c:ptCount val="4"/>
                <c:pt idx="0">
                  <c:v>400978.53535353538</c:v>
                </c:pt>
                <c:pt idx="1">
                  <c:v>400507.53768844221</c:v>
                </c:pt>
                <c:pt idx="2">
                  <c:v>399576.2925598991</c:v>
                </c:pt>
                <c:pt idx="3">
                  <c:v>402478.37150127225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77F-4692-936B-AC2982598D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46168328"/>
        <c:axId val="1546269192"/>
      </c:barChart>
      <c:catAx>
        <c:axId val="15461683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rgbClr val="70AD47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Property_type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rgbClr val="70AD47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6269192"/>
        <c:crosses val="autoZero"/>
        <c:auto val="1"/>
        <c:lblAlgn val="ctr"/>
        <c:lblOffset val="100"/>
        <c:noMultiLvlLbl val="0"/>
      </c:catAx>
      <c:valAx>
        <c:axId val="1546269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rgbClr val="70AD47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Average_Price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rgbClr val="70AD47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616832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3.xml"/><Relationship Id="rId3" Type="http://schemas.openxmlformats.org/officeDocument/2006/relationships/chart" Target="../charts/chart8.xml"/><Relationship Id="rId7" Type="http://schemas.openxmlformats.org/officeDocument/2006/relationships/chart" Target="../charts/chart12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6" Type="http://schemas.openxmlformats.org/officeDocument/2006/relationships/chart" Target="../charts/chart11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1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2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3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4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6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476250</xdr:colOff>
      <xdr:row>2</xdr:row>
      <xdr:rowOff>9525</xdr:rowOff>
    </xdr:from>
    <xdr:to>
      <xdr:col>13</xdr:col>
      <xdr:colOff>409575</xdr:colOff>
      <xdr:row>16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C620142-9889-1F74-9373-0BE573DB8C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790575</xdr:colOff>
      <xdr:row>8</xdr:row>
      <xdr:rowOff>152400</xdr:rowOff>
    </xdr:from>
    <xdr:to>
      <xdr:col>6</xdr:col>
      <xdr:colOff>19050</xdr:colOff>
      <xdr:row>21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77695D-9142-9200-5882-2D92D74064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247650</xdr:colOff>
      <xdr:row>22</xdr:row>
      <xdr:rowOff>123825</xdr:rowOff>
    </xdr:from>
    <xdr:to>
      <xdr:col>6</xdr:col>
      <xdr:colOff>114300</xdr:colOff>
      <xdr:row>35</xdr:row>
      <xdr:rowOff>133350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08554D4-F55B-48EB-8846-709FFDCEA8CA}"/>
            </a:ext>
            <a:ext uri="{147F2762-F138-4A5C-976F-8EAC2B608ADB}">
              <a16:predDERef xmlns:a16="http://schemas.microsoft.com/office/drawing/2014/main" pred="{E877695D-9142-9200-5882-2D92D74064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428625</xdr:colOff>
      <xdr:row>0</xdr:row>
      <xdr:rowOff>0</xdr:rowOff>
    </xdr:from>
    <xdr:to>
      <xdr:col>12</xdr:col>
      <xdr:colOff>57150</xdr:colOff>
      <xdr:row>14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93CA7D8-06F4-0016-DA42-97EACFC201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342900</xdr:colOff>
      <xdr:row>2</xdr:row>
      <xdr:rowOff>57150</xdr:rowOff>
    </xdr:from>
    <xdr:to>
      <xdr:col>10</xdr:col>
      <xdr:colOff>457200</xdr:colOff>
      <xdr:row>17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3CBF9D4-6A0B-7EC9-C2ED-0E02CBFB0A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457200</xdr:colOff>
      <xdr:row>0</xdr:row>
      <xdr:rowOff>66675</xdr:rowOff>
    </xdr:from>
    <xdr:to>
      <xdr:col>17</xdr:col>
      <xdr:colOff>76200</xdr:colOff>
      <xdr:row>2</xdr:row>
      <xdr:rowOff>161925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9C5AC36-86EA-EAB3-D8B0-930F1FD76D67}"/>
            </a:ext>
          </a:extLst>
        </xdr:cNvPr>
        <xdr:cNvSpPr txBox="1"/>
      </xdr:nvSpPr>
      <xdr:spPr>
        <a:xfrm>
          <a:off x="4724400" y="66675"/>
          <a:ext cx="5715000" cy="476250"/>
        </a:xfrm>
        <a:prstGeom prst="rect">
          <a:avLst/>
        </a:prstGeom>
        <a:solidFill>
          <a:schemeClr val="lt1"/>
        </a:solidFill>
        <a:ln w="9525" cmpd="sng">
          <a:solidFill>
            <a:srgbClr val="0070BF"/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800" i="1">
              <a:solidFill>
                <a:schemeClr val="accent1"/>
              </a:solidFill>
              <a:latin typeface="+mn-lt"/>
              <a:ea typeface="+mn-lt"/>
              <a:cs typeface="+mn-lt"/>
            </a:rPr>
            <a:t>UK HOUSING MARKET INSIGHTS ANALYSIS (2023 - 2024)</a:t>
          </a:r>
        </a:p>
      </xdr:txBody>
    </xdr:sp>
    <xdr:clientData/>
  </xdr:twoCellAnchor>
  <xdr:twoCellAnchor>
    <xdr:from>
      <xdr:col>0</xdr:col>
      <xdr:colOff>66675</xdr:colOff>
      <xdr:row>2</xdr:row>
      <xdr:rowOff>47625</xdr:rowOff>
    </xdr:from>
    <xdr:to>
      <xdr:col>6</xdr:col>
      <xdr:colOff>57150</xdr:colOff>
      <xdr:row>18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2A3851E-FC79-4D28-BD83-DBDA016042DE}"/>
            </a:ext>
            <a:ext uri="{147F2762-F138-4A5C-976F-8EAC2B608ADB}">
              <a16:predDERef xmlns:a16="http://schemas.microsoft.com/office/drawing/2014/main" pred="{49C5AC36-86EA-EAB3-D8B0-930F1FD76D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66675</xdr:colOff>
      <xdr:row>5</xdr:row>
      <xdr:rowOff>9525</xdr:rowOff>
    </xdr:from>
    <xdr:to>
      <xdr:col>11</xdr:col>
      <xdr:colOff>476250</xdr:colOff>
      <xdr:row>15</xdr:row>
      <xdr:rowOff>133350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4D057BB-94E9-4EFB-AE29-4D7135C423FE}"/>
            </a:ext>
            <a:ext uri="{147F2762-F138-4A5C-976F-8EAC2B608ADB}">
              <a16:predDERef xmlns:a16="http://schemas.microsoft.com/office/drawing/2014/main" pred="{B2A3851E-FC79-4D28-BD83-DBDA016042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381000</xdr:colOff>
      <xdr:row>4</xdr:row>
      <xdr:rowOff>28575</xdr:rowOff>
    </xdr:from>
    <xdr:to>
      <xdr:col>25</xdr:col>
      <xdr:colOff>47625</xdr:colOff>
      <xdr:row>16</xdr:row>
      <xdr:rowOff>66675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8A48B22-B898-409D-B020-F851112180A8}"/>
            </a:ext>
            <a:ext uri="{147F2762-F138-4A5C-976F-8EAC2B608ADB}">
              <a16:predDERef xmlns:a16="http://schemas.microsoft.com/office/drawing/2014/main" pred="{64D057BB-94E9-4EFB-AE29-4D7135C423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190500</xdr:colOff>
      <xdr:row>3</xdr:row>
      <xdr:rowOff>142875</xdr:rowOff>
    </xdr:from>
    <xdr:to>
      <xdr:col>17</xdr:col>
      <xdr:colOff>400050</xdr:colOff>
      <xdr:row>16</xdr:row>
      <xdr:rowOff>171450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17F3C76-5B3A-49A8-B0A7-30497E7D2094}"/>
            </a:ext>
            <a:ext uri="{147F2762-F138-4A5C-976F-8EAC2B608ADB}">
              <a16:predDERef xmlns:a16="http://schemas.microsoft.com/office/drawing/2014/main" pred="{48A48B22-B898-409D-B020-F851112180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66675</xdr:colOff>
      <xdr:row>15</xdr:row>
      <xdr:rowOff>133350</xdr:rowOff>
    </xdr:from>
    <xdr:to>
      <xdr:col>12</xdr:col>
      <xdr:colOff>180975</xdr:colOff>
      <xdr:row>30</xdr:row>
      <xdr:rowOff>171450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57AC699-9AEC-4101-8C6B-E729F89EEF20}"/>
            </a:ext>
            <a:ext uri="{147F2762-F138-4A5C-976F-8EAC2B608ADB}">
              <a16:predDERef xmlns:a16="http://schemas.microsoft.com/office/drawing/2014/main" pred="{617F3C76-5B3A-49A8-B0A7-30497E7D20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209550</xdr:colOff>
      <xdr:row>17</xdr:row>
      <xdr:rowOff>0</xdr:rowOff>
    </xdr:from>
    <xdr:to>
      <xdr:col>20</xdr:col>
      <xdr:colOff>285750</xdr:colOff>
      <xdr:row>29</xdr:row>
      <xdr:rowOff>171450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4004DA12-3BA8-4DA5-80EC-25679A3F0285}"/>
            </a:ext>
            <a:ext uri="{147F2762-F138-4A5C-976F-8EAC2B608ADB}">
              <a16:predDERef xmlns:a16="http://schemas.microsoft.com/office/drawing/2014/main" pred="{B57AC699-9AEC-4101-8C6B-E729F89EEF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20</xdr:col>
      <xdr:colOff>419100</xdr:colOff>
      <xdr:row>16</xdr:row>
      <xdr:rowOff>123825</xdr:rowOff>
    </xdr:from>
    <xdr:to>
      <xdr:col>28</xdr:col>
      <xdr:colOff>114300</xdr:colOff>
      <xdr:row>31</xdr:row>
      <xdr:rowOff>9525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5E535A03-B78F-45AA-A61D-E9B86AED3F43}"/>
            </a:ext>
            <a:ext uri="{147F2762-F138-4A5C-976F-8EAC2B608ADB}">
              <a16:predDERef xmlns:a16="http://schemas.microsoft.com/office/drawing/2014/main" pred="{4004DA12-3BA8-4DA5-80EC-25679A3F02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523875</xdr:colOff>
      <xdr:row>18</xdr:row>
      <xdr:rowOff>76200</xdr:rowOff>
    </xdr:from>
    <xdr:to>
      <xdr:col>5</xdr:col>
      <xdr:colOff>552450</xdr:colOff>
      <xdr:row>31</xdr:row>
      <xdr:rowOff>38100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E5EF26FF-760C-4109-A38D-FFCF8739EEA7}"/>
            </a:ext>
            <a:ext uri="{147F2762-F138-4A5C-976F-8EAC2B608ADB}">
              <a16:predDERef xmlns:a16="http://schemas.microsoft.com/office/drawing/2014/main" pred="{5E535A03-B78F-45AA-A61D-E9B86AED3F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561975</xdr:colOff>
      <xdr:row>1</xdr:row>
      <xdr:rowOff>9525</xdr:rowOff>
    </xdr:from>
    <xdr:to>
      <xdr:col>10</xdr:col>
      <xdr:colOff>66675</xdr:colOff>
      <xdr:row>15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87B223C-2135-FBE1-3A64-CA0794D075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304800</xdr:colOff>
      <xdr:row>1</xdr:row>
      <xdr:rowOff>66675</xdr:rowOff>
    </xdr:from>
    <xdr:to>
      <xdr:col>10</xdr:col>
      <xdr:colOff>0</xdr:colOff>
      <xdr:row>15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277F6FE-EA41-754D-6F51-68B80C5C25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514350</xdr:colOff>
      <xdr:row>13</xdr:row>
      <xdr:rowOff>133350</xdr:rowOff>
    </xdr:from>
    <xdr:to>
      <xdr:col>4</xdr:col>
      <xdr:colOff>628650</xdr:colOff>
      <xdr:row>38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D0154EB-2BE4-EBC7-47E8-D7F2EDA05E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847725</xdr:colOff>
      <xdr:row>8</xdr:row>
      <xdr:rowOff>171450</xdr:rowOff>
    </xdr:from>
    <xdr:to>
      <xdr:col>5</xdr:col>
      <xdr:colOff>161925</xdr:colOff>
      <xdr:row>24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4FFB531-8E42-6208-F89B-CEE6FBD745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447675</xdr:colOff>
      <xdr:row>1</xdr:row>
      <xdr:rowOff>171450</xdr:rowOff>
    </xdr:from>
    <xdr:to>
      <xdr:col>8</xdr:col>
      <xdr:colOff>457200</xdr:colOff>
      <xdr:row>16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D84FB52-0BCF-413D-A20F-B8FC24915D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800100</xdr:colOff>
      <xdr:row>12</xdr:row>
      <xdr:rowOff>142875</xdr:rowOff>
    </xdr:from>
    <xdr:to>
      <xdr:col>7</xdr:col>
      <xdr:colOff>542925</xdr:colOff>
      <xdr:row>27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5DEF852-1034-B0ED-52DA-CCAAC3DDAD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600075</xdr:colOff>
      <xdr:row>3</xdr:row>
      <xdr:rowOff>66675</xdr:rowOff>
    </xdr:from>
    <xdr:to>
      <xdr:col>14</xdr:col>
      <xdr:colOff>295275</xdr:colOff>
      <xdr:row>17</xdr:row>
      <xdr:rowOff>142875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4666A21-ECF2-9325-1CE5-7FEBD6472436}"/>
            </a:ext>
            <a:ext uri="{147F2762-F138-4A5C-976F-8EAC2B608ADB}">
              <a16:predDERef xmlns:a16="http://schemas.microsoft.com/office/drawing/2014/main" pred="{55DEF852-1034-B0ED-52DA-CCAAC3DDAD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1343025</xdr:colOff>
      <xdr:row>8</xdr:row>
      <xdr:rowOff>123825</xdr:rowOff>
    </xdr:from>
    <xdr:to>
      <xdr:col>7</xdr:col>
      <xdr:colOff>238125</xdr:colOff>
      <xdr:row>23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11B841E-A466-5C54-3B8F-A4AFA726DD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466725</xdr:colOff>
      <xdr:row>5</xdr:row>
      <xdr:rowOff>0</xdr:rowOff>
    </xdr:from>
    <xdr:to>
      <xdr:col>10</xdr:col>
      <xdr:colOff>161925</xdr:colOff>
      <xdr:row>19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5847D42-9D9F-1692-907A-A80FDA5579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895350</xdr:colOff>
      <xdr:row>4</xdr:row>
      <xdr:rowOff>180975</xdr:rowOff>
    </xdr:from>
    <xdr:to>
      <xdr:col>14</xdr:col>
      <xdr:colOff>485775</xdr:colOff>
      <xdr:row>19</xdr:row>
      <xdr:rowOff>66675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CFF08EF-C6FC-28A3-3E66-C0714A2B8D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1447800</xdr:colOff>
      <xdr:row>3</xdr:row>
      <xdr:rowOff>180975</xdr:rowOff>
    </xdr:from>
    <xdr:to>
      <xdr:col>10</xdr:col>
      <xdr:colOff>123825</xdr:colOff>
      <xdr:row>18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C59F37C-6DC6-09BC-225F-A3DAA307F3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857250</xdr:colOff>
      <xdr:row>1</xdr:row>
      <xdr:rowOff>133350</xdr:rowOff>
    </xdr:from>
    <xdr:to>
      <xdr:col>6</xdr:col>
      <xdr:colOff>409575</xdr:colOff>
      <xdr:row>16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0BAF7D1-450F-E9E9-0C6B-44DCAC99BE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238125</xdr:colOff>
      <xdr:row>0</xdr:row>
      <xdr:rowOff>142875</xdr:rowOff>
    </xdr:from>
    <xdr:to>
      <xdr:col>16</xdr:col>
      <xdr:colOff>542925</xdr:colOff>
      <xdr:row>15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35D3116-74E4-1D20-8020-57E25968F5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104775</xdr:colOff>
      <xdr:row>0</xdr:row>
      <xdr:rowOff>0</xdr:rowOff>
    </xdr:from>
    <xdr:to>
      <xdr:col>12</xdr:col>
      <xdr:colOff>19050</xdr:colOff>
      <xdr:row>9</xdr:row>
      <xdr:rowOff>1600200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BA97485-A752-E1F7-3312-2AFE75EA00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11.775694675925" createdVersion="8" refreshedVersion="8" minRefreshableVersion="3" recordCount="799" xr:uid="{B971A9A1-3B3E-4C8D-A2CA-5870C987AF9F}">
  <cacheSource type="worksheet">
    <worksheetSource ref="A1:J800" sheet="Copy"/>
  </cacheSource>
  <cacheFields count="10">
    <cacheField name="Region" numFmtId="0">
      <sharedItems count="9">
        <s v="London"/>
        <s v="South East"/>
        <s v="North West"/>
        <s v="Yorkshire"/>
        <s v="East Midlands"/>
        <s v="West Midlands"/>
        <s v="South West"/>
        <s v="North East"/>
        <s v="East of England"/>
      </sharedItems>
    </cacheField>
    <cacheField name="Property_Type" numFmtId="0">
      <sharedItems count="4">
        <s v="Detached"/>
        <s v="Flat"/>
        <s v="Terraced"/>
        <s v="Semi Detached"/>
      </sharedItems>
    </cacheField>
    <cacheField name="Average_Price" numFmtId="0">
      <sharedItems containsSemiMixedTypes="0" containsString="0" containsNumber="1" containsInteger="1" minValue="166000" maxValue="950000"/>
    </cacheField>
    <cacheField name="Sales_Volume" numFmtId="0">
      <sharedItems containsSemiMixedTypes="0" containsString="0" containsNumber="1" containsInteger="1" minValue="150" maxValue="3405"/>
    </cacheField>
    <cacheField name="Year" numFmtId="0">
      <sharedItems containsSemiMixedTypes="0" containsString="0" containsNumber="1" containsInteger="1" minValue="2023" maxValue="2024" count="2">
        <n v="2023"/>
        <n v="2024"/>
      </sharedItems>
    </cacheField>
    <cacheField name="Mortgage_Rate" numFmtId="0">
      <sharedItems containsSemiMixedTypes="0" containsString="0" containsNumber="1" minValue="4.5" maxValue="6.7"/>
    </cacheField>
    <cacheField name="Deposit_Percent" numFmtId="0">
      <sharedItems containsMixedTypes="1" containsNumber="1" containsInteger="1" minValue="5" maxValue="25"/>
    </cacheField>
    <cacheField name="Energy_Rating" numFmtId="0">
      <sharedItems/>
    </cacheField>
    <cacheField name="New_Build" numFmtId="0">
      <sharedItems/>
    </cacheField>
    <cacheField name="Buyer_Typ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12.535903935182" createdVersion="8" refreshedVersion="8" minRefreshableVersion="3" recordCount="799" xr:uid="{FE869849-5863-4F8C-9897-4278A248EBAB}">
  <cacheSource type="worksheet">
    <worksheetSource ref="A1:K800" sheet="Copy"/>
  </cacheSource>
  <cacheFields count="11">
    <cacheField name="Region" numFmtId="0">
      <sharedItems count="9">
        <s v="London"/>
        <s v="South East"/>
        <s v="North West"/>
        <s v="Yorkshire"/>
        <s v="East Midlands"/>
        <s v="West Midlands"/>
        <s v="South West"/>
        <s v="North East"/>
        <s v="East of England"/>
      </sharedItems>
    </cacheField>
    <cacheField name="Property_Type" numFmtId="0">
      <sharedItems count="4">
        <s v="Detached"/>
        <s v="Flat"/>
        <s v="Terraced"/>
        <s v="Semi Detached"/>
      </sharedItems>
    </cacheField>
    <cacheField name="Average_Price" numFmtId="0">
      <sharedItems containsSemiMixedTypes="0" containsString="0" containsNumber="1" containsInteger="1" minValue="166000" maxValue="950000"/>
    </cacheField>
    <cacheField name="Sales_Volume" numFmtId="0">
      <sharedItems containsSemiMixedTypes="0" containsString="0" containsNumber="1" containsInteger="1" minValue="150" maxValue="3405"/>
    </cacheField>
    <cacheField name="Year" numFmtId="0">
      <sharedItems containsSemiMixedTypes="0" containsString="0" containsNumber="1" containsInteger="1" minValue="2023" maxValue="2024" count="2">
        <n v="2023"/>
        <n v="2024"/>
      </sharedItems>
    </cacheField>
    <cacheField name="Mortgage_Rate" numFmtId="0">
      <sharedItems containsSemiMixedTypes="0" containsString="0" containsNumber="1" minValue="4.5" maxValue="6.7"/>
    </cacheField>
    <cacheField name="Deposit_Percent" numFmtId="0">
      <sharedItems containsMixedTypes="1" containsNumber="1" containsInteger="1" minValue="5" maxValue="25"/>
    </cacheField>
    <cacheField name="Energy_Rating" numFmtId="0">
      <sharedItems count="4">
        <s v="B"/>
        <s v="C"/>
        <s v="D"/>
        <s v="A"/>
      </sharedItems>
    </cacheField>
    <cacheField name="New_Build" numFmtId="0">
      <sharedItems/>
    </cacheField>
    <cacheField name="Buyer_Type" numFmtId="0">
      <sharedItems/>
    </cacheField>
    <cacheField name="Affordability_Index" numFmtId="0">
      <sharedItems containsSemiMixedTypes="0" containsString="0" containsNumber="1" minValue="79.545454545454547" maxValue="1916.666666666666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12.673331018515" createdVersion="8" refreshedVersion="8" minRefreshableVersion="3" recordCount="799" xr:uid="{90A1C0B2-C8EE-4AB1-9385-AA11C05A3BD0}">
  <cacheSource type="worksheet">
    <worksheetSource ref="A1:O800" sheet="Copy"/>
  </cacheSource>
  <cacheFields count="15">
    <cacheField name="Region" numFmtId="0">
      <sharedItems count="9">
        <s v="North East"/>
        <s v="Yorkshire"/>
        <s v="North West"/>
        <s v="East Midlands"/>
        <s v="West Midlands"/>
        <s v="East of England"/>
        <s v="South West"/>
        <s v="South East"/>
        <s v="London"/>
      </sharedItems>
    </cacheField>
    <cacheField name="Property_Type" numFmtId="0">
      <sharedItems count="4">
        <s v="Flat"/>
        <s v="Terraced"/>
        <s v="Semi Detached"/>
        <s v="Detached"/>
      </sharedItems>
    </cacheField>
    <cacheField name="Average_Price" numFmtId="0">
      <sharedItems containsSemiMixedTypes="0" containsString="0" containsNumber="1" containsInteger="1" minValue="166000" maxValue="950000"/>
    </cacheField>
    <cacheField name="Sales_Volume" numFmtId="0">
      <sharedItems containsSemiMixedTypes="0" containsString="0" containsNumber="1" containsInteger="1" minValue="150" maxValue="3405"/>
    </cacheField>
    <cacheField name="Year" numFmtId="0">
      <sharedItems containsSemiMixedTypes="0" containsString="0" containsNumber="1" containsInteger="1" minValue="2023" maxValue="2024"/>
    </cacheField>
    <cacheField name="Mortgage_Rate" numFmtId="0">
      <sharedItems containsSemiMixedTypes="0" containsString="0" containsNumber="1" minValue="4.5" maxValue="6.7"/>
    </cacheField>
    <cacheField name="Deposit_Percent" numFmtId="0">
      <sharedItems containsMixedTypes="1" containsNumber="1" containsInteger="1" minValue="5" maxValue="25"/>
    </cacheField>
    <cacheField name="Energy_Rating" numFmtId="0">
      <sharedItems count="4">
        <s v="D"/>
        <s v="C"/>
        <s v="B"/>
        <s v="A"/>
      </sharedItems>
    </cacheField>
    <cacheField name="New_Build" numFmtId="0">
      <sharedItems/>
    </cacheField>
    <cacheField name="Buyer_Type" numFmtId="0">
      <sharedItems count="3">
        <s v="First Timer"/>
        <s v="Upsizer"/>
        <s v="Investor"/>
      </sharedItems>
    </cacheField>
    <cacheField name="Affordability_Index" numFmtId="2">
      <sharedItems containsSemiMixedTypes="0" containsString="0" containsNumber="1" minValue="79.545454545454547" maxValue="1916.6666666666667"/>
    </cacheField>
    <cacheField name="Monthly_Mortgage_cost" numFmtId="8">
      <sharedItems containsSemiMixedTypes="0" containsString="0" containsNumber="1" minValue="951.11519082643133" maxValue="4487.2761450537082"/>
    </cacheField>
    <cacheField name="Total Interest Paid" numFmtId="8">
      <sharedItems containsSemiMixedTypes="0" containsString="0" containsNumber="1" minValue="127636.95188670175" maxValue="649301.32630174188"/>
    </cacheField>
    <cacheField name="25-Year total cost" numFmtId="8">
      <sharedItems containsSemiMixedTypes="0" containsString="0" containsNumber="1" minValue="285334.55724792939" maxValue="1346182.8435161123"/>
    </cacheField>
    <cacheField name="Loan Amount" numFmtId="0">
      <sharedItems containsSemiMixedTypes="0" containsString="0" containsNumber="1" minValue="152720" maxValue="76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12.746979629628" createdVersion="8" refreshedVersion="8" minRefreshableVersion="3" recordCount="799" xr:uid="{B0FD4025-A8B8-416B-A54E-6B7A568AEA44}">
  <cacheSource type="worksheet">
    <worksheetSource ref="A1:P800" sheet="Copy"/>
  </cacheSource>
  <cacheFields count="16">
    <cacheField name="Region" numFmtId="0">
      <sharedItems count="9">
        <s v="North East"/>
        <s v="Yorkshire"/>
        <s v="North West"/>
        <s v="East Midlands"/>
        <s v="West Midlands"/>
        <s v="East of England"/>
        <s v="South West"/>
        <s v="South East"/>
        <s v="London"/>
      </sharedItems>
    </cacheField>
    <cacheField name="Property_Type" numFmtId="0">
      <sharedItems count="4">
        <s v="Flat"/>
        <s v="Terraced"/>
        <s v="Semi Detached"/>
        <s v="Detached"/>
      </sharedItems>
    </cacheField>
    <cacheField name="Average_Price" numFmtId="0">
      <sharedItems containsSemiMixedTypes="0" containsString="0" containsNumber="1" containsInteger="1" minValue="166000" maxValue="950000"/>
    </cacheField>
    <cacheField name="Sales_Volume" numFmtId="0">
      <sharedItems containsSemiMixedTypes="0" containsString="0" containsNumber="1" containsInteger="1" minValue="150" maxValue="3405"/>
    </cacheField>
    <cacheField name="Year" numFmtId="0">
      <sharedItems containsSemiMixedTypes="0" containsString="0" containsNumber="1" containsInteger="1" minValue="2023" maxValue="2024" count="2">
        <n v="2023"/>
        <n v="2024"/>
      </sharedItems>
    </cacheField>
    <cacheField name="Mortgage_Rate" numFmtId="0">
      <sharedItems containsSemiMixedTypes="0" containsString="0" containsNumber="1" minValue="4.5" maxValue="6.7"/>
    </cacheField>
    <cacheField name="Deposit_Percent" numFmtId="0">
      <sharedItems containsMixedTypes="1" containsNumber="1" containsInteger="1" minValue="5" maxValue="25"/>
    </cacheField>
    <cacheField name="Energy_Rating" numFmtId="0">
      <sharedItems count="4">
        <s v="D"/>
        <s v="C"/>
        <s v="B"/>
        <s v="A"/>
      </sharedItems>
    </cacheField>
    <cacheField name="New_Build" numFmtId="0">
      <sharedItems/>
    </cacheField>
    <cacheField name="Buyer_Type" numFmtId="0">
      <sharedItems count="3">
        <s v="First Timer"/>
        <s v="Upsizer"/>
        <s v="Investor"/>
      </sharedItems>
    </cacheField>
    <cacheField name="Affordability_Index" numFmtId="2">
      <sharedItems containsSemiMixedTypes="0" containsString="0" containsNumber="1" minValue="79.545454545454547" maxValue="1916.6666666666667"/>
    </cacheField>
    <cacheField name="Monthly_Mortgage_cost" numFmtId="8">
      <sharedItems containsSemiMixedTypes="0" containsString="0" containsNumber="1" minValue="951.11519082643133" maxValue="4487.2761450537082"/>
    </cacheField>
    <cacheField name="Total Interest Paid" numFmtId="8">
      <sharedItems containsSemiMixedTypes="0" containsString="0" containsNumber="1" minValue="127636.95188670175" maxValue="649301.32630174188"/>
    </cacheField>
    <cacheField name="25-Year total cost" numFmtId="8">
      <sharedItems containsSemiMixedTypes="0" containsString="0" containsNumber="1" minValue="285334.55724792939" maxValue="1346182.8435161123"/>
    </cacheField>
    <cacheField name="Loan Amount" numFmtId="0">
      <sharedItems containsSemiMixedTypes="0" containsString="0" containsNumber="1" minValue="152720" maxValue="760000"/>
    </cacheField>
    <cacheField name="Investment_Score" numFmtId="0">
      <sharedItems containsSemiMixedTypes="0" containsString="0" containsNumber="1" minValue="60.300195652173912" maxValue="1362.601983495145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15.891855324073" createdVersion="8" refreshedVersion="8" minRefreshableVersion="3" recordCount="802" xr:uid="{0F86687E-B5A1-436E-9CDF-C62A572421A9}">
  <cacheSource type="worksheet">
    <worksheetSource ref="A1:S1048576" sheet="Copy"/>
  </cacheSource>
  <cacheFields count="19">
    <cacheField name="Region" numFmtId="0">
      <sharedItems containsBlank="1" count="10">
        <s v="North East"/>
        <s v="Yorkshire"/>
        <s v="North West"/>
        <s v="East Midlands"/>
        <s v="West Midlands"/>
        <s v="East of England"/>
        <s v="South West"/>
        <s v="South East"/>
        <s v="London"/>
        <m/>
      </sharedItems>
    </cacheField>
    <cacheField name="Property_Type" numFmtId="0">
      <sharedItems containsBlank="1"/>
    </cacheField>
    <cacheField name="Average_Price" numFmtId="0">
      <sharedItems containsString="0" containsBlank="1" containsNumber="1" containsInteger="1" minValue="166000" maxValue="950000"/>
    </cacheField>
    <cacheField name="Sales_Volume" numFmtId="0">
      <sharedItems containsString="0" containsBlank="1" containsNumber="1" containsInteger="1" minValue="150" maxValue="3405"/>
    </cacheField>
    <cacheField name="Year" numFmtId="0">
      <sharedItems containsString="0" containsBlank="1" containsNumber="1" containsInteger="1" minValue="2023" maxValue="2024"/>
    </cacheField>
    <cacheField name="Mortgage_Rate" numFmtId="0">
      <sharedItems containsString="0" containsBlank="1" containsNumber="1" minValue="4.5" maxValue="6.7"/>
    </cacheField>
    <cacheField name="Deposit_Percent" numFmtId="0">
      <sharedItems containsBlank="1" containsMixedTypes="1" containsNumber="1" containsInteger="1" minValue="5" maxValue="25"/>
    </cacheField>
    <cacheField name="Energy_Rating" numFmtId="0">
      <sharedItems containsBlank="1" count="5">
        <s v="D"/>
        <s v="C"/>
        <s v="B"/>
        <s v="A"/>
        <m/>
      </sharedItems>
    </cacheField>
    <cacheField name="New_Build" numFmtId="0">
      <sharedItems containsBlank="1"/>
    </cacheField>
    <cacheField name="Buyer_Type" numFmtId="0">
      <sharedItems containsBlank="1"/>
    </cacheField>
    <cacheField name="Affordability_Index" numFmtId="2">
      <sharedItems containsString="0" containsBlank="1" containsNumber="1" minValue="79.545454545454547" maxValue="1916.6666666666667"/>
    </cacheField>
    <cacheField name="Monthly_Mortgage_cost" numFmtId="0">
      <sharedItems containsString="0" containsBlank="1" containsNumber="1" minValue="951.11519082643133" maxValue="4487.2761450537082"/>
    </cacheField>
    <cacheField name="Total Interest Paid" numFmtId="0">
      <sharedItems containsString="0" containsBlank="1" containsNumber="1" minValue="127636.95188670175" maxValue="649301.32630174188"/>
    </cacheField>
    <cacheField name="25-Year total cost" numFmtId="0">
      <sharedItems containsString="0" containsBlank="1" containsNumber="1" minValue="285334.55724792939" maxValue="1346182.8435161123"/>
    </cacheField>
    <cacheField name="Loan Amount" numFmtId="0">
      <sharedItems containsString="0" containsBlank="1" containsNumber="1" minValue="152720" maxValue="760000"/>
    </cacheField>
    <cacheField name="Investment_Score" numFmtId="0">
      <sharedItems containsString="0" containsBlank="1" containsNumber="1" minValue="60.300195652173912" maxValue="1362.6019834951455"/>
    </cacheField>
    <cacheField name="Field17" caption="Field17" numFmtId="0">
      <sharedItems containsNonDate="0" containsString="0" containsBlank="1"/>
    </cacheField>
    <cacheField name="Field18" caption="Field18" numFmtId="0">
      <sharedItems containsBlank="1"/>
    </cacheField>
    <cacheField name="Investment_Score_1" numFmtId="0">
      <sharedItems containsString="0" containsBlank="1" containsNumber="1" minValue="60.302173913043475" maxValue="1362.622038834951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99">
  <r>
    <x v="0"/>
    <x v="0"/>
    <n v="785000"/>
    <n v="1200"/>
    <x v="0"/>
    <n v="6.1"/>
    <s v="18"/>
    <s v="B"/>
    <s v="Yes"/>
    <s v="Investor"/>
  </r>
  <r>
    <x v="1"/>
    <x v="1"/>
    <n v="298000"/>
    <n v="1200"/>
    <x v="1"/>
    <n v="5.4"/>
    <s v="12"/>
    <s v="C"/>
    <s v="No"/>
    <s v="First Timer"/>
  </r>
  <r>
    <x v="2"/>
    <x v="2"/>
    <n v="252000"/>
    <n v="1990"/>
    <x v="0"/>
    <n v="6.3"/>
    <s v="10"/>
    <s v="D"/>
    <s v="No"/>
    <s v="First Timer"/>
  </r>
  <r>
    <x v="3"/>
    <x v="3"/>
    <n v="305000"/>
    <n v="1840"/>
    <x v="1"/>
    <n v="5.2"/>
    <s v="15"/>
    <s v="C"/>
    <s v="No"/>
    <s v="Upsizer"/>
  </r>
  <r>
    <x v="4"/>
    <x v="1"/>
    <n v="218000"/>
    <n v="740"/>
    <x v="0"/>
    <n v="6.5"/>
    <s v="8"/>
    <s v="D"/>
    <s v="No"/>
    <s v="First Timer"/>
  </r>
  <r>
    <x v="5"/>
    <x v="0"/>
    <n v="435000"/>
    <n v="1320"/>
    <x v="1"/>
    <n v="5.0999999999999996"/>
    <n v="10"/>
    <s v="B"/>
    <s v="Yes"/>
    <s v="Investor"/>
  </r>
  <r>
    <x v="6"/>
    <x v="2"/>
    <n v="318000"/>
    <n v="1760"/>
    <x v="0"/>
    <n v="6.4"/>
    <s v="21"/>
    <s v="C"/>
    <s v="No"/>
    <s v="First Timer"/>
  </r>
  <r>
    <x v="7"/>
    <x v="1"/>
    <n v="168000"/>
    <n v="1880"/>
    <x v="1"/>
    <n v="5.3"/>
    <s v="5"/>
    <s v="D"/>
    <s v="No"/>
    <s v="First Timer"/>
  </r>
  <r>
    <x v="8"/>
    <x v="0"/>
    <n v="512000"/>
    <n v="1490"/>
    <x v="0"/>
    <n v="6.2"/>
    <s v="22"/>
    <s v="B"/>
    <s v="Yes"/>
    <s v="Upsizer"/>
  </r>
  <r>
    <x v="0"/>
    <x v="1"/>
    <n v="438000"/>
    <n v="2600"/>
    <x v="1"/>
    <n v="5"/>
    <s v="12"/>
    <s v="C"/>
    <s v="No"/>
    <s v="First Timer"/>
  </r>
  <r>
    <x v="1"/>
    <x v="3"/>
    <n v="428000"/>
    <n v="2050"/>
    <x v="1"/>
    <n v="5.3"/>
    <s v="15"/>
    <s v="B"/>
    <s v="No"/>
    <s v="Upsizer"/>
  </r>
  <r>
    <x v="2"/>
    <x v="0"/>
    <n v="392000"/>
    <n v="1410"/>
    <x v="0"/>
    <n v="6.4"/>
    <s v="18"/>
    <s v="C"/>
    <s v="Yes"/>
    <s v="Investor"/>
  </r>
  <r>
    <x v="3"/>
    <x v="2"/>
    <n v="240000"/>
    <n v="2140"/>
    <x v="1"/>
    <n v="5.5"/>
    <s v="10"/>
    <s v="D"/>
    <s v="No"/>
    <s v="First Timer"/>
  </r>
  <r>
    <x v="4"/>
    <x v="3"/>
    <n v="322000"/>
    <n v="1580"/>
    <x v="1"/>
    <n v="5.4"/>
    <s v="14"/>
    <s v="C"/>
    <s v="No"/>
    <s v="Upsizer"/>
  </r>
  <r>
    <x v="5"/>
    <x v="1"/>
    <n v="228000"/>
    <n v="2100"/>
    <x v="0"/>
    <n v="6.6"/>
    <s v="7"/>
    <s v="D"/>
    <s v="No"/>
    <s v="First Timer"/>
  </r>
  <r>
    <x v="6"/>
    <x v="0"/>
    <n v="480000"/>
    <n v="1300"/>
    <x v="1"/>
    <n v="5.2"/>
    <s v="20"/>
    <s v="B"/>
    <s v="Yes"/>
    <s v="Investor"/>
  </r>
  <r>
    <x v="7"/>
    <x v="2"/>
    <n v="212000"/>
    <n v="1820"/>
    <x v="0"/>
    <n v="6.7"/>
    <s v="6"/>
    <s v="D"/>
    <s v="No"/>
    <s v="First Timer"/>
  </r>
  <r>
    <x v="8"/>
    <x v="1"/>
    <n v="273000"/>
    <n v="2430"/>
    <x v="1"/>
    <n v="5.0999999999999996"/>
    <s v="10"/>
    <s v="C"/>
    <s v="No"/>
    <s v="First Timer"/>
  </r>
  <r>
    <x v="0"/>
    <x v="2"/>
    <n v="548000"/>
    <n v="2180"/>
    <x v="1"/>
    <n v="5"/>
    <s v="15"/>
    <s v="B"/>
    <s v="No"/>
    <s v="Upsizer"/>
  </r>
  <r>
    <x v="1"/>
    <x v="0"/>
    <n v="568000"/>
    <n v="1520"/>
    <x v="1"/>
    <n v="5.3"/>
    <s v="22"/>
    <s v="A"/>
    <s v="Yes"/>
    <s v="Investor"/>
  </r>
  <r>
    <x v="2"/>
    <x v="1"/>
    <n v="205000"/>
    <n v="2460"/>
    <x v="1"/>
    <n v="5.4"/>
    <s v="5"/>
    <s v="D"/>
    <s v="No"/>
    <s v="First Timer"/>
  </r>
  <r>
    <x v="3"/>
    <x v="0"/>
    <n v="370000"/>
    <n v="1330"/>
    <x v="0"/>
    <n v="6.5"/>
    <s v="20"/>
    <s v="B"/>
    <s v="Yes"/>
    <s v="Upsizer"/>
  </r>
  <r>
    <x v="4"/>
    <x v="2"/>
    <n v="278000"/>
    <n v="1860"/>
    <x v="1"/>
    <n v="5.6"/>
    <s v="10"/>
    <s v="C"/>
    <s v="No"/>
    <s v="First Timer"/>
  </r>
  <r>
    <x v="5"/>
    <x v="3"/>
    <n v="338000"/>
    <n v="1670"/>
    <x v="1"/>
    <n v="5.3"/>
    <s v="18"/>
    <s v="B"/>
    <s v="No"/>
    <s v="Upsizer"/>
  </r>
  <r>
    <x v="6"/>
    <x v="1"/>
    <n v="255000"/>
    <n v="2270"/>
    <x v="1"/>
    <n v="5.2"/>
    <s v="12"/>
    <s v="C"/>
    <s v="No"/>
    <s v="First Timer"/>
  </r>
  <r>
    <x v="7"/>
    <x v="0"/>
    <n v="330000"/>
    <n v="1080"/>
    <x v="1"/>
    <n v="5.4"/>
    <s v="25"/>
    <s v="B"/>
    <s v="Yes"/>
    <s v="Investor"/>
  </r>
  <r>
    <x v="8"/>
    <x v="3"/>
    <n v="400000"/>
    <n v="1890"/>
    <x v="1"/>
    <n v="5.3"/>
    <s v="15"/>
    <s v="B"/>
    <s v="No"/>
    <s v="Upsizer"/>
  </r>
  <r>
    <x v="0"/>
    <x v="0"/>
    <n v="795000"/>
    <n v="1290"/>
    <x v="1"/>
    <n v="5.0999999999999996"/>
    <s v="20"/>
    <s v="A"/>
    <s v="Yes"/>
    <s v="Investor"/>
  </r>
  <r>
    <x v="1"/>
    <x v="2"/>
    <n v="362000"/>
    <n v="2360"/>
    <x v="1"/>
    <n v="5.4"/>
    <s v="10"/>
    <s v="C"/>
    <s v="No"/>
    <s v="First Timer"/>
  </r>
  <r>
    <x v="2"/>
    <x v="3"/>
    <n v="300000"/>
    <n v="1900"/>
    <x v="0"/>
    <n v="6.3"/>
    <s v="12"/>
    <s v="C"/>
    <s v="No"/>
    <s v="Upsizer"/>
  </r>
  <r>
    <x v="3"/>
    <x v="1"/>
    <n v="190000"/>
    <n v="2380"/>
    <x v="1"/>
    <n v="5.5"/>
    <s v="5"/>
    <s v="D"/>
    <s v="No"/>
    <s v="First Timer"/>
  </r>
  <r>
    <x v="4"/>
    <x v="0"/>
    <n v="410000"/>
    <n v="1170"/>
    <x v="1"/>
    <n v="5.2"/>
    <s v="22"/>
    <s v="B"/>
    <s v="Yes"/>
    <s v="Investor"/>
  </r>
  <r>
    <x v="5"/>
    <x v="2"/>
    <n v="285000"/>
    <n v="1930"/>
    <x v="0"/>
    <n v="6.4"/>
    <s v="10"/>
    <s v="C"/>
    <s v="No"/>
    <s v="First Timer"/>
  </r>
  <r>
    <x v="6"/>
    <x v="3"/>
    <n v="372000"/>
    <n v="1780"/>
    <x v="1"/>
    <n v="5.3"/>
    <s v="15"/>
    <s v="B"/>
    <s v="No"/>
    <s v="Upsizer"/>
  </r>
  <r>
    <x v="7"/>
    <x v="1"/>
    <n v="170000"/>
    <n v="2070"/>
    <x v="1"/>
    <n v="5.4"/>
    <s v="8"/>
    <s v="D"/>
    <s v="No"/>
    <s v="First Timer"/>
  </r>
  <r>
    <x v="8"/>
    <x v="0"/>
    <n v="518000"/>
    <n v="1470"/>
    <x v="1"/>
    <n v="5.2"/>
    <s v="20"/>
    <s v="B"/>
    <s v="Yes"/>
    <s v="Investor"/>
  </r>
  <r>
    <x v="0"/>
    <x v="1"/>
    <n v="432000"/>
    <n v="2590"/>
    <x v="0"/>
    <n v="6.1"/>
    <s v="10"/>
    <s v="C"/>
    <s v="No"/>
    <s v="First Timer"/>
  </r>
  <r>
    <x v="1"/>
    <x v="3"/>
    <n v="423000"/>
    <n v="1980"/>
    <x v="0"/>
    <n v="6"/>
    <s v="12"/>
    <s v="B"/>
    <s v="No"/>
    <s v="Upsizer"/>
  </r>
  <r>
    <x v="2"/>
    <x v="2"/>
    <n v="248000"/>
    <n v="2210"/>
    <x v="1"/>
    <n v="5.5"/>
    <s v="8"/>
    <s v="D"/>
    <s v="No"/>
    <s v="First Timer"/>
  </r>
  <r>
    <x v="3"/>
    <x v="0"/>
    <n v="368000"/>
    <n v="1310"/>
    <x v="1"/>
    <n v="5.3"/>
    <s v="18"/>
    <s v="B"/>
    <s v="Yes"/>
    <s v="Investor"/>
  </r>
  <r>
    <x v="4"/>
    <x v="1"/>
    <n v="214000"/>
    <n v="2030"/>
    <x v="1"/>
    <n v="5.4"/>
    <s v="5"/>
    <s v="D"/>
    <s v="No"/>
    <s v="First Timer"/>
  </r>
  <r>
    <x v="5"/>
    <x v="0"/>
    <n v="438000"/>
    <n v="1280"/>
    <x v="0"/>
    <n v="6.2"/>
    <s v="20"/>
    <s v="B"/>
    <s v="Yes"/>
    <s v="Investor"/>
  </r>
  <r>
    <x v="6"/>
    <x v="2"/>
    <n v="322000"/>
    <n v="2010"/>
    <x v="1"/>
    <n v="5.3"/>
    <s v="10"/>
    <s v="C"/>
    <s v="No"/>
    <s v="First Timer"/>
  </r>
  <r>
    <x v="7"/>
    <x v="3"/>
    <n v="268000"/>
    <n v="1590"/>
    <x v="0"/>
    <n v="6.6"/>
    <s v="12"/>
    <s v="C"/>
    <s v="No"/>
    <s v="Upsizer"/>
  </r>
  <r>
    <x v="8"/>
    <x v="1"/>
    <n v="276000"/>
    <n v="2460"/>
    <x v="1"/>
    <n v="5.0999999999999996"/>
    <s v="10"/>
    <s v="C"/>
    <s v="No"/>
    <s v="First Timer"/>
  </r>
  <r>
    <x v="0"/>
    <x v="2"/>
    <n v="552000"/>
    <n v="2200"/>
    <x v="0"/>
    <n v="6"/>
    <s v="15"/>
    <s v="B"/>
    <s v="No"/>
    <s v="Upsizer"/>
  </r>
  <r>
    <x v="1"/>
    <x v="0"/>
    <n v="570000"/>
    <n v="1580"/>
    <x v="0"/>
    <n v="6.1"/>
    <s v="22"/>
    <s v="A"/>
    <s v="Yes"/>
    <s v="Investor"/>
  </r>
  <r>
    <x v="2"/>
    <x v="1"/>
    <n v="207000"/>
    <n v="2430"/>
    <x v="0"/>
    <n v="6.4"/>
    <s v="5"/>
    <s v="D"/>
    <s v="No"/>
    <s v="First Timer"/>
  </r>
  <r>
    <x v="3"/>
    <x v="3"/>
    <n v="298000"/>
    <n v="1820"/>
    <x v="0"/>
    <n v="6.3"/>
    <s v="12"/>
    <s v="C"/>
    <s v="No"/>
    <s v="Upsizer"/>
  </r>
  <r>
    <x v="4"/>
    <x v="2"/>
    <n v="272000"/>
    <n v="1790"/>
    <x v="0"/>
    <n v="6.5"/>
    <s v="10"/>
    <s v="C"/>
    <s v="No"/>
    <s v="First Timer"/>
  </r>
  <r>
    <x v="5"/>
    <x v="1"/>
    <n v="223000"/>
    <n v="2140"/>
    <x v="1"/>
    <n v="5.4"/>
    <s v="7"/>
    <s v="D"/>
    <s v="No"/>
    <s v="First Timer"/>
  </r>
  <r>
    <x v="6"/>
    <x v="0"/>
    <n v="488000"/>
    <n v="1390"/>
    <x v="0"/>
    <n v="6"/>
    <s v="20"/>
    <s v="B"/>
    <s v="Yes"/>
    <s v="Investor"/>
  </r>
  <r>
    <x v="7"/>
    <x v="2"/>
    <n v="208000"/>
    <n v="1760"/>
    <x v="1"/>
    <n v="5.3"/>
    <s v="6"/>
    <s v="D"/>
    <s v="No"/>
    <s v="First Timer"/>
  </r>
  <r>
    <x v="8"/>
    <x v="3"/>
    <n v="398000"/>
    <n v="1830"/>
    <x v="0"/>
    <n v="6.1"/>
    <s v="15"/>
    <s v="B"/>
    <s v="No"/>
    <s v="Upsizer"/>
  </r>
  <r>
    <x v="0"/>
    <x v="0"/>
    <n v="788000"/>
    <n v="1260"/>
    <x v="0"/>
    <n v="6.2"/>
    <s v="20"/>
    <s v="A"/>
    <s v="Yes"/>
    <s v="Investor"/>
  </r>
  <r>
    <x v="1"/>
    <x v="1"/>
    <n v="292000"/>
    <n v="2190"/>
    <x v="0"/>
    <n v="6"/>
    <s v="12"/>
    <s v="C"/>
    <s v="No"/>
    <s v="First Timer"/>
  </r>
  <r>
    <x v="2"/>
    <x v="3"/>
    <n v="298000"/>
    <n v="1870"/>
    <x v="1"/>
    <n v="5.4"/>
    <s v="14"/>
    <s v="C"/>
    <s v="No"/>
    <s v="Upsizer"/>
  </r>
  <r>
    <x v="3"/>
    <x v="1"/>
    <n v="188000"/>
    <n v="2290"/>
    <x v="0"/>
    <n v="6.5"/>
    <s v="5"/>
    <s v="D"/>
    <s v="No"/>
    <s v="First Timer"/>
  </r>
  <r>
    <x v="4"/>
    <x v="0"/>
    <n v="412000"/>
    <n v="1130"/>
    <x v="0"/>
    <n v="6.3"/>
    <s v="22"/>
    <s v="B"/>
    <s v="Yes"/>
    <s v="Investor"/>
  </r>
  <r>
    <x v="5"/>
    <x v="2"/>
    <n v="284000"/>
    <n v="1880"/>
    <x v="1"/>
    <n v="5.5"/>
    <s v="10"/>
    <s v="C"/>
    <s v="No"/>
    <s v="First Timer"/>
  </r>
  <r>
    <x v="6"/>
    <x v="3"/>
    <n v="368000"/>
    <n v="1730"/>
    <x v="0"/>
    <n v="6.1"/>
    <s v="15"/>
    <s v="B"/>
    <s v="No"/>
    <s v="Upsizer"/>
  </r>
  <r>
    <x v="7"/>
    <x v="1"/>
    <n v="166000"/>
    <n v="1980"/>
    <x v="0"/>
    <n v="6.4"/>
    <s v="8"/>
    <s v="D"/>
    <s v="No"/>
    <s v="First Timer"/>
  </r>
  <r>
    <x v="8"/>
    <x v="0"/>
    <n v="508000"/>
    <n v="1420"/>
    <x v="0"/>
    <n v="6.2"/>
    <s v="20"/>
    <s v="B"/>
    <s v="Yes"/>
    <s v="Investor"/>
  </r>
  <r>
    <x v="0"/>
    <x v="1"/>
    <n v="436000"/>
    <n v="2570"/>
    <x v="1"/>
    <n v="5.0999999999999996"/>
    <s v="10"/>
    <s v="C"/>
    <s v="No"/>
    <s v="First Timer"/>
  </r>
  <r>
    <x v="1"/>
    <x v="3"/>
    <n v="430000"/>
    <n v="2070"/>
    <x v="1"/>
    <n v="5.3"/>
    <s v="15"/>
    <s v="B"/>
    <s v="No"/>
    <s v="Upsizer"/>
  </r>
  <r>
    <x v="2"/>
    <x v="2"/>
    <n v="254000"/>
    <n v="2240"/>
    <x v="0"/>
    <n v="6.3"/>
    <s v="10"/>
    <s v="D"/>
    <s v="No"/>
    <s v="First Timer"/>
  </r>
  <r>
    <x v="3"/>
    <x v="0"/>
    <n v="374000"/>
    <n v="1360"/>
    <x v="1"/>
    <n v="5.4"/>
    <s v="20"/>
    <s v="B"/>
    <s v="Yes"/>
    <s v="Investor"/>
  </r>
  <r>
    <x v="4"/>
    <x v="1"/>
    <n v="220000"/>
    <n v="2120"/>
    <x v="0"/>
    <n v="6.6"/>
    <s v="8"/>
    <s v="D"/>
    <s v="No"/>
    <s v="First Timer"/>
  </r>
  <r>
    <x v="5"/>
    <x v="0"/>
    <n v="442000"/>
    <n v="1340"/>
    <x v="1"/>
    <n v="5.2"/>
    <s v="20"/>
    <s v="B"/>
    <s v="Yes"/>
    <s v="Investor"/>
  </r>
  <r>
    <x v="6"/>
    <x v="2"/>
    <n v="326000"/>
    <n v="2030"/>
    <x v="0"/>
    <n v="6.1"/>
    <s v="10"/>
    <s v="C"/>
    <s v="No"/>
    <s v="First Timer"/>
  </r>
  <r>
    <x v="7"/>
    <x v="3"/>
    <n v="270000"/>
    <n v="1620"/>
    <x v="1"/>
    <n v="5.4"/>
    <s v="12"/>
    <s v="C"/>
    <s v="No"/>
    <s v="Upsizer"/>
  </r>
  <r>
    <x v="8"/>
    <x v="1"/>
    <n v="279000"/>
    <n v="2490"/>
    <x v="0"/>
    <n v="6"/>
    <s v="10"/>
    <s v="C"/>
    <s v="No"/>
    <s v="First Timer"/>
  </r>
  <r>
    <x v="0"/>
    <x v="2"/>
    <n v="556000"/>
    <n v="2230"/>
    <x v="1"/>
    <n v="5.2"/>
    <s v="15"/>
    <s v="B"/>
    <s v="No"/>
    <s v="Upsizer"/>
  </r>
  <r>
    <x v="1"/>
    <x v="0"/>
    <n v="575000"/>
    <n v="1600"/>
    <x v="1"/>
    <n v="5.3"/>
    <s v="22"/>
    <s v="A"/>
    <s v="Yes"/>
    <s v="Investor"/>
  </r>
  <r>
    <x v="2"/>
    <x v="1"/>
    <n v="210000"/>
    <n v="2480"/>
    <x v="1"/>
    <n v="5.4"/>
    <s v="5"/>
    <s v="D"/>
    <s v="No"/>
    <s v="First Timer"/>
  </r>
  <r>
    <x v="3"/>
    <x v="3"/>
    <n v="300000"/>
    <n v="1860"/>
    <x v="1"/>
    <n v="5.5"/>
    <s v="12"/>
    <s v="C"/>
    <s v="No"/>
    <s v="Upsizer"/>
  </r>
  <r>
    <x v="4"/>
    <x v="2"/>
    <n v="280000"/>
    <n v="1900"/>
    <x v="1"/>
    <n v="5.4"/>
    <s v="10"/>
    <s v="C"/>
    <s v="No"/>
    <s v="First Timer"/>
  </r>
  <r>
    <x v="5"/>
    <x v="1"/>
    <n v="230000"/>
    <n v="2180"/>
    <x v="0"/>
    <n v="6.2"/>
    <s v="7"/>
    <s v="D"/>
    <s v="No"/>
    <s v="First Timer"/>
  </r>
  <r>
    <x v="6"/>
    <x v="0"/>
    <n v="490000"/>
    <n v="1410"/>
    <x v="1"/>
    <n v="5.0999999999999996"/>
    <s v="20"/>
    <s v="B"/>
    <s v="Yes"/>
    <s v="Investor"/>
  </r>
  <r>
    <x v="7"/>
    <x v="2"/>
    <n v="214000"/>
    <n v="1840"/>
    <x v="0"/>
    <n v="6.5"/>
    <s v="6"/>
    <s v="D"/>
    <s v="No"/>
    <s v="First Timer"/>
  </r>
  <r>
    <x v="8"/>
    <x v="3"/>
    <n v="405000"/>
    <n v="1910"/>
    <x v="1"/>
    <n v="5.3"/>
    <s v="15"/>
    <s v="B"/>
    <s v="No"/>
    <s v="Upsizer"/>
  </r>
  <r>
    <x v="0"/>
    <x v="0"/>
    <n v="792000"/>
    <n v="1300"/>
    <x v="1"/>
    <n v="5"/>
    <s v="20"/>
    <s v="A"/>
    <s v="Yes"/>
    <s v="Investor"/>
  </r>
  <r>
    <x v="1"/>
    <x v="1"/>
    <n v="300000"/>
    <n v="2250"/>
    <x v="1"/>
    <n v="5.2"/>
    <s v="12"/>
    <s v="C"/>
    <s v="No"/>
    <s v="First Timer"/>
  </r>
  <r>
    <x v="2"/>
    <x v="3"/>
    <n v="310000"/>
    <n v="1950"/>
    <x v="0"/>
    <n v="6.3"/>
    <s v="14"/>
    <s v="C"/>
    <s v="No"/>
    <s v="Upsizer"/>
  </r>
  <r>
    <x v="3"/>
    <x v="1"/>
    <n v="194000"/>
    <n v="2400"/>
    <x v="1"/>
    <n v="5.4"/>
    <s v="5"/>
    <s v="D"/>
    <s v="No"/>
    <s v="First Timer"/>
  </r>
  <r>
    <x v="4"/>
    <x v="0"/>
    <n v="420000"/>
    <n v="1190"/>
    <x v="1"/>
    <n v="5.3"/>
    <s v="22"/>
    <s v="B"/>
    <s v="Yes"/>
    <s v="Investor"/>
  </r>
  <r>
    <x v="5"/>
    <x v="2"/>
    <n v="292000"/>
    <n v="1970"/>
    <x v="0"/>
    <n v="6.4"/>
    <s v="10"/>
    <s v="C"/>
    <s v="No"/>
    <s v="First Timer"/>
  </r>
  <r>
    <x v="6"/>
    <x v="3"/>
    <n v="374000"/>
    <n v="1800"/>
    <x v="1"/>
    <n v="5.2"/>
    <s v="15"/>
    <s v="B"/>
    <s v="No"/>
    <s v="Upsizer"/>
  </r>
  <r>
    <x v="7"/>
    <x v="1"/>
    <n v="172000"/>
    <n v="2090"/>
    <x v="1"/>
    <n v="5.3"/>
    <s v="8"/>
    <s v="D"/>
    <s v="No"/>
    <s v="First Timer"/>
  </r>
  <r>
    <x v="8"/>
    <x v="0"/>
    <n v="520000"/>
    <n v="1500"/>
    <x v="1"/>
    <n v="5.0999999999999996"/>
    <s v="20"/>
    <s v="B"/>
    <s v="Yes"/>
    <s v="Investor"/>
  </r>
  <r>
    <x v="0"/>
    <x v="0"/>
    <n v="805000"/>
    <n v="1600"/>
    <x v="1"/>
    <n v="5"/>
    <s v="20"/>
    <s v="A"/>
    <s v="Yes"/>
    <s v="Investor"/>
  </r>
  <r>
    <x v="1"/>
    <x v="1"/>
    <n v="310000"/>
    <n v="2400"/>
    <x v="0"/>
    <n v="6"/>
    <s v="12"/>
    <s v="C"/>
    <s v="No"/>
    <s v="First Timer"/>
  </r>
  <r>
    <x v="2"/>
    <x v="2"/>
    <n v="260000"/>
    <n v="2360"/>
    <x v="1"/>
    <n v="5.4"/>
    <s v="10"/>
    <s v="D"/>
    <s v="No"/>
    <s v="First Timer"/>
  </r>
  <r>
    <x v="3"/>
    <x v="3"/>
    <n v="315000"/>
    <n v="1980"/>
    <x v="0"/>
    <n v="6.2"/>
    <s v="15"/>
    <s v="C"/>
    <s v="No"/>
    <s v="Upsizer"/>
  </r>
  <r>
    <x v="4"/>
    <x v="1"/>
    <n v="225000"/>
    <n v="2250"/>
    <x v="1"/>
    <n v="5.3"/>
    <s v="8"/>
    <s v="D"/>
    <s v="No"/>
    <s v="First Timer"/>
  </r>
  <r>
    <x v="5"/>
    <x v="0"/>
    <n v="445000"/>
    <n v="1400"/>
    <x v="0"/>
    <n v="6.1"/>
    <s v="20"/>
    <s v="B"/>
    <s v="Yes"/>
    <s v="Investor"/>
  </r>
  <r>
    <x v="6"/>
    <x v="2"/>
    <n v="330000"/>
    <n v="2050"/>
    <x v="1"/>
    <n v="5.3"/>
    <n v="10"/>
    <s v="C"/>
    <s v="No"/>
    <s v="First Timer"/>
  </r>
  <r>
    <x v="7"/>
    <x v="1"/>
    <n v="175000"/>
    <n v="2200"/>
    <x v="0"/>
    <n v="6.4"/>
    <s v="5"/>
    <s v="D"/>
    <s v="No"/>
    <s v="First Timer"/>
  </r>
  <r>
    <x v="8"/>
    <x v="0"/>
    <n v="525000"/>
    <n v="1530"/>
    <x v="1"/>
    <n v="5.0999999999999996"/>
    <s v="22"/>
    <s v="B"/>
    <s v="Yes"/>
    <s v="Upsizer"/>
  </r>
  <r>
    <x v="0"/>
    <x v="1"/>
    <n v="450000"/>
    <n v="2680"/>
    <x v="1"/>
    <n v="5"/>
    <s v="12"/>
    <s v="C"/>
    <s v="No"/>
    <s v="First Timer"/>
  </r>
  <r>
    <x v="1"/>
    <x v="3"/>
    <n v="432000"/>
    <n v="2120"/>
    <x v="0"/>
    <n v="6.1"/>
    <s v="15"/>
    <s v="B"/>
    <s v="No"/>
    <s v="Upsizer"/>
  </r>
  <r>
    <x v="2"/>
    <x v="0"/>
    <n v="398000"/>
    <n v="1460"/>
    <x v="1"/>
    <n v="5.3"/>
    <s v="18"/>
    <s v="C"/>
    <s v="Yes"/>
    <s v="Investor"/>
  </r>
  <r>
    <x v="3"/>
    <x v="2"/>
    <n v="248000"/>
    <n v="2200"/>
    <x v="0"/>
    <n v="6.5"/>
    <s v="10"/>
    <s v="D"/>
    <s v="No"/>
    <s v="First Timer"/>
  </r>
  <r>
    <x v="4"/>
    <x v="3"/>
    <n v="330000"/>
    <n v="1620"/>
    <x v="1"/>
    <n v="5.4"/>
    <s v="14"/>
    <s v="C"/>
    <s v="No"/>
    <s v="Upsizer"/>
  </r>
  <r>
    <x v="5"/>
    <x v="1"/>
    <n v="232000"/>
    <n v="2230"/>
    <x v="1"/>
    <n v="5.3"/>
    <s v="7"/>
    <s v="D"/>
    <s v="No"/>
    <s v="First Timer"/>
  </r>
  <r>
    <x v="6"/>
    <x v="0"/>
    <n v="495000"/>
    <n v="1450"/>
    <x v="0"/>
    <n v="6.2"/>
    <s v="20"/>
    <s v="B"/>
    <s v="Yes"/>
    <s v="Investor"/>
  </r>
  <r>
    <x v="7"/>
    <x v="2"/>
    <n v="218000"/>
    <n v="1880"/>
    <x v="1"/>
    <n v="5.3"/>
    <s v="6"/>
    <s v="D"/>
    <s v="No"/>
    <s v="First Timer"/>
  </r>
  <r>
    <x v="8"/>
    <x v="1"/>
    <n v="282000"/>
    <n v="2510"/>
    <x v="1"/>
    <n v="5.2"/>
    <s v="10"/>
    <s v="C"/>
    <s v="No"/>
    <s v="First Timer"/>
  </r>
  <r>
    <x v="0"/>
    <x v="2"/>
    <n v="560000"/>
    <n v="2300"/>
    <x v="1"/>
    <n v="5.0999999999999996"/>
    <s v="15"/>
    <s v="B"/>
    <s v="No"/>
    <s v="Upsizer"/>
  </r>
  <r>
    <x v="1"/>
    <x v="0"/>
    <n v="580000"/>
    <n v="1650"/>
    <x v="1"/>
    <n v="5.3"/>
    <s v="22"/>
    <s v="A"/>
    <s v="Yes"/>
    <s v="Investor"/>
  </r>
  <r>
    <x v="2"/>
    <x v="1"/>
    <n v="212000"/>
    <n v="2500"/>
    <x v="0"/>
    <n v="6.4"/>
    <s v="5"/>
    <s v="D"/>
    <s v="No"/>
    <s v="First Timer"/>
  </r>
  <r>
    <x v="3"/>
    <x v="0"/>
    <n v="380000"/>
    <n v="1400"/>
    <x v="1"/>
    <n v="5.4"/>
    <s v="20"/>
    <s v="B"/>
    <s v="Yes"/>
    <s v="Upsizer"/>
  </r>
  <r>
    <x v="4"/>
    <x v="2"/>
    <n v="285000"/>
    <n v="1940"/>
    <x v="0"/>
    <n v="6.5"/>
    <s v="10"/>
    <s v="C"/>
    <s v="No"/>
    <s v="First Timer"/>
  </r>
  <r>
    <x v="5"/>
    <x v="3"/>
    <n v="345000"/>
    <n v="1700"/>
    <x v="1"/>
    <n v="5.3"/>
    <s v="18"/>
    <s v="B"/>
    <s v="No"/>
    <s v="Upsizer"/>
  </r>
  <r>
    <x v="6"/>
    <x v="1"/>
    <n v="270000"/>
    <n v="2330"/>
    <x v="1"/>
    <n v="5.2"/>
    <s v="12"/>
    <s v="C"/>
    <s v="No"/>
    <s v="First Timer"/>
  </r>
  <r>
    <x v="7"/>
    <x v="0"/>
    <n v="340000"/>
    <n v="1120"/>
    <x v="0"/>
    <n v="6.6"/>
    <s v="25"/>
    <s v="B"/>
    <s v="Yes"/>
    <s v="Investor"/>
  </r>
  <r>
    <x v="8"/>
    <x v="3"/>
    <n v="410000"/>
    <n v="1950"/>
    <x v="1"/>
    <n v="5.2"/>
    <s v="15"/>
    <s v="B"/>
    <s v="No"/>
    <s v="Upsizer"/>
  </r>
  <r>
    <x v="0"/>
    <x v="0"/>
    <n v="810000"/>
    <n v="1620"/>
    <x v="0"/>
    <n v="6"/>
    <s v="20"/>
    <s v="A"/>
    <s v="Yes"/>
    <s v="Investor"/>
  </r>
  <r>
    <x v="1"/>
    <x v="2"/>
    <n v="370000"/>
    <n v="2400"/>
    <x v="1"/>
    <n v="5.4"/>
    <s v="10"/>
    <s v="C"/>
    <s v="No"/>
    <s v="First Timer"/>
  </r>
  <r>
    <x v="2"/>
    <x v="3"/>
    <n v="308000"/>
    <n v="1980"/>
    <x v="1"/>
    <n v="5.5"/>
    <s v="12"/>
    <s v="C"/>
    <s v="No"/>
    <s v="Upsizer"/>
  </r>
  <r>
    <x v="3"/>
    <x v="1"/>
    <n v="198000"/>
    <n v="2420"/>
    <x v="0"/>
    <n v="6.6"/>
    <s v="5"/>
    <s v="D"/>
    <s v="No"/>
    <s v="First Timer"/>
  </r>
  <r>
    <x v="4"/>
    <x v="0"/>
    <n v="425000"/>
    <n v="1210"/>
    <x v="1"/>
    <n v="5.3"/>
    <s v="22"/>
    <s v="B"/>
    <s v="Yes"/>
    <s v="Investor"/>
  </r>
  <r>
    <x v="5"/>
    <x v="2"/>
    <n v="295000"/>
    <n v="2000"/>
    <x v="0"/>
    <n v="6.4"/>
    <s v="10"/>
    <s v="C"/>
    <s v="No"/>
    <s v="First Timer"/>
  </r>
  <r>
    <x v="6"/>
    <x v="3"/>
    <n v="380000"/>
    <n v="1850"/>
    <x v="1"/>
    <n v="5.2"/>
    <s v="15"/>
    <s v="B"/>
    <s v="No"/>
    <s v="Upsizer"/>
  </r>
  <r>
    <x v="7"/>
    <x v="1"/>
    <n v="178000"/>
    <n v="2140"/>
    <x v="1"/>
    <n v="5.4"/>
    <s v="8"/>
    <s v="D"/>
    <s v="No"/>
    <s v="First Timer"/>
  </r>
  <r>
    <x v="8"/>
    <x v="0"/>
    <n v="530000"/>
    <n v="1550"/>
    <x v="0"/>
    <n v="6.1"/>
    <s v="20"/>
    <s v="B"/>
    <s v="Yes"/>
    <s v="Investor"/>
  </r>
  <r>
    <x v="0"/>
    <x v="1"/>
    <n v="450000"/>
    <n v="2700"/>
    <x v="0"/>
    <n v="6"/>
    <s v="10"/>
    <s v="C"/>
    <s v="No"/>
    <s v="First Timer"/>
  </r>
  <r>
    <x v="1"/>
    <x v="3"/>
    <n v="438000"/>
    <n v="2150"/>
    <x v="1"/>
    <n v="5.3"/>
    <s v="15"/>
    <s v="B"/>
    <s v="No"/>
    <s v="Upsizer"/>
  </r>
  <r>
    <x v="2"/>
    <x v="2"/>
    <n v="262000"/>
    <n v="2300"/>
    <x v="1"/>
    <n v="5.4"/>
    <s v="10"/>
    <s v="D"/>
    <s v="No"/>
    <s v="First Timer"/>
  </r>
  <r>
    <x v="3"/>
    <x v="0"/>
    <n v="385000"/>
    <n v="1420"/>
    <x v="0"/>
    <n v="6.2"/>
    <s v="20"/>
    <s v="B"/>
    <s v="Yes"/>
    <s v="Investor"/>
  </r>
  <r>
    <x v="4"/>
    <x v="1"/>
    <n v="225000"/>
    <n v="2180"/>
    <x v="1"/>
    <n v="5.4"/>
    <s v="5"/>
    <s v="D"/>
    <s v="No"/>
    <s v="First Timer"/>
  </r>
  <r>
    <x v="5"/>
    <x v="0"/>
    <n v="450000"/>
    <n v="1380"/>
    <x v="1"/>
    <n v="5.2"/>
    <s v="20"/>
    <s v="B"/>
    <s v="Yes"/>
    <s v="Investor"/>
  </r>
  <r>
    <x v="6"/>
    <x v="2"/>
    <n v="335000"/>
    <n v="2080"/>
    <x v="1"/>
    <n v="5.3"/>
    <s v="10"/>
    <s v="C"/>
    <s v="No"/>
    <s v="First Timer"/>
  </r>
  <r>
    <x v="7"/>
    <x v="3"/>
    <n v="275000"/>
    <n v="1650"/>
    <x v="0"/>
    <n v="6.5"/>
    <s v="12"/>
    <s v="C"/>
    <s v="No"/>
    <s v="Upsizer"/>
  </r>
  <r>
    <x v="8"/>
    <x v="1"/>
    <n v="285000"/>
    <n v="2530"/>
    <x v="0"/>
    <n v="6"/>
    <s v="10"/>
    <s v="C"/>
    <s v="No"/>
    <s v="First Timer"/>
  </r>
  <r>
    <x v="0"/>
    <x v="2"/>
    <n v="565000"/>
    <n v="2320"/>
    <x v="0"/>
    <n v="6.1"/>
    <s v="15"/>
    <s v="B"/>
    <s v="No"/>
    <s v="Upsizer"/>
  </r>
  <r>
    <x v="1"/>
    <x v="0"/>
    <n v="585000"/>
    <n v="1680"/>
    <x v="0"/>
    <n v="6"/>
    <s v="22"/>
    <s v="A"/>
    <s v="Yes"/>
    <s v="Investor"/>
  </r>
  <r>
    <x v="2"/>
    <x v="1"/>
    <n v="215000"/>
    <n v="2520"/>
    <x v="1"/>
    <n v="5.4"/>
    <s v="5"/>
    <s v="D"/>
    <s v="No"/>
    <s v="First Timer"/>
  </r>
  <r>
    <x v="3"/>
    <x v="3"/>
    <n v="312000"/>
    <n v="1920"/>
    <x v="1"/>
    <n v="5.5"/>
    <s v="12"/>
    <s v="C"/>
    <s v="No"/>
    <s v="Upsizer"/>
  </r>
  <r>
    <x v="4"/>
    <x v="2"/>
    <n v="290000"/>
    <n v="1980"/>
    <x v="1"/>
    <n v="5.4"/>
    <s v="10"/>
    <s v="C"/>
    <s v="No"/>
    <s v="First Timer"/>
  </r>
  <r>
    <x v="5"/>
    <x v="1"/>
    <n v="235000"/>
    <n v="2250"/>
    <x v="0"/>
    <n v="6.3"/>
    <s v="7"/>
    <s v="D"/>
    <s v="No"/>
    <s v="First Timer"/>
  </r>
  <r>
    <x v="6"/>
    <x v="0"/>
    <n v="500000"/>
    <n v="1480"/>
    <x v="1"/>
    <n v="5.0999999999999996"/>
    <s v="20"/>
    <s v="B"/>
    <s v="Yes"/>
    <s v="Investor"/>
  </r>
  <r>
    <x v="7"/>
    <x v="2"/>
    <n v="220000"/>
    <n v="1900"/>
    <x v="0"/>
    <n v="6.6"/>
    <s v="6"/>
    <s v="D"/>
    <s v="No"/>
    <s v="First Timer"/>
  </r>
  <r>
    <x v="8"/>
    <x v="3"/>
    <n v="415000"/>
    <n v="1980"/>
    <x v="0"/>
    <n v="6.1"/>
    <s v="15"/>
    <s v="B"/>
    <s v="No"/>
    <s v="Upsizer"/>
  </r>
  <r>
    <x v="0"/>
    <x v="0"/>
    <n v="815000"/>
    <n v="1650"/>
    <x v="1"/>
    <n v="5"/>
    <s v="20"/>
    <s v="A"/>
    <s v="Yes"/>
    <s v="Investor"/>
  </r>
  <r>
    <x v="1"/>
    <x v="1"/>
    <n v="310000"/>
    <n v="2350"/>
    <x v="1"/>
    <n v="5.2"/>
    <s v="12"/>
    <s v="C"/>
    <s v="No"/>
    <s v="First Timer"/>
  </r>
  <r>
    <x v="2"/>
    <x v="3"/>
    <n v="315000"/>
    <n v="2000"/>
    <x v="0"/>
    <n v="6.3"/>
    <s v="14"/>
    <s v="C"/>
    <s v="No"/>
    <s v="Upsizer"/>
  </r>
  <r>
    <x v="3"/>
    <x v="1"/>
    <n v="200000"/>
    <n v="2450"/>
    <x v="1"/>
    <n v="5.4"/>
    <s v="5"/>
    <s v="D"/>
    <s v="No"/>
    <s v="First Timer"/>
  </r>
  <r>
    <x v="4"/>
    <x v="0"/>
    <n v="430000"/>
    <n v="1240"/>
    <x v="0"/>
    <n v="6.2"/>
    <s v="22"/>
    <s v="B"/>
    <s v="Yes"/>
    <s v="Investor"/>
  </r>
  <r>
    <x v="5"/>
    <x v="2"/>
    <n v="300000"/>
    <n v="2030"/>
    <x v="1"/>
    <n v="5.5"/>
    <s v="10"/>
    <s v="C"/>
    <s v="No"/>
    <s v="First Timer"/>
  </r>
  <r>
    <x v="6"/>
    <x v="3"/>
    <n v="385000"/>
    <n v="1880"/>
    <x v="0"/>
    <n v="6.1"/>
    <s v="15"/>
    <s v="B"/>
    <s v="No"/>
    <s v="Upsizer"/>
  </r>
  <r>
    <x v="7"/>
    <x v="1"/>
    <n v="180000"/>
    <n v="2160"/>
    <x v="0"/>
    <n v="6.4"/>
    <s v="8"/>
    <s v="D"/>
    <s v="No"/>
    <s v="First Timer"/>
  </r>
  <r>
    <x v="8"/>
    <x v="0"/>
    <n v="535000"/>
    <n v="1580"/>
    <x v="1"/>
    <n v="5.0999999999999996"/>
    <s v="20"/>
    <s v="B"/>
    <s v="Yes"/>
    <s v="Investor"/>
  </r>
  <r>
    <x v="0"/>
    <x v="1"/>
    <n v="455000"/>
    <n v="2720"/>
    <x v="1"/>
    <n v="5"/>
    <s v="10"/>
    <s v="C"/>
    <s v="No"/>
    <s v="First Timer"/>
  </r>
  <r>
    <x v="1"/>
    <x v="3"/>
    <n v="440000"/>
    <n v="2180"/>
    <x v="0"/>
    <n v="6"/>
    <s v="15"/>
    <s v="B"/>
    <s v="No"/>
    <s v="Upsizer"/>
  </r>
  <r>
    <x v="2"/>
    <x v="2"/>
    <n v="265000"/>
    <n v="2330"/>
    <x v="0"/>
    <n v="6.3"/>
    <s v="10"/>
    <s v="D"/>
    <s v="No"/>
    <s v="First Timer"/>
  </r>
  <r>
    <x v="3"/>
    <x v="0"/>
    <n v="390000"/>
    <n v="1450"/>
    <x v="1"/>
    <n v="5.4"/>
    <s v="20"/>
    <s v="B"/>
    <s v="Yes"/>
    <s v="Investor"/>
  </r>
  <r>
    <x v="4"/>
    <x v="1"/>
    <n v="230000"/>
    <n v="2200"/>
    <x v="0"/>
    <n v="6.5"/>
    <s v="8"/>
    <s v="D"/>
    <s v="No"/>
    <s v="First Timer"/>
  </r>
  <r>
    <x v="5"/>
    <x v="0"/>
    <n v="455000"/>
    <n v="1400"/>
    <x v="0"/>
    <n v="6.2"/>
    <s v="20"/>
    <s v="B"/>
    <s v="Yes"/>
    <s v="Investor"/>
  </r>
  <r>
    <x v="6"/>
    <x v="2"/>
    <n v="340000"/>
    <n v="2100"/>
    <x v="0"/>
    <n v="6.1"/>
    <s v="10"/>
    <s v="C"/>
    <s v="No"/>
    <s v="First Timer"/>
  </r>
  <r>
    <x v="7"/>
    <x v="3"/>
    <n v="278000"/>
    <n v="1680"/>
    <x v="1"/>
    <n v="5.4"/>
    <s v="12"/>
    <s v="C"/>
    <s v="No"/>
    <s v="Upsizer"/>
  </r>
  <r>
    <x v="8"/>
    <x v="1"/>
    <n v="290000"/>
    <n v="2550"/>
    <x v="1"/>
    <n v="5.2"/>
    <s v="10"/>
    <s v="C"/>
    <s v="No"/>
    <s v="First Timer"/>
  </r>
  <r>
    <x v="0"/>
    <x v="2"/>
    <n v="570000"/>
    <n v="2350"/>
    <x v="1"/>
    <n v="5.0999999999999996"/>
    <s v="15"/>
    <s v="B"/>
    <s v="No"/>
    <s v="Upsizer"/>
  </r>
  <r>
    <x v="1"/>
    <x v="0"/>
    <n v="590000"/>
    <n v="1700"/>
    <x v="1"/>
    <n v="5.3"/>
    <s v="22"/>
    <s v="A"/>
    <s v="Yes"/>
    <s v="Investor"/>
  </r>
  <r>
    <x v="2"/>
    <x v="1"/>
    <n v="218000"/>
    <n v="2550"/>
    <x v="0"/>
    <n v="6.4"/>
    <s v="5"/>
    <s v="D"/>
    <s v="No"/>
    <s v="First Timer"/>
  </r>
  <r>
    <x v="3"/>
    <x v="3"/>
    <n v="318000"/>
    <n v="1950"/>
    <x v="1"/>
    <n v="5.5"/>
    <s v="12"/>
    <s v="C"/>
    <s v="No"/>
    <s v="Upsizer"/>
  </r>
  <r>
    <x v="4"/>
    <x v="2"/>
    <n v="295000"/>
    <n v="2000"/>
    <x v="0"/>
    <n v="6.6"/>
    <s v="10"/>
    <s v="C"/>
    <s v="No"/>
    <s v="First Timer"/>
  </r>
  <r>
    <x v="5"/>
    <x v="1"/>
    <n v="240000"/>
    <n v="2280"/>
    <x v="1"/>
    <n v="5.3"/>
    <s v="7"/>
    <s v="D"/>
    <s v="No"/>
    <s v="First Timer"/>
  </r>
  <r>
    <x v="6"/>
    <x v="0"/>
    <n v="505000"/>
    <n v="1500"/>
    <x v="0"/>
    <n v="6"/>
    <s v="20"/>
    <s v="B"/>
    <s v="Yes"/>
    <s v="Investor"/>
  </r>
  <r>
    <x v="7"/>
    <x v="2"/>
    <n v="225000"/>
    <n v="1930"/>
    <x v="1"/>
    <n v="5.3"/>
    <s v="6"/>
    <s v="D"/>
    <s v="No"/>
    <s v="First Timer"/>
  </r>
  <r>
    <x v="8"/>
    <x v="3"/>
    <n v="420000"/>
    <n v="2000"/>
    <x v="1"/>
    <n v="5.2"/>
    <s v="15"/>
    <s v="B"/>
    <s v="No"/>
    <s v="Upsizer"/>
  </r>
  <r>
    <x v="0"/>
    <x v="0"/>
    <n v="820000"/>
    <n v="1680"/>
    <x v="0"/>
    <n v="6.1"/>
    <s v="20"/>
    <s v="A"/>
    <s v="Yes"/>
    <s v="Investor"/>
  </r>
  <r>
    <x v="1"/>
    <x v="1"/>
    <n v="315000"/>
    <n v="2380"/>
    <x v="0"/>
    <n v="6"/>
    <s v="12"/>
    <s v="C"/>
    <s v="No"/>
    <s v="First Timer"/>
  </r>
  <r>
    <x v="2"/>
    <x v="3"/>
    <n v="320000"/>
    <n v="2030"/>
    <x v="1"/>
    <n v="5.4"/>
    <s v="14"/>
    <s v="C"/>
    <s v="No"/>
    <s v="Upsizer"/>
  </r>
  <r>
    <x v="3"/>
    <x v="1"/>
    <n v="205000"/>
    <n v="2480"/>
    <x v="0"/>
    <n v="6.5"/>
    <s v="5"/>
    <s v="D"/>
    <s v="No"/>
    <s v="First Timer"/>
  </r>
  <r>
    <x v="4"/>
    <x v="0"/>
    <n v="435000"/>
    <n v="1260"/>
    <x v="1"/>
    <n v="5.3"/>
    <s v="22"/>
    <s v="B"/>
    <s v="Yes"/>
    <s v="Investor"/>
  </r>
  <r>
    <x v="5"/>
    <x v="2"/>
    <n v="305000"/>
    <n v="2050"/>
    <x v="0"/>
    <n v="6.4"/>
    <s v="10"/>
    <s v="C"/>
    <s v="No"/>
    <s v="First Timer"/>
  </r>
  <r>
    <x v="6"/>
    <x v="3"/>
    <n v="390000"/>
    <n v="1900"/>
    <x v="1"/>
    <n v="5.2"/>
    <s v="15"/>
    <s v="B"/>
    <s v="No"/>
    <s v="Upsizer"/>
  </r>
  <r>
    <x v="7"/>
    <x v="1"/>
    <n v="182000"/>
    <n v="2180"/>
    <x v="1"/>
    <n v="5.4"/>
    <s v="8"/>
    <s v="D"/>
    <s v="No"/>
    <s v="First Timer"/>
  </r>
  <r>
    <x v="8"/>
    <x v="0"/>
    <n v="540000"/>
    <n v="1600"/>
    <x v="0"/>
    <n v="6.1"/>
    <s v="20"/>
    <s v="B"/>
    <s v="Yes"/>
    <s v="Investor"/>
  </r>
  <r>
    <x v="0"/>
    <x v="0"/>
    <n v="825000"/>
    <n v="1700"/>
    <x v="1"/>
    <n v="5"/>
    <s v="20"/>
    <s v="A"/>
    <s v="Yes"/>
    <s v="Investor"/>
  </r>
  <r>
    <x v="1"/>
    <x v="1"/>
    <n v="318000"/>
    <n v="2400"/>
    <x v="0"/>
    <n v="6"/>
    <s v="12"/>
    <s v="C"/>
    <s v="No"/>
    <s v="First Timer"/>
  </r>
  <r>
    <x v="2"/>
    <x v="2"/>
    <n v="270000"/>
    <n v="2360"/>
    <x v="1"/>
    <n v="5.4"/>
    <s v="10"/>
    <s v="D"/>
    <s v="No"/>
    <s v="First Timer"/>
  </r>
  <r>
    <x v="3"/>
    <x v="3"/>
    <n v="320000"/>
    <n v="1980"/>
    <x v="0"/>
    <n v="6.2"/>
    <s v="15"/>
    <s v="C"/>
    <s v="No"/>
    <s v="Upsizer"/>
  </r>
  <r>
    <x v="4"/>
    <x v="1"/>
    <n v="232000"/>
    <n v="2250"/>
    <x v="1"/>
    <n v="5.3"/>
    <s v="8"/>
    <s v="D"/>
    <s v="No"/>
    <s v="First Timer"/>
  </r>
  <r>
    <x v="5"/>
    <x v="0"/>
    <n v="460000"/>
    <n v="1420"/>
    <x v="0"/>
    <n v="6.1"/>
    <s v="20"/>
    <s v="B"/>
    <s v="Yes"/>
    <s v="Investor"/>
  </r>
  <r>
    <x v="6"/>
    <x v="2"/>
    <n v="345000"/>
    <n v="2120"/>
    <x v="1"/>
    <n v="5.3"/>
    <n v="10"/>
    <s v="C"/>
    <s v="No"/>
    <s v="First Timer"/>
  </r>
  <r>
    <x v="7"/>
    <x v="1"/>
    <n v="185000"/>
    <n v="2200"/>
    <x v="0"/>
    <n v="6.4"/>
    <s v="5"/>
    <s v="D"/>
    <s v="No"/>
    <s v="First Timer"/>
  </r>
  <r>
    <x v="8"/>
    <x v="0"/>
    <n v="545000"/>
    <n v="1620"/>
    <x v="1"/>
    <n v="5.2"/>
    <s v="22"/>
    <s v="B"/>
    <s v="Yes"/>
    <s v="Upsizer"/>
  </r>
  <r>
    <x v="0"/>
    <x v="1"/>
    <n v="460000"/>
    <n v="2750"/>
    <x v="1"/>
    <n v="5"/>
    <s v="12"/>
    <s v="C"/>
    <s v="No"/>
    <s v="First Timer"/>
  </r>
  <r>
    <x v="1"/>
    <x v="3"/>
    <n v="450000"/>
    <n v="2200"/>
    <x v="1"/>
    <n v="5.3"/>
    <s v="15"/>
    <s v="B"/>
    <s v="No"/>
    <s v="Upsizer"/>
  </r>
  <r>
    <x v="2"/>
    <x v="0"/>
    <n v="405000"/>
    <n v="1500"/>
    <x v="0"/>
    <n v="6.3"/>
    <s v="18"/>
    <s v="C"/>
    <s v="Yes"/>
    <s v="Investor"/>
  </r>
  <r>
    <x v="3"/>
    <x v="2"/>
    <n v="255000"/>
    <n v="2300"/>
    <x v="1"/>
    <n v="5.5"/>
    <s v="10"/>
    <s v="D"/>
    <s v="No"/>
    <s v="First Timer"/>
  </r>
  <r>
    <x v="4"/>
    <x v="3"/>
    <n v="340000"/>
    <n v="1700"/>
    <x v="0"/>
    <n v="6.1"/>
    <s v="14"/>
    <s v="C"/>
    <s v="No"/>
    <s v="Upsizer"/>
  </r>
  <r>
    <x v="5"/>
    <x v="1"/>
    <n v="245000"/>
    <n v="2300"/>
    <x v="1"/>
    <n v="5.3"/>
    <s v="7"/>
    <s v="D"/>
    <s v="No"/>
    <s v="First Timer"/>
  </r>
  <r>
    <x v="6"/>
    <x v="0"/>
    <n v="510000"/>
    <n v="1520"/>
    <x v="1"/>
    <n v="5.0999999999999996"/>
    <s v="20"/>
    <s v="B"/>
    <s v="Yes"/>
    <s v="Investor"/>
  </r>
  <r>
    <x v="7"/>
    <x v="2"/>
    <n v="230000"/>
    <n v="1950"/>
    <x v="0"/>
    <n v="6.5"/>
    <s v="6"/>
    <s v="D"/>
    <s v="No"/>
    <s v="First Timer"/>
  </r>
  <r>
    <x v="8"/>
    <x v="1"/>
    <n v="295000"/>
    <n v="2580"/>
    <x v="1"/>
    <n v="5.2"/>
    <s v="10"/>
    <s v="C"/>
    <s v="No"/>
    <s v="First Timer"/>
  </r>
  <r>
    <x v="0"/>
    <x v="2"/>
    <n v="575000"/>
    <n v="2400"/>
    <x v="0"/>
    <n v="6"/>
    <s v="15"/>
    <s v="B"/>
    <s v="No"/>
    <s v="Upsizer"/>
  </r>
  <r>
    <x v="1"/>
    <x v="0"/>
    <n v="600000"/>
    <n v="1750"/>
    <x v="1"/>
    <n v="5.3"/>
    <s v="22"/>
    <s v="A"/>
    <s v="Yes"/>
    <s v="Investor"/>
  </r>
  <r>
    <x v="2"/>
    <x v="1"/>
    <n v="225000"/>
    <n v="2600"/>
    <x v="1"/>
    <n v="5.4"/>
    <s v="5"/>
    <s v="D"/>
    <s v="No"/>
    <s v="First Timer"/>
  </r>
  <r>
    <x v="3"/>
    <x v="0"/>
    <n v="395000"/>
    <n v="1480"/>
    <x v="0"/>
    <n v="6.2"/>
    <s v="20"/>
    <s v="B"/>
    <s v="Yes"/>
    <s v="Upsizer"/>
  </r>
  <r>
    <x v="4"/>
    <x v="2"/>
    <n v="300000"/>
    <n v="2050"/>
    <x v="1"/>
    <n v="5.4"/>
    <s v="10"/>
    <s v="C"/>
    <s v="No"/>
    <s v="First Timer"/>
  </r>
  <r>
    <x v="5"/>
    <x v="3"/>
    <n v="355000"/>
    <n v="1780"/>
    <x v="0"/>
    <n v="6.1"/>
    <s v="18"/>
    <s v="B"/>
    <s v="No"/>
    <s v="Upsizer"/>
  </r>
  <r>
    <x v="6"/>
    <x v="1"/>
    <n v="280000"/>
    <n v="2400"/>
    <x v="1"/>
    <n v="5.2"/>
    <s v="12"/>
    <s v="C"/>
    <s v="No"/>
    <s v="First Timer"/>
  </r>
  <r>
    <x v="7"/>
    <x v="0"/>
    <n v="350000"/>
    <n v="1180"/>
    <x v="1"/>
    <n v="5.4"/>
    <s v="25"/>
    <s v="B"/>
    <s v="Yes"/>
    <s v="Investor"/>
  </r>
  <r>
    <x v="8"/>
    <x v="3"/>
    <n v="430000"/>
    <n v="2050"/>
    <x v="1"/>
    <n v="5.2"/>
    <s v="15"/>
    <s v="B"/>
    <s v="No"/>
    <s v="Upsizer"/>
  </r>
  <r>
    <x v="0"/>
    <x v="0"/>
    <n v="830000"/>
    <n v="1720"/>
    <x v="0"/>
    <n v="6"/>
    <s v="20"/>
    <s v="A"/>
    <s v="Yes"/>
    <s v="Investor"/>
  </r>
  <r>
    <x v="1"/>
    <x v="2"/>
    <n v="380000"/>
    <n v="2450"/>
    <x v="0"/>
    <n v="6.1"/>
    <s v="10"/>
    <s v="C"/>
    <s v="No"/>
    <s v="First Timer"/>
  </r>
  <r>
    <x v="2"/>
    <x v="3"/>
    <n v="330000"/>
    <n v="2100"/>
    <x v="1"/>
    <n v="5.4"/>
    <s v="12"/>
    <s v="C"/>
    <s v="No"/>
    <s v="Upsizer"/>
  </r>
  <r>
    <x v="3"/>
    <x v="1"/>
    <n v="210000"/>
    <n v="2500"/>
    <x v="1"/>
    <n v="5.4"/>
    <s v="5"/>
    <s v="D"/>
    <s v="No"/>
    <s v="First Timer"/>
  </r>
  <r>
    <x v="4"/>
    <x v="0"/>
    <n v="440000"/>
    <n v="1300"/>
    <x v="0"/>
    <n v="6.2"/>
    <s v="22"/>
    <s v="B"/>
    <s v="Yes"/>
    <s v="Investor"/>
  </r>
  <r>
    <x v="5"/>
    <x v="2"/>
    <n v="310000"/>
    <n v="2100"/>
    <x v="1"/>
    <n v="5.5"/>
    <s v="10"/>
    <s v="C"/>
    <s v="No"/>
    <s v="First Timer"/>
  </r>
  <r>
    <x v="6"/>
    <x v="3"/>
    <n v="395000"/>
    <n v="1950"/>
    <x v="1"/>
    <n v="5.2"/>
    <s v="15"/>
    <s v="B"/>
    <s v="No"/>
    <s v="Upsizer"/>
  </r>
  <r>
    <x v="7"/>
    <x v="1"/>
    <n v="188000"/>
    <n v="2250"/>
    <x v="1"/>
    <n v="5.4"/>
    <s v="8"/>
    <s v="D"/>
    <s v="No"/>
    <s v="First Timer"/>
  </r>
  <r>
    <x v="8"/>
    <x v="0"/>
    <n v="550000"/>
    <n v="1650"/>
    <x v="0"/>
    <n v="6.1"/>
    <s v="20"/>
    <s v="B"/>
    <s v="Yes"/>
    <s v="Investor"/>
  </r>
  <r>
    <x v="0"/>
    <x v="1"/>
    <n v="470000"/>
    <n v="2800"/>
    <x v="1"/>
    <n v="5"/>
    <s v="10"/>
    <s v="C"/>
    <s v="No"/>
    <s v="First Timer"/>
  </r>
  <r>
    <x v="1"/>
    <x v="3"/>
    <n v="455000"/>
    <n v="2250"/>
    <x v="0"/>
    <n v="6"/>
    <s v="15"/>
    <s v="B"/>
    <s v="No"/>
    <s v="Upsizer"/>
  </r>
  <r>
    <x v="2"/>
    <x v="2"/>
    <n v="275000"/>
    <n v="2380"/>
    <x v="0"/>
    <n v="6.3"/>
    <s v="10"/>
    <s v="D"/>
    <s v="No"/>
    <s v="First Timer"/>
  </r>
  <r>
    <x v="3"/>
    <x v="0"/>
    <n v="400000"/>
    <n v="1500"/>
    <x v="1"/>
    <n v="5.4"/>
    <s v="20"/>
    <s v="B"/>
    <s v="Yes"/>
    <s v="Investor"/>
  </r>
  <r>
    <x v="4"/>
    <x v="1"/>
    <n v="235000"/>
    <n v="2300"/>
    <x v="0"/>
    <n v="6.5"/>
    <s v="8"/>
    <s v="D"/>
    <s v="No"/>
    <s v="First Timer"/>
  </r>
  <r>
    <x v="5"/>
    <x v="0"/>
    <n v="470000"/>
    <n v="1450"/>
    <x v="1"/>
    <n v="5.2"/>
    <s v="20"/>
    <s v="B"/>
    <s v="Yes"/>
    <s v="Investor"/>
  </r>
  <r>
    <x v="6"/>
    <x v="2"/>
    <n v="350000"/>
    <n v="2150"/>
    <x v="0"/>
    <n v="6.1"/>
    <s v="10"/>
    <s v="C"/>
    <s v="No"/>
    <s v="First Timer"/>
  </r>
  <r>
    <x v="7"/>
    <x v="3"/>
    <n v="285000"/>
    <n v="1700"/>
    <x v="1"/>
    <n v="5.4"/>
    <s v="12"/>
    <s v="C"/>
    <s v="No"/>
    <s v="Upsizer"/>
  </r>
  <r>
    <x v="8"/>
    <x v="1"/>
    <n v="300000"/>
    <n v="2600"/>
    <x v="1"/>
    <n v="5.2"/>
    <s v="10"/>
    <s v="C"/>
    <s v="No"/>
    <s v="First Timer"/>
  </r>
  <r>
    <x v="0"/>
    <x v="2"/>
    <n v="580000"/>
    <n v="2430"/>
    <x v="1"/>
    <n v="5.0999999999999996"/>
    <s v="15"/>
    <s v="B"/>
    <s v="No"/>
    <s v="Upsizer"/>
  </r>
  <r>
    <x v="1"/>
    <x v="0"/>
    <n v="605000"/>
    <n v="1780"/>
    <x v="1"/>
    <n v="5.3"/>
    <s v="22"/>
    <s v="A"/>
    <s v="Yes"/>
    <s v="Investor"/>
  </r>
  <r>
    <x v="2"/>
    <x v="1"/>
    <n v="230000"/>
    <n v="2650"/>
    <x v="0"/>
    <n v="6.4"/>
    <s v="5"/>
    <s v="D"/>
    <s v="No"/>
    <s v="First Timer"/>
  </r>
  <r>
    <x v="3"/>
    <x v="3"/>
    <n v="325000"/>
    <n v="2000"/>
    <x v="1"/>
    <n v="5.5"/>
    <s v="12"/>
    <s v="C"/>
    <s v="No"/>
    <s v="Upsizer"/>
  </r>
  <r>
    <x v="4"/>
    <x v="2"/>
    <n v="305000"/>
    <n v="2080"/>
    <x v="0"/>
    <n v="6.6"/>
    <s v="10"/>
    <s v="C"/>
    <s v="No"/>
    <s v="First Timer"/>
  </r>
  <r>
    <x v="5"/>
    <x v="1"/>
    <n v="250000"/>
    <n v="2330"/>
    <x v="1"/>
    <n v="5.3"/>
    <s v="7"/>
    <s v="D"/>
    <s v="No"/>
    <s v="First Timer"/>
  </r>
  <r>
    <x v="6"/>
    <x v="0"/>
    <n v="515000"/>
    <n v="1550"/>
    <x v="0"/>
    <n v="6"/>
    <s v="20"/>
    <s v="B"/>
    <s v="Yes"/>
    <s v="Investor"/>
  </r>
  <r>
    <x v="7"/>
    <x v="2"/>
    <n v="235000"/>
    <n v="1980"/>
    <x v="1"/>
    <n v="5.3"/>
    <s v="6"/>
    <s v="D"/>
    <s v="No"/>
    <s v="First Timer"/>
  </r>
  <r>
    <x v="8"/>
    <x v="3"/>
    <n v="435000"/>
    <n v="2080"/>
    <x v="1"/>
    <n v="5.2"/>
    <s v="15"/>
    <s v="B"/>
    <s v="No"/>
    <s v="Upsizer"/>
  </r>
  <r>
    <x v="0"/>
    <x v="0"/>
    <n v="840000"/>
    <n v="1750"/>
    <x v="1"/>
    <n v="5"/>
    <s v="20"/>
    <s v="A"/>
    <s v="Yes"/>
    <s v="Investor"/>
  </r>
  <r>
    <x v="1"/>
    <x v="1"/>
    <n v="320000"/>
    <n v="2420"/>
    <x v="1"/>
    <n v="5.2"/>
    <s v="12"/>
    <s v="C"/>
    <s v="No"/>
    <s v="First Timer"/>
  </r>
  <r>
    <x v="2"/>
    <x v="3"/>
    <n v="335000"/>
    <n v="2120"/>
    <x v="0"/>
    <n v="6.3"/>
    <s v="14"/>
    <s v="C"/>
    <s v="No"/>
    <s v="Upsizer"/>
  </r>
  <r>
    <x v="3"/>
    <x v="1"/>
    <n v="215000"/>
    <n v="2520"/>
    <x v="0"/>
    <n v="6.5"/>
    <s v="5"/>
    <s v="D"/>
    <s v="No"/>
    <s v="First Timer"/>
  </r>
  <r>
    <x v="4"/>
    <x v="0"/>
    <n v="445000"/>
    <n v="1320"/>
    <x v="1"/>
    <n v="5.3"/>
    <s v="22"/>
    <s v="B"/>
    <s v="Yes"/>
    <s v="Investor"/>
  </r>
  <r>
    <x v="5"/>
    <x v="2"/>
    <n v="315000"/>
    <n v="2120"/>
    <x v="0"/>
    <n v="6.4"/>
    <s v="10"/>
    <s v="C"/>
    <s v="No"/>
    <s v="First Timer"/>
  </r>
  <r>
    <x v="6"/>
    <x v="3"/>
    <n v="400000"/>
    <n v="1980"/>
    <x v="1"/>
    <n v="5.2"/>
    <s v="15"/>
    <s v="B"/>
    <s v="No"/>
    <s v="Upsizer"/>
  </r>
  <r>
    <x v="7"/>
    <x v="1"/>
    <n v="190000"/>
    <n v="2280"/>
    <x v="1"/>
    <n v="5.4"/>
    <s v="8"/>
    <s v="D"/>
    <s v="No"/>
    <s v="First Timer"/>
  </r>
  <r>
    <x v="8"/>
    <x v="0"/>
    <n v="555000"/>
    <n v="1680"/>
    <x v="1"/>
    <n v="5.0999999999999996"/>
    <s v="20"/>
    <s v="B"/>
    <s v="Yes"/>
    <s v="Investor"/>
  </r>
  <r>
    <x v="0"/>
    <x v="1"/>
    <n v="475000"/>
    <n v="2820"/>
    <x v="0"/>
    <n v="6"/>
    <s v="10"/>
    <s v="C"/>
    <s v="No"/>
    <s v="First Timer"/>
  </r>
  <r>
    <x v="1"/>
    <x v="3"/>
    <n v="460000"/>
    <n v="2280"/>
    <x v="1"/>
    <n v="5.3"/>
    <s v="15"/>
    <s v="B"/>
    <s v="No"/>
    <s v="Upsizer"/>
  </r>
  <r>
    <x v="2"/>
    <x v="2"/>
    <n v="280000"/>
    <n v="2400"/>
    <x v="1"/>
    <n v="5.4"/>
    <s v="10"/>
    <s v="D"/>
    <s v="No"/>
    <s v="First Timer"/>
  </r>
  <r>
    <x v="3"/>
    <x v="0"/>
    <n v="405000"/>
    <n v="1520"/>
    <x v="0"/>
    <n v="6.2"/>
    <s v="20"/>
    <s v="B"/>
    <s v="Yes"/>
    <s v="Investor"/>
  </r>
  <r>
    <x v="4"/>
    <x v="1"/>
    <n v="240000"/>
    <n v="2350"/>
    <x v="1"/>
    <n v="5.4"/>
    <s v="8"/>
    <s v="D"/>
    <s v="No"/>
    <s v="First Timer"/>
  </r>
  <r>
    <x v="5"/>
    <x v="0"/>
    <n v="475000"/>
    <n v="1480"/>
    <x v="0"/>
    <n v="6.2"/>
    <s v="20"/>
    <s v="B"/>
    <s v="Yes"/>
    <s v="Investor"/>
  </r>
  <r>
    <x v="6"/>
    <x v="2"/>
    <n v="355000"/>
    <n v="2180"/>
    <x v="1"/>
    <n v="5.3"/>
    <s v="10"/>
    <s v="C"/>
    <s v="No"/>
    <s v="First Timer"/>
  </r>
  <r>
    <x v="7"/>
    <x v="3"/>
    <n v="290000"/>
    <n v="1720"/>
    <x v="0"/>
    <n v="6.5"/>
    <s v="12"/>
    <s v="C"/>
    <s v="No"/>
    <s v="Upsizer"/>
  </r>
  <r>
    <x v="8"/>
    <x v="1"/>
    <n v="305000"/>
    <n v="2620"/>
    <x v="0"/>
    <n v="6"/>
    <s v="10"/>
    <s v="C"/>
    <s v="No"/>
    <s v="First Timer"/>
  </r>
  <r>
    <x v="0"/>
    <x v="2"/>
    <n v="585000"/>
    <n v="2460"/>
    <x v="0"/>
    <n v="6.1"/>
    <s v="15"/>
    <s v="B"/>
    <s v="No"/>
    <s v="Upsizer"/>
  </r>
  <r>
    <x v="1"/>
    <x v="0"/>
    <n v="610000"/>
    <n v="1800"/>
    <x v="0"/>
    <n v="6"/>
    <s v="22"/>
    <s v="A"/>
    <s v="Yes"/>
    <s v="Investor"/>
  </r>
  <r>
    <x v="2"/>
    <x v="1"/>
    <n v="235000"/>
    <n v="2680"/>
    <x v="1"/>
    <n v="5.4"/>
    <s v="5"/>
    <s v="D"/>
    <s v="No"/>
    <s v="First Timer"/>
  </r>
  <r>
    <x v="3"/>
    <x v="3"/>
    <n v="330000"/>
    <n v="2050"/>
    <x v="1"/>
    <n v="5.5"/>
    <s v="12"/>
    <s v="C"/>
    <s v="No"/>
    <s v="Upsizer"/>
  </r>
  <r>
    <x v="4"/>
    <x v="2"/>
    <n v="310000"/>
    <n v="2100"/>
    <x v="1"/>
    <n v="5.4"/>
    <s v="10"/>
    <s v="C"/>
    <s v="No"/>
    <s v="First Timer"/>
  </r>
  <r>
    <x v="5"/>
    <x v="1"/>
    <n v="255000"/>
    <n v="2360"/>
    <x v="0"/>
    <n v="6.3"/>
    <s v="7"/>
    <s v="D"/>
    <s v="No"/>
    <s v="First Timer"/>
  </r>
  <r>
    <x v="6"/>
    <x v="0"/>
    <n v="520000"/>
    <n v="1580"/>
    <x v="1"/>
    <n v="5.0999999999999996"/>
    <s v="20"/>
    <s v="B"/>
    <s v="Yes"/>
    <s v="Investor"/>
  </r>
  <r>
    <x v="7"/>
    <x v="2"/>
    <n v="240000"/>
    <n v="2000"/>
    <x v="0"/>
    <n v="6.6"/>
    <s v="6"/>
    <s v="D"/>
    <s v="No"/>
    <s v="First Timer"/>
  </r>
  <r>
    <x v="8"/>
    <x v="3"/>
    <n v="440000"/>
    <n v="2100"/>
    <x v="1"/>
    <n v="5.2"/>
    <s v="15"/>
    <s v="B"/>
    <s v="No"/>
    <s v="Upsizer"/>
  </r>
  <r>
    <x v="0"/>
    <x v="0"/>
    <n v="845000"/>
    <n v="1780"/>
    <x v="1"/>
    <n v="5"/>
    <s v="20"/>
    <s v="A"/>
    <s v="Yes"/>
    <s v="Investor"/>
  </r>
  <r>
    <x v="1"/>
    <x v="1"/>
    <n v="325000"/>
    <n v="2450"/>
    <x v="0"/>
    <n v="6"/>
    <s v="12"/>
    <s v="C"/>
    <s v="No"/>
    <s v="First Timer"/>
  </r>
  <r>
    <x v="2"/>
    <x v="3"/>
    <n v="340000"/>
    <n v="2150"/>
    <x v="1"/>
    <n v="5.4"/>
    <s v="14"/>
    <s v="C"/>
    <s v="No"/>
    <s v="Upsizer"/>
  </r>
  <r>
    <x v="3"/>
    <x v="1"/>
    <n v="220000"/>
    <n v="2550"/>
    <x v="1"/>
    <n v="5.4"/>
    <s v="5"/>
    <s v="D"/>
    <s v="No"/>
    <s v="First Timer"/>
  </r>
  <r>
    <x v="4"/>
    <x v="0"/>
    <n v="450000"/>
    <n v="1350"/>
    <x v="0"/>
    <n v="6.2"/>
    <s v="22"/>
    <s v="B"/>
    <s v="Yes"/>
    <s v="Investor"/>
  </r>
  <r>
    <x v="5"/>
    <x v="2"/>
    <n v="320000"/>
    <n v="2140"/>
    <x v="1"/>
    <n v="5.5"/>
    <s v="10"/>
    <s v="C"/>
    <s v="No"/>
    <s v="First Timer"/>
  </r>
  <r>
    <x v="6"/>
    <x v="3"/>
    <n v="405000"/>
    <n v="2000"/>
    <x v="0"/>
    <n v="6.1"/>
    <s v="15"/>
    <s v="B"/>
    <s v="No"/>
    <s v="Upsizer"/>
  </r>
  <r>
    <x v="7"/>
    <x v="1"/>
    <n v="195000"/>
    <n v="2300"/>
    <x v="0"/>
    <n v="6.4"/>
    <s v="8"/>
    <s v="D"/>
    <s v="No"/>
    <s v="First Timer"/>
  </r>
  <r>
    <x v="8"/>
    <x v="0"/>
    <n v="560000"/>
    <n v="1700"/>
    <x v="1"/>
    <n v="5.0999999999999996"/>
    <s v="20"/>
    <s v="B"/>
    <s v="Yes"/>
    <s v="Investor"/>
  </r>
  <r>
    <x v="0"/>
    <x v="0"/>
    <n v="860000"/>
    <n v="1820"/>
    <x v="1"/>
    <n v="5"/>
    <s v="20"/>
    <s v="A"/>
    <s v="Yes"/>
    <s v="Investor"/>
  </r>
  <r>
    <x v="1"/>
    <x v="1"/>
    <n v="330000"/>
    <n v="2500"/>
    <x v="1"/>
    <n v="5.2"/>
    <s v="12"/>
    <s v="C"/>
    <s v="No"/>
    <s v="First Timer"/>
  </r>
  <r>
    <x v="2"/>
    <x v="2"/>
    <n v="290000"/>
    <n v="2480"/>
    <x v="0"/>
    <n v="6.3"/>
    <s v="10"/>
    <s v="D"/>
    <s v="No"/>
    <s v="First Timer"/>
  </r>
  <r>
    <x v="3"/>
    <x v="3"/>
    <n v="340000"/>
    <n v="2100"/>
    <x v="1"/>
    <n v="5.4"/>
    <s v="15"/>
    <s v="C"/>
    <s v="No"/>
    <s v="Upsizer"/>
  </r>
  <r>
    <x v="4"/>
    <x v="1"/>
    <n v="250000"/>
    <n v="2400"/>
    <x v="0"/>
    <n v="6.5"/>
    <s v="8"/>
    <s v="D"/>
    <s v="No"/>
    <s v="First Timer"/>
  </r>
  <r>
    <x v="5"/>
    <x v="0"/>
    <n v="490000"/>
    <n v="1550"/>
    <x v="1"/>
    <n v="5.2"/>
    <s v="20"/>
    <s v="B"/>
    <s v="Yes"/>
    <s v="Investor"/>
  </r>
  <r>
    <x v="6"/>
    <x v="2"/>
    <n v="360000"/>
    <n v="2250"/>
    <x v="1"/>
    <n v="5.3"/>
    <n v="10"/>
    <s v="C"/>
    <s v="No"/>
    <s v="First Timer"/>
  </r>
  <r>
    <x v="7"/>
    <x v="1"/>
    <n v="200000"/>
    <n v="2350"/>
    <x v="0"/>
    <n v="6.4"/>
    <s v="5"/>
    <s v="D"/>
    <s v="No"/>
    <s v="First Timer"/>
  </r>
  <r>
    <x v="8"/>
    <x v="0"/>
    <n v="570000"/>
    <n v="1750"/>
    <x v="1"/>
    <n v="5.0999999999999996"/>
    <s v="22"/>
    <s v="B"/>
    <s v="Yes"/>
    <s v="Upsizer"/>
  </r>
  <r>
    <x v="0"/>
    <x v="1"/>
    <n v="490000"/>
    <n v="2900"/>
    <x v="1"/>
    <n v="5"/>
    <s v="12"/>
    <s v="C"/>
    <s v="No"/>
    <s v="First Timer"/>
  </r>
  <r>
    <x v="1"/>
    <x v="3"/>
    <n v="470000"/>
    <n v="2350"/>
    <x v="0"/>
    <n v="6"/>
    <s v="15"/>
    <s v="B"/>
    <s v="No"/>
    <s v="Upsizer"/>
  </r>
  <r>
    <x v="2"/>
    <x v="0"/>
    <n v="420000"/>
    <n v="1600"/>
    <x v="1"/>
    <n v="5.3"/>
    <s v="18"/>
    <s v="C"/>
    <s v="Yes"/>
    <s v="Investor"/>
  </r>
  <r>
    <x v="3"/>
    <x v="2"/>
    <n v="270000"/>
    <n v="2450"/>
    <x v="0"/>
    <n v="6.5"/>
    <s v="10"/>
    <s v="D"/>
    <s v="No"/>
    <s v="First Timer"/>
  </r>
  <r>
    <x v="4"/>
    <x v="3"/>
    <n v="360000"/>
    <n v="1850"/>
    <x v="1"/>
    <n v="5.4"/>
    <s v="14"/>
    <s v="C"/>
    <s v="No"/>
    <s v="Upsizer"/>
  </r>
  <r>
    <x v="5"/>
    <x v="1"/>
    <n v="260000"/>
    <n v="2450"/>
    <x v="1"/>
    <n v="5.3"/>
    <s v="7"/>
    <s v="D"/>
    <s v="No"/>
    <s v="First Timer"/>
  </r>
  <r>
    <x v="6"/>
    <x v="0"/>
    <n v="530000"/>
    <n v="1650"/>
    <x v="0"/>
    <n v="6"/>
    <s v="20"/>
    <s v="B"/>
    <s v="Yes"/>
    <s v="Investor"/>
  </r>
  <r>
    <x v="7"/>
    <x v="2"/>
    <n v="250000"/>
    <n v="2100"/>
    <x v="1"/>
    <n v="5.3"/>
    <s v="6"/>
    <s v="D"/>
    <s v="No"/>
    <s v="First Timer"/>
  </r>
  <r>
    <x v="8"/>
    <x v="1"/>
    <n v="315000"/>
    <n v="2700"/>
    <x v="1"/>
    <n v="5.2"/>
    <s v="10"/>
    <s v="C"/>
    <s v="No"/>
    <s v="First Timer"/>
  </r>
  <r>
    <x v="0"/>
    <x v="2"/>
    <n v="600000"/>
    <n v="2550"/>
    <x v="0"/>
    <n v="6.1"/>
    <s v="15"/>
    <s v="B"/>
    <s v="No"/>
    <s v="Upsizer"/>
  </r>
  <r>
    <x v="1"/>
    <x v="0"/>
    <n v="620000"/>
    <n v="1900"/>
    <x v="1"/>
    <n v="5.3"/>
    <s v="22"/>
    <s v="A"/>
    <s v="Yes"/>
    <s v="Investor"/>
  </r>
  <r>
    <x v="2"/>
    <x v="1"/>
    <n v="245000"/>
    <n v="2750"/>
    <x v="1"/>
    <n v="5.4"/>
    <s v="5"/>
    <s v="D"/>
    <s v="No"/>
    <s v="First Timer"/>
  </r>
  <r>
    <x v="3"/>
    <x v="0"/>
    <n v="420000"/>
    <n v="1600"/>
    <x v="0"/>
    <n v="6.2"/>
    <s v="20"/>
    <s v="B"/>
    <s v="Yes"/>
    <s v="Upsizer"/>
  </r>
  <r>
    <x v="4"/>
    <x v="2"/>
    <n v="320000"/>
    <n v="2200"/>
    <x v="1"/>
    <n v="5.4"/>
    <s v="10"/>
    <s v="C"/>
    <s v="No"/>
    <s v="First Timer"/>
  </r>
  <r>
    <x v="5"/>
    <x v="3"/>
    <n v="370000"/>
    <n v="1900"/>
    <x v="0"/>
    <n v="6.1"/>
    <s v="18"/>
    <s v="B"/>
    <s v="No"/>
    <s v="Upsizer"/>
  </r>
  <r>
    <x v="6"/>
    <x v="1"/>
    <n v="295000"/>
    <n v="2550"/>
    <x v="1"/>
    <n v="5.2"/>
    <s v="12"/>
    <s v="C"/>
    <s v="No"/>
    <s v="First Timer"/>
  </r>
  <r>
    <x v="7"/>
    <x v="0"/>
    <n v="365000"/>
    <n v="1300"/>
    <x v="1"/>
    <n v="5.4"/>
    <s v="25"/>
    <s v="B"/>
    <s v="Yes"/>
    <s v="Investor"/>
  </r>
  <r>
    <x v="8"/>
    <x v="3"/>
    <n v="455000"/>
    <n v="2200"/>
    <x v="1"/>
    <n v="5.2"/>
    <s v="15"/>
    <s v="B"/>
    <s v="No"/>
    <s v="Upsizer"/>
  </r>
  <r>
    <x v="0"/>
    <x v="0"/>
    <n v="870000"/>
    <n v="1850"/>
    <x v="0"/>
    <n v="6"/>
    <s v="20"/>
    <s v="A"/>
    <s v="Yes"/>
    <s v="Investor"/>
  </r>
  <r>
    <x v="1"/>
    <x v="2"/>
    <n v="400000"/>
    <n v="2600"/>
    <x v="0"/>
    <n v="6.1"/>
    <s v="10"/>
    <s v="C"/>
    <s v="No"/>
    <s v="First Timer"/>
  </r>
  <r>
    <x v="2"/>
    <x v="3"/>
    <n v="350000"/>
    <n v="2250"/>
    <x v="1"/>
    <n v="5.4"/>
    <s v="12"/>
    <s v="C"/>
    <s v="No"/>
    <s v="Upsizer"/>
  </r>
  <r>
    <x v="3"/>
    <x v="1"/>
    <n v="230000"/>
    <n v="2650"/>
    <x v="1"/>
    <n v="5.4"/>
    <s v="5"/>
    <s v="D"/>
    <s v="No"/>
    <s v="First Timer"/>
  </r>
  <r>
    <x v="4"/>
    <x v="0"/>
    <n v="460000"/>
    <n v="1400"/>
    <x v="0"/>
    <n v="6.2"/>
    <s v="22"/>
    <s v="B"/>
    <s v="Yes"/>
    <s v="Investor"/>
  </r>
  <r>
    <x v="5"/>
    <x v="2"/>
    <n v="330000"/>
    <n v="2300"/>
    <x v="1"/>
    <n v="5.5"/>
    <s v="10"/>
    <s v="C"/>
    <s v="No"/>
    <s v="First Timer"/>
  </r>
  <r>
    <x v="6"/>
    <x v="3"/>
    <n v="420000"/>
    <n v="2100"/>
    <x v="1"/>
    <n v="5.2"/>
    <s v="15"/>
    <s v="B"/>
    <s v="No"/>
    <s v="Upsizer"/>
  </r>
  <r>
    <x v="7"/>
    <x v="1"/>
    <n v="205000"/>
    <n v="2400"/>
    <x v="1"/>
    <n v="5.4"/>
    <s v="8"/>
    <s v="D"/>
    <s v="No"/>
    <s v="First Timer"/>
  </r>
  <r>
    <x v="8"/>
    <x v="0"/>
    <n v="580000"/>
    <n v="1780"/>
    <x v="0"/>
    <n v="6.1"/>
    <s v="20"/>
    <s v="B"/>
    <s v="Yes"/>
    <s v="Investor"/>
  </r>
  <r>
    <x v="0"/>
    <x v="1"/>
    <n v="500000"/>
    <n v="2950"/>
    <x v="1"/>
    <n v="5"/>
    <s v="10"/>
    <s v="C"/>
    <s v="No"/>
    <s v="First Timer"/>
  </r>
  <r>
    <x v="1"/>
    <x v="3"/>
    <n v="480000"/>
    <n v="2400"/>
    <x v="1"/>
    <n v="5.3"/>
    <s v="15"/>
    <s v="B"/>
    <s v="No"/>
    <s v="Upsizer"/>
  </r>
  <r>
    <x v="2"/>
    <x v="2"/>
    <n v="300000"/>
    <n v="2550"/>
    <x v="1"/>
    <n v="5.4"/>
    <s v="10"/>
    <s v="D"/>
    <s v="No"/>
    <s v="First Timer"/>
  </r>
  <r>
    <x v="3"/>
    <x v="0"/>
    <n v="430000"/>
    <n v="1650"/>
    <x v="0"/>
    <n v="6.2"/>
    <s v="20"/>
    <s v="B"/>
    <s v="Yes"/>
    <s v="Investor"/>
  </r>
  <r>
    <x v="4"/>
    <x v="1"/>
    <n v="255000"/>
    <n v="2450"/>
    <x v="1"/>
    <n v="5.4"/>
    <s v="8"/>
    <s v="D"/>
    <s v="No"/>
    <s v="First Timer"/>
  </r>
  <r>
    <x v="5"/>
    <x v="0"/>
    <n v="495000"/>
    <n v="1600"/>
    <x v="0"/>
    <n v="6.2"/>
    <s v="20"/>
    <s v="B"/>
    <s v="Yes"/>
    <s v="Investor"/>
  </r>
  <r>
    <x v="6"/>
    <x v="2"/>
    <n v="365000"/>
    <n v="2300"/>
    <x v="1"/>
    <n v="5.3"/>
    <s v="10"/>
    <s v="C"/>
    <s v="No"/>
    <s v="First Timer"/>
  </r>
  <r>
    <x v="7"/>
    <x v="3"/>
    <n v="300000"/>
    <n v="1800"/>
    <x v="0"/>
    <n v="6.5"/>
    <s v="12"/>
    <s v="C"/>
    <s v="No"/>
    <s v="Upsizer"/>
  </r>
  <r>
    <x v="8"/>
    <x v="1"/>
    <n v="320000"/>
    <n v="2750"/>
    <x v="0"/>
    <n v="6"/>
    <s v="10"/>
    <s v="C"/>
    <s v="No"/>
    <s v="First Timer"/>
  </r>
  <r>
    <x v="0"/>
    <x v="2"/>
    <n v="610000"/>
    <n v="2600"/>
    <x v="1"/>
    <n v="5.0999999999999996"/>
    <s v="15"/>
    <s v="B"/>
    <s v="No"/>
    <s v="Upsizer"/>
  </r>
  <r>
    <x v="1"/>
    <x v="0"/>
    <n v="630000"/>
    <n v="1950"/>
    <x v="1"/>
    <n v="5.3"/>
    <s v="22"/>
    <s v="A"/>
    <s v="Yes"/>
    <s v="Investor"/>
  </r>
  <r>
    <x v="2"/>
    <x v="1"/>
    <n v="250000"/>
    <n v="2800"/>
    <x v="0"/>
    <n v="6.4"/>
    <s v="5"/>
    <s v="D"/>
    <s v="No"/>
    <s v="First Timer"/>
  </r>
  <r>
    <x v="3"/>
    <x v="3"/>
    <n v="345000"/>
    <n v="2150"/>
    <x v="1"/>
    <n v="5.5"/>
    <s v="12"/>
    <s v="C"/>
    <s v="No"/>
    <s v="Upsizer"/>
  </r>
  <r>
    <x v="4"/>
    <x v="2"/>
    <n v="330000"/>
    <n v="2250"/>
    <x v="0"/>
    <n v="6.6"/>
    <s v="10"/>
    <s v="C"/>
    <s v="No"/>
    <s v="First Timer"/>
  </r>
  <r>
    <x v="5"/>
    <x v="1"/>
    <n v="270000"/>
    <n v="2550"/>
    <x v="1"/>
    <n v="5.3"/>
    <s v="7"/>
    <s v="D"/>
    <s v="No"/>
    <s v="First Timer"/>
  </r>
  <r>
    <x v="6"/>
    <x v="0"/>
    <n v="540000"/>
    <n v="1750"/>
    <x v="1"/>
    <n v="5.0999999999999996"/>
    <s v="20"/>
    <s v="B"/>
    <s v="Yes"/>
    <s v="Investor"/>
  </r>
  <r>
    <x v="7"/>
    <x v="2"/>
    <n v="260000"/>
    <n v="2150"/>
    <x v="0"/>
    <n v="6.6"/>
    <s v="6"/>
    <s v="D"/>
    <s v="No"/>
    <s v="First Timer"/>
  </r>
  <r>
    <x v="8"/>
    <x v="3"/>
    <n v="465000"/>
    <n v="2300"/>
    <x v="1"/>
    <n v="5.2"/>
    <s v="15"/>
    <s v="B"/>
    <s v="No"/>
    <s v="Upsizer"/>
  </r>
  <r>
    <x v="0"/>
    <x v="0"/>
    <n v="880000"/>
    <n v="1900"/>
    <x v="1"/>
    <n v="5"/>
    <s v="20"/>
    <s v="A"/>
    <s v="Yes"/>
    <s v="Investor"/>
  </r>
  <r>
    <x v="1"/>
    <x v="1"/>
    <n v="340000"/>
    <n v="2550"/>
    <x v="0"/>
    <n v="6"/>
    <s v="12"/>
    <s v="C"/>
    <s v="No"/>
    <s v="First Timer"/>
  </r>
  <r>
    <x v="2"/>
    <x v="3"/>
    <n v="360000"/>
    <n v="2300"/>
    <x v="1"/>
    <n v="5.4"/>
    <s v="14"/>
    <s v="C"/>
    <s v="No"/>
    <s v="Upsizer"/>
  </r>
  <r>
    <x v="3"/>
    <x v="1"/>
    <n v="235000"/>
    <n v="2700"/>
    <x v="0"/>
    <n v="6.5"/>
    <s v="5"/>
    <s v="D"/>
    <s v="No"/>
    <s v="First Timer"/>
  </r>
  <r>
    <x v="4"/>
    <x v="0"/>
    <n v="470000"/>
    <n v="1450"/>
    <x v="1"/>
    <n v="5.3"/>
    <s v="22"/>
    <s v="B"/>
    <s v="Yes"/>
    <s v="Investor"/>
  </r>
  <r>
    <x v="5"/>
    <x v="2"/>
    <n v="340000"/>
    <n v="2350"/>
    <x v="0"/>
    <n v="6.4"/>
    <s v="10"/>
    <s v="C"/>
    <s v="No"/>
    <s v="First Timer"/>
  </r>
  <r>
    <x v="6"/>
    <x v="3"/>
    <n v="430000"/>
    <n v="2150"/>
    <x v="1"/>
    <n v="5.2"/>
    <s v="15"/>
    <s v="B"/>
    <s v="No"/>
    <s v="Upsizer"/>
  </r>
  <r>
    <x v="7"/>
    <x v="1"/>
    <n v="210000"/>
    <n v="2450"/>
    <x v="1"/>
    <n v="5.4"/>
    <s v="8"/>
    <s v="D"/>
    <s v="No"/>
    <s v="First Timer"/>
  </r>
  <r>
    <x v="8"/>
    <x v="0"/>
    <n v="590000"/>
    <n v="1800"/>
    <x v="1"/>
    <n v="5.0999999999999996"/>
    <s v="20"/>
    <s v="B"/>
    <s v="Yes"/>
    <s v="Investor"/>
  </r>
  <r>
    <x v="0"/>
    <x v="1"/>
    <n v="510000"/>
    <n v="3000"/>
    <x v="0"/>
    <n v="6"/>
    <s v="10"/>
    <s v="C"/>
    <s v="No"/>
    <s v="First Timer"/>
  </r>
  <r>
    <x v="1"/>
    <x v="3"/>
    <n v="490000"/>
    <n v="2450"/>
    <x v="1"/>
    <n v="5.3"/>
    <s v="15"/>
    <s v="B"/>
    <s v="No"/>
    <s v="Upsizer"/>
  </r>
  <r>
    <x v="3"/>
    <x v="0"/>
    <n v="440000"/>
    <n v="1700"/>
    <x v="0"/>
    <n v="6.2"/>
    <s v="20"/>
    <s v="B"/>
    <s v="Yes"/>
    <s v="Investor"/>
  </r>
  <r>
    <x v="4"/>
    <x v="1"/>
    <n v="260000"/>
    <n v="2500"/>
    <x v="1"/>
    <n v="5.4"/>
    <s v="8"/>
    <s v="D"/>
    <s v="No"/>
    <s v="First Timer"/>
  </r>
  <r>
    <x v="5"/>
    <x v="0"/>
    <n v="500000"/>
    <n v="1650"/>
    <x v="0"/>
    <n v="6.2"/>
    <s v="20"/>
    <s v="B"/>
    <s v="Yes"/>
    <s v="Investor"/>
  </r>
  <r>
    <x v="6"/>
    <x v="2"/>
    <n v="370000"/>
    <n v="2350"/>
    <x v="1"/>
    <n v="5.3"/>
    <s v="10"/>
    <s v="C"/>
    <s v="No"/>
    <s v="First Timer"/>
  </r>
  <r>
    <x v="7"/>
    <x v="3"/>
    <n v="310000"/>
    <n v="1850"/>
    <x v="0"/>
    <n v="6.5"/>
    <s v="12"/>
    <s v="C"/>
    <s v="No"/>
    <s v="Upsizer"/>
  </r>
  <r>
    <x v="8"/>
    <x v="1"/>
    <n v="325000"/>
    <n v="2800"/>
    <x v="1"/>
    <n v="5.2"/>
    <s v="10"/>
    <s v="C"/>
    <s v="No"/>
    <s v="First Timer"/>
  </r>
  <r>
    <x v="0"/>
    <x v="2"/>
    <n v="620000"/>
    <n v="2650"/>
    <x v="1"/>
    <n v="5.0999999999999996"/>
    <s v="15"/>
    <s v="B"/>
    <s v="No"/>
    <s v="Upsizer"/>
  </r>
  <r>
    <x v="1"/>
    <x v="0"/>
    <n v="640000"/>
    <n v="2000"/>
    <x v="1"/>
    <n v="5.3"/>
    <s v="22"/>
    <s v="A"/>
    <s v="Yes"/>
    <s v="Investor"/>
  </r>
  <r>
    <x v="2"/>
    <x v="1"/>
    <n v="255000"/>
    <n v="2850"/>
    <x v="0"/>
    <n v="6.4"/>
    <s v="5"/>
    <s v="D"/>
    <s v="No"/>
    <s v="First Timer"/>
  </r>
  <r>
    <x v="3"/>
    <x v="3"/>
    <n v="350000"/>
    <n v="2200"/>
    <x v="1"/>
    <n v="5.5"/>
    <s v="12"/>
    <s v="C"/>
    <s v="No"/>
    <s v="Upsizer"/>
  </r>
  <r>
    <x v="4"/>
    <x v="2"/>
    <n v="335000"/>
    <n v="2300"/>
    <x v="1"/>
    <n v="5.4"/>
    <s v="10"/>
    <s v="C"/>
    <s v="No"/>
    <s v="First Timer"/>
  </r>
  <r>
    <x v="5"/>
    <x v="1"/>
    <n v="270000"/>
    <n v="2550"/>
    <x v="0"/>
    <n v="6.3"/>
    <s v="7"/>
    <s v="D"/>
    <s v="No"/>
    <s v="First Timer"/>
  </r>
  <r>
    <x v="6"/>
    <x v="0"/>
    <n v="550000"/>
    <n v="1750"/>
    <x v="1"/>
    <n v="5.0999999999999996"/>
    <s v="20"/>
    <s v="B"/>
    <s v="Yes"/>
    <s v="Investor"/>
  </r>
  <r>
    <x v="7"/>
    <x v="2"/>
    <n v="270000"/>
    <n v="2200"/>
    <x v="0"/>
    <n v="6.6"/>
    <s v="6"/>
    <s v="D"/>
    <s v="No"/>
    <s v="First Timer"/>
  </r>
  <r>
    <x v="8"/>
    <x v="3"/>
    <n v="470000"/>
    <n v="2300"/>
    <x v="1"/>
    <n v="5.2"/>
    <s v="15"/>
    <s v="B"/>
    <s v="No"/>
    <s v="Upsizer"/>
  </r>
  <r>
    <x v="0"/>
    <x v="0"/>
    <n v="890000"/>
    <n v="1950"/>
    <x v="1"/>
    <n v="5"/>
    <s v="20"/>
    <s v="A"/>
    <s v="Yes"/>
    <s v="Investor"/>
  </r>
  <r>
    <x v="5"/>
    <x v="0"/>
    <n v="435000"/>
    <n v="1320"/>
    <x v="1"/>
    <n v="5.0999999999999996"/>
    <s v="20"/>
    <s v="B"/>
    <s v="Yes"/>
    <s v="Investor"/>
  </r>
  <r>
    <x v="6"/>
    <x v="2"/>
    <n v="318000"/>
    <n v="1760"/>
    <x v="0"/>
    <n v="6.4"/>
    <n v="10"/>
    <s v="C"/>
    <s v="No"/>
    <s v="First Timer"/>
  </r>
  <r>
    <x v="3"/>
    <x v="3"/>
    <n v="325000"/>
    <n v="1980"/>
    <x v="0"/>
    <n v="6.2"/>
    <s v="15"/>
    <s v="C"/>
    <s v="No"/>
    <s v="Upsizer"/>
  </r>
  <r>
    <x v="4"/>
    <x v="1"/>
    <n v="230000"/>
    <n v="2250"/>
    <x v="0"/>
    <n v="6.5"/>
    <s v="8"/>
    <s v="D"/>
    <s v="No"/>
    <s v="First Timer"/>
  </r>
  <r>
    <x v="5"/>
    <x v="0"/>
    <n v="455000"/>
    <n v="1400"/>
    <x v="1"/>
    <n v="5.0999999999999996"/>
    <s v="20"/>
    <s v="B"/>
    <s v="Yes"/>
    <s v="Investor"/>
  </r>
  <r>
    <x v="6"/>
    <x v="2"/>
    <n v="340000"/>
    <n v="2050"/>
    <x v="1"/>
    <n v="5.3"/>
    <n v="10"/>
    <s v="C"/>
    <s v="No"/>
    <s v="First Timer"/>
  </r>
  <r>
    <x v="7"/>
    <x v="1"/>
    <n v="180000"/>
    <n v="2200"/>
    <x v="0"/>
    <n v="6.4"/>
    <s v="5"/>
    <s v="D"/>
    <s v="No"/>
    <s v="First Timer"/>
  </r>
  <r>
    <x v="8"/>
    <x v="0"/>
    <n v="540000"/>
    <n v="1530"/>
    <x v="1"/>
    <n v="5.0999999999999996"/>
    <s v="22"/>
    <s v="B"/>
    <s v="Yes"/>
    <s v="Upsizer"/>
  </r>
  <r>
    <x v="0"/>
    <x v="1"/>
    <n v="470000"/>
    <n v="2680"/>
    <x v="1"/>
    <n v="5"/>
    <s v="12"/>
    <s v="C"/>
    <s v="No"/>
    <s v="First Timer"/>
  </r>
  <r>
    <x v="1"/>
    <x v="3"/>
    <n v="440000"/>
    <n v="2120"/>
    <x v="0"/>
    <n v="6.1"/>
    <s v="15"/>
    <s v="B"/>
    <s v="No"/>
    <s v="Upsizer"/>
  </r>
  <r>
    <x v="2"/>
    <x v="0"/>
    <n v="405000"/>
    <n v="1460"/>
    <x v="1"/>
    <n v="5.3"/>
    <s v="18"/>
    <s v="C"/>
    <s v="Yes"/>
    <s v="Investor"/>
  </r>
  <r>
    <x v="3"/>
    <x v="2"/>
    <n v="255000"/>
    <n v="2200"/>
    <x v="0"/>
    <n v="6.5"/>
    <s v="10"/>
    <s v="D"/>
    <s v="No"/>
    <s v="First Timer"/>
  </r>
  <r>
    <x v="4"/>
    <x v="3"/>
    <n v="345000"/>
    <n v="1620"/>
    <x v="1"/>
    <n v="5.4"/>
    <s v="14"/>
    <s v="C"/>
    <s v="No"/>
    <s v="Upsizer"/>
  </r>
  <r>
    <x v="5"/>
    <x v="1"/>
    <n v="240000"/>
    <n v="2230"/>
    <x v="1"/>
    <n v="5.3"/>
    <s v="7"/>
    <s v="D"/>
    <s v="No"/>
    <s v="First Timer"/>
  </r>
  <r>
    <x v="6"/>
    <x v="0"/>
    <n v="510000"/>
    <n v="1450"/>
    <x v="0"/>
    <n v="6.2"/>
    <s v="20"/>
    <s v="B"/>
    <s v="Yes"/>
    <s v="Investor"/>
  </r>
  <r>
    <x v="7"/>
    <x v="2"/>
    <n v="225000"/>
    <n v="1880"/>
    <x v="1"/>
    <n v="5.3"/>
    <s v="6"/>
    <s v="D"/>
    <s v="No"/>
    <s v="First Timer"/>
  </r>
  <r>
    <x v="8"/>
    <x v="1"/>
    <n v="290000"/>
    <n v="2510"/>
    <x v="1"/>
    <n v="5.2"/>
    <s v="10"/>
    <s v="C"/>
    <s v="No"/>
    <s v="First Timer"/>
  </r>
  <r>
    <x v="0"/>
    <x v="2"/>
    <n v="580000"/>
    <n v="2300"/>
    <x v="1"/>
    <n v="5.0999999999999996"/>
    <s v="15"/>
    <s v="B"/>
    <s v="No"/>
    <s v="Upsizer"/>
  </r>
  <r>
    <x v="1"/>
    <x v="0"/>
    <n v="600000"/>
    <n v="1650"/>
    <x v="1"/>
    <n v="5.3"/>
    <s v="22"/>
    <s v="A"/>
    <s v="Yes"/>
    <s v="Investor"/>
  </r>
  <r>
    <x v="2"/>
    <x v="1"/>
    <n v="218000"/>
    <n v="2500"/>
    <x v="0"/>
    <n v="6.4"/>
    <s v="5"/>
    <s v="D"/>
    <s v="No"/>
    <s v="First Timer"/>
  </r>
  <r>
    <x v="3"/>
    <x v="0"/>
    <n v="395000"/>
    <n v="1400"/>
    <x v="1"/>
    <n v="5.4"/>
    <s v="20"/>
    <s v="B"/>
    <s v="Yes"/>
    <s v="Upsizer"/>
  </r>
  <r>
    <x v="4"/>
    <x v="2"/>
    <n v="295000"/>
    <n v="1940"/>
    <x v="0"/>
    <n v="6.5"/>
    <s v="10"/>
    <s v="C"/>
    <s v="No"/>
    <s v="First Timer"/>
  </r>
  <r>
    <x v="5"/>
    <x v="3"/>
    <n v="355000"/>
    <n v="1700"/>
    <x v="1"/>
    <n v="5.3"/>
    <s v="18"/>
    <s v="B"/>
    <s v="No"/>
    <s v="Upsizer"/>
  </r>
  <r>
    <x v="6"/>
    <x v="1"/>
    <n v="280000"/>
    <n v="2330"/>
    <x v="1"/>
    <n v="5.2"/>
    <s v="12"/>
    <s v="C"/>
    <s v="No"/>
    <s v="First Timer"/>
  </r>
  <r>
    <x v="7"/>
    <x v="0"/>
    <n v="350000"/>
    <n v="1120"/>
    <x v="0"/>
    <n v="6.6"/>
    <s v="25"/>
    <s v="B"/>
    <s v="Yes"/>
    <s v="Investor"/>
  </r>
  <r>
    <x v="8"/>
    <x v="3"/>
    <n v="420000"/>
    <n v="1950"/>
    <x v="1"/>
    <n v="5.2"/>
    <s v="15"/>
    <s v="B"/>
    <s v="No"/>
    <s v="Upsizer"/>
  </r>
  <r>
    <x v="0"/>
    <x v="0"/>
    <n v="830000"/>
    <n v="1620"/>
    <x v="0"/>
    <n v="6"/>
    <s v="20"/>
    <s v="A"/>
    <s v="Yes"/>
    <s v="Investor"/>
  </r>
  <r>
    <x v="1"/>
    <x v="2"/>
    <n v="380000"/>
    <n v="2400"/>
    <x v="1"/>
    <n v="5.4"/>
    <s v="10"/>
    <s v="C"/>
    <s v="No"/>
    <s v="First Timer"/>
  </r>
  <r>
    <x v="2"/>
    <x v="3"/>
    <n v="315000"/>
    <n v="1980"/>
    <x v="1"/>
    <n v="5.5"/>
    <s v="12"/>
    <s v="C"/>
    <s v="No"/>
    <s v="Upsizer"/>
  </r>
  <r>
    <x v="3"/>
    <x v="1"/>
    <n v="205000"/>
    <n v="2420"/>
    <x v="0"/>
    <n v="6.6"/>
    <s v="5"/>
    <s v="D"/>
    <s v="No"/>
    <s v="First Timer"/>
  </r>
  <r>
    <x v="4"/>
    <x v="0"/>
    <n v="435000"/>
    <n v="1210"/>
    <x v="1"/>
    <n v="5.3"/>
    <s v="22"/>
    <s v="B"/>
    <s v="Yes"/>
    <s v="Investor"/>
  </r>
  <r>
    <x v="5"/>
    <x v="2"/>
    <n v="300000"/>
    <n v="2000"/>
    <x v="0"/>
    <n v="6.4"/>
    <s v="10"/>
    <s v="C"/>
    <s v="No"/>
    <s v="First Timer"/>
  </r>
  <r>
    <x v="6"/>
    <x v="3"/>
    <n v="390000"/>
    <n v="1850"/>
    <x v="1"/>
    <n v="5.2"/>
    <s v="15"/>
    <s v="B"/>
    <s v="No"/>
    <s v="Upsizer"/>
  </r>
  <r>
    <x v="7"/>
    <x v="1"/>
    <n v="185000"/>
    <n v="2140"/>
    <x v="1"/>
    <n v="5.4"/>
    <s v="8"/>
    <s v="D"/>
    <s v="No"/>
    <s v="First Timer"/>
  </r>
  <r>
    <x v="8"/>
    <x v="0"/>
    <n v="540000"/>
    <n v="1550"/>
    <x v="0"/>
    <n v="6.1"/>
    <s v="20"/>
    <s v="B"/>
    <s v="Yes"/>
    <s v="Investor"/>
  </r>
  <r>
    <x v="0"/>
    <x v="1"/>
    <n v="460000"/>
    <n v="2700"/>
    <x v="0"/>
    <n v="6"/>
    <s v="10"/>
    <s v="C"/>
    <s v="No"/>
    <s v="First Timer"/>
  </r>
  <r>
    <x v="1"/>
    <x v="3"/>
    <n v="450000"/>
    <n v="2150"/>
    <x v="1"/>
    <n v="5.3"/>
    <s v="15"/>
    <s v="B"/>
    <s v="No"/>
    <s v="Upsizer"/>
  </r>
  <r>
    <x v="2"/>
    <x v="2"/>
    <n v="270000"/>
    <n v="2300"/>
    <x v="1"/>
    <n v="5.4"/>
    <s v="10"/>
    <s v="D"/>
    <s v="No"/>
    <s v="First Timer"/>
  </r>
  <r>
    <x v="3"/>
    <x v="0"/>
    <n v="400000"/>
    <n v="1420"/>
    <x v="0"/>
    <n v="6.2"/>
    <s v="20"/>
    <s v="B"/>
    <s v="Yes"/>
    <s v="Investor"/>
  </r>
  <r>
    <x v="4"/>
    <x v="1"/>
    <n v="235000"/>
    <n v="2180"/>
    <x v="1"/>
    <n v="5.4"/>
    <s v="5"/>
    <s v="D"/>
    <s v="No"/>
    <s v="First Timer"/>
  </r>
  <r>
    <x v="5"/>
    <x v="0"/>
    <n v="460000"/>
    <n v="1380"/>
    <x v="1"/>
    <n v="5.2"/>
    <s v="20"/>
    <s v="B"/>
    <s v="Yes"/>
    <s v="Investor"/>
  </r>
  <r>
    <x v="6"/>
    <x v="2"/>
    <n v="345000"/>
    <n v="2080"/>
    <x v="1"/>
    <n v="5.3"/>
    <s v="10"/>
    <s v="C"/>
    <s v="No"/>
    <s v="First Timer"/>
  </r>
  <r>
    <x v="7"/>
    <x v="3"/>
    <n v="280000"/>
    <n v="1650"/>
    <x v="0"/>
    <n v="6.5"/>
    <s v="12"/>
    <s v="C"/>
    <s v="No"/>
    <s v="Upsizer"/>
  </r>
  <r>
    <x v="8"/>
    <x v="1"/>
    <n v="295000"/>
    <n v="2530"/>
    <x v="0"/>
    <n v="6"/>
    <s v="10"/>
    <s v="C"/>
    <s v="No"/>
    <s v="First Timer"/>
  </r>
  <r>
    <x v="0"/>
    <x v="2"/>
    <n v="575000"/>
    <n v="2320"/>
    <x v="0"/>
    <n v="6.1"/>
    <s v="15"/>
    <s v="B"/>
    <s v="No"/>
    <s v="Upsizer"/>
  </r>
  <r>
    <x v="1"/>
    <x v="0"/>
    <n v="590000"/>
    <n v="1680"/>
    <x v="0"/>
    <n v="6"/>
    <s v="22"/>
    <s v="A"/>
    <s v="Yes"/>
    <s v="Investor"/>
  </r>
  <r>
    <x v="2"/>
    <x v="1"/>
    <n v="220000"/>
    <n v="2520"/>
    <x v="1"/>
    <n v="5.4"/>
    <s v="5"/>
    <s v="D"/>
    <s v="No"/>
    <s v="First Timer"/>
  </r>
  <r>
    <x v="3"/>
    <x v="3"/>
    <n v="320000"/>
    <n v="1920"/>
    <x v="1"/>
    <n v="5.5"/>
    <s v="12"/>
    <s v="C"/>
    <s v="No"/>
    <s v="Upsizer"/>
  </r>
  <r>
    <x v="4"/>
    <x v="2"/>
    <n v="300000"/>
    <n v="1980"/>
    <x v="1"/>
    <n v="5.4"/>
    <s v="10"/>
    <s v="C"/>
    <s v="No"/>
    <s v="First Timer"/>
  </r>
  <r>
    <x v="5"/>
    <x v="1"/>
    <n v="240000"/>
    <n v="2250"/>
    <x v="0"/>
    <n v="6.3"/>
    <s v="7"/>
    <s v="D"/>
    <s v="No"/>
    <s v="First Timer"/>
  </r>
  <r>
    <x v="6"/>
    <x v="0"/>
    <n v="510000"/>
    <n v="1480"/>
    <x v="1"/>
    <n v="5.0999999999999996"/>
    <s v="20"/>
    <s v="B"/>
    <s v="Yes"/>
    <s v="Investor"/>
  </r>
  <r>
    <x v="7"/>
    <x v="2"/>
    <n v="230000"/>
    <n v="1900"/>
    <x v="0"/>
    <n v="6.6"/>
    <s v="6"/>
    <s v="D"/>
    <s v="No"/>
    <s v="First Timer"/>
  </r>
  <r>
    <x v="8"/>
    <x v="3"/>
    <n v="430000"/>
    <n v="1980"/>
    <x v="0"/>
    <n v="6.1"/>
    <s v="15"/>
    <s v="B"/>
    <s v="No"/>
    <s v="Upsizer"/>
  </r>
  <r>
    <x v="0"/>
    <x v="0"/>
    <n v="825000"/>
    <n v="1650"/>
    <x v="1"/>
    <n v="5"/>
    <s v="20"/>
    <s v="A"/>
    <s v="Yes"/>
    <s v="Investor"/>
  </r>
  <r>
    <x v="1"/>
    <x v="1"/>
    <n v="320000"/>
    <n v="2350"/>
    <x v="1"/>
    <n v="5.2"/>
    <s v="12"/>
    <s v="C"/>
    <s v="No"/>
    <s v="First Timer"/>
  </r>
  <r>
    <x v="2"/>
    <x v="3"/>
    <n v="330000"/>
    <n v="2000"/>
    <x v="0"/>
    <n v="6.3"/>
    <s v="14"/>
    <s v="C"/>
    <s v="No"/>
    <s v="Upsizer"/>
  </r>
  <r>
    <x v="3"/>
    <x v="1"/>
    <n v="210000"/>
    <n v="2450"/>
    <x v="1"/>
    <n v="5.4"/>
    <s v="5"/>
    <s v="D"/>
    <s v="No"/>
    <s v="First Timer"/>
  </r>
  <r>
    <x v="4"/>
    <x v="0"/>
    <n v="440000"/>
    <n v="1240"/>
    <x v="0"/>
    <n v="6.2"/>
    <s v="22"/>
    <s v="B"/>
    <s v="Yes"/>
    <s v="Investor"/>
  </r>
  <r>
    <x v="5"/>
    <x v="2"/>
    <n v="310000"/>
    <n v="2030"/>
    <x v="1"/>
    <n v="5.5"/>
    <s v="10"/>
    <s v="C"/>
    <s v="No"/>
    <s v="First Timer"/>
  </r>
  <r>
    <x v="6"/>
    <x v="3"/>
    <n v="400000"/>
    <n v="1880"/>
    <x v="0"/>
    <n v="6.1"/>
    <s v="15"/>
    <s v="B"/>
    <s v="No"/>
    <s v="Upsizer"/>
  </r>
  <r>
    <x v="7"/>
    <x v="1"/>
    <n v="185000"/>
    <n v="2160"/>
    <x v="0"/>
    <n v="6.4"/>
    <s v="8"/>
    <s v="D"/>
    <s v="No"/>
    <s v="First Timer"/>
  </r>
  <r>
    <x v="8"/>
    <x v="0"/>
    <n v="550000"/>
    <n v="1580"/>
    <x v="1"/>
    <n v="5.0999999999999996"/>
    <s v="20"/>
    <s v="B"/>
    <s v="Yes"/>
    <s v="Investor"/>
  </r>
  <r>
    <x v="0"/>
    <x v="1"/>
    <n v="470000"/>
    <n v="2720"/>
    <x v="1"/>
    <n v="5"/>
    <s v="10"/>
    <s v="C"/>
    <s v="No"/>
    <s v="First Timer"/>
  </r>
  <r>
    <x v="1"/>
    <x v="3"/>
    <n v="455000"/>
    <n v="2180"/>
    <x v="0"/>
    <n v="6"/>
    <s v="15"/>
    <s v="B"/>
    <s v="No"/>
    <s v="Upsizer"/>
  </r>
  <r>
    <x v="2"/>
    <x v="2"/>
    <n v="275000"/>
    <n v="2330"/>
    <x v="0"/>
    <n v="6.3"/>
    <s v="10"/>
    <s v="D"/>
    <s v="No"/>
    <s v="First Timer"/>
  </r>
  <r>
    <x v="3"/>
    <x v="0"/>
    <n v="405000"/>
    <n v="1450"/>
    <x v="1"/>
    <n v="5.4"/>
    <s v="20"/>
    <s v="B"/>
    <s v="Yes"/>
    <s v="Investor"/>
  </r>
  <r>
    <x v="4"/>
    <x v="1"/>
    <n v="240000"/>
    <n v="2200"/>
    <x v="0"/>
    <n v="6.5"/>
    <s v="8"/>
    <s v="D"/>
    <s v="No"/>
    <s v="First Timer"/>
  </r>
  <r>
    <x v="5"/>
    <x v="0"/>
    <n v="470000"/>
    <n v="1400"/>
    <x v="0"/>
    <n v="6.2"/>
    <s v="20"/>
    <s v="B"/>
    <s v="Yes"/>
    <s v="Investor"/>
  </r>
  <r>
    <x v="6"/>
    <x v="2"/>
    <n v="350000"/>
    <n v="2100"/>
    <x v="0"/>
    <n v="6.1"/>
    <s v="10"/>
    <s v="C"/>
    <s v="No"/>
    <s v="First Timer"/>
  </r>
  <r>
    <x v="7"/>
    <x v="3"/>
    <n v="285000"/>
    <n v="1680"/>
    <x v="1"/>
    <n v="5.4"/>
    <s v="12"/>
    <s v="C"/>
    <s v="No"/>
    <s v="Upsizer"/>
  </r>
  <r>
    <x v="8"/>
    <x v="1"/>
    <n v="300000"/>
    <n v="2550"/>
    <x v="1"/>
    <n v="5.2"/>
    <s v="10"/>
    <s v="C"/>
    <s v="No"/>
    <s v="First Timer"/>
  </r>
  <r>
    <x v="0"/>
    <x v="2"/>
    <n v="585000"/>
    <n v="2350"/>
    <x v="1"/>
    <n v="5.0999999999999996"/>
    <s v="15"/>
    <s v="B"/>
    <s v="No"/>
    <s v="Upsizer"/>
  </r>
  <r>
    <x v="1"/>
    <x v="0"/>
    <n v="610000"/>
    <n v="1700"/>
    <x v="1"/>
    <n v="5.3"/>
    <s v="22"/>
    <s v="A"/>
    <s v="Yes"/>
    <s v="Investor"/>
  </r>
  <r>
    <x v="2"/>
    <x v="1"/>
    <n v="225000"/>
    <n v="2550"/>
    <x v="0"/>
    <n v="6.4"/>
    <s v="5"/>
    <s v="D"/>
    <s v="No"/>
    <s v="First Timer"/>
  </r>
  <r>
    <x v="3"/>
    <x v="3"/>
    <n v="325000"/>
    <n v="1950"/>
    <x v="1"/>
    <n v="5.5"/>
    <s v="12"/>
    <s v="C"/>
    <s v="No"/>
    <s v="Upsizer"/>
  </r>
  <r>
    <x v="4"/>
    <x v="2"/>
    <n v="310000"/>
    <n v="2000"/>
    <x v="0"/>
    <n v="6.6"/>
    <s v="10"/>
    <s v="C"/>
    <s v="No"/>
    <s v="First Timer"/>
  </r>
  <r>
    <x v="5"/>
    <x v="1"/>
    <n v="250000"/>
    <n v="2280"/>
    <x v="1"/>
    <n v="5.3"/>
    <s v="7"/>
    <s v="D"/>
    <s v="No"/>
    <s v="First Timer"/>
  </r>
  <r>
    <x v="6"/>
    <x v="0"/>
    <n v="520000"/>
    <n v="1500"/>
    <x v="0"/>
    <n v="6"/>
    <s v="20"/>
    <s v="B"/>
    <s v="Yes"/>
    <s v="Investor"/>
  </r>
  <r>
    <x v="7"/>
    <x v="2"/>
    <n v="240000"/>
    <n v="1930"/>
    <x v="1"/>
    <n v="5.3"/>
    <s v="6"/>
    <s v="D"/>
    <s v="No"/>
    <s v="First Timer"/>
  </r>
  <r>
    <x v="8"/>
    <x v="3"/>
    <n v="440000"/>
    <n v="2000"/>
    <x v="1"/>
    <n v="5.2"/>
    <s v="15"/>
    <s v="B"/>
    <s v="No"/>
    <s v="Upsizer"/>
  </r>
  <r>
    <x v="0"/>
    <x v="0"/>
    <n v="840000"/>
    <n v="1680"/>
    <x v="0"/>
    <n v="6.1"/>
    <s v="20"/>
    <s v="A"/>
    <s v="Yes"/>
    <s v="Investor"/>
  </r>
  <r>
    <x v="1"/>
    <x v="1"/>
    <n v="325000"/>
    <n v="2380"/>
    <x v="0"/>
    <n v="6"/>
    <s v="12"/>
    <s v="C"/>
    <s v="No"/>
    <s v="First Timer"/>
  </r>
  <r>
    <x v="2"/>
    <x v="3"/>
    <n v="340000"/>
    <n v="2030"/>
    <x v="1"/>
    <n v="5.4"/>
    <s v="14"/>
    <s v="C"/>
    <s v="No"/>
    <s v="Upsizer"/>
  </r>
  <r>
    <x v="3"/>
    <x v="1"/>
    <n v="220000"/>
    <n v="2480"/>
    <x v="0"/>
    <n v="6.5"/>
    <s v="5"/>
    <s v="D"/>
    <s v="No"/>
    <s v="First Timer"/>
  </r>
  <r>
    <x v="4"/>
    <x v="0"/>
    <n v="450000"/>
    <n v="1260"/>
    <x v="1"/>
    <n v="5.3"/>
    <s v="22"/>
    <s v="B"/>
    <s v="Yes"/>
    <s v="Investor"/>
  </r>
  <r>
    <x v="5"/>
    <x v="2"/>
    <n v="320000"/>
    <n v="2050"/>
    <x v="0"/>
    <n v="6.4"/>
    <s v="10"/>
    <s v="C"/>
    <s v="No"/>
    <s v="First Timer"/>
  </r>
  <r>
    <x v="6"/>
    <x v="3"/>
    <n v="405000"/>
    <n v="1900"/>
    <x v="1"/>
    <n v="5.2"/>
    <s v="15"/>
    <s v="B"/>
    <s v="No"/>
    <s v="Upsizer"/>
  </r>
  <r>
    <x v="7"/>
    <x v="1"/>
    <n v="195000"/>
    <n v="2180"/>
    <x v="1"/>
    <n v="5.4"/>
    <s v="8"/>
    <s v="D"/>
    <s v="No"/>
    <s v="First Timer"/>
  </r>
  <r>
    <x v="8"/>
    <x v="0"/>
    <n v="560000"/>
    <n v="1600"/>
    <x v="0"/>
    <n v="6.1"/>
    <s v="20"/>
    <s v="B"/>
    <s v="Yes"/>
    <s v="Investor"/>
  </r>
  <r>
    <x v="4"/>
    <x v="1"/>
    <n v="400000"/>
    <n v="2250"/>
    <x v="1"/>
    <n v="5.4"/>
    <s v="8"/>
    <s v="D"/>
    <s v="No"/>
    <s v="First Timer"/>
  </r>
  <r>
    <x v="5"/>
    <x v="0"/>
    <n v="470000"/>
    <n v="1400"/>
    <x v="1"/>
    <n v="5.0999999999999996"/>
    <n v="20"/>
    <s v="B"/>
    <s v="Yes"/>
    <s v="Investor"/>
  </r>
  <r>
    <x v="6"/>
    <x v="2"/>
    <n v="300000"/>
    <n v="500"/>
    <x v="1"/>
    <n v="5.3"/>
    <s v="10"/>
    <s v="C"/>
    <s v="No"/>
    <s v="First Timer"/>
  </r>
  <r>
    <x v="7"/>
    <x v="1"/>
    <n v="394000"/>
    <n v="2200"/>
    <x v="0"/>
    <n v="6.4"/>
    <n v="5"/>
    <s v="D"/>
    <s v="No"/>
    <s v="First Timer"/>
  </r>
  <r>
    <x v="8"/>
    <x v="0"/>
    <n v="700000"/>
    <n v="740"/>
    <x v="1"/>
    <n v="5.0999999999999996"/>
    <s v="22"/>
    <s v="B"/>
    <s v="Yes"/>
    <s v="Upsizer"/>
  </r>
  <r>
    <x v="0"/>
    <x v="1"/>
    <n v="490000"/>
    <n v="2680"/>
    <x v="1"/>
    <n v="5"/>
    <n v="12"/>
    <s v="C"/>
    <s v="No"/>
    <s v="First Timer"/>
  </r>
  <r>
    <x v="1"/>
    <x v="3"/>
    <n v="440000"/>
    <n v="740"/>
    <x v="0"/>
    <n v="6.1"/>
    <s v="15"/>
    <s v="B"/>
    <s v="No"/>
    <s v="Upsizer"/>
  </r>
  <r>
    <x v="2"/>
    <x v="0"/>
    <n v="410000"/>
    <n v="1460"/>
    <x v="1"/>
    <n v="5.3"/>
    <n v="18"/>
    <s v="C"/>
    <s v="Yes"/>
    <s v="Investor"/>
  </r>
  <r>
    <x v="3"/>
    <x v="2"/>
    <n v="260000"/>
    <n v="740"/>
    <x v="0"/>
    <n v="6.5"/>
    <s v="10"/>
    <s v="D"/>
    <s v="No"/>
    <s v="First Timer"/>
  </r>
  <r>
    <x v="4"/>
    <x v="3"/>
    <n v="355000"/>
    <n v="1620"/>
    <x v="1"/>
    <n v="5.4"/>
    <n v="14"/>
    <s v="C"/>
    <s v="No"/>
    <s v="Upsizer"/>
  </r>
  <r>
    <x v="5"/>
    <x v="1"/>
    <n v="250000"/>
    <n v="2230"/>
    <x v="1"/>
    <n v="5.3"/>
    <n v="7"/>
    <s v="D"/>
    <s v="No"/>
    <s v="First Timer"/>
  </r>
  <r>
    <x v="6"/>
    <x v="0"/>
    <n v="290000"/>
    <n v="1450"/>
    <x v="1"/>
    <n v="5.0999999999999996"/>
    <n v="20"/>
    <s v="B"/>
    <s v="Yes"/>
    <s v="Investor"/>
  </r>
  <r>
    <x v="7"/>
    <x v="2"/>
    <n v="230000"/>
    <n v="740"/>
    <x v="1"/>
    <n v="5.3"/>
    <s v="6"/>
    <s v="D"/>
    <s v="No"/>
    <s v="First Timer"/>
  </r>
  <r>
    <x v="8"/>
    <x v="1"/>
    <n v="310000"/>
    <n v="2510"/>
    <x v="1"/>
    <n v="5.3"/>
    <n v="10"/>
    <s v="C"/>
    <s v="No"/>
    <s v="First Timer"/>
  </r>
  <r>
    <x v="0"/>
    <x v="2"/>
    <n v="600000"/>
    <n v="740"/>
    <x v="1"/>
    <n v="5.0999999999999996"/>
    <s v="15"/>
    <s v="B"/>
    <s v="No"/>
    <s v="Upsizer"/>
  </r>
  <r>
    <x v="1"/>
    <x v="0"/>
    <n v="620000"/>
    <n v="740"/>
    <x v="1"/>
    <n v="5.3"/>
    <s v="22"/>
    <s v="A"/>
    <s v="Yes"/>
    <s v="Investor"/>
  </r>
  <r>
    <x v="2"/>
    <x v="1"/>
    <n v="230000"/>
    <n v="740"/>
    <x v="0"/>
    <n v="6.4"/>
    <s v="5"/>
    <s v="D"/>
    <s v="No"/>
    <s v="First Timer"/>
  </r>
  <r>
    <x v="3"/>
    <x v="0"/>
    <n v="415000"/>
    <n v="1400"/>
    <x v="1"/>
    <n v="5.0999999999999996"/>
    <n v="20"/>
    <s v="B"/>
    <s v="Yes"/>
    <s v="Upsizer"/>
  </r>
  <r>
    <x v="4"/>
    <x v="2"/>
    <n v="305000"/>
    <n v="740"/>
    <x v="0"/>
    <n v="6.5"/>
    <s v="10"/>
    <s v="C"/>
    <s v="No"/>
    <s v="First Timer"/>
  </r>
  <r>
    <x v="5"/>
    <x v="3"/>
    <n v="360000"/>
    <n v="740"/>
    <x v="1"/>
    <n v="5.3"/>
    <s v="18"/>
    <s v="B"/>
    <s v="No"/>
    <s v="Upsizer"/>
  </r>
  <r>
    <x v="6"/>
    <x v="1"/>
    <n v="300000"/>
    <n v="740"/>
    <x v="1"/>
    <n v="5.2"/>
    <s v="12"/>
    <s v="C"/>
    <s v="No"/>
    <s v="First Timer"/>
  </r>
  <r>
    <x v="7"/>
    <x v="0"/>
    <n v="310000"/>
    <n v="1120"/>
    <x v="0"/>
    <n v="6.6"/>
    <n v="25"/>
    <s v="B"/>
    <s v="Yes"/>
    <s v="Investor"/>
  </r>
  <r>
    <x v="8"/>
    <x v="3"/>
    <n v="440000"/>
    <n v="740"/>
    <x v="1"/>
    <n v="5.2"/>
    <s v="15"/>
    <s v="B"/>
    <s v="No"/>
    <s v="Upsizer"/>
  </r>
  <r>
    <x v="0"/>
    <x v="0"/>
    <n v="860000"/>
    <n v="1620"/>
    <x v="1"/>
    <n v="5.0999999999999996"/>
    <n v="20"/>
    <s v="A"/>
    <s v="Yes"/>
    <s v="Investor"/>
  </r>
  <r>
    <x v="1"/>
    <x v="2"/>
    <n v="400000"/>
    <n v="740"/>
    <x v="1"/>
    <n v="5.4"/>
    <s v="10"/>
    <s v="C"/>
    <s v="No"/>
    <s v="First Timer"/>
  </r>
  <r>
    <x v="2"/>
    <x v="3"/>
    <n v="320000"/>
    <n v="740"/>
    <x v="1"/>
    <n v="5.5"/>
    <s v="12"/>
    <s v="C"/>
    <s v="No"/>
    <s v="Upsizer"/>
  </r>
  <r>
    <x v="3"/>
    <x v="1"/>
    <n v="210000"/>
    <n v="740"/>
    <x v="0"/>
    <n v="6.6"/>
    <s v="5"/>
    <s v="D"/>
    <s v="No"/>
    <s v="First Timer"/>
  </r>
  <r>
    <x v="4"/>
    <x v="0"/>
    <n v="450000"/>
    <n v="740"/>
    <x v="1"/>
    <n v="5.3"/>
    <s v="22"/>
    <s v="B"/>
    <s v="Yes"/>
    <s v="Investor"/>
  </r>
  <r>
    <x v="5"/>
    <x v="2"/>
    <n v="310000"/>
    <n v="740"/>
    <x v="0"/>
    <n v="6.4"/>
    <s v="10"/>
    <s v="C"/>
    <s v="No"/>
    <s v="First Timer"/>
  </r>
  <r>
    <x v="6"/>
    <x v="3"/>
    <n v="410000"/>
    <n v="740"/>
    <x v="1"/>
    <n v="5.2"/>
    <s v="15"/>
    <s v="B"/>
    <s v="No"/>
    <s v="Upsizer"/>
  </r>
  <r>
    <x v="7"/>
    <x v="1"/>
    <n v="190000"/>
    <n v="740"/>
    <x v="1"/>
    <n v="5.4"/>
    <s v="8"/>
    <s v="D"/>
    <s v="No"/>
    <s v="First Timer"/>
  </r>
  <r>
    <x v="8"/>
    <x v="0"/>
    <n v="330000"/>
    <n v="1550"/>
    <x v="1"/>
    <n v="5.0999999999999996"/>
    <n v="20"/>
    <s v="B"/>
    <s v="Yes"/>
    <s v="Investor"/>
  </r>
  <r>
    <x v="0"/>
    <x v="1"/>
    <n v="500000"/>
    <n v="740"/>
    <x v="0"/>
    <n v="6"/>
    <s v="10"/>
    <s v="C"/>
    <s v="No"/>
    <s v="First Timer"/>
  </r>
  <r>
    <x v="1"/>
    <x v="3"/>
    <n v="480000"/>
    <n v="740"/>
    <x v="1"/>
    <n v="5.3"/>
    <s v="15"/>
    <s v="B"/>
    <s v="No"/>
    <s v="Upsizer"/>
  </r>
  <r>
    <x v="2"/>
    <x v="2"/>
    <n v="300000"/>
    <n v="740"/>
    <x v="1"/>
    <n v="5.4"/>
    <s v="10"/>
    <s v="D"/>
    <s v="No"/>
    <s v="First Timer"/>
  </r>
  <r>
    <x v="3"/>
    <x v="0"/>
    <n v="430000"/>
    <n v="740"/>
    <x v="0"/>
    <n v="6.2"/>
    <s v="22"/>
    <s v="B"/>
    <s v="Yes"/>
    <s v="Investor"/>
  </r>
  <r>
    <x v="4"/>
    <x v="1"/>
    <n v="260000"/>
    <n v="740"/>
    <x v="1"/>
    <n v="5.4"/>
    <s v="5"/>
    <s v="D"/>
    <s v="No"/>
    <s v="First Timer"/>
  </r>
  <r>
    <x v="5"/>
    <x v="0"/>
    <n v="490000"/>
    <n v="740"/>
    <x v="1"/>
    <n v="5.2"/>
    <s v="22"/>
    <s v="B"/>
    <s v="Yes"/>
    <s v="Investor"/>
  </r>
  <r>
    <x v="6"/>
    <x v="2"/>
    <n v="360000"/>
    <n v="740"/>
    <x v="1"/>
    <n v="5.3"/>
    <s v="10"/>
    <s v="C"/>
    <s v="No"/>
    <s v="First Timer"/>
  </r>
  <r>
    <x v="7"/>
    <x v="3"/>
    <n v="290000"/>
    <n v="740"/>
    <x v="0"/>
    <n v="6.5"/>
    <s v="12"/>
    <s v="C"/>
    <s v="No"/>
    <s v="Upsizer"/>
  </r>
  <r>
    <x v="8"/>
    <x v="1"/>
    <n v="310000"/>
    <n v="740"/>
    <x v="0"/>
    <n v="6"/>
    <s v="10"/>
    <s v="C"/>
    <s v="No"/>
    <s v="First Timer"/>
  </r>
  <r>
    <x v="0"/>
    <x v="2"/>
    <n v="600000"/>
    <n v="740"/>
    <x v="0"/>
    <n v="6.1"/>
    <s v="15"/>
    <s v="B"/>
    <s v="No"/>
    <s v="Upsizer"/>
  </r>
  <r>
    <x v="1"/>
    <x v="0"/>
    <n v="620000"/>
    <n v="740"/>
    <x v="0"/>
    <n v="6"/>
    <s v="22"/>
    <s v="A"/>
    <s v="Yes"/>
    <s v="Investor"/>
  </r>
  <r>
    <x v="2"/>
    <x v="1"/>
    <n v="240000"/>
    <n v="740"/>
    <x v="1"/>
    <n v="5.4"/>
    <s v="5"/>
    <s v="D"/>
    <s v="No"/>
    <s v="First Timer"/>
  </r>
  <r>
    <x v="3"/>
    <x v="3"/>
    <n v="330000"/>
    <n v="740"/>
    <x v="1"/>
    <n v="5.5"/>
    <s v="12"/>
    <s v="C"/>
    <s v="No"/>
    <s v="Upsizer"/>
  </r>
  <r>
    <x v="4"/>
    <x v="2"/>
    <n v="310000"/>
    <n v="740"/>
    <x v="1"/>
    <n v="5.4"/>
    <s v="10"/>
    <s v="C"/>
    <s v="No"/>
    <s v="First Timer"/>
  </r>
  <r>
    <x v="5"/>
    <x v="1"/>
    <n v="260000"/>
    <n v="740"/>
    <x v="0"/>
    <n v="5.4"/>
    <s v="7"/>
    <s v="D"/>
    <s v="No"/>
    <s v="First Timer"/>
  </r>
  <r>
    <x v="6"/>
    <x v="0"/>
    <n v="410000"/>
    <n v="1480"/>
    <x v="1"/>
    <n v="5.0999999999999996"/>
    <n v="20"/>
    <s v="B"/>
    <s v="Yes"/>
    <s v="Investor"/>
  </r>
  <r>
    <x v="7"/>
    <x v="2"/>
    <n v="240000"/>
    <n v="740"/>
    <x v="0"/>
    <n v="6.6"/>
    <s v="6"/>
    <s v="D"/>
    <s v="No"/>
    <s v="First Timer"/>
  </r>
  <r>
    <x v="8"/>
    <x v="3"/>
    <n v="450000"/>
    <n v="740"/>
    <x v="0"/>
    <n v="6.1"/>
    <s v="15"/>
    <s v="B"/>
    <s v="No"/>
    <s v="Upsizer"/>
  </r>
  <r>
    <x v="0"/>
    <x v="0"/>
    <n v="900000"/>
    <n v="1650"/>
    <x v="1"/>
    <n v="5.0999999999999996"/>
    <n v="20"/>
    <s v="A"/>
    <s v="Yes"/>
    <s v="Investor"/>
  </r>
  <r>
    <x v="4"/>
    <x v="3"/>
    <n v="400000"/>
    <n v="740"/>
    <x v="1"/>
    <n v="5.2"/>
    <s v="15"/>
    <s v="C"/>
    <s v="No"/>
    <s v="Upsizer"/>
  </r>
  <r>
    <x v="4"/>
    <x v="1"/>
    <n v="420000"/>
    <n v="2250"/>
    <x v="1"/>
    <n v="5.4"/>
    <s v="8"/>
    <s v="D"/>
    <s v="No"/>
    <s v="First Timer"/>
  </r>
  <r>
    <x v="5"/>
    <x v="0"/>
    <n v="480000"/>
    <n v="1400"/>
    <x v="1"/>
    <n v="5.0999999999999996"/>
    <n v="20"/>
    <s v="B"/>
    <s v="Yes"/>
    <s v="Investor"/>
  </r>
  <r>
    <x v="6"/>
    <x v="2"/>
    <n v="300000"/>
    <n v="900"/>
    <x v="1"/>
    <n v="5.3"/>
    <s v="10"/>
    <s v="C"/>
    <s v="No"/>
    <s v="First Timer"/>
  </r>
  <r>
    <x v="8"/>
    <x v="0"/>
    <n v="770000"/>
    <n v="1530"/>
    <x v="1"/>
    <n v="5.0999999999999996"/>
    <n v="22"/>
    <s v="B"/>
    <s v="Yes"/>
    <s v="Upsizer"/>
  </r>
  <r>
    <x v="0"/>
    <x v="1"/>
    <n v="495000"/>
    <n v="2680"/>
    <x v="1"/>
    <n v="5"/>
    <n v="12"/>
    <s v="C"/>
    <s v="No"/>
    <s v="First Timer"/>
  </r>
  <r>
    <x v="1"/>
    <x v="3"/>
    <n v="450000"/>
    <n v="740"/>
    <x v="0"/>
    <n v="6.1"/>
    <s v="15"/>
    <s v="B"/>
    <s v="No"/>
    <s v="Upsizer"/>
  </r>
  <r>
    <x v="2"/>
    <x v="0"/>
    <n v="420000"/>
    <n v="1460"/>
    <x v="1"/>
    <n v="5.3"/>
    <n v="18"/>
    <s v="C"/>
    <s v="Yes"/>
    <s v="Investor"/>
  </r>
  <r>
    <x v="3"/>
    <x v="2"/>
    <n v="270000"/>
    <n v="740"/>
    <x v="0"/>
    <n v="6.5"/>
    <s v="10"/>
    <s v="D"/>
    <s v="No"/>
    <s v="First Timer"/>
  </r>
  <r>
    <x v="4"/>
    <x v="3"/>
    <n v="360000"/>
    <n v="740"/>
    <x v="1"/>
    <n v="5.4"/>
    <s v="14"/>
    <s v="C"/>
    <s v="No"/>
    <s v="Upsizer"/>
  </r>
  <r>
    <x v="5"/>
    <x v="1"/>
    <n v="260000"/>
    <n v="740"/>
    <x v="1"/>
    <n v="5.3"/>
    <s v="7"/>
    <s v="D"/>
    <s v="No"/>
    <s v="First Timer"/>
  </r>
  <r>
    <x v="6"/>
    <x v="0"/>
    <n v="330000"/>
    <n v="1450"/>
    <x v="1"/>
    <n v="5.0999999999999996"/>
    <n v="20"/>
    <s v="B"/>
    <s v="Yes"/>
    <s v="Investor"/>
  </r>
  <r>
    <x v="7"/>
    <x v="2"/>
    <n v="240000"/>
    <n v="740"/>
    <x v="1"/>
    <n v="5.3"/>
    <s v="6"/>
    <s v="D"/>
    <s v="No"/>
    <s v="First Timer"/>
  </r>
  <r>
    <x v="8"/>
    <x v="1"/>
    <n v="330000"/>
    <n v="2510"/>
    <x v="1"/>
    <n v="5.3"/>
    <n v="10"/>
    <s v="C"/>
    <s v="No"/>
    <s v="First Timer"/>
  </r>
  <r>
    <x v="0"/>
    <x v="2"/>
    <n v="610000"/>
    <n v="740"/>
    <x v="1"/>
    <n v="5.0999999999999996"/>
    <s v="15"/>
    <s v="B"/>
    <s v="No"/>
    <s v="Upsizer"/>
  </r>
  <r>
    <x v="1"/>
    <x v="0"/>
    <n v="630000"/>
    <n v="740"/>
    <x v="1"/>
    <n v="5.3"/>
    <s v="22"/>
    <s v="A"/>
    <s v="Yes"/>
    <s v="Investor"/>
  </r>
  <r>
    <x v="2"/>
    <x v="1"/>
    <n v="240000"/>
    <n v="740"/>
    <x v="0"/>
    <n v="6.4"/>
    <s v="5"/>
    <s v="D"/>
    <s v="No"/>
    <s v="First Timer"/>
  </r>
  <r>
    <x v="3"/>
    <x v="0"/>
    <n v="420000"/>
    <n v="740"/>
    <x v="1"/>
    <n v="5.4"/>
    <s v="20"/>
    <s v="B"/>
    <s v="Yes"/>
    <s v="Upsizer"/>
  </r>
  <r>
    <x v="4"/>
    <x v="2"/>
    <n v="310000"/>
    <n v="740"/>
    <x v="0"/>
    <n v="6.5"/>
    <s v="10"/>
    <s v="C"/>
    <s v="No"/>
    <s v="First Timer"/>
  </r>
  <r>
    <x v="5"/>
    <x v="3"/>
    <n v="370000"/>
    <n v="740"/>
    <x v="1"/>
    <n v="5.3"/>
    <s v="18"/>
    <s v="B"/>
    <s v="No"/>
    <s v="Upsizer"/>
  </r>
  <r>
    <x v="6"/>
    <x v="1"/>
    <n v="310000"/>
    <n v="740"/>
    <x v="1"/>
    <n v="5.2"/>
    <s v="12"/>
    <s v="C"/>
    <s v="No"/>
    <s v="First Timer"/>
  </r>
  <r>
    <x v="7"/>
    <x v="0"/>
    <n v="410000"/>
    <n v="1120"/>
    <x v="1"/>
    <n v="5.4"/>
    <n v="25"/>
    <s v="B"/>
    <s v="Yes"/>
    <s v="Investor"/>
  </r>
  <r>
    <x v="8"/>
    <x v="3"/>
    <n v="460000"/>
    <n v="740"/>
    <x v="1"/>
    <n v="5.2"/>
    <s v="15"/>
    <s v="B"/>
    <s v="No"/>
    <s v="Upsizer"/>
  </r>
  <r>
    <x v="0"/>
    <x v="0"/>
    <n v="920000"/>
    <n v="1620"/>
    <x v="1"/>
    <n v="5.0999999999999996"/>
    <n v="20"/>
    <s v="A"/>
    <s v="Yes"/>
    <s v="Investor"/>
  </r>
  <r>
    <x v="1"/>
    <x v="2"/>
    <n v="410000"/>
    <n v="740"/>
    <x v="1"/>
    <n v="5.4"/>
    <s v="10"/>
    <s v="C"/>
    <s v="No"/>
    <s v="First Timer"/>
  </r>
  <r>
    <x v="2"/>
    <x v="3"/>
    <n v="330000"/>
    <n v="740"/>
    <x v="1"/>
    <n v="5.5"/>
    <s v="12"/>
    <s v="C"/>
    <s v="No"/>
    <s v="Upsizer"/>
  </r>
  <r>
    <x v="3"/>
    <x v="1"/>
    <n v="220000"/>
    <n v="740"/>
    <x v="0"/>
    <n v="6.6"/>
    <s v="5"/>
    <s v="D"/>
    <s v="No"/>
    <s v="First Timer"/>
  </r>
  <r>
    <x v="4"/>
    <x v="0"/>
    <n v="460000"/>
    <n v="740"/>
    <x v="1"/>
    <n v="5.3"/>
    <s v="22"/>
    <s v="B"/>
    <s v="Yes"/>
    <s v="Investor"/>
  </r>
  <r>
    <x v="5"/>
    <x v="2"/>
    <n v="320000"/>
    <n v="740"/>
    <x v="0"/>
    <n v="6.4"/>
    <s v="10"/>
    <s v="C"/>
    <s v="No"/>
    <s v="First Timer"/>
  </r>
  <r>
    <x v="6"/>
    <x v="3"/>
    <n v="420000"/>
    <n v="740"/>
    <x v="1"/>
    <n v="5.2"/>
    <s v="15"/>
    <s v="B"/>
    <s v="No"/>
    <s v="Upsizer"/>
  </r>
  <r>
    <x v="7"/>
    <x v="1"/>
    <n v="200000"/>
    <n v="740"/>
    <x v="1"/>
    <n v="5.4"/>
    <s v="8"/>
    <s v="D"/>
    <s v="No"/>
    <s v="First Timer"/>
  </r>
  <r>
    <x v="8"/>
    <x v="0"/>
    <n v="550000"/>
    <n v="1550"/>
    <x v="1"/>
    <n v="5.0999999999999996"/>
    <n v="20"/>
    <s v="B"/>
    <s v="Yes"/>
    <s v="Investor"/>
  </r>
  <r>
    <x v="0"/>
    <x v="1"/>
    <n v="520000"/>
    <n v="740"/>
    <x v="0"/>
    <n v="6"/>
    <s v="10"/>
    <s v="C"/>
    <s v="No"/>
    <s v="First Timer"/>
  </r>
  <r>
    <x v="1"/>
    <x v="3"/>
    <n v="490000"/>
    <n v="740"/>
    <x v="1"/>
    <n v="5.3"/>
    <s v="15"/>
    <s v="B"/>
    <s v="No"/>
    <s v="Upsizer"/>
  </r>
  <r>
    <x v="2"/>
    <x v="2"/>
    <n v="310000"/>
    <n v="740"/>
    <x v="1"/>
    <n v="5.4"/>
    <s v="10"/>
    <s v="D"/>
    <s v="No"/>
    <s v="First Timer"/>
  </r>
  <r>
    <x v="3"/>
    <x v="0"/>
    <n v="440000"/>
    <n v="740"/>
    <x v="0"/>
    <n v="6.2"/>
    <s v="20"/>
    <s v="B"/>
    <s v="Yes"/>
    <s v="Investor"/>
  </r>
  <r>
    <x v="4"/>
    <x v="1"/>
    <n v="270000"/>
    <n v="740"/>
    <x v="1"/>
    <n v="5.4"/>
    <s v="5"/>
    <s v="D"/>
    <s v="No"/>
    <s v="First Timer"/>
  </r>
  <r>
    <x v="5"/>
    <x v="0"/>
    <n v="500000"/>
    <n v="740"/>
    <x v="1"/>
    <n v="5.2"/>
    <s v="20"/>
    <s v="B"/>
    <s v="Yes"/>
    <s v="Investor"/>
  </r>
  <r>
    <x v="6"/>
    <x v="2"/>
    <n v="370000"/>
    <n v="740"/>
    <x v="1"/>
    <n v="5.3"/>
    <s v="10"/>
    <s v="C"/>
    <s v="No"/>
    <s v="First Timer"/>
  </r>
  <r>
    <x v="7"/>
    <x v="3"/>
    <n v="300000"/>
    <n v="740"/>
    <x v="0"/>
    <n v="6.5"/>
    <s v="12"/>
    <s v="C"/>
    <s v="No"/>
    <s v="Upsizer"/>
  </r>
  <r>
    <x v="8"/>
    <x v="1"/>
    <n v="320000"/>
    <n v="740"/>
    <x v="0"/>
    <n v="6"/>
    <s v="10"/>
    <s v="C"/>
    <s v="No"/>
    <s v="First Timer"/>
  </r>
  <r>
    <x v="0"/>
    <x v="0"/>
    <n v="950000"/>
    <n v="1650"/>
    <x v="1"/>
    <n v="5.0999999999999996"/>
    <n v="20"/>
    <s v="A"/>
    <s v="Yes"/>
    <s v="Investor"/>
  </r>
  <r>
    <x v="0"/>
    <x v="1"/>
    <n v="455000"/>
    <n v="2700"/>
    <x v="1"/>
    <n v="5"/>
    <n v="12"/>
    <s v="C"/>
    <s v="No"/>
    <s v="Upsizer"/>
  </r>
  <r>
    <x v="1"/>
    <x v="0"/>
    <n v="590000"/>
    <n v="600"/>
    <x v="1"/>
    <n v="5.3"/>
    <s v="22"/>
    <s v="A"/>
    <s v="Yes"/>
    <s v="Investor"/>
  </r>
  <r>
    <x v="2"/>
    <x v="3"/>
    <n v="305000"/>
    <n v="1850"/>
    <x v="1"/>
    <n v="5.4"/>
    <n v="14"/>
    <s v="C"/>
    <s v="No"/>
    <s v="First Timer"/>
  </r>
  <r>
    <x v="3"/>
    <x v="2"/>
    <n v="245000"/>
    <n v="250"/>
    <x v="1"/>
    <n v="5.5"/>
    <n v="10"/>
    <s v="D"/>
    <s v="No"/>
    <s v="First Timer"/>
  </r>
  <r>
    <x v="4"/>
    <x v="1"/>
    <n v="225000"/>
    <n v="2100"/>
    <x v="1"/>
    <n v="5.4"/>
    <s v=" 8 "/>
    <s v="D"/>
    <s v="No"/>
    <s v="First Timer"/>
  </r>
  <r>
    <x v="5"/>
    <x v="0"/>
    <n v="460000"/>
    <n v="400"/>
    <x v="1"/>
    <n v="5.2"/>
    <s v="20"/>
    <s v="B"/>
    <s v="Yes"/>
    <s v="Investor"/>
  </r>
  <r>
    <x v="6"/>
    <x v="3"/>
    <n v="375000"/>
    <n v="1750"/>
    <x v="1"/>
    <n v="5.2"/>
    <s v="15"/>
    <s v="B"/>
    <s v="No"/>
    <s v="Upsizer"/>
  </r>
  <r>
    <x v="7"/>
    <x v="1"/>
    <n v="180000"/>
    <n v="2150"/>
    <x v="1"/>
    <n v="5.4"/>
    <n v="8"/>
    <s v="D"/>
    <s v="No"/>
    <s v="First Timer"/>
  </r>
  <r>
    <x v="8"/>
    <x v="2"/>
    <n v="330000"/>
    <n v="950"/>
    <x v="1"/>
    <n v="5.3"/>
    <n v="10"/>
    <s v="C"/>
    <s v="No"/>
    <s v="First Timer"/>
  </r>
  <r>
    <x v="0"/>
    <x v="0"/>
    <n v="810000"/>
    <n v="1650"/>
    <x v="1"/>
    <n v="5.0999999999999996"/>
    <s v="20"/>
    <s v="A"/>
    <s v="Yes"/>
    <s v="Investor"/>
  </r>
  <r>
    <x v="1"/>
    <x v="1"/>
    <n v="310000"/>
    <n v="2300"/>
    <x v="1"/>
    <n v="5.2"/>
    <s v="12"/>
    <s v="C"/>
    <s v="No"/>
    <s v="First Timer"/>
  </r>
  <r>
    <x v="2"/>
    <x v="2"/>
    <n v="260000"/>
    <n v="400"/>
    <x v="1"/>
    <n v="5.4"/>
    <n v="10"/>
    <s v="D"/>
    <s v="No"/>
    <s v="First Timer"/>
  </r>
  <r>
    <x v="3"/>
    <x v="0"/>
    <n v="395000"/>
    <n v="1500"/>
    <x v="1"/>
    <n v="5.4"/>
    <s v="20"/>
    <s v="B"/>
    <s v="Yes"/>
    <s v="Upsizer"/>
  </r>
  <r>
    <x v="4"/>
    <x v="3"/>
    <n v="345000"/>
    <n v="1800"/>
    <x v="1"/>
    <n v="5.3"/>
    <n v="18"/>
    <s v="B"/>
    <s v="No"/>
    <s v="Upsizer"/>
  </r>
  <r>
    <x v="5"/>
    <x v="1"/>
    <n v="240000"/>
    <n v="2250"/>
    <x v="1"/>
    <n v="5.3"/>
    <s v="7"/>
    <s v="D"/>
    <s v="No"/>
    <s v="First Timer"/>
  </r>
  <r>
    <x v="6"/>
    <x v="0"/>
    <n v="500000"/>
    <n v="450"/>
    <x v="1"/>
    <n v="5.0999999999999996"/>
    <s v="20"/>
    <s v="B"/>
    <s v="Yes"/>
    <s v="Investor"/>
  </r>
  <r>
    <x v="7"/>
    <x v="2"/>
    <n v="220000"/>
    <n v="1850"/>
    <x v="1"/>
    <n v="5.4"/>
    <s v="6"/>
    <s v="D"/>
    <s v="No"/>
    <s v="First Timer"/>
  </r>
  <r>
    <x v="8"/>
    <x v="0"/>
    <n v="540000"/>
    <n v="1500"/>
    <x v="1"/>
    <n v="5.0999999999999996"/>
    <s v="20"/>
    <s v="B"/>
    <s v="Yes"/>
    <s v="Investor"/>
  </r>
  <r>
    <x v="0"/>
    <x v="2"/>
    <n v="565000"/>
    <n v="2250"/>
    <x v="1"/>
    <n v="5.0999999999999996"/>
    <s v="15"/>
    <s v="B"/>
    <s v="No"/>
    <s v="Upsizer"/>
  </r>
  <r>
    <x v="1"/>
    <x v="3"/>
    <n v="445000"/>
    <n v="2100"/>
    <x v="1"/>
    <n v="5.3"/>
    <s v="15"/>
    <s v="B"/>
    <s v="No"/>
    <s v="Upsizer"/>
  </r>
  <r>
    <x v="0"/>
    <x v="1"/>
    <n v="460000"/>
    <n v="750"/>
    <x v="1"/>
    <n v="5"/>
    <s v="5"/>
    <s v="C"/>
    <s v="No"/>
    <s v="First Timer"/>
  </r>
  <r>
    <x v="1"/>
    <x v="0"/>
    <n v="600000"/>
    <n v="1700"/>
    <x v="1"/>
    <n v="5.3"/>
    <s v="22"/>
    <s v="A"/>
    <s v="Yes"/>
    <s v="Investor"/>
  </r>
  <r>
    <x v="2"/>
    <x v="3"/>
    <n v="315000"/>
    <n v="900"/>
    <x v="1"/>
    <n v="5.4"/>
    <s v="14"/>
    <s v="C"/>
    <s v="No"/>
    <s v="Upsizer"/>
  </r>
  <r>
    <x v="3"/>
    <x v="2"/>
    <n v="250000"/>
    <n v="2300"/>
    <x v="1"/>
    <n v="5.5"/>
    <s v="10"/>
    <s v="D"/>
    <s v="No"/>
    <s v="First Timer"/>
  </r>
  <r>
    <x v="4"/>
    <x v="1"/>
    <n v="230000"/>
    <n v="150"/>
    <x v="1"/>
    <n v="5.4"/>
    <n v="8"/>
    <s v="D"/>
    <s v="No"/>
    <s v="First Timer"/>
  </r>
  <r>
    <x v="6"/>
    <x v="3"/>
    <n v="380000"/>
    <n v="800"/>
    <x v="1"/>
    <n v="5.2"/>
    <s v="15"/>
    <s v="B"/>
    <s v="No"/>
    <s v="Upsizer"/>
  </r>
  <r>
    <x v="7"/>
    <x v="1"/>
    <n v="185000"/>
    <n v="2200"/>
    <x v="1"/>
    <n v="5.4"/>
    <s v="8"/>
    <s v="D"/>
    <s v="No"/>
    <s v="First Timer"/>
  </r>
  <r>
    <x v="8"/>
    <x v="2"/>
    <n v="335000"/>
    <n v="2000"/>
    <x v="1"/>
    <n v="5.3"/>
    <s v="10"/>
    <s v="C"/>
    <s v="No"/>
    <s v="First Timer"/>
  </r>
  <r>
    <x v="0"/>
    <x v="0"/>
    <n v="820000"/>
    <n v="1700"/>
    <x v="1"/>
    <n v="5.0999999999999996"/>
    <s v="20"/>
    <s v="A"/>
    <s v="Yes"/>
    <s v="Investor"/>
  </r>
  <r>
    <x v="1"/>
    <x v="1"/>
    <n v="315000"/>
    <n v="350"/>
    <x v="1"/>
    <n v="5.2"/>
    <n v="12"/>
    <s v="C"/>
    <s v="No"/>
    <s v="First Timer"/>
  </r>
  <r>
    <x v="2"/>
    <x v="2"/>
    <n v="265000"/>
    <n v="450"/>
    <x v="1"/>
    <n v="4.5"/>
    <s v="10"/>
    <s v="B"/>
    <s v="No"/>
    <s v="First Timer"/>
  </r>
  <r>
    <x v="3"/>
    <x v="0"/>
    <n v="400000"/>
    <n v="1550"/>
    <x v="1"/>
    <n v="5.4"/>
    <s v="20"/>
    <s v="D"/>
    <s v="Yes"/>
    <s v="Upsizer"/>
  </r>
  <r>
    <x v="4"/>
    <x v="3"/>
    <n v="350000"/>
    <n v="1850"/>
    <x v="1"/>
    <n v="5.3"/>
    <s v="18"/>
    <s v="D"/>
    <s v="No"/>
    <s v="Upsizer"/>
  </r>
  <r>
    <x v="6"/>
    <x v="0"/>
    <n v="510000"/>
    <n v="1500"/>
    <x v="1"/>
    <n v="5.0999999999999996"/>
    <s v="20"/>
    <s v="D"/>
    <s v="Yes"/>
    <s v="Investor"/>
  </r>
  <r>
    <x v="7"/>
    <x v="2"/>
    <n v="225000"/>
    <n v="900"/>
    <x v="1"/>
    <n v="5.4"/>
    <s v="6"/>
    <s v="D"/>
    <s v="No"/>
    <s v="First Timer"/>
  </r>
  <r>
    <x v="8"/>
    <x v="0"/>
    <n v="550000"/>
    <n v="1600"/>
    <x v="1"/>
    <n v="5.0999999999999996"/>
    <s v="20"/>
    <s v="D"/>
    <s v="Yes"/>
    <s v="Investor"/>
  </r>
  <r>
    <x v="0"/>
    <x v="2"/>
    <n v="575000"/>
    <n v="300"/>
    <x v="1"/>
    <n v="5.0999999999999996"/>
    <n v="15"/>
    <s v="B"/>
    <s v="No"/>
    <s v="Upsizer"/>
  </r>
  <r>
    <x v="1"/>
    <x v="3"/>
    <n v="450000"/>
    <n v="2150"/>
    <x v="1"/>
    <n v="5.3"/>
    <s v="15"/>
    <s v="D"/>
    <s v="No"/>
    <s v="Upsizer"/>
  </r>
  <r>
    <x v="0"/>
    <x v="1"/>
    <n v="465000"/>
    <n v="2800"/>
    <x v="1"/>
    <n v="5"/>
    <s v="12"/>
    <s v="D"/>
    <s v="No"/>
    <s v="First Timer"/>
  </r>
  <r>
    <x v="1"/>
    <x v="0"/>
    <n v="610000"/>
    <n v="1750"/>
    <x v="1"/>
    <n v="5.3"/>
    <s v="22"/>
    <s v="A"/>
    <s v="Yes"/>
    <s v="Investor"/>
  </r>
  <r>
    <x v="2"/>
    <x v="3"/>
    <n v="320000"/>
    <n v="1950"/>
    <x v="1"/>
    <n v="5.4"/>
    <s v="14"/>
    <s v="C"/>
    <s v="No"/>
    <s v="Upsizer"/>
  </r>
  <r>
    <x v="3"/>
    <x v="2"/>
    <n v="255000"/>
    <n v="350"/>
    <x v="1"/>
    <n v="5.5"/>
    <n v="10"/>
    <s v="D"/>
    <s v="No"/>
    <s v="First Timer"/>
  </r>
  <r>
    <x v="4"/>
    <x v="1"/>
    <n v="235000"/>
    <n v="2200"/>
    <x v="1"/>
    <n v="5.4"/>
    <s v="8"/>
    <s v="D"/>
    <s v="No"/>
    <s v="First Timer"/>
  </r>
  <r>
    <x v="5"/>
    <x v="0"/>
    <n v="480000"/>
    <n v="1500"/>
    <x v="1"/>
    <n v="5.2"/>
    <s v="20"/>
    <s v="B"/>
    <s v="Yes"/>
    <s v="Investor"/>
  </r>
  <r>
    <x v="6"/>
    <x v="3"/>
    <n v="385000"/>
    <n v="1850"/>
    <x v="1"/>
    <n v="5.2"/>
    <s v="15"/>
    <s v="B"/>
    <s v="No"/>
    <s v="Upsizer"/>
  </r>
  <r>
    <x v="7"/>
    <x v="1"/>
    <n v="190000"/>
    <n v="2250"/>
    <x v="1"/>
    <n v="5.4"/>
    <s v="8"/>
    <s v="D"/>
    <s v="No"/>
    <s v="First Timer"/>
  </r>
  <r>
    <x v="8"/>
    <x v="2"/>
    <n v="340000"/>
    <n v="2050"/>
    <x v="1"/>
    <n v="5.3"/>
    <s v="10"/>
    <s v="C"/>
    <s v="No"/>
    <s v="First Timer"/>
  </r>
  <r>
    <x v="0"/>
    <x v="0"/>
    <n v="830000"/>
    <n v="1750"/>
    <x v="1"/>
    <n v="5.0999999999999996"/>
    <s v="20"/>
    <s v="A"/>
    <s v="Yes"/>
    <s v="Investor"/>
  </r>
  <r>
    <x v="1"/>
    <x v="1"/>
    <n v="320000"/>
    <n v="2400"/>
    <x v="1"/>
    <n v="5.2"/>
    <s v="12"/>
    <s v="C"/>
    <s v="No"/>
    <s v="First Timer"/>
  </r>
  <r>
    <x v="2"/>
    <x v="2"/>
    <n v="270000"/>
    <n v="2500"/>
    <x v="1"/>
    <n v="5.4"/>
    <s v="10"/>
    <s v="D"/>
    <s v="No"/>
    <s v="First Timer"/>
  </r>
  <r>
    <x v="3"/>
    <x v="0"/>
    <n v="405000"/>
    <n v="1600"/>
    <x v="1"/>
    <n v="5.4"/>
    <s v="20"/>
    <s v="B"/>
    <s v="Yes"/>
    <s v="Upsizer"/>
  </r>
  <r>
    <x v="4"/>
    <x v="3"/>
    <n v="355000"/>
    <n v="1900"/>
    <x v="1"/>
    <n v="5.3"/>
    <s v="18"/>
    <s v="B"/>
    <s v="No"/>
    <s v="Upsizer"/>
  </r>
  <r>
    <x v="5"/>
    <x v="1"/>
    <n v="250000"/>
    <n v="2350"/>
    <x v="1"/>
    <n v="5.3"/>
    <s v="7"/>
    <s v="D"/>
    <s v="No"/>
    <s v="First Timer"/>
  </r>
  <r>
    <x v="6"/>
    <x v="0"/>
    <n v="520000"/>
    <n v="1550"/>
    <x v="1"/>
    <n v="5.0999999999999996"/>
    <s v="20"/>
    <s v="B"/>
    <s v="Yes"/>
    <s v="Investor"/>
  </r>
  <r>
    <x v="7"/>
    <x v="2"/>
    <n v="230000"/>
    <n v="1950"/>
    <x v="1"/>
    <n v="5.4"/>
    <s v="6"/>
    <s v="D"/>
    <s v="No"/>
    <s v="First Timer"/>
  </r>
  <r>
    <x v="8"/>
    <x v="0"/>
    <n v="560000"/>
    <n v="1650"/>
    <x v="1"/>
    <n v="5.0999999999999996"/>
    <s v="20"/>
    <s v="B"/>
    <s v="Yes"/>
    <s v="Investor"/>
  </r>
  <r>
    <x v="1"/>
    <x v="3"/>
    <n v="455000"/>
    <n v="2200"/>
    <x v="1"/>
    <n v="5.3"/>
    <s v="15"/>
    <s v="B"/>
    <s v="No"/>
    <s v="Upsizer"/>
  </r>
  <r>
    <x v="0"/>
    <x v="1"/>
    <n v="470000"/>
    <n v="850"/>
    <x v="1"/>
    <n v="5"/>
    <s v="12"/>
    <s v="C"/>
    <s v="No"/>
    <s v="First Timer"/>
  </r>
  <r>
    <x v="1"/>
    <x v="0"/>
    <n v="620000"/>
    <n v="1800"/>
    <x v="1"/>
    <n v="5.3"/>
    <s v="22"/>
    <s v="A"/>
    <s v="Yes"/>
    <s v="Investor"/>
  </r>
  <r>
    <x v="2"/>
    <x v="3"/>
    <n v="325000"/>
    <n v="2000"/>
    <x v="1"/>
    <n v="5.4"/>
    <s v="14"/>
    <s v="C"/>
    <s v="No"/>
    <s v="Upsizer"/>
  </r>
  <r>
    <x v="3"/>
    <x v="2"/>
    <n v="260000"/>
    <n v="400"/>
    <x v="1"/>
    <n v="5.5"/>
    <n v="10"/>
    <s v="D"/>
    <s v="No"/>
    <s v="First Timer"/>
  </r>
  <r>
    <x v="4"/>
    <x v="1"/>
    <n v="240000"/>
    <n v="2250"/>
    <x v="1"/>
    <n v="5.4"/>
    <s v="8"/>
    <s v="D"/>
    <s v="No"/>
    <s v="First Timer"/>
  </r>
  <r>
    <x v="7"/>
    <x v="1"/>
    <n v="195000"/>
    <n v="2300"/>
    <x v="1"/>
    <n v="5.4"/>
    <s v="8"/>
    <s v="D"/>
    <s v="No"/>
    <s v="First Timer"/>
  </r>
  <r>
    <x v="8"/>
    <x v="2"/>
    <n v="345000"/>
    <n v="2100"/>
    <x v="1"/>
    <n v="5.3"/>
    <s v="10"/>
    <s v="C"/>
    <s v="No"/>
    <s v="First Timer"/>
  </r>
  <r>
    <x v="0"/>
    <x v="0"/>
    <n v="840000"/>
    <n v="1800"/>
    <x v="1"/>
    <n v="5.0999999999999996"/>
    <s v="20"/>
    <s v="A"/>
    <s v="Yes"/>
    <s v="Investor"/>
  </r>
  <r>
    <x v="1"/>
    <x v="1"/>
    <n v="325000"/>
    <n v="2450"/>
    <x v="1"/>
    <n v="5.2"/>
    <s v="12"/>
    <s v="C"/>
    <s v="No"/>
    <s v="First Timer"/>
  </r>
  <r>
    <x v="2"/>
    <x v="2"/>
    <n v="275000"/>
    <n v="2550"/>
    <x v="1"/>
    <n v="5.4"/>
    <s v="10"/>
    <s v="D"/>
    <s v="No"/>
    <s v="First Timer"/>
  </r>
  <r>
    <x v="3"/>
    <x v="0"/>
    <n v="410000"/>
    <n v="1650"/>
    <x v="1"/>
    <n v="5.4"/>
    <s v="20"/>
    <s v="B"/>
    <s v="Yes"/>
    <s v="Upsizer"/>
  </r>
  <r>
    <x v="4"/>
    <x v="3"/>
    <n v="360000"/>
    <n v="1950"/>
    <x v="1"/>
    <n v="5.3"/>
    <s v="18"/>
    <s v="B"/>
    <s v="No"/>
    <s v="Upsizer"/>
  </r>
  <r>
    <x v="5"/>
    <x v="1"/>
    <n v="255000"/>
    <n v="2400"/>
    <x v="1"/>
    <n v="5.3"/>
    <s v="7"/>
    <s v="D"/>
    <s v="No"/>
    <s v="First Timer"/>
  </r>
  <r>
    <x v="6"/>
    <x v="0"/>
    <n v="530000"/>
    <n v="1600"/>
    <x v="1"/>
    <n v="5.0999999999999996"/>
    <s v="20"/>
    <s v="B"/>
    <s v="Yes"/>
    <s v="Investor"/>
  </r>
  <r>
    <x v="7"/>
    <x v="2"/>
    <n v="235000"/>
    <n v="2000"/>
    <x v="1"/>
    <n v="5.4"/>
    <s v="6"/>
    <s v="D"/>
    <s v="No"/>
    <s v="First Timer"/>
  </r>
  <r>
    <x v="8"/>
    <x v="0"/>
    <n v="570000"/>
    <n v="1700"/>
    <x v="1"/>
    <n v="5.0999999999999996"/>
    <s v="20"/>
    <s v="B"/>
    <s v="Yes"/>
    <s v="Investor"/>
  </r>
  <r>
    <x v="0"/>
    <x v="2"/>
    <n v="595000"/>
    <n v="2400"/>
    <x v="1"/>
    <n v="5.0999999999999996"/>
    <s v="15"/>
    <s v="B"/>
    <s v="No"/>
    <s v="Upsizer"/>
  </r>
  <r>
    <x v="1"/>
    <x v="3"/>
    <n v="460000"/>
    <n v="2250"/>
    <x v="1"/>
    <n v="5.3"/>
    <s v="15"/>
    <s v="B"/>
    <s v="No"/>
    <s v="Upsizer"/>
  </r>
  <r>
    <x v="0"/>
    <x v="1"/>
    <n v="475000"/>
    <n v="2900"/>
    <x v="1"/>
    <n v="5"/>
    <s v="12"/>
    <s v="C"/>
    <s v="No"/>
    <s v="First Timer"/>
  </r>
  <r>
    <x v="1"/>
    <x v="0"/>
    <n v="630000"/>
    <n v="1850"/>
    <x v="1"/>
    <n v="5.3"/>
    <s v="22"/>
    <s v="A"/>
    <s v="Yes"/>
    <s v="Investor"/>
  </r>
  <r>
    <x v="2"/>
    <x v="3"/>
    <n v="330000"/>
    <n v="2050"/>
    <x v="1"/>
    <n v="5.4"/>
    <s v="14"/>
    <s v="C"/>
    <s v="No"/>
    <s v="Upsizer"/>
  </r>
  <r>
    <x v="3"/>
    <x v="2"/>
    <n v="265000"/>
    <n v="450"/>
    <x v="1"/>
    <n v="5.5"/>
    <n v="10"/>
    <s v="D"/>
    <s v="No"/>
    <s v="First Timer"/>
  </r>
  <r>
    <x v="4"/>
    <x v="1"/>
    <n v="245000"/>
    <n v="2300"/>
    <x v="1"/>
    <n v="5.4"/>
    <s v="8"/>
    <s v="D"/>
    <s v="No"/>
    <s v="First Timer"/>
  </r>
  <r>
    <x v="5"/>
    <x v="0"/>
    <n v="495000"/>
    <n v="1600"/>
    <x v="1"/>
    <n v="5.2"/>
    <s v="20"/>
    <s v="B"/>
    <s v="Yes"/>
    <s v="Investor"/>
  </r>
  <r>
    <x v="7"/>
    <x v="1"/>
    <n v="200000"/>
    <n v="2350"/>
    <x v="1"/>
    <n v="5.4"/>
    <s v="8"/>
    <s v="D"/>
    <s v="No"/>
    <s v="First Timer"/>
  </r>
  <r>
    <x v="8"/>
    <x v="2"/>
    <n v="350000"/>
    <n v="2150"/>
    <x v="1"/>
    <n v="5.3"/>
    <s v="10"/>
    <s v="C"/>
    <s v="No"/>
    <s v="First Timer"/>
  </r>
  <r>
    <x v="0"/>
    <x v="0"/>
    <n v="850000"/>
    <n v="1850"/>
    <x v="1"/>
    <n v="5.0999999999999996"/>
    <s v="20"/>
    <s v="A"/>
    <s v="Yes"/>
    <s v="Investor"/>
  </r>
  <r>
    <x v="2"/>
    <x v="2"/>
    <n v="280000"/>
    <n v="2600"/>
    <x v="1"/>
    <n v="5.4"/>
    <s v="10"/>
    <s v="D"/>
    <s v="No"/>
    <s v="First Timer"/>
  </r>
  <r>
    <x v="3"/>
    <x v="0"/>
    <n v="415000"/>
    <n v="1700"/>
    <x v="1"/>
    <n v="5.4"/>
    <s v="20"/>
    <s v="B"/>
    <s v="Yes"/>
    <s v="Upsizer"/>
  </r>
  <r>
    <x v="4"/>
    <x v="3"/>
    <n v="365000"/>
    <n v="2000"/>
    <x v="1"/>
    <n v="5.3"/>
    <s v="18"/>
    <s v="B"/>
    <s v="No"/>
    <s v="Upsizer"/>
  </r>
  <r>
    <x v="6"/>
    <x v="0"/>
    <n v="540000"/>
    <n v="1650"/>
    <x v="1"/>
    <n v="5.0999999999999996"/>
    <s v="20"/>
    <s v="B"/>
    <s v="Yes"/>
    <s v="Investor"/>
  </r>
  <r>
    <x v="7"/>
    <x v="2"/>
    <n v="240000"/>
    <n v="2050"/>
    <x v="1"/>
    <n v="5.4"/>
    <s v="6"/>
    <s v="D"/>
    <s v="No"/>
    <s v="First Timer"/>
  </r>
  <r>
    <x v="8"/>
    <x v="0"/>
    <n v="580000"/>
    <n v="1750"/>
    <x v="1"/>
    <n v="5.0999999999999996"/>
    <s v="20"/>
    <s v="B"/>
    <s v="Yes"/>
    <s v="Investor"/>
  </r>
  <r>
    <x v="0"/>
    <x v="2"/>
    <n v="605000"/>
    <n v="2450"/>
    <x v="1"/>
    <n v="5.0999999999999996"/>
    <s v="15"/>
    <s v="B"/>
    <s v="No"/>
    <s v="Upsizer"/>
  </r>
  <r>
    <x v="1"/>
    <x v="3"/>
    <n v="465000"/>
    <n v="2300"/>
    <x v="1"/>
    <n v="5.3"/>
    <s v="15"/>
    <s v="B"/>
    <s v="No"/>
    <s v="Upsizer"/>
  </r>
  <r>
    <x v="0"/>
    <x v="1"/>
    <n v="485000"/>
    <n v="3050"/>
    <x v="1"/>
    <n v="5"/>
    <s v="12"/>
    <s v="C"/>
    <s v="No"/>
    <s v="First Timer"/>
  </r>
  <r>
    <x v="1"/>
    <x v="0"/>
    <n v="650000"/>
    <n v="2000"/>
    <x v="1"/>
    <n v="5.3"/>
    <s v="22"/>
    <s v="A"/>
    <s v="Yes"/>
    <s v="Investor"/>
  </r>
  <r>
    <x v="2"/>
    <x v="3"/>
    <n v="340000"/>
    <n v="2200"/>
    <x v="1"/>
    <n v="5.4"/>
    <s v="14"/>
    <s v="C"/>
    <s v="No"/>
    <s v="Upsizer"/>
  </r>
  <r>
    <x v="3"/>
    <x v="2"/>
    <n v="275000"/>
    <n v="600"/>
    <x v="1"/>
    <n v="5.5"/>
    <n v="10"/>
    <s v="D"/>
    <s v="No"/>
    <s v="First Timer"/>
  </r>
  <r>
    <x v="5"/>
    <x v="0"/>
    <n v="510000"/>
    <n v="1750"/>
    <x v="1"/>
    <n v="5.2"/>
    <s v="20"/>
    <s v="B"/>
    <s v="Yes"/>
    <s v="Investor"/>
  </r>
  <r>
    <x v="6"/>
    <x v="3"/>
    <n v="405000"/>
    <n v="2100"/>
    <x v="1"/>
    <n v="5.2"/>
    <s v="15"/>
    <s v="B"/>
    <s v="No"/>
    <s v="Upsizer"/>
  </r>
  <r>
    <x v="7"/>
    <x v="1"/>
    <n v="210000"/>
    <n v="2500"/>
    <x v="1"/>
    <n v="5.4"/>
    <s v="8"/>
    <s v="D"/>
    <s v="No"/>
    <s v="First Timer"/>
  </r>
  <r>
    <x v="8"/>
    <x v="2"/>
    <n v="360000"/>
    <n v="2300"/>
    <x v="1"/>
    <n v="5.3"/>
    <s v="10"/>
    <s v="C"/>
    <s v="No"/>
    <s v="First Timer"/>
  </r>
  <r>
    <x v="0"/>
    <x v="0"/>
    <n v="870000"/>
    <n v="2000"/>
    <x v="1"/>
    <n v="5.0999999999999996"/>
    <s v="20"/>
    <s v="A"/>
    <s v="Yes"/>
    <s v="Investor"/>
  </r>
  <r>
    <x v="1"/>
    <x v="1"/>
    <n v="340000"/>
    <n v="2650"/>
    <x v="1"/>
    <n v="5.2"/>
    <s v="12"/>
    <s v="C"/>
    <s v="No"/>
    <s v="First Timer"/>
  </r>
  <r>
    <x v="2"/>
    <x v="2"/>
    <n v="290000"/>
    <n v="2750"/>
    <x v="1"/>
    <n v="5.4"/>
    <s v="10"/>
    <s v="D"/>
    <s v="No"/>
    <s v="First Timer"/>
  </r>
  <r>
    <x v="3"/>
    <x v="0"/>
    <n v="425000"/>
    <n v="1850"/>
    <x v="1"/>
    <n v="5.4"/>
    <s v="20"/>
    <s v="B"/>
    <s v="Yes"/>
    <s v="Upsizer"/>
  </r>
  <r>
    <x v="4"/>
    <x v="3"/>
    <n v="375000"/>
    <n v="2150"/>
    <x v="1"/>
    <n v="5.3"/>
    <s v="18"/>
    <s v="B"/>
    <s v="No"/>
    <s v="Upsizer"/>
  </r>
  <r>
    <x v="5"/>
    <x v="1"/>
    <n v="270000"/>
    <n v="2600"/>
    <x v="1"/>
    <n v="5.3"/>
    <s v="7"/>
    <s v="D"/>
    <s v="No"/>
    <s v="First Timer"/>
  </r>
  <r>
    <x v="6"/>
    <x v="0"/>
    <n v="560000"/>
    <n v="1800"/>
    <x v="1"/>
    <n v="5.0999999999999996"/>
    <s v="20"/>
    <s v="B"/>
    <s v="Yes"/>
    <s v="Investor"/>
  </r>
  <r>
    <x v="7"/>
    <x v="2"/>
    <n v="250000"/>
    <n v="2200"/>
    <x v="1"/>
    <n v="5.4"/>
    <s v="6"/>
    <s v="D"/>
    <s v="No"/>
    <s v="First Timer"/>
  </r>
  <r>
    <x v="8"/>
    <x v="0"/>
    <n v="600000"/>
    <n v="1900"/>
    <x v="1"/>
    <n v="5.0999999999999996"/>
    <s v="20"/>
    <s v="B"/>
    <s v="Yes"/>
    <s v="Investor"/>
  </r>
  <r>
    <x v="0"/>
    <x v="2"/>
    <n v="625000"/>
    <n v="2600"/>
    <x v="1"/>
    <n v="5.0999999999999996"/>
    <s v="15"/>
    <s v="B"/>
    <s v="No"/>
    <s v="Upsizer"/>
  </r>
  <r>
    <x v="1"/>
    <x v="3"/>
    <n v="475000"/>
    <n v="2450"/>
    <x v="1"/>
    <n v="5.3"/>
    <s v="15"/>
    <s v="B"/>
    <s v="No"/>
    <s v="Upsizer"/>
  </r>
  <r>
    <x v="0"/>
    <x v="1"/>
    <n v="488000"/>
    <n v="3100"/>
    <x v="1"/>
    <n v="5"/>
    <s v="12"/>
    <s v="C"/>
    <s v="No"/>
    <s v="First Timer"/>
  </r>
  <r>
    <x v="1"/>
    <x v="0"/>
    <n v="655000"/>
    <n v="2050"/>
    <x v="1"/>
    <n v="5.3"/>
    <s v="22"/>
    <s v="A"/>
    <s v="Yes"/>
    <s v="Investor"/>
  </r>
  <r>
    <x v="2"/>
    <x v="3"/>
    <n v="345000"/>
    <n v="2250"/>
    <x v="1"/>
    <n v="5.4"/>
    <s v="14"/>
    <s v="C"/>
    <s v="No"/>
    <s v="Upsizer"/>
  </r>
  <r>
    <x v="3"/>
    <x v="2"/>
    <n v="278000"/>
    <n v="650"/>
    <x v="1"/>
    <n v="5.5"/>
    <n v="10"/>
    <s v="D"/>
    <s v="No"/>
    <s v="First Timer"/>
  </r>
  <r>
    <x v="4"/>
    <x v="1"/>
    <n v="258000"/>
    <n v="2500"/>
    <x v="1"/>
    <n v="5.4"/>
    <s v="8"/>
    <s v="D"/>
    <s v="No"/>
    <s v="First Timer"/>
  </r>
  <r>
    <x v="5"/>
    <x v="0"/>
    <n v="515000"/>
    <n v="1800"/>
    <x v="1"/>
    <n v="5.2"/>
    <s v="20"/>
    <s v="B"/>
    <s v="Yes"/>
    <s v="Investor"/>
  </r>
  <r>
    <x v="6"/>
    <x v="3"/>
    <n v="408000"/>
    <n v="2150"/>
    <x v="1"/>
    <n v="5.2"/>
    <s v="15"/>
    <s v="B"/>
    <s v="No"/>
    <s v="Upsizer"/>
  </r>
  <r>
    <x v="7"/>
    <x v="1"/>
    <n v="212000"/>
    <n v="2550"/>
    <x v="1"/>
    <n v="5.4"/>
    <s v="8"/>
    <s v="D"/>
    <s v="No"/>
    <s v="First Timer"/>
  </r>
  <r>
    <x v="8"/>
    <x v="2"/>
    <n v="362000"/>
    <n v="2350"/>
    <x v="1"/>
    <n v="5.3"/>
    <s v="10"/>
    <s v="C"/>
    <s v="No"/>
    <s v="First Timer"/>
  </r>
  <r>
    <x v="0"/>
    <x v="0"/>
    <n v="875000"/>
    <n v="2050"/>
    <x v="1"/>
    <n v="5.0999999999999996"/>
    <s v="20"/>
    <s v="A"/>
    <s v="Yes"/>
    <s v="Investor"/>
  </r>
  <r>
    <x v="1"/>
    <x v="1"/>
    <n v="343000"/>
    <n v="2700"/>
    <x v="1"/>
    <n v="5.2"/>
    <s v="12"/>
    <s v="C"/>
    <s v="No"/>
    <s v="First Timer"/>
  </r>
  <r>
    <x v="2"/>
    <x v="2"/>
    <n v="292000"/>
    <n v="2800"/>
    <x v="1"/>
    <n v="5.4"/>
    <s v="10"/>
    <s v="D"/>
    <s v="No"/>
    <s v="First Timer"/>
  </r>
  <r>
    <x v="3"/>
    <x v="0"/>
    <n v="428000"/>
    <n v="1900"/>
    <x v="1"/>
    <n v="5.4"/>
    <s v="20"/>
    <s v="B"/>
    <s v="Yes"/>
    <s v="Upsizer"/>
  </r>
  <r>
    <x v="4"/>
    <x v="3"/>
    <n v="378000"/>
    <n v="2200"/>
    <x v="1"/>
    <n v="5.3"/>
    <s v="18"/>
    <s v="B"/>
    <s v="No"/>
    <s v="Upsizer"/>
  </r>
  <r>
    <x v="5"/>
    <x v="1"/>
    <n v="272000"/>
    <n v="2650"/>
    <x v="1"/>
    <n v="5.3"/>
    <s v="7"/>
    <s v="D"/>
    <s v="No"/>
    <s v="First Timer"/>
  </r>
  <r>
    <x v="6"/>
    <x v="0"/>
    <n v="565000"/>
    <n v="1850"/>
    <x v="1"/>
    <n v="5.0999999999999996"/>
    <s v="20"/>
    <s v="B"/>
    <s v="Yes"/>
    <s v="Investor"/>
  </r>
  <r>
    <x v="7"/>
    <x v="2"/>
    <n v="252000"/>
    <n v="2250"/>
    <x v="1"/>
    <n v="5.4"/>
    <s v="6"/>
    <s v="D"/>
    <s v="No"/>
    <s v="First Timer"/>
  </r>
  <r>
    <x v="8"/>
    <x v="0"/>
    <n v="605000"/>
    <n v="1950"/>
    <x v="1"/>
    <n v="5.0999999999999996"/>
    <s v="20"/>
    <s v="B"/>
    <s v="Yes"/>
    <s v="Investor"/>
  </r>
  <r>
    <x v="0"/>
    <x v="2"/>
    <n v="630000"/>
    <n v="2650"/>
    <x v="1"/>
    <n v="5.0999999999999996"/>
    <s v="15"/>
    <s v="B"/>
    <s v="No"/>
    <s v="Upsizer"/>
  </r>
  <r>
    <x v="1"/>
    <x v="3"/>
    <n v="478000"/>
    <n v="2500"/>
    <x v="1"/>
    <n v="5.3"/>
    <s v="15"/>
    <s v="B"/>
    <s v="No"/>
    <s v="Upsizer"/>
  </r>
  <r>
    <x v="0"/>
    <x v="1"/>
    <n v="490000"/>
    <n v="3150"/>
    <x v="1"/>
    <n v="5"/>
    <s v="12"/>
    <s v="C"/>
    <s v="No"/>
    <s v="First Timer"/>
  </r>
  <r>
    <x v="1"/>
    <x v="0"/>
    <n v="660000"/>
    <n v="2100"/>
    <x v="1"/>
    <n v="5.3"/>
    <s v="22"/>
    <s v="A"/>
    <s v="Yes"/>
    <s v="Investor"/>
  </r>
  <r>
    <x v="2"/>
    <x v="3"/>
    <n v="348000"/>
    <n v="2300"/>
    <x v="1"/>
    <n v="5.4"/>
    <s v="14"/>
    <s v="C"/>
    <s v="No"/>
    <s v="Upsizer"/>
  </r>
  <r>
    <x v="3"/>
    <x v="2"/>
    <n v="280000"/>
    <n v="700"/>
    <x v="1"/>
    <n v="5.5"/>
    <n v="10"/>
    <s v="D"/>
    <s v="No"/>
    <s v="First Timer"/>
  </r>
  <r>
    <x v="4"/>
    <x v="1"/>
    <n v="260000"/>
    <n v="2550"/>
    <x v="1"/>
    <n v="5.4"/>
    <s v="8"/>
    <s v="D"/>
    <s v="No"/>
    <s v="First Timer"/>
  </r>
  <r>
    <x v="5"/>
    <x v="0"/>
    <n v="520000"/>
    <n v="1850"/>
    <x v="1"/>
    <n v="5.2"/>
    <s v="20"/>
    <s v="B"/>
    <s v="Yes"/>
    <s v="Investor"/>
  </r>
  <r>
    <x v="6"/>
    <x v="3"/>
    <n v="410000"/>
    <n v="2200"/>
    <x v="1"/>
    <n v="5.2"/>
    <s v="15"/>
    <s v="B"/>
    <s v="No"/>
    <s v="Upsizer"/>
  </r>
  <r>
    <x v="7"/>
    <x v="1"/>
    <n v="215000"/>
    <n v="2600"/>
    <x v="1"/>
    <n v="5.4"/>
    <s v="8"/>
    <s v="D"/>
    <s v="No"/>
    <s v="First Timer"/>
  </r>
  <r>
    <x v="8"/>
    <x v="2"/>
    <n v="365000"/>
    <n v="2400"/>
    <x v="1"/>
    <n v="5.3"/>
    <s v="10"/>
    <s v="C"/>
    <s v="No"/>
    <s v="First Timer"/>
  </r>
  <r>
    <x v="0"/>
    <x v="0"/>
    <n v="880000"/>
    <n v="2100"/>
    <x v="1"/>
    <n v="5.0999999999999996"/>
    <s v="20"/>
    <s v="A"/>
    <s v="Yes"/>
    <s v="Investor"/>
  </r>
  <r>
    <x v="1"/>
    <x v="1"/>
    <n v="345000"/>
    <n v="2750"/>
    <x v="1"/>
    <n v="5.2"/>
    <s v="12"/>
    <s v="C"/>
    <s v="No"/>
    <s v="First Timer"/>
  </r>
  <r>
    <x v="2"/>
    <x v="2"/>
    <n v="295000"/>
    <n v="2850"/>
    <x v="1"/>
    <n v="5.4"/>
    <s v="10"/>
    <s v="D"/>
    <s v="No"/>
    <s v="First Timer"/>
  </r>
  <r>
    <x v="3"/>
    <x v="0"/>
    <n v="430000"/>
    <n v="1950"/>
    <x v="1"/>
    <n v="5.4"/>
    <s v="20"/>
    <s v="B"/>
    <s v="Yes"/>
    <s v="Upsizer"/>
  </r>
  <r>
    <x v="4"/>
    <x v="3"/>
    <n v="380000"/>
    <n v="2250"/>
    <x v="1"/>
    <n v="5.3"/>
    <s v="18"/>
    <s v="B"/>
    <s v="No"/>
    <s v="Upsizer"/>
  </r>
  <r>
    <x v="5"/>
    <x v="1"/>
    <n v="275000"/>
    <n v="2700"/>
    <x v="1"/>
    <n v="5.3"/>
    <s v="7"/>
    <s v="D"/>
    <s v="No"/>
    <s v="First Timer"/>
  </r>
  <r>
    <x v="6"/>
    <x v="0"/>
    <n v="570000"/>
    <n v="1900"/>
    <x v="1"/>
    <n v="5.0999999999999996"/>
    <s v="20"/>
    <s v="B"/>
    <s v="Yes"/>
    <s v="Investor"/>
  </r>
  <r>
    <x v="7"/>
    <x v="2"/>
    <n v="255000"/>
    <n v="2300"/>
    <x v="1"/>
    <n v="5.4"/>
    <s v="6"/>
    <s v="D"/>
    <s v="No"/>
    <s v="First Timer"/>
  </r>
  <r>
    <x v="8"/>
    <x v="0"/>
    <n v="610000"/>
    <n v="2000"/>
    <x v="1"/>
    <n v="5.0999999999999996"/>
    <s v="20"/>
    <s v="B"/>
    <s v="Yes"/>
    <s v="Investor"/>
  </r>
  <r>
    <x v="0"/>
    <x v="2"/>
    <n v="635000"/>
    <n v="2700"/>
    <x v="1"/>
    <n v="5.0999999999999996"/>
    <s v="15"/>
    <s v="B"/>
    <s v="No"/>
    <s v="Upsizer"/>
  </r>
  <r>
    <x v="1"/>
    <x v="3"/>
    <n v="480000"/>
    <n v="2550"/>
    <x v="1"/>
    <n v="5.3"/>
    <s v="15"/>
    <s v="B"/>
    <s v="No"/>
    <s v="Upsizer"/>
  </r>
  <r>
    <x v="0"/>
    <x v="1"/>
    <n v="492000"/>
    <n v="3200"/>
    <x v="1"/>
    <n v="5"/>
    <s v="12"/>
    <s v="C"/>
    <s v="No"/>
    <s v="First Timer"/>
  </r>
  <r>
    <x v="1"/>
    <x v="0"/>
    <n v="665000"/>
    <n v="2150"/>
    <x v="1"/>
    <n v="5.3"/>
    <s v="22"/>
    <s v="A"/>
    <s v="Yes"/>
    <s v="Investor"/>
  </r>
  <r>
    <x v="2"/>
    <x v="3"/>
    <n v="350000"/>
    <n v="2350"/>
    <x v="1"/>
    <n v="5.4"/>
    <s v="14"/>
    <s v="C"/>
    <s v="No"/>
    <s v="Upsizer"/>
  </r>
  <r>
    <x v="3"/>
    <x v="2"/>
    <n v="282000"/>
    <n v="750"/>
    <x v="1"/>
    <n v="5.5"/>
    <n v="10"/>
    <s v="D"/>
    <s v="No"/>
    <s v="First Timer"/>
  </r>
  <r>
    <x v="4"/>
    <x v="1"/>
    <n v="262000"/>
    <n v="2600"/>
    <x v="1"/>
    <n v="5.4"/>
    <s v="8"/>
    <s v="D"/>
    <s v="No"/>
    <s v="First Timer"/>
  </r>
  <r>
    <x v="5"/>
    <x v="0"/>
    <n v="525000"/>
    <n v="1900"/>
    <x v="1"/>
    <n v="5.2"/>
    <s v="20"/>
    <s v="B"/>
    <s v="Yes"/>
    <s v="Investor"/>
  </r>
  <r>
    <x v="6"/>
    <x v="3"/>
    <n v="412000"/>
    <n v="2250"/>
    <x v="1"/>
    <n v="5.2"/>
    <s v="15"/>
    <s v="B"/>
    <s v="No"/>
    <s v="Upsizer"/>
  </r>
  <r>
    <x v="7"/>
    <x v="1"/>
    <n v="218000"/>
    <n v="2650"/>
    <x v="1"/>
    <n v="5.4"/>
    <s v="8"/>
    <s v="D"/>
    <s v="No"/>
    <s v="First Timer"/>
  </r>
  <r>
    <x v="8"/>
    <x v="2"/>
    <n v="368000"/>
    <n v="2450"/>
    <x v="1"/>
    <n v="5.3"/>
    <s v="10"/>
    <s v="C"/>
    <s v="No"/>
    <s v="First Timer"/>
  </r>
  <r>
    <x v="0"/>
    <x v="0"/>
    <n v="885000"/>
    <n v="2150"/>
    <x v="1"/>
    <n v="5.0999999999999996"/>
    <s v="20"/>
    <s v="A"/>
    <s v="Yes"/>
    <s v="Investor"/>
  </r>
  <r>
    <x v="1"/>
    <x v="1"/>
    <n v="348000"/>
    <n v="2800"/>
    <x v="1"/>
    <n v="5.2"/>
    <s v="12"/>
    <s v="C"/>
    <s v="No"/>
    <s v="First Timer"/>
  </r>
  <r>
    <x v="2"/>
    <x v="2"/>
    <n v="298000"/>
    <n v="2900"/>
    <x v="1"/>
    <n v="5.4"/>
    <s v="10"/>
    <s v="D"/>
    <s v="No"/>
    <s v="First Timer"/>
  </r>
  <r>
    <x v="3"/>
    <x v="0"/>
    <n v="432000"/>
    <n v="2000"/>
    <x v="1"/>
    <n v="5.4"/>
    <s v="20"/>
    <s v="B"/>
    <s v="Yes"/>
    <s v="Upsizer"/>
  </r>
  <r>
    <x v="4"/>
    <x v="3"/>
    <n v="382000"/>
    <n v="2300"/>
    <x v="1"/>
    <n v="5.3"/>
    <s v="18"/>
    <s v="B"/>
    <s v="No"/>
    <s v="Upsizer"/>
  </r>
  <r>
    <x v="5"/>
    <x v="1"/>
    <n v="278000"/>
    <n v="2750"/>
    <x v="1"/>
    <n v="5.3"/>
    <s v="7"/>
    <s v="D"/>
    <s v="No"/>
    <s v="First Timer"/>
  </r>
  <r>
    <x v="6"/>
    <x v="0"/>
    <n v="575000"/>
    <n v="1950"/>
    <x v="1"/>
    <n v="5.0999999999999996"/>
    <s v="20"/>
    <s v="B"/>
    <s v="Yes"/>
    <s v="Investor"/>
  </r>
  <r>
    <x v="7"/>
    <x v="2"/>
    <n v="258000"/>
    <n v="2350"/>
    <x v="1"/>
    <n v="5.4"/>
    <s v="6"/>
    <s v="D"/>
    <s v="No"/>
    <s v="First Timer"/>
  </r>
  <r>
    <x v="8"/>
    <x v="0"/>
    <n v="615000"/>
    <n v="2050"/>
    <x v="1"/>
    <n v="5.0999999999999996"/>
    <s v="20"/>
    <s v="B"/>
    <s v="Yes"/>
    <s v="Investor"/>
  </r>
  <r>
    <x v="0"/>
    <x v="2"/>
    <n v="640000"/>
    <n v="2750"/>
    <x v="1"/>
    <n v="5.0999999999999996"/>
    <s v="15"/>
    <s v="B"/>
    <s v="No"/>
    <s v="Upsizer"/>
  </r>
  <r>
    <x v="1"/>
    <x v="3"/>
    <n v="482000"/>
    <n v="2600"/>
    <x v="1"/>
    <n v="5.3"/>
    <s v="15"/>
    <s v="B"/>
    <s v="No"/>
    <s v="Upsizer"/>
  </r>
  <r>
    <x v="0"/>
    <x v="1"/>
    <n v="495000"/>
    <n v="3250"/>
    <x v="1"/>
    <n v="5"/>
    <s v="12"/>
    <s v="C"/>
    <s v="No"/>
    <s v="First Timer"/>
  </r>
  <r>
    <x v="1"/>
    <x v="0"/>
    <n v="670000"/>
    <n v="2200"/>
    <x v="1"/>
    <n v="5.3"/>
    <s v="22"/>
    <s v="A"/>
    <s v="Yes"/>
    <s v="Investor"/>
  </r>
  <r>
    <x v="2"/>
    <x v="3"/>
    <n v="352000"/>
    <n v="2400"/>
    <x v="1"/>
    <n v="5.4"/>
    <s v="14"/>
    <s v="C"/>
    <s v="No"/>
    <s v="Upsizer"/>
  </r>
  <r>
    <x v="3"/>
    <x v="2"/>
    <n v="285000"/>
    <n v="800"/>
    <x v="1"/>
    <n v="5.5"/>
    <n v="10"/>
    <s v="D"/>
    <s v="No"/>
    <s v="First Timer"/>
  </r>
  <r>
    <x v="4"/>
    <x v="1"/>
    <n v="265000"/>
    <n v="2650"/>
    <x v="1"/>
    <n v="5.4"/>
    <s v="8"/>
    <s v="D"/>
    <s v="No"/>
    <s v="First Timer"/>
  </r>
  <r>
    <x v="5"/>
    <x v="0"/>
    <n v="530000"/>
    <n v="1950"/>
    <x v="1"/>
    <n v="5.2"/>
    <s v="20"/>
    <s v="B"/>
    <s v="Yes"/>
    <s v="Investor"/>
  </r>
  <r>
    <x v="6"/>
    <x v="3"/>
    <n v="415000"/>
    <n v="2300"/>
    <x v="1"/>
    <n v="5.2"/>
    <s v="15"/>
    <s v="B"/>
    <s v="No"/>
    <s v="Upsizer"/>
  </r>
  <r>
    <x v="7"/>
    <x v="1"/>
    <n v="220000"/>
    <n v="2700"/>
    <x v="1"/>
    <n v="5.4"/>
    <s v="8"/>
    <s v="D"/>
    <s v="No"/>
    <s v="First Timer"/>
  </r>
  <r>
    <x v="8"/>
    <x v="2"/>
    <n v="370000"/>
    <n v="2500"/>
    <x v="1"/>
    <n v="5.3"/>
    <s v="10"/>
    <s v="C"/>
    <s v="No"/>
    <s v="First Timer"/>
  </r>
  <r>
    <x v="0"/>
    <x v="0"/>
    <n v="890000"/>
    <n v="2200"/>
    <x v="1"/>
    <n v="5.0999999999999996"/>
    <s v="20"/>
    <s v="A"/>
    <s v="Yes"/>
    <s v="Investor"/>
  </r>
  <r>
    <x v="1"/>
    <x v="1"/>
    <n v="350000"/>
    <n v="2850"/>
    <x v="1"/>
    <n v="5.2"/>
    <s v="12"/>
    <s v="C"/>
    <s v="No"/>
    <s v="First Timer"/>
  </r>
  <r>
    <x v="2"/>
    <x v="2"/>
    <n v="300000"/>
    <n v="2950"/>
    <x v="1"/>
    <n v="5.4"/>
    <s v="10"/>
    <s v="D"/>
    <s v="No"/>
    <s v="First Timer"/>
  </r>
  <r>
    <x v="3"/>
    <x v="0"/>
    <n v="435000"/>
    <n v="2050"/>
    <x v="1"/>
    <n v="5.4"/>
    <s v="20"/>
    <s v="B"/>
    <s v="Yes"/>
    <s v="Upsizer"/>
  </r>
  <r>
    <x v="4"/>
    <x v="3"/>
    <n v="385000"/>
    <n v="2350"/>
    <x v="1"/>
    <n v="5.3"/>
    <s v="18"/>
    <s v="B"/>
    <s v="No"/>
    <s v="Upsizer"/>
  </r>
  <r>
    <x v="5"/>
    <x v="1"/>
    <n v="280000"/>
    <n v="2800"/>
    <x v="1"/>
    <n v="5.3"/>
    <s v="7"/>
    <s v="D"/>
    <s v="No"/>
    <s v="First Timer"/>
  </r>
  <r>
    <x v="0"/>
    <x v="1"/>
    <n v="500000"/>
    <n v="3300"/>
    <x v="1"/>
    <n v="5"/>
    <s v="12"/>
    <s v="C"/>
    <s v="No"/>
    <s v="First Timer"/>
  </r>
  <r>
    <x v="1"/>
    <x v="0"/>
    <n v="675000"/>
    <n v="2650"/>
    <x v="1"/>
    <n v="5.3"/>
    <s v="22"/>
    <s v="A"/>
    <s v="Yes"/>
    <s v="Investor"/>
  </r>
  <r>
    <x v="2"/>
    <x v="3"/>
    <n v="355000"/>
    <n v="2450"/>
    <x v="1"/>
    <n v="5.4"/>
    <s v="14"/>
    <s v="C"/>
    <s v="No"/>
    <s v="Upsizer"/>
  </r>
  <r>
    <x v="3"/>
    <x v="2"/>
    <n v="290000"/>
    <n v="2850"/>
    <x v="1"/>
    <n v="5.5"/>
    <s v="10"/>
    <s v="D"/>
    <s v="No"/>
    <s v="First Timer"/>
  </r>
  <r>
    <x v="4"/>
    <x v="1"/>
    <n v="270000"/>
    <n v="2750"/>
    <x v="1"/>
    <n v="5.4"/>
    <s v="8"/>
    <s v="D"/>
    <s v="No"/>
    <s v="First Timer"/>
  </r>
  <r>
    <x v="5"/>
    <x v="0"/>
    <n v="540000"/>
    <n v="2000"/>
    <x v="1"/>
    <n v="5.2"/>
    <s v="20"/>
    <s v="B"/>
    <s v="Yes"/>
    <s v="Investor"/>
  </r>
  <r>
    <x v="6"/>
    <x v="3"/>
    <n v="420000"/>
    <n v="2350"/>
    <x v="1"/>
    <n v="5.2"/>
    <s v="15"/>
    <s v="B"/>
    <s v="No"/>
    <s v="Upsizer"/>
  </r>
  <r>
    <x v="7"/>
    <x v="1"/>
    <n v="225000"/>
    <n v="2800"/>
    <x v="1"/>
    <n v="5.4"/>
    <s v="8"/>
    <s v="D"/>
    <s v="No"/>
    <s v="First Timer"/>
  </r>
  <r>
    <x v="8"/>
    <x v="2"/>
    <n v="380000"/>
    <n v="2550"/>
    <x v="1"/>
    <n v="5.3"/>
    <s v="10"/>
    <s v="C"/>
    <s v="No"/>
    <s v="First Timer"/>
  </r>
  <r>
    <x v="0"/>
    <x v="0"/>
    <n v="900000"/>
    <n v="2250"/>
    <x v="1"/>
    <n v="5.0999999999999996"/>
    <s v="20"/>
    <s v="A"/>
    <s v="Yes"/>
    <s v="Investor"/>
  </r>
  <r>
    <x v="1"/>
    <x v="1"/>
    <n v="360000"/>
    <n v="2900"/>
    <x v="1"/>
    <n v="5.2"/>
    <s v="12"/>
    <s v="C"/>
    <s v="No"/>
    <s v="First Timer"/>
  </r>
  <r>
    <x v="2"/>
    <x v="2"/>
    <n v="310000"/>
    <n v="3000"/>
    <x v="1"/>
    <n v="5.4"/>
    <s v="10"/>
    <s v="D"/>
    <s v="No"/>
    <s v="First Timer"/>
  </r>
  <r>
    <x v="3"/>
    <x v="0"/>
    <n v="450000"/>
    <n v="2100"/>
    <x v="1"/>
    <n v="5.4"/>
    <s v="20"/>
    <s v="B"/>
    <s v="Yes"/>
    <s v="Upsizer"/>
  </r>
  <r>
    <x v="4"/>
    <x v="3"/>
    <n v="395000"/>
    <n v="2500"/>
    <x v="1"/>
    <n v="5.3"/>
    <s v="18"/>
    <s v="B"/>
    <s v="No"/>
    <s v="Upsizer"/>
  </r>
  <r>
    <x v="5"/>
    <x v="1"/>
    <n v="290000"/>
    <n v="2850"/>
    <x v="1"/>
    <n v="5.3"/>
    <s v="7"/>
    <s v="D"/>
    <s v="No"/>
    <s v="First Timer"/>
  </r>
  <r>
    <x v="6"/>
    <x v="0"/>
    <n v="590000"/>
    <n v="2050"/>
    <x v="1"/>
    <n v="5.0999999999999996"/>
    <s v="20"/>
    <s v="B"/>
    <s v="Yes"/>
    <s v="Investor"/>
  </r>
  <r>
    <x v="7"/>
    <x v="2"/>
    <n v="270000"/>
    <n v="2600"/>
    <x v="1"/>
    <n v="5.4"/>
    <s v="6"/>
    <s v="D"/>
    <s v="No"/>
    <s v="First Timer"/>
  </r>
  <r>
    <x v="8"/>
    <x v="0"/>
    <n v="630000"/>
    <n v="2150"/>
    <x v="1"/>
    <n v="5.0999999999999996"/>
    <s v="20"/>
    <s v="B"/>
    <s v="Yes"/>
    <s v="Investor"/>
  </r>
  <r>
    <x v="0"/>
    <x v="2"/>
    <n v="650000"/>
    <n v="2950"/>
    <x v="1"/>
    <n v="5.0999999999999996"/>
    <s v="15"/>
    <s v="B"/>
    <s v="No"/>
    <s v="Upsizer"/>
  </r>
  <r>
    <x v="1"/>
    <x v="3"/>
    <n v="500000"/>
    <n v="2700"/>
    <x v="1"/>
    <n v="5.3"/>
    <s v="15"/>
    <s v="B"/>
    <s v="No"/>
    <s v="Upsizer"/>
  </r>
  <r>
    <x v="0"/>
    <x v="1"/>
    <n v="505000"/>
    <n v="3350"/>
    <x v="1"/>
    <n v="5"/>
    <s v="12"/>
    <s v="C"/>
    <s v="No"/>
    <s v="First Timer"/>
  </r>
  <r>
    <x v="1"/>
    <x v="0"/>
    <n v="680000"/>
    <n v="2700"/>
    <x v="1"/>
    <n v="5.3"/>
    <s v="22"/>
    <s v="A"/>
    <s v="Yes"/>
    <s v="Investor"/>
  </r>
  <r>
    <x v="2"/>
    <x v="3"/>
    <n v="360000"/>
    <n v="2500"/>
    <x v="1"/>
    <n v="5.4"/>
    <s v="14"/>
    <s v="C"/>
    <s v="No"/>
    <s v="Upsizer"/>
  </r>
  <r>
    <x v="3"/>
    <x v="2"/>
    <n v="295000"/>
    <n v="2900"/>
    <x v="1"/>
    <n v="5.5"/>
    <s v="10"/>
    <s v="D"/>
    <s v="No"/>
    <s v="First Timer"/>
  </r>
  <r>
    <x v="4"/>
    <x v="1"/>
    <n v="275000"/>
    <n v="2800"/>
    <x v="1"/>
    <n v="5.4"/>
    <s v="8"/>
    <s v="D"/>
    <s v="No"/>
    <s v="First Timer"/>
  </r>
  <r>
    <x v="5"/>
    <x v="0"/>
    <n v="545000"/>
    <n v="2050"/>
    <x v="1"/>
    <n v="5.2"/>
    <s v="20"/>
    <s v="B"/>
    <s v="Yes"/>
    <s v="Investor"/>
  </r>
  <r>
    <x v="6"/>
    <x v="3"/>
    <n v="425000"/>
    <n v="2400"/>
    <x v="1"/>
    <n v="5.2"/>
    <s v="15"/>
    <s v="B"/>
    <s v="No"/>
    <s v="Upsizer"/>
  </r>
  <r>
    <x v="7"/>
    <x v="1"/>
    <n v="230000"/>
    <n v="2850"/>
    <x v="1"/>
    <n v="5.4"/>
    <s v="8"/>
    <s v="D"/>
    <s v="No"/>
    <s v="First Timer"/>
  </r>
  <r>
    <x v="8"/>
    <x v="2"/>
    <n v="385000"/>
    <n v="2600"/>
    <x v="1"/>
    <n v="5.3"/>
    <s v="10"/>
    <s v="C"/>
    <s v="No"/>
    <s v="First Timer"/>
  </r>
  <r>
    <x v="0"/>
    <x v="0"/>
    <n v="910000"/>
    <n v="2300"/>
    <x v="1"/>
    <n v="5.0999999999999996"/>
    <s v="20"/>
    <s v="A"/>
    <s v="Yes"/>
    <s v="Investor"/>
  </r>
  <r>
    <x v="1"/>
    <x v="1"/>
    <n v="365000"/>
    <n v="2950"/>
    <x v="1"/>
    <n v="5.2"/>
    <s v="12"/>
    <s v="C"/>
    <s v="No"/>
    <s v="First Timer"/>
  </r>
  <r>
    <x v="2"/>
    <x v="2"/>
    <n v="315000"/>
    <n v="3050"/>
    <x v="1"/>
    <n v="5.4"/>
    <s v="10"/>
    <s v="D"/>
    <s v="No"/>
    <s v="First Timer"/>
  </r>
  <r>
    <x v="3"/>
    <x v="0"/>
    <n v="455000"/>
    <n v="2150"/>
    <x v="1"/>
    <n v="5.4"/>
    <s v="20"/>
    <s v="B"/>
    <s v="Yes"/>
    <s v="Upsizer"/>
  </r>
  <r>
    <x v="4"/>
    <x v="3"/>
    <n v="400000"/>
    <n v="2550"/>
    <x v="1"/>
    <n v="5.3"/>
    <s v="18"/>
    <s v="B"/>
    <s v="No"/>
    <s v="Upsizer"/>
  </r>
  <r>
    <x v="5"/>
    <x v="1"/>
    <n v="295000"/>
    <n v="2900"/>
    <x v="1"/>
    <n v="5.3"/>
    <s v="7"/>
    <s v="D"/>
    <s v="No"/>
    <s v="First Timer"/>
  </r>
  <r>
    <x v="6"/>
    <x v="0"/>
    <n v="600000"/>
    <n v="2100"/>
    <x v="1"/>
    <n v="5.0999999999999996"/>
    <s v="20"/>
    <s v="B"/>
    <s v="Yes"/>
    <s v="Investor"/>
  </r>
  <r>
    <x v="7"/>
    <x v="2"/>
    <n v="275000"/>
    <n v="2650"/>
    <x v="1"/>
    <n v="5.4"/>
    <s v="6"/>
    <s v="D"/>
    <s v="No"/>
    <s v="First Timer"/>
  </r>
  <r>
    <x v="8"/>
    <x v="0"/>
    <n v="640000"/>
    <n v="2200"/>
    <x v="1"/>
    <n v="5.0999999999999996"/>
    <s v="20"/>
    <s v="B"/>
    <s v="Yes"/>
    <s v="Investor"/>
  </r>
  <r>
    <x v="0"/>
    <x v="2"/>
    <n v="660000"/>
    <n v="3000"/>
    <x v="1"/>
    <n v="5.0999999999999996"/>
    <s v="15"/>
    <s v="B"/>
    <s v="No"/>
    <s v="Upsizer"/>
  </r>
  <r>
    <x v="1"/>
    <x v="3"/>
    <n v="505000"/>
    <n v="2750"/>
    <x v="1"/>
    <n v="5.3"/>
    <s v="15"/>
    <s v="B"/>
    <s v="No"/>
    <s v="Upsizer"/>
  </r>
  <r>
    <x v="0"/>
    <x v="1"/>
    <n v="510000"/>
    <n v="3400"/>
    <x v="1"/>
    <n v="5"/>
    <s v="12"/>
    <s v="C"/>
    <s v="No"/>
    <s v="First Timer"/>
  </r>
  <r>
    <x v="1"/>
    <x v="0"/>
    <n v="685000"/>
    <n v="2750"/>
    <x v="1"/>
    <n v="5.3"/>
    <s v="22"/>
    <s v="A"/>
    <s v="Yes"/>
    <s v="Investor"/>
  </r>
  <r>
    <x v="2"/>
    <x v="3"/>
    <n v="365000"/>
    <n v="2550"/>
    <x v="1"/>
    <n v="5.4"/>
    <s v="14"/>
    <s v="C"/>
    <s v="No"/>
    <s v="Upsizer"/>
  </r>
  <r>
    <x v="3"/>
    <x v="2"/>
    <n v="300000"/>
    <n v="2950"/>
    <x v="1"/>
    <n v="5.5"/>
    <s v="10"/>
    <s v="D"/>
    <s v="No"/>
    <s v="First Timer"/>
  </r>
  <r>
    <x v="4"/>
    <x v="1"/>
    <n v="280000"/>
    <n v="2850"/>
    <x v="1"/>
    <n v="5.4"/>
    <s v="8"/>
    <s v="D"/>
    <s v="No"/>
    <s v="First Timer"/>
  </r>
  <r>
    <x v="5"/>
    <x v="0"/>
    <n v="550000"/>
    <n v="2100"/>
    <x v="1"/>
    <n v="5.2"/>
    <s v="20"/>
    <s v="B"/>
    <s v="Yes"/>
    <s v="Investor"/>
  </r>
  <r>
    <x v="6"/>
    <x v="3"/>
    <n v="430000"/>
    <n v="2450"/>
    <x v="1"/>
    <n v="5.2"/>
    <s v="15"/>
    <s v="B"/>
    <s v="No"/>
    <s v="Upsizer"/>
  </r>
  <r>
    <x v="7"/>
    <x v="1"/>
    <n v="235000"/>
    <n v="2900"/>
    <x v="1"/>
    <n v="5.4"/>
    <s v="8"/>
    <s v="D"/>
    <s v="No"/>
    <s v="First Timer"/>
  </r>
  <r>
    <x v="8"/>
    <x v="2"/>
    <n v="390000"/>
    <n v="2650"/>
    <x v="1"/>
    <n v="5.3"/>
    <s v="10"/>
    <s v="C"/>
    <s v="No"/>
    <s v="First Timer"/>
  </r>
  <r>
    <x v="0"/>
    <x v="0"/>
    <n v="920000"/>
    <n v="2350"/>
    <x v="1"/>
    <n v="5.0999999999999996"/>
    <s v="20"/>
    <s v="A"/>
    <s v="Yes"/>
    <s v="Investor"/>
  </r>
  <r>
    <x v="1"/>
    <x v="1"/>
    <n v="370000"/>
    <n v="3000"/>
    <x v="1"/>
    <n v="5.2"/>
    <s v="12"/>
    <s v="C"/>
    <s v="No"/>
    <s v="First Timer"/>
  </r>
  <r>
    <x v="2"/>
    <x v="2"/>
    <n v="320000"/>
    <n v="3100"/>
    <x v="1"/>
    <n v="5.4"/>
    <s v="10"/>
    <s v="D"/>
    <s v="No"/>
    <s v="First Timer"/>
  </r>
  <r>
    <x v="3"/>
    <x v="0"/>
    <n v="460000"/>
    <n v="2200"/>
    <x v="1"/>
    <n v="5.4"/>
    <s v="20"/>
    <s v="B"/>
    <s v="Yes"/>
    <s v="Upsizer"/>
  </r>
  <r>
    <x v="4"/>
    <x v="3"/>
    <n v="405000"/>
    <n v="2600"/>
    <x v="1"/>
    <n v="5.3"/>
    <s v="18"/>
    <s v="B"/>
    <s v="No"/>
    <s v="Upsizer"/>
  </r>
  <r>
    <x v="5"/>
    <x v="1"/>
    <n v="300000"/>
    <n v="2950"/>
    <x v="1"/>
    <n v="5.3"/>
    <s v="7"/>
    <s v="D"/>
    <s v="No"/>
    <s v="First Timer"/>
  </r>
  <r>
    <x v="6"/>
    <x v="0"/>
    <n v="610000"/>
    <n v="2150"/>
    <x v="1"/>
    <n v="5.0999999999999996"/>
    <s v="20"/>
    <s v="B"/>
    <s v="Yes"/>
    <s v="Investor"/>
  </r>
  <r>
    <x v="7"/>
    <x v="2"/>
    <n v="280000"/>
    <n v="2700"/>
    <x v="1"/>
    <n v="5.4"/>
    <s v="6"/>
    <s v="D"/>
    <s v="No"/>
    <s v="First Timer"/>
  </r>
  <r>
    <x v="8"/>
    <x v="0"/>
    <n v="650000"/>
    <n v="2250"/>
    <x v="1"/>
    <n v="5.0999999999999996"/>
    <s v="20"/>
    <s v="B"/>
    <s v="Yes"/>
    <s v="Investor"/>
  </r>
  <r>
    <x v="0"/>
    <x v="2"/>
    <n v="670000"/>
    <n v="3050"/>
    <x v="1"/>
    <n v="5.0999999999999996"/>
    <s v="15"/>
    <s v="B"/>
    <s v="No"/>
    <s v="Upsizer"/>
  </r>
  <r>
    <x v="1"/>
    <x v="3"/>
    <n v="510000"/>
    <n v="2800"/>
    <x v="1"/>
    <n v="5.3"/>
    <s v="15"/>
    <s v="B"/>
    <s v="No"/>
    <s v="Upsizer"/>
  </r>
  <r>
    <x v="0"/>
    <x v="1"/>
    <n v="515000"/>
    <n v="3405"/>
    <x v="1"/>
    <n v="5"/>
    <s v="12"/>
    <s v="C"/>
    <s v="No"/>
    <s v="First Timer"/>
  </r>
  <r>
    <x v="1"/>
    <x v="0"/>
    <n v="690000"/>
    <n v="2760"/>
    <x v="1"/>
    <n v="5.3"/>
    <s v="22"/>
    <s v="A"/>
    <s v="Yes"/>
    <s v="Investor"/>
  </r>
  <r>
    <x v="2"/>
    <x v="3"/>
    <n v="368000"/>
    <n v="2555"/>
    <x v="1"/>
    <n v="5.4"/>
    <s v="14"/>
    <s v="C"/>
    <s v="No"/>
    <s v="Upsizer"/>
  </r>
  <r>
    <x v="3"/>
    <x v="2"/>
    <n v="302000"/>
    <n v="2960"/>
    <x v="1"/>
    <n v="5.5"/>
    <s v="10"/>
    <s v="D"/>
    <s v="No"/>
    <s v="First Timer"/>
  </r>
  <r>
    <x v="4"/>
    <x v="1"/>
    <n v="282000"/>
    <n v="2860"/>
    <x v="1"/>
    <n v="5.4"/>
    <s v="8"/>
    <s v="D"/>
    <s v="No"/>
    <s v="First Timer"/>
  </r>
  <r>
    <x v="5"/>
    <x v="0"/>
    <n v="552000"/>
    <n v="2105"/>
    <x v="1"/>
    <n v="5.2"/>
    <s v="20"/>
    <s v="B"/>
    <s v="Yes"/>
    <s v="Investor"/>
  </r>
  <r>
    <x v="6"/>
    <x v="3"/>
    <n v="432000"/>
    <n v="2460"/>
    <x v="1"/>
    <n v="5.2"/>
    <s v="15"/>
    <s v="B"/>
    <s v="No"/>
    <s v="Upsizer"/>
  </r>
  <r>
    <x v="7"/>
    <x v="1"/>
    <n v="236000"/>
    <n v="2910"/>
    <x v="1"/>
    <n v="5.4"/>
    <s v="8"/>
    <s v="D"/>
    <s v="No"/>
    <s v="First Timer"/>
  </r>
  <r>
    <x v="8"/>
    <x v="2"/>
    <n v="392000"/>
    <n v="2660"/>
    <x v="1"/>
    <n v="5.3"/>
    <s v="10"/>
    <s v="C"/>
    <s v="No"/>
    <s v="First Timer"/>
  </r>
  <r>
    <x v="0"/>
    <x v="0"/>
    <n v="925000"/>
    <n v="2360"/>
    <x v="1"/>
    <n v="5.0999999999999996"/>
    <s v="20"/>
    <s v="A"/>
    <s v="Yes"/>
    <s v="Investor"/>
  </r>
  <r>
    <x v="1"/>
    <x v="1"/>
    <n v="372000"/>
    <n v="3010"/>
    <x v="1"/>
    <n v="5.2"/>
    <s v="12"/>
    <s v="C"/>
    <s v="No"/>
    <s v="First Timer"/>
  </r>
  <r>
    <x v="2"/>
    <x v="2"/>
    <n v="322000"/>
    <n v="3110"/>
    <x v="1"/>
    <n v="5.4"/>
    <s v="10"/>
    <s v="D"/>
    <s v="No"/>
    <s v="First Timer"/>
  </r>
  <r>
    <x v="3"/>
    <x v="0"/>
    <n v="462000"/>
    <n v="2210"/>
    <x v="1"/>
    <n v="5.4"/>
    <s v="20"/>
    <s v="B"/>
    <s v="Yes"/>
    <s v="Upsizer"/>
  </r>
  <r>
    <x v="4"/>
    <x v="3"/>
    <n v="408000"/>
    <n v="2610"/>
    <x v="1"/>
    <n v="5.3"/>
    <s v="18"/>
    <s v="B"/>
    <s v="No"/>
    <s v="Upsizer"/>
  </r>
  <r>
    <x v="5"/>
    <x v="1"/>
    <n v="302000"/>
    <n v="2965"/>
    <x v="1"/>
    <n v="5.3"/>
    <s v="7"/>
    <s v="D"/>
    <s v="No"/>
    <s v="First Timer"/>
  </r>
  <r>
    <x v="6"/>
    <x v="0"/>
    <n v="615000"/>
    <n v="2160"/>
    <x v="1"/>
    <n v="5.0999999999999996"/>
    <s v="20"/>
    <s v="B"/>
    <s v="Yes"/>
    <s v="Investor"/>
  </r>
  <r>
    <x v="7"/>
    <x v="2"/>
    <n v="282000"/>
    <n v="2710"/>
    <x v="1"/>
    <n v="5.4"/>
    <s v="6"/>
    <s v="D"/>
    <s v="No"/>
    <s v="First Timer"/>
  </r>
  <r>
    <x v="8"/>
    <x v="0"/>
    <n v="655000"/>
    <n v="2260"/>
    <x v="1"/>
    <n v="5.0999999999999996"/>
    <s v="20"/>
    <s v="B"/>
    <s v="Yes"/>
    <s v="Investor"/>
  </r>
  <r>
    <x v="0"/>
    <x v="2"/>
    <n v="675000"/>
    <n v="3060"/>
    <x v="1"/>
    <n v="5.0999999999999996"/>
    <s v="15"/>
    <s v="B"/>
    <s v="No"/>
    <s v="Upsizer"/>
  </r>
  <r>
    <x v="1"/>
    <x v="3"/>
    <n v="512000"/>
    <n v="2810"/>
    <x v="1"/>
    <n v="5.3"/>
    <s v="15"/>
    <s v="B"/>
    <s v="No"/>
    <s v="Upsizer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99">
  <r>
    <x v="0"/>
    <x v="0"/>
    <n v="785000"/>
    <n v="1200"/>
    <x v="0"/>
    <n v="6.1"/>
    <s v="18"/>
    <x v="0"/>
    <s v="Yes"/>
    <s v="Investor"/>
    <n v="654.16666666666663"/>
  </r>
  <r>
    <x v="1"/>
    <x v="1"/>
    <n v="298000"/>
    <n v="1200"/>
    <x v="1"/>
    <n v="5.4"/>
    <s v="12"/>
    <x v="1"/>
    <s v="No"/>
    <s v="First Timer"/>
    <n v="248.33333333333334"/>
  </r>
  <r>
    <x v="2"/>
    <x v="2"/>
    <n v="252000"/>
    <n v="1990"/>
    <x v="0"/>
    <n v="6.3"/>
    <s v="10"/>
    <x v="2"/>
    <s v="No"/>
    <s v="First Timer"/>
    <n v="126.63316582914572"/>
  </r>
  <r>
    <x v="3"/>
    <x v="3"/>
    <n v="305000"/>
    <n v="1840"/>
    <x v="1"/>
    <n v="5.2"/>
    <s v="15"/>
    <x v="1"/>
    <s v="No"/>
    <s v="Upsizer"/>
    <n v="165.7608695652174"/>
  </r>
  <r>
    <x v="4"/>
    <x v="1"/>
    <n v="218000"/>
    <n v="740"/>
    <x v="0"/>
    <n v="6.5"/>
    <s v="8"/>
    <x v="2"/>
    <s v="No"/>
    <s v="First Timer"/>
    <n v="294.59459459459458"/>
  </r>
  <r>
    <x v="5"/>
    <x v="0"/>
    <n v="435000"/>
    <n v="1320"/>
    <x v="1"/>
    <n v="5.0999999999999996"/>
    <n v="10"/>
    <x v="0"/>
    <s v="Yes"/>
    <s v="Investor"/>
    <n v="329.54545454545456"/>
  </r>
  <r>
    <x v="6"/>
    <x v="2"/>
    <n v="318000"/>
    <n v="1760"/>
    <x v="0"/>
    <n v="6.4"/>
    <s v="21"/>
    <x v="1"/>
    <s v="No"/>
    <s v="First Timer"/>
    <n v="180.68181818181819"/>
  </r>
  <r>
    <x v="7"/>
    <x v="1"/>
    <n v="168000"/>
    <n v="1880"/>
    <x v="1"/>
    <n v="5.3"/>
    <s v="5"/>
    <x v="2"/>
    <s v="No"/>
    <s v="First Timer"/>
    <n v="89.361702127659569"/>
  </r>
  <r>
    <x v="8"/>
    <x v="0"/>
    <n v="512000"/>
    <n v="1490"/>
    <x v="0"/>
    <n v="6.2"/>
    <s v="22"/>
    <x v="0"/>
    <s v="Yes"/>
    <s v="Upsizer"/>
    <n v="343.62416107382552"/>
  </r>
  <r>
    <x v="0"/>
    <x v="1"/>
    <n v="438000"/>
    <n v="2600"/>
    <x v="1"/>
    <n v="5"/>
    <s v="12"/>
    <x v="1"/>
    <s v="No"/>
    <s v="First Timer"/>
    <n v="168.46153846153845"/>
  </r>
  <r>
    <x v="1"/>
    <x v="3"/>
    <n v="428000"/>
    <n v="2050"/>
    <x v="1"/>
    <n v="5.3"/>
    <s v="15"/>
    <x v="0"/>
    <s v="No"/>
    <s v="Upsizer"/>
    <n v="208.78048780487805"/>
  </r>
  <r>
    <x v="2"/>
    <x v="0"/>
    <n v="392000"/>
    <n v="1410"/>
    <x v="0"/>
    <n v="6.4"/>
    <s v="18"/>
    <x v="1"/>
    <s v="Yes"/>
    <s v="Investor"/>
    <n v="278.01418439716315"/>
  </r>
  <r>
    <x v="3"/>
    <x v="2"/>
    <n v="240000"/>
    <n v="2140"/>
    <x v="1"/>
    <n v="5.5"/>
    <s v="10"/>
    <x v="2"/>
    <s v="No"/>
    <s v="First Timer"/>
    <n v="112.14953271028037"/>
  </r>
  <r>
    <x v="4"/>
    <x v="3"/>
    <n v="322000"/>
    <n v="1580"/>
    <x v="1"/>
    <n v="5.4"/>
    <s v="14"/>
    <x v="1"/>
    <s v="No"/>
    <s v="Upsizer"/>
    <n v="203.79746835443038"/>
  </r>
  <r>
    <x v="5"/>
    <x v="1"/>
    <n v="228000"/>
    <n v="2100"/>
    <x v="0"/>
    <n v="6.6"/>
    <s v="7"/>
    <x v="2"/>
    <s v="No"/>
    <s v="First Timer"/>
    <n v="108.57142857142857"/>
  </r>
  <r>
    <x v="6"/>
    <x v="0"/>
    <n v="480000"/>
    <n v="1300"/>
    <x v="1"/>
    <n v="5.2"/>
    <s v="20"/>
    <x v="0"/>
    <s v="Yes"/>
    <s v="Investor"/>
    <n v="369.23076923076923"/>
  </r>
  <r>
    <x v="7"/>
    <x v="2"/>
    <n v="212000"/>
    <n v="1820"/>
    <x v="0"/>
    <n v="6.7"/>
    <s v="6"/>
    <x v="2"/>
    <s v="No"/>
    <s v="First Timer"/>
    <n v="116.48351648351648"/>
  </r>
  <r>
    <x v="8"/>
    <x v="1"/>
    <n v="273000"/>
    <n v="2430"/>
    <x v="1"/>
    <n v="5.0999999999999996"/>
    <s v="10"/>
    <x v="1"/>
    <s v="No"/>
    <s v="First Timer"/>
    <n v="112.34567901234568"/>
  </r>
  <r>
    <x v="0"/>
    <x v="2"/>
    <n v="548000"/>
    <n v="2180"/>
    <x v="1"/>
    <n v="5"/>
    <s v="15"/>
    <x v="0"/>
    <s v="No"/>
    <s v="Upsizer"/>
    <n v="251.37614678899084"/>
  </r>
  <r>
    <x v="1"/>
    <x v="0"/>
    <n v="568000"/>
    <n v="1520"/>
    <x v="1"/>
    <n v="5.3"/>
    <s v="22"/>
    <x v="3"/>
    <s v="Yes"/>
    <s v="Investor"/>
    <n v="373.68421052631578"/>
  </r>
  <r>
    <x v="2"/>
    <x v="1"/>
    <n v="205000"/>
    <n v="2460"/>
    <x v="1"/>
    <n v="5.4"/>
    <s v="5"/>
    <x v="2"/>
    <s v="No"/>
    <s v="First Timer"/>
    <n v="83.333333333333329"/>
  </r>
  <r>
    <x v="3"/>
    <x v="0"/>
    <n v="370000"/>
    <n v="1330"/>
    <x v="0"/>
    <n v="6.5"/>
    <s v="20"/>
    <x v="0"/>
    <s v="Yes"/>
    <s v="Upsizer"/>
    <n v="278.19548872180451"/>
  </r>
  <r>
    <x v="4"/>
    <x v="2"/>
    <n v="278000"/>
    <n v="1860"/>
    <x v="1"/>
    <n v="5.6"/>
    <s v="10"/>
    <x v="1"/>
    <s v="No"/>
    <s v="First Timer"/>
    <n v="149.46236559139786"/>
  </r>
  <r>
    <x v="5"/>
    <x v="3"/>
    <n v="338000"/>
    <n v="1670"/>
    <x v="1"/>
    <n v="5.3"/>
    <s v="18"/>
    <x v="0"/>
    <s v="No"/>
    <s v="Upsizer"/>
    <n v="202.39520958083833"/>
  </r>
  <r>
    <x v="6"/>
    <x v="1"/>
    <n v="255000"/>
    <n v="2270"/>
    <x v="1"/>
    <n v="5.2"/>
    <s v="12"/>
    <x v="1"/>
    <s v="No"/>
    <s v="First Timer"/>
    <n v="112.33480176211454"/>
  </r>
  <r>
    <x v="7"/>
    <x v="0"/>
    <n v="330000"/>
    <n v="1080"/>
    <x v="1"/>
    <n v="5.4"/>
    <s v="25"/>
    <x v="0"/>
    <s v="Yes"/>
    <s v="Investor"/>
    <n v="305.55555555555554"/>
  </r>
  <r>
    <x v="8"/>
    <x v="3"/>
    <n v="400000"/>
    <n v="1890"/>
    <x v="1"/>
    <n v="5.3"/>
    <s v="15"/>
    <x v="0"/>
    <s v="No"/>
    <s v="Upsizer"/>
    <n v="211.64021164021165"/>
  </r>
  <r>
    <x v="0"/>
    <x v="0"/>
    <n v="795000"/>
    <n v="1290"/>
    <x v="1"/>
    <n v="5.0999999999999996"/>
    <s v="20"/>
    <x v="3"/>
    <s v="Yes"/>
    <s v="Investor"/>
    <n v="616.27906976744191"/>
  </r>
  <r>
    <x v="1"/>
    <x v="2"/>
    <n v="362000"/>
    <n v="2360"/>
    <x v="1"/>
    <n v="5.4"/>
    <s v="10"/>
    <x v="1"/>
    <s v="No"/>
    <s v="First Timer"/>
    <n v="153.38983050847457"/>
  </r>
  <r>
    <x v="2"/>
    <x v="3"/>
    <n v="300000"/>
    <n v="1900"/>
    <x v="0"/>
    <n v="6.3"/>
    <s v="12"/>
    <x v="1"/>
    <s v="No"/>
    <s v="Upsizer"/>
    <n v="157.89473684210526"/>
  </r>
  <r>
    <x v="3"/>
    <x v="1"/>
    <n v="190000"/>
    <n v="2380"/>
    <x v="1"/>
    <n v="5.5"/>
    <s v="5"/>
    <x v="2"/>
    <s v="No"/>
    <s v="First Timer"/>
    <n v="79.831932773109244"/>
  </r>
  <r>
    <x v="4"/>
    <x v="0"/>
    <n v="410000"/>
    <n v="1170"/>
    <x v="1"/>
    <n v="5.2"/>
    <s v="22"/>
    <x v="0"/>
    <s v="Yes"/>
    <s v="Investor"/>
    <n v="350.4273504273504"/>
  </r>
  <r>
    <x v="5"/>
    <x v="2"/>
    <n v="285000"/>
    <n v="1930"/>
    <x v="0"/>
    <n v="6.4"/>
    <s v="10"/>
    <x v="1"/>
    <s v="No"/>
    <s v="First Timer"/>
    <n v="147.66839378238342"/>
  </r>
  <r>
    <x v="6"/>
    <x v="3"/>
    <n v="372000"/>
    <n v="1780"/>
    <x v="1"/>
    <n v="5.3"/>
    <s v="15"/>
    <x v="0"/>
    <s v="No"/>
    <s v="Upsizer"/>
    <n v="208.98876404494382"/>
  </r>
  <r>
    <x v="7"/>
    <x v="1"/>
    <n v="170000"/>
    <n v="2070"/>
    <x v="1"/>
    <n v="5.4"/>
    <s v="8"/>
    <x v="2"/>
    <s v="No"/>
    <s v="First Timer"/>
    <n v="82.125603864734302"/>
  </r>
  <r>
    <x v="8"/>
    <x v="0"/>
    <n v="518000"/>
    <n v="1470"/>
    <x v="1"/>
    <n v="5.2"/>
    <s v="20"/>
    <x v="0"/>
    <s v="Yes"/>
    <s v="Investor"/>
    <n v="352.38095238095241"/>
  </r>
  <r>
    <x v="0"/>
    <x v="1"/>
    <n v="432000"/>
    <n v="2590"/>
    <x v="0"/>
    <n v="6.1"/>
    <s v="10"/>
    <x v="1"/>
    <s v="No"/>
    <s v="First Timer"/>
    <n v="166.79536679536679"/>
  </r>
  <r>
    <x v="1"/>
    <x v="3"/>
    <n v="423000"/>
    <n v="1980"/>
    <x v="0"/>
    <n v="6"/>
    <s v="12"/>
    <x v="0"/>
    <s v="No"/>
    <s v="Upsizer"/>
    <n v="213.63636363636363"/>
  </r>
  <r>
    <x v="2"/>
    <x v="2"/>
    <n v="248000"/>
    <n v="2210"/>
    <x v="1"/>
    <n v="5.5"/>
    <s v="8"/>
    <x v="2"/>
    <s v="No"/>
    <s v="First Timer"/>
    <n v="112.21719457013575"/>
  </r>
  <r>
    <x v="3"/>
    <x v="0"/>
    <n v="368000"/>
    <n v="1310"/>
    <x v="1"/>
    <n v="5.3"/>
    <s v="18"/>
    <x v="0"/>
    <s v="Yes"/>
    <s v="Investor"/>
    <n v="280.91603053435114"/>
  </r>
  <r>
    <x v="4"/>
    <x v="1"/>
    <n v="214000"/>
    <n v="2030"/>
    <x v="1"/>
    <n v="5.4"/>
    <s v="5"/>
    <x v="2"/>
    <s v="No"/>
    <s v="First Timer"/>
    <n v="105.41871921182266"/>
  </r>
  <r>
    <x v="5"/>
    <x v="0"/>
    <n v="438000"/>
    <n v="1280"/>
    <x v="0"/>
    <n v="6.2"/>
    <s v="20"/>
    <x v="0"/>
    <s v="Yes"/>
    <s v="Investor"/>
    <n v="342.1875"/>
  </r>
  <r>
    <x v="6"/>
    <x v="2"/>
    <n v="322000"/>
    <n v="2010"/>
    <x v="1"/>
    <n v="5.3"/>
    <s v="10"/>
    <x v="1"/>
    <s v="No"/>
    <s v="First Timer"/>
    <n v="160.19900497512438"/>
  </r>
  <r>
    <x v="7"/>
    <x v="3"/>
    <n v="268000"/>
    <n v="1590"/>
    <x v="0"/>
    <n v="6.6"/>
    <s v="12"/>
    <x v="1"/>
    <s v="No"/>
    <s v="Upsizer"/>
    <n v="168.55345911949686"/>
  </r>
  <r>
    <x v="8"/>
    <x v="1"/>
    <n v="276000"/>
    <n v="2460"/>
    <x v="1"/>
    <n v="5.0999999999999996"/>
    <s v="10"/>
    <x v="1"/>
    <s v="No"/>
    <s v="First Timer"/>
    <n v="112.19512195121951"/>
  </r>
  <r>
    <x v="0"/>
    <x v="2"/>
    <n v="552000"/>
    <n v="2200"/>
    <x v="0"/>
    <n v="6"/>
    <s v="15"/>
    <x v="0"/>
    <s v="No"/>
    <s v="Upsizer"/>
    <n v="250.90909090909091"/>
  </r>
  <r>
    <x v="1"/>
    <x v="0"/>
    <n v="570000"/>
    <n v="1580"/>
    <x v="0"/>
    <n v="6.1"/>
    <s v="22"/>
    <x v="3"/>
    <s v="Yes"/>
    <s v="Investor"/>
    <n v="360.75949367088606"/>
  </r>
  <r>
    <x v="2"/>
    <x v="1"/>
    <n v="207000"/>
    <n v="2430"/>
    <x v="0"/>
    <n v="6.4"/>
    <s v="5"/>
    <x v="2"/>
    <s v="No"/>
    <s v="First Timer"/>
    <n v="85.18518518518519"/>
  </r>
  <r>
    <x v="3"/>
    <x v="3"/>
    <n v="298000"/>
    <n v="1820"/>
    <x v="0"/>
    <n v="6.3"/>
    <s v="12"/>
    <x v="1"/>
    <s v="No"/>
    <s v="Upsizer"/>
    <n v="163.73626373626374"/>
  </r>
  <r>
    <x v="4"/>
    <x v="2"/>
    <n v="272000"/>
    <n v="1790"/>
    <x v="0"/>
    <n v="6.5"/>
    <s v="10"/>
    <x v="1"/>
    <s v="No"/>
    <s v="First Timer"/>
    <n v="151.95530726256985"/>
  </r>
  <r>
    <x v="5"/>
    <x v="1"/>
    <n v="223000"/>
    <n v="2140"/>
    <x v="1"/>
    <n v="5.4"/>
    <s v="7"/>
    <x v="2"/>
    <s v="No"/>
    <s v="First Timer"/>
    <n v="104.20560747663552"/>
  </r>
  <r>
    <x v="6"/>
    <x v="0"/>
    <n v="488000"/>
    <n v="1390"/>
    <x v="0"/>
    <n v="6"/>
    <s v="20"/>
    <x v="0"/>
    <s v="Yes"/>
    <s v="Investor"/>
    <n v="351.07913669064749"/>
  </r>
  <r>
    <x v="7"/>
    <x v="2"/>
    <n v="208000"/>
    <n v="1760"/>
    <x v="1"/>
    <n v="5.3"/>
    <s v="6"/>
    <x v="2"/>
    <s v="No"/>
    <s v="First Timer"/>
    <n v="118.18181818181819"/>
  </r>
  <r>
    <x v="8"/>
    <x v="3"/>
    <n v="398000"/>
    <n v="1830"/>
    <x v="0"/>
    <n v="6.1"/>
    <s v="15"/>
    <x v="0"/>
    <s v="No"/>
    <s v="Upsizer"/>
    <n v="217.4863387978142"/>
  </r>
  <r>
    <x v="0"/>
    <x v="0"/>
    <n v="788000"/>
    <n v="1260"/>
    <x v="0"/>
    <n v="6.2"/>
    <s v="20"/>
    <x v="3"/>
    <s v="Yes"/>
    <s v="Investor"/>
    <n v="625.39682539682542"/>
  </r>
  <r>
    <x v="1"/>
    <x v="1"/>
    <n v="292000"/>
    <n v="2190"/>
    <x v="0"/>
    <n v="6"/>
    <s v="12"/>
    <x v="1"/>
    <s v="No"/>
    <s v="First Timer"/>
    <n v="133.33333333333334"/>
  </r>
  <r>
    <x v="2"/>
    <x v="3"/>
    <n v="298000"/>
    <n v="1870"/>
    <x v="1"/>
    <n v="5.4"/>
    <s v="14"/>
    <x v="1"/>
    <s v="No"/>
    <s v="Upsizer"/>
    <n v="159.35828877005346"/>
  </r>
  <r>
    <x v="3"/>
    <x v="1"/>
    <n v="188000"/>
    <n v="2290"/>
    <x v="0"/>
    <n v="6.5"/>
    <s v="5"/>
    <x v="2"/>
    <s v="No"/>
    <s v="First Timer"/>
    <n v="82.096069868995627"/>
  </r>
  <r>
    <x v="4"/>
    <x v="0"/>
    <n v="412000"/>
    <n v="1130"/>
    <x v="0"/>
    <n v="6.3"/>
    <s v="22"/>
    <x v="0"/>
    <s v="Yes"/>
    <s v="Investor"/>
    <n v="364.60176991150445"/>
  </r>
  <r>
    <x v="5"/>
    <x v="2"/>
    <n v="284000"/>
    <n v="1880"/>
    <x v="1"/>
    <n v="5.5"/>
    <s v="10"/>
    <x v="1"/>
    <s v="No"/>
    <s v="First Timer"/>
    <n v="151.06382978723406"/>
  </r>
  <r>
    <x v="6"/>
    <x v="3"/>
    <n v="368000"/>
    <n v="1730"/>
    <x v="0"/>
    <n v="6.1"/>
    <s v="15"/>
    <x v="0"/>
    <s v="No"/>
    <s v="Upsizer"/>
    <n v="212.71676300578034"/>
  </r>
  <r>
    <x v="7"/>
    <x v="1"/>
    <n v="166000"/>
    <n v="1980"/>
    <x v="0"/>
    <n v="6.4"/>
    <s v="8"/>
    <x v="2"/>
    <s v="No"/>
    <s v="First Timer"/>
    <n v="83.838383838383834"/>
  </r>
  <r>
    <x v="8"/>
    <x v="0"/>
    <n v="508000"/>
    <n v="1420"/>
    <x v="0"/>
    <n v="6.2"/>
    <s v="20"/>
    <x v="0"/>
    <s v="Yes"/>
    <s v="Investor"/>
    <n v="357.74647887323943"/>
  </r>
  <r>
    <x v="0"/>
    <x v="1"/>
    <n v="436000"/>
    <n v="2570"/>
    <x v="1"/>
    <n v="5.0999999999999996"/>
    <s v="10"/>
    <x v="1"/>
    <s v="No"/>
    <s v="First Timer"/>
    <n v="169.64980544747081"/>
  </r>
  <r>
    <x v="1"/>
    <x v="3"/>
    <n v="430000"/>
    <n v="2070"/>
    <x v="1"/>
    <n v="5.3"/>
    <s v="15"/>
    <x v="0"/>
    <s v="No"/>
    <s v="Upsizer"/>
    <n v="207.72946859903382"/>
  </r>
  <r>
    <x v="2"/>
    <x v="2"/>
    <n v="254000"/>
    <n v="2240"/>
    <x v="0"/>
    <n v="6.3"/>
    <s v="10"/>
    <x v="2"/>
    <s v="No"/>
    <s v="First Timer"/>
    <n v="113.39285714285714"/>
  </r>
  <r>
    <x v="3"/>
    <x v="0"/>
    <n v="374000"/>
    <n v="1360"/>
    <x v="1"/>
    <n v="5.4"/>
    <s v="20"/>
    <x v="0"/>
    <s v="Yes"/>
    <s v="Investor"/>
    <n v="275"/>
  </r>
  <r>
    <x v="4"/>
    <x v="1"/>
    <n v="220000"/>
    <n v="2120"/>
    <x v="0"/>
    <n v="6.6"/>
    <s v="8"/>
    <x v="2"/>
    <s v="No"/>
    <s v="First Timer"/>
    <n v="103.77358490566037"/>
  </r>
  <r>
    <x v="5"/>
    <x v="0"/>
    <n v="442000"/>
    <n v="1340"/>
    <x v="1"/>
    <n v="5.2"/>
    <s v="20"/>
    <x v="0"/>
    <s v="Yes"/>
    <s v="Investor"/>
    <n v="329.85074626865674"/>
  </r>
  <r>
    <x v="6"/>
    <x v="2"/>
    <n v="326000"/>
    <n v="2030"/>
    <x v="0"/>
    <n v="6.1"/>
    <s v="10"/>
    <x v="1"/>
    <s v="No"/>
    <s v="First Timer"/>
    <n v="160.59113300492612"/>
  </r>
  <r>
    <x v="7"/>
    <x v="3"/>
    <n v="270000"/>
    <n v="1620"/>
    <x v="1"/>
    <n v="5.4"/>
    <s v="12"/>
    <x v="1"/>
    <s v="No"/>
    <s v="Upsizer"/>
    <n v="166.66666666666666"/>
  </r>
  <r>
    <x v="8"/>
    <x v="1"/>
    <n v="279000"/>
    <n v="2490"/>
    <x v="0"/>
    <n v="6"/>
    <s v="10"/>
    <x v="1"/>
    <s v="No"/>
    <s v="First Timer"/>
    <n v="112.04819277108433"/>
  </r>
  <r>
    <x v="0"/>
    <x v="2"/>
    <n v="556000"/>
    <n v="2230"/>
    <x v="1"/>
    <n v="5.2"/>
    <s v="15"/>
    <x v="0"/>
    <s v="No"/>
    <s v="Upsizer"/>
    <n v="249.32735426008969"/>
  </r>
  <r>
    <x v="1"/>
    <x v="0"/>
    <n v="575000"/>
    <n v="1600"/>
    <x v="1"/>
    <n v="5.3"/>
    <s v="22"/>
    <x v="3"/>
    <s v="Yes"/>
    <s v="Investor"/>
    <n v="359.375"/>
  </r>
  <r>
    <x v="2"/>
    <x v="1"/>
    <n v="210000"/>
    <n v="2480"/>
    <x v="1"/>
    <n v="5.4"/>
    <s v="5"/>
    <x v="2"/>
    <s v="No"/>
    <s v="First Timer"/>
    <n v="84.677419354838705"/>
  </r>
  <r>
    <x v="3"/>
    <x v="3"/>
    <n v="300000"/>
    <n v="1860"/>
    <x v="1"/>
    <n v="5.5"/>
    <s v="12"/>
    <x v="1"/>
    <s v="No"/>
    <s v="Upsizer"/>
    <n v="161.29032258064515"/>
  </r>
  <r>
    <x v="4"/>
    <x v="2"/>
    <n v="280000"/>
    <n v="1900"/>
    <x v="1"/>
    <n v="5.4"/>
    <s v="10"/>
    <x v="1"/>
    <s v="No"/>
    <s v="First Timer"/>
    <n v="147.36842105263159"/>
  </r>
  <r>
    <x v="5"/>
    <x v="1"/>
    <n v="230000"/>
    <n v="2180"/>
    <x v="0"/>
    <n v="6.2"/>
    <s v="7"/>
    <x v="2"/>
    <s v="No"/>
    <s v="First Timer"/>
    <n v="105.50458715596331"/>
  </r>
  <r>
    <x v="6"/>
    <x v="0"/>
    <n v="490000"/>
    <n v="1410"/>
    <x v="1"/>
    <n v="5.0999999999999996"/>
    <s v="20"/>
    <x v="0"/>
    <s v="Yes"/>
    <s v="Investor"/>
    <n v="347.51773049645391"/>
  </r>
  <r>
    <x v="7"/>
    <x v="2"/>
    <n v="214000"/>
    <n v="1840"/>
    <x v="0"/>
    <n v="6.5"/>
    <s v="6"/>
    <x v="2"/>
    <s v="No"/>
    <s v="First Timer"/>
    <n v="116.30434782608695"/>
  </r>
  <r>
    <x v="8"/>
    <x v="3"/>
    <n v="405000"/>
    <n v="1910"/>
    <x v="1"/>
    <n v="5.3"/>
    <s v="15"/>
    <x v="0"/>
    <s v="No"/>
    <s v="Upsizer"/>
    <n v="212.04188481675394"/>
  </r>
  <r>
    <x v="0"/>
    <x v="0"/>
    <n v="792000"/>
    <n v="1300"/>
    <x v="1"/>
    <n v="5"/>
    <s v="20"/>
    <x v="3"/>
    <s v="Yes"/>
    <s v="Investor"/>
    <n v="609.23076923076928"/>
  </r>
  <r>
    <x v="1"/>
    <x v="1"/>
    <n v="300000"/>
    <n v="2250"/>
    <x v="1"/>
    <n v="5.2"/>
    <s v="12"/>
    <x v="1"/>
    <s v="No"/>
    <s v="First Timer"/>
    <n v="133.33333333333334"/>
  </r>
  <r>
    <x v="2"/>
    <x v="3"/>
    <n v="310000"/>
    <n v="1950"/>
    <x v="0"/>
    <n v="6.3"/>
    <s v="14"/>
    <x v="1"/>
    <s v="No"/>
    <s v="Upsizer"/>
    <n v="158.97435897435898"/>
  </r>
  <r>
    <x v="3"/>
    <x v="1"/>
    <n v="194000"/>
    <n v="2400"/>
    <x v="1"/>
    <n v="5.4"/>
    <s v="5"/>
    <x v="2"/>
    <s v="No"/>
    <s v="First Timer"/>
    <n v="80.833333333333329"/>
  </r>
  <r>
    <x v="4"/>
    <x v="0"/>
    <n v="420000"/>
    <n v="1190"/>
    <x v="1"/>
    <n v="5.3"/>
    <s v="22"/>
    <x v="0"/>
    <s v="Yes"/>
    <s v="Investor"/>
    <n v="352.94117647058823"/>
  </r>
  <r>
    <x v="5"/>
    <x v="2"/>
    <n v="292000"/>
    <n v="1970"/>
    <x v="0"/>
    <n v="6.4"/>
    <s v="10"/>
    <x v="1"/>
    <s v="No"/>
    <s v="First Timer"/>
    <n v="148.2233502538071"/>
  </r>
  <r>
    <x v="6"/>
    <x v="3"/>
    <n v="374000"/>
    <n v="1800"/>
    <x v="1"/>
    <n v="5.2"/>
    <s v="15"/>
    <x v="0"/>
    <s v="No"/>
    <s v="Upsizer"/>
    <n v="207.77777777777777"/>
  </r>
  <r>
    <x v="7"/>
    <x v="1"/>
    <n v="172000"/>
    <n v="2090"/>
    <x v="1"/>
    <n v="5.3"/>
    <s v="8"/>
    <x v="2"/>
    <s v="No"/>
    <s v="First Timer"/>
    <n v="82.296650717703344"/>
  </r>
  <r>
    <x v="8"/>
    <x v="0"/>
    <n v="520000"/>
    <n v="1500"/>
    <x v="1"/>
    <n v="5.0999999999999996"/>
    <s v="20"/>
    <x v="0"/>
    <s v="Yes"/>
    <s v="Investor"/>
    <n v="346.66666666666669"/>
  </r>
  <r>
    <x v="0"/>
    <x v="0"/>
    <n v="805000"/>
    <n v="1600"/>
    <x v="1"/>
    <n v="5"/>
    <s v="20"/>
    <x v="3"/>
    <s v="Yes"/>
    <s v="Investor"/>
    <n v="503.125"/>
  </r>
  <r>
    <x v="1"/>
    <x v="1"/>
    <n v="310000"/>
    <n v="2400"/>
    <x v="0"/>
    <n v="6"/>
    <s v="12"/>
    <x v="1"/>
    <s v="No"/>
    <s v="First Timer"/>
    <n v="129.16666666666666"/>
  </r>
  <r>
    <x v="2"/>
    <x v="2"/>
    <n v="260000"/>
    <n v="2360"/>
    <x v="1"/>
    <n v="5.4"/>
    <s v="10"/>
    <x v="2"/>
    <s v="No"/>
    <s v="First Timer"/>
    <n v="110.16949152542372"/>
  </r>
  <r>
    <x v="3"/>
    <x v="3"/>
    <n v="315000"/>
    <n v="1980"/>
    <x v="0"/>
    <n v="6.2"/>
    <s v="15"/>
    <x v="1"/>
    <s v="No"/>
    <s v="Upsizer"/>
    <n v="159.09090909090909"/>
  </r>
  <r>
    <x v="4"/>
    <x v="1"/>
    <n v="225000"/>
    <n v="2250"/>
    <x v="1"/>
    <n v="5.3"/>
    <s v="8"/>
    <x v="2"/>
    <s v="No"/>
    <s v="First Timer"/>
    <n v="100"/>
  </r>
  <r>
    <x v="5"/>
    <x v="0"/>
    <n v="445000"/>
    <n v="1400"/>
    <x v="0"/>
    <n v="6.1"/>
    <s v="20"/>
    <x v="0"/>
    <s v="Yes"/>
    <s v="Investor"/>
    <n v="317.85714285714283"/>
  </r>
  <r>
    <x v="6"/>
    <x v="2"/>
    <n v="330000"/>
    <n v="2050"/>
    <x v="1"/>
    <n v="5.3"/>
    <n v="10"/>
    <x v="1"/>
    <s v="No"/>
    <s v="First Timer"/>
    <n v="160.97560975609755"/>
  </r>
  <r>
    <x v="7"/>
    <x v="1"/>
    <n v="175000"/>
    <n v="2200"/>
    <x v="0"/>
    <n v="6.4"/>
    <s v="5"/>
    <x v="2"/>
    <s v="No"/>
    <s v="First Timer"/>
    <n v="79.545454545454547"/>
  </r>
  <r>
    <x v="8"/>
    <x v="0"/>
    <n v="525000"/>
    <n v="1530"/>
    <x v="1"/>
    <n v="5.0999999999999996"/>
    <s v="22"/>
    <x v="0"/>
    <s v="Yes"/>
    <s v="Upsizer"/>
    <n v="343.13725490196077"/>
  </r>
  <r>
    <x v="0"/>
    <x v="1"/>
    <n v="450000"/>
    <n v="2680"/>
    <x v="1"/>
    <n v="5"/>
    <s v="12"/>
    <x v="1"/>
    <s v="No"/>
    <s v="First Timer"/>
    <n v="167.91044776119404"/>
  </r>
  <r>
    <x v="1"/>
    <x v="3"/>
    <n v="432000"/>
    <n v="2120"/>
    <x v="0"/>
    <n v="6.1"/>
    <s v="15"/>
    <x v="0"/>
    <s v="No"/>
    <s v="Upsizer"/>
    <n v="203.77358490566039"/>
  </r>
  <r>
    <x v="2"/>
    <x v="0"/>
    <n v="398000"/>
    <n v="1460"/>
    <x v="1"/>
    <n v="5.3"/>
    <s v="18"/>
    <x v="1"/>
    <s v="Yes"/>
    <s v="Investor"/>
    <n v="272.60273972602738"/>
  </r>
  <r>
    <x v="3"/>
    <x v="2"/>
    <n v="248000"/>
    <n v="2200"/>
    <x v="0"/>
    <n v="6.5"/>
    <s v="10"/>
    <x v="2"/>
    <s v="No"/>
    <s v="First Timer"/>
    <n v="112.72727272727273"/>
  </r>
  <r>
    <x v="4"/>
    <x v="3"/>
    <n v="330000"/>
    <n v="1620"/>
    <x v="1"/>
    <n v="5.4"/>
    <s v="14"/>
    <x v="1"/>
    <s v="No"/>
    <s v="Upsizer"/>
    <n v="203.7037037037037"/>
  </r>
  <r>
    <x v="5"/>
    <x v="1"/>
    <n v="232000"/>
    <n v="2230"/>
    <x v="1"/>
    <n v="5.3"/>
    <s v="7"/>
    <x v="2"/>
    <s v="No"/>
    <s v="First Timer"/>
    <n v="104.03587443946188"/>
  </r>
  <r>
    <x v="6"/>
    <x v="0"/>
    <n v="495000"/>
    <n v="1450"/>
    <x v="0"/>
    <n v="6.2"/>
    <s v="20"/>
    <x v="0"/>
    <s v="Yes"/>
    <s v="Investor"/>
    <n v="341.37931034482756"/>
  </r>
  <r>
    <x v="7"/>
    <x v="2"/>
    <n v="218000"/>
    <n v="1880"/>
    <x v="1"/>
    <n v="5.3"/>
    <s v="6"/>
    <x v="2"/>
    <s v="No"/>
    <s v="First Timer"/>
    <n v="115.95744680851064"/>
  </r>
  <r>
    <x v="8"/>
    <x v="1"/>
    <n v="282000"/>
    <n v="2510"/>
    <x v="1"/>
    <n v="5.2"/>
    <s v="10"/>
    <x v="1"/>
    <s v="No"/>
    <s v="First Timer"/>
    <n v="112.35059760956176"/>
  </r>
  <r>
    <x v="0"/>
    <x v="2"/>
    <n v="560000"/>
    <n v="2300"/>
    <x v="1"/>
    <n v="5.0999999999999996"/>
    <s v="15"/>
    <x v="0"/>
    <s v="No"/>
    <s v="Upsizer"/>
    <n v="243.47826086956522"/>
  </r>
  <r>
    <x v="1"/>
    <x v="0"/>
    <n v="580000"/>
    <n v="1650"/>
    <x v="1"/>
    <n v="5.3"/>
    <s v="22"/>
    <x v="3"/>
    <s v="Yes"/>
    <s v="Investor"/>
    <n v="351.5151515151515"/>
  </r>
  <r>
    <x v="2"/>
    <x v="1"/>
    <n v="212000"/>
    <n v="2500"/>
    <x v="0"/>
    <n v="6.4"/>
    <s v="5"/>
    <x v="2"/>
    <s v="No"/>
    <s v="First Timer"/>
    <n v="84.8"/>
  </r>
  <r>
    <x v="3"/>
    <x v="0"/>
    <n v="380000"/>
    <n v="1400"/>
    <x v="1"/>
    <n v="5.4"/>
    <s v="20"/>
    <x v="0"/>
    <s v="Yes"/>
    <s v="Upsizer"/>
    <n v="271.42857142857144"/>
  </r>
  <r>
    <x v="4"/>
    <x v="2"/>
    <n v="285000"/>
    <n v="1940"/>
    <x v="0"/>
    <n v="6.5"/>
    <s v="10"/>
    <x v="1"/>
    <s v="No"/>
    <s v="First Timer"/>
    <n v="146.90721649484536"/>
  </r>
  <r>
    <x v="5"/>
    <x v="3"/>
    <n v="345000"/>
    <n v="1700"/>
    <x v="1"/>
    <n v="5.3"/>
    <s v="18"/>
    <x v="0"/>
    <s v="No"/>
    <s v="Upsizer"/>
    <n v="202.94117647058823"/>
  </r>
  <r>
    <x v="6"/>
    <x v="1"/>
    <n v="270000"/>
    <n v="2330"/>
    <x v="1"/>
    <n v="5.2"/>
    <s v="12"/>
    <x v="1"/>
    <s v="No"/>
    <s v="First Timer"/>
    <n v="115.87982832618026"/>
  </r>
  <r>
    <x v="7"/>
    <x v="0"/>
    <n v="340000"/>
    <n v="1120"/>
    <x v="0"/>
    <n v="6.6"/>
    <s v="25"/>
    <x v="0"/>
    <s v="Yes"/>
    <s v="Investor"/>
    <n v="303.57142857142856"/>
  </r>
  <r>
    <x v="8"/>
    <x v="3"/>
    <n v="410000"/>
    <n v="1950"/>
    <x v="1"/>
    <n v="5.2"/>
    <s v="15"/>
    <x v="0"/>
    <s v="No"/>
    <s v="Upsizer"/>
    <n v="210.25641025641025"/>
  </r>
  <r>
    <x v="0"/>
    <x v="0"/>
    <n v="810000"/>
    <n v="1620"/>
    <x v="0"/>
    <n v="6"/>
    <s v="20"/>
    <x v="3"/>
    <s v="Yes"/>
    <s v="Investor"/>
    <n v="500"/>
  </r>
  <r>
    <x v="1"/>
    <x v="2"/>
    <n v="370000"/>
    <n v="2400"/>
    <x v="1"/>
    <n v="5.4"/>
    <s v="10"/>
    <x v="1"/>
    <s v="No"/>
    <s v="First Timer"/>
    <n v="154.16666666666666"/>
  </r>
  <r>
    <x v="2"/>
    <x v="3"/>
    <n v="308000"/>
    <n v="1980"/>
    <x v="1"/>
    <n v="5.5"/>
    <s v="12"/>
    <x v="1"/>
    <s v="No"/>
    <s v="Upsizer"/>
    <n v="155.55555555555554"/>
  </r>
  <r>
    <x v="3"/>
    <x v="1"/>
    <n v="198000"/>
    <n v="2420"/>
    <x v="0"/>
    <n v="6.6"/>
    <s v="5"/>
    <x v="2"/>
    <s v="No"/>
    <s v="First Timer"/>
    <n v="81.818181818181813"/>
  </r>
  <r>
    <x v="4"/>
    <x v="0"/>
    <n v="425000"/>
    <n v="1210"/>
    <x v="1"/>
    <n v="5.3"/>
    <s v="22"/>
    <x v="0"/>
    <s v="Yes"/>
    <s v="Investor"/>
    <n v="351.23966942148758"/>
  </r>
  <r>
    <x v="5"/>
    <x v="2"/>
    <n v="295000"/>
    <n v="2000"/>
    <x v="0"/>
    <n v="6.4"/>
    <s v="10"/>
    <x v="1"/>
    <s v="No"/>
    <s v="First Timer"/>
    <n v="147.5"/>
  </r>
  <r>
    <x v="6"/>
    <x v="3"/>
    <n v="380000"/>
    <n v="1850"/>
    <x v="1"/>
    <n v="5.2"/>
    <s v="15"/>
    <x v="0"/>
    <s v="No"/>
    <s v="Upsizer"/>
    <n v="205.40540540540542"/>
  </r>
  <r>
    <x v="7"/>
    <x v="1"/>
    <n v="178000"/>
    <n v="2140"/>
    <x v="1"/>
    <n v="5.4"/>
    <s v="8"/>
    <x v="2"/>
    <s v="No"/>
    <s v="First Timer"/>
    <n v="83.177570093457945"/>
  </r>
  <r>
    <x v="8"/>
    <x v="0"/>
    <n v="530000"/>
    <n v="1550"/>
    <x v="0"/>
    <n v="6.1"/>
    <s v="20"/>
    <x v="0"/>
    <s v="Yes"/>
    <s v="Investor"/>
    <n v="341.93548387096774"/>
  </r>
  <r>
    <x v="0"/>
    <x v="1"/>
    <n v="450000"/>
    <n v="2700"/>
    <x v="0"/>
    <n v="6"/>
    <s v="10"/>
    <x v="1"/>
    <s v="No"/>
    <s v="First Timer"/>
    <n v="166.66666666666666"/>
  </r>
  <r>
    <x v="1"/>
    <x v="3"/>
    <n v="438000"/>
    <n v="2150"/>
    <x v="1"/>
    <n v="5.3"/>
    <s v="15"/>
    <x v="0"/>
    <s v="No"/>
    <s v="Upsizer"/>
    <n v="203.72093023255815"/>
  </r>
  <r>
    <x v="2"/>
    <x v="2"/>
    <n v="262000"/>
    <n v="2300"/>
    <x v="1"/>
    <n v="5.4"/>
    <s v="10"/>
    <x v="2"/>
    <s v="No"/>
    <s v="First Timer"/>
    <n v="113.91304347826087"/>
  </r>
  <r>
    <x v="3"/>
    <x v="0"/>
    <n v="385000"/>
    <n v="1420"/>
    <x v="0"/>
    <n v="6.2"/>
    <s v="20"/>
    <x v="0"/>
    <s v="Yes"/>
    <s v="Investor"/>
    <n v="271.12676056338029"/>
  </r>
  <r>
    <x v="4"/>
    <x v="1"/>
    <n v="225000"/>
    <n v="2180"/>
    <x v="1"/>
    <n v="5.4"/>
    <s v="5"/>
    <x v="2"/>
    <s v="No"/>
    <s v="First Timer"/>
    <n v="103.21100917431193"/>
  </r>
  <r>
    <x v="5"/>
    <x v="0"/>
    <n v="450000"/>
    <n v="1380"/>
    <x v="1"/>
    <n v="5.2"/>
    <s v="20"/>
    <x v="0"/>
    <s v="Yes"/>
    <s v="Investor"/>
    <n v="326.08695652173913"/>
  </r>
  <r>
    <x v="6"/>
    <x v="2"/>
    <n v="335000"/>
    <n v="2080"/>
    <x v="1"/>
    <n v="5.3"/>
    <s v="10"/>
    <x v="1"/>
    <s v="No"/>
    <s v="First Timer"/>
    <n v="161.05769230769232"/>
  </r>
  <r>
    <x v="7"/>
    <x v="3"/>
    <n v="275000"/>
    <n v="1650"/>
    <x v="0"/>
    <n v="6.5"/>
    <s v="12"/>
    <x v="1"/>
    <s v="No"/>
    <s v="Upsizer"/>
    <n v="166.66666666666666"/>
  </r>
  <r>
    <x v="8"/>
    <x v="1"/>
    <n v="285000"/>
    <n v="2530"/>
    <x v="0"/>
    <n v="6"/>
    <s v="10"/>
    <x v="1"/>
    <s v="No"/>
    <s v="First Timer"/>
    <n v="112.64822134387352"/>
  </r>
  <r>
    <x v="0"/>
    <x v="2"/>
    <n v="565000"/>
    <n v="2320"/>
    <x v="0"/>
    <n v="6.1"/>
    <s v="15"/>
    <x v="0"/>
    <s v="No"/>
    <s v="Upsizer"/>
    <n v="243.5344827586207"/>
  </r>
  <r>
    <x v="1"/>
    <x v="0"/>
    <n v="585000"/>
    <n v="1680"/>
    <x v="0"/>
    <n v="6"/>
    <s v="22"/>
    <x v="3"/>
    <s v="Yes"/>
    <s v="Investor"/>
    <n v="348.21428571428572"/>
  </r>
  <r>
    <x v="2"/>
    <x v="1"/>
    <n v="215000"/>
    <n v="2520"/>
    <x v="1"/>
    <n v="5.4"/>
    <s v="5"/>
    <x v="2"/>
    <s v="No"/>
    <s v="First Timer"/>
    <n v="85.317460317460316"/>
  </r>
  <r>
    <x v="3"/>
    <x v="3"/>
    <n v="312000"/>
    <n v="1920"/>
    <x v="1"/>
    <n v="5.5"/>
    <s v="12"/>
    <x v="1"/>
    <s v="No"/>
    <s v="Upsizer"/>
    <n v="162.5"/>
  </r>
  <r>
    <x v="4"/>
    <x v="2"/>
    <n v="290000"/>
    <n v="1980"/>
    <x v="1"/>
    <n v="5.4"/>
    <s v="10"/>
    <x v="1"/>
    <s v="No"/>
    <s v="First Timer"/>
    <n v="146.46464646464648"/>
  </r>
  <r>
    <x v="5"/>
    <x v="1"/>
    <n v="235000"/>
    <n v="2250"/>
    <x v="0"/>
    <n v="6.3"/>
    <s v="7"/>
    <x v="2"/>
    <s v="No"/>
    <s v="First Timer"/>
    <n v="104.44444444444444"/>
  </r>
  <r>
    <x v="6"/>
    <x v="0"/>
    <n v="500000"/>
    <n v="1480"/>
    <x v="1"/>
    <n v="5.0999999999999996"/>
    <s v="20"/>
    <x v="0"/>
    <s v="Yes"/>
    <s v="Investor"/>
    <n v="337.83783783783781"/>
  </r>
  <r>
    <x v="7"/>
    <x v="2"/>
    <n v="220000"/>
    <n v="1900"/>
    <x v="0"/>
    <n v="6.6"/>
    <s v="6"/>
    <x v="2"/>
    <s v="No"/>
    <s v="First Timer"/>
    <n v="115.78947368421052"/>
  </r>
  <r>
    <x v="8"/>
    <x v="3"/>
    <n v="415000"/>
    <n v="1980"/>
    <x v="0"/>
    <n v="6.1"/>
    <s v="15"/>
    <x v="0"/>
    <s v="No"/>
    <s v="Upsizer"/>
    <n v="209.59595959595958"/>
  </r>
  <r>
    <x v="0"/>
    <x v="0"/>
    <n v="815000"/>
    <n v="1650"/>
    <x v="1"/>
    <n v="5"/>
    <s v="20"/>
    <x v="3"/>
    <s v="Yes"/>
    <s v="Investor"/>
    <n v="493.93939393939394"/>
  </r>
  <r>
    <x v="1"/>
    <x v="1"/>
    <n v="310000"/>
    <n v="2350"/>
    <x v="1"/>
    <n v="5.2"/>
    <s v="12"/>
    <x v="1"/>
    <s v="No"/>
    <s v="First Timer"/>
    <n v="131.91489361702128"/>
  </r>
  <r>
    <x v="2"/>
    <x v="3"/>
    <n v="315000"/>
    <n v="2000"/>
    <x v="0"/>
    <n v="6.3"/>
    <s v="14"/>
    <x v="1"/>
    <s v="No"/>
    <s v="Upsizer"/>
    <n v="157.5"/>
  </r>
  <r>
    <x v="3"/>
    <x v="1"/>
    <n v="200000"/>
    <n v="2450"/>
    <x v="1"/>
    <n v="5.4"/>
    <s v="5"/>
    <x v="2"/>
    <s v="No"/>
    <s v="First Timer"/>
    <n v="81.632653061224488"/>
  </r>
  <r>
    <x v="4"/>
    <x v="0"/>
    <n v="430000"/>
    <n v="1240"/>
    <x v="0"/>
    <n v="6.2"/>
    <s v="22"/>
    <x v="0"/>
    <s v="Yes"/>
    <s v="Investor"/>
    <n v="346.77419354838707"/>
  </r>
  <r>
    <x v="5"/>
    <x v="2"/>
    <n v="300000"/>
    <n v="2030"/>
    <x v="1"/>
    <n v="5.5"/>
    <s v="10"/>
    <x v="1"/>
    <s v="No"/>
    <s v="First Timer"/>
    <n v="147.78325123152709"/>
  </r>
  <r>
    <x v="6"/>
    <x v="3"/>
    <n v="385000"/>
    <n v="1880"/>
    <x v="0"/>
    <n v="6.1"/>
    <s v="15"/>
    <x v="0"/>
    <s v="No"/>
    <s v="Upsizer"/>
    <n v="204.78723404255319"/>
  </r>
  <r>
    <x v="7"/>
    <x v="1"/>
    <n v="180000"/>
    <n v="2160"/>
    <x v="0"/>
    <n v="6.4"/>
    <s v="8"/>
    <x v="2"/>
    <s v="No"/>
    <s v="First Timer"/>
    <n v="83.333333333333329"/>
  </r>
  <r>
    <x v="8"/>
    <x v="0"/>
    <n v="535000"/>
    <n v="1580"/>
    <x v="1"/>
    <n v="5.0999999999999996"/>
    <s v="20"/>
    <x v="0"/>
    <s v="Yes"/>
    <s v="Investor"/>
    <n v="338.60759493670884"/>
  </r>
  <r>
    <x v="0"/>
    <x v="1"/>
    <n v="455000"/>
    <n v="2720"/>
    <x v="1"/>
    <n v="5"/>
    <s v="10"/>
    <x v="1"/>
    <s v="No"/>
    <s v="First Timer"/>
    <n v="167.27941176470588"/>
  </r>
  <r>
    <x v="1"/>
    <x v="3"/>
    <n v="440000"/>
    <n v="2180"/>
    <x v="0"/>
    <n v="6"/>
    <s v="15"/>
    <x v="0"/>
    <s v="No"/>
    <s v="Upsizer"/>
    <n v="201.83486238532109"/>
  </r>
  <r>
    <x v="2"/>
    <x v="2"/>
    <n v="265000"/>
    <n v="2330"/>
    <x v="0"/>
    <n v="6.3"/>
    <s v="10"/>
    <x v="2"/>
    <s v="No"/>
    <s v="First Timer"/>
    <n v="113.73390557939913"/>
  </r>
  <r>
    <x v="3"/>
    <x v="0"/>
    <n v="390000"/>
    <n v="1450"/>
    <x v="1"/>
    <n v="5.4"/>
    <s v="20"/>
    <x v="0"/>
    <s v="Yes"/>
    <s v="Investor"/>
    <n v="268.9655172413793"/>
  </r>
  <r>
    <x v="4"/>
    <x v="1"/>
    <n v="230000"/>
    <n v="2200"/>
    <x v="0"/>
    <n v="6.5"/>
    <s v="8"/>
    <x v="2"/>
    <s v="No"/>
    <s v="First Timer"/>
    <n v="104.54545454545455"/>
  </r>
  <r>
    <x v="5"/>
    <x v="0"/>
    <n v="455000"/>
    <n v="1400"/>
    <x v="0"/>
    <n v="6.2"/>
    <s v="20"/>
    <x v="0"/>
    <s v="Yes"/>
    <s v="Investor"/>
    <n v="325"/>
  </r>
  <r>
    <x v="6"/>
    <x v="2"/>
    <n v="340000"/>
    <n v="2100"/>
    <x v="0"/>
    <n v="6.1"/>
    <s v="10"/>
    <x v="1"/>
    <s v="No"/>
    <s v="First Timer"/>
    <n v="161.9047619047619"/>
  </r>
  <r>
    <x v="7"/>
    <x v="3"/>
    <n v="278000"/>
    <n v="1680"/>
    <x v="1"/>
    <n v="5.4"/>
    <s v="12"/>
    <x v="1"/>
    <s v="No"/>
    <s v="Upsizer"/>
    <n v="165.47619047619048"/>
  </r>
  <r>
    <x v="8"/>
    <x v="1"/>
    <n v="290000"/>
    <n v="2550"/>
    <x v="1"/>
    <n v="5.2"/>
    <s v="10"/>
    <x v="1"/>
    <s v="No"/>
    <s v="First Timer"/>
    <n v="113.72549019607843"/>
  </r>
  <r>
    <x v="0"/>
    <x v="2"/>
    <n v="570000"/>
    <n v="2350"/>
    <x v="1"/>
    <n v="5.0999999999999996"/>
    <s v="15"/>
    <x v="0"/>
    <s v="No"/>
    <s v="Upsizer"/>
    <n v="242.55319148936169"/>
  </r>
  <r>
    <x v="1"/>
    <x v="0"/>
    <n v="590000"/>
    <n v="1700"/>
    <x v="1"/>
    <n v="5.3"/>
    <s v="22"/>
    <x v="3"/>
    <s v="Yes"/>
    <s v="Investor"/>
    <n v="347.05882352941177"/>
  </r>
  <r>
    <x v="2"/>
    <x v="1"/>
    <n v="218000"/>
    <n v="2550"/>
    <x v="0"/>
    <n v="6.4"/>
    <s v="5"/>
    <x v="2"/>
    <s v="No"/>
    <s v="First Timer"/>
    <n v="85.490196078431367"/>
  </r>
  <r>
    <x v="3"/>
    <x v="3"/>
    <n v="318000"/>
    <n v="1950"/>
    <x v="1"/>
    <n v="5.5"/>
    <s v="12"/>
    <x v="1"/>
    <s v="No"/>
    <s v="Upsizer"/>
    <n v="163.07692307692307"/>
  </r>
  <r>
    <x v="4"/>
    <x v="2"/>
    <n v="295000"/>
    <n v="2000"/>
    <x v="0"/>
    <n v="6.6"/>
    <s v="10"/>
    <x v="1"/>
    <s v="No"/>
    <s v="First Timer"/>
    <n v="147.5"/>
  </r>
  <r>
    <x v="5"/>
    <x v="1"/>
    <n v="240000"/>
    <n v="2280"/>
    <x v="1"/>
    <n v="5.3"/>
    <s v="7"/>
    <x v="2"/>
    <s v="No"/>
    <s v="First Timer"/>
    <n v="105.26315789473684"/>
  </r>
  <r>
    <x v="6"/>
    <x v="0"/>
    <n v="505000"/>
    <n v="1500"/>
    <x v="0"/>
    <n v="6"/>
    <s v="20"/>
    <x v="0"/>
    <s v="Yes"/>
    <s v="Investor"/>
    <n v="336.66666666666669"/>
  </r>
  <r>
    <x v="7"/>
    <x v="2"/>
    <n v="225000"/>
    <n v="1930"/>
    <x v="1"/>
    <n v="5.3"/>
    <s v="6"/>
    <x v="2"/>
    <s v="No"/>
    <s v="First Timer"/>
    <n v="116.58031088082902"/>
  </r>
  <r>
    <x v="8"/>
    <x v="3"/>
    <n v="420000"/>
    <n v="2000"/>
    <x v="1"/>
    <n v="5.2"/>
    <s v="15"/>
    <x v="0"/>
    <s v="No"/>
    <s v="Upsizer"/>
    <n v="210"/>
  </r>
  <r>
    <x v="0"/>
    <x v="0"/>
    <n v="820000"/>
    <n v="1680"/>
    <x v="0"/>
    <n v="6.1"/>
    <s v="20"/>
    <x v="3"/>
    <s v="Yes"/>
    <s v="Investor"/>
    <n v="488.09523809523807"/>
  </r>
  <r>
    <x v="1"/>
    <x v="1"/>
    <n v="315000"/>
    <n v="2380"/>
    <x v="0"/>
    <n v="6"/>
    <s v="12"/>
    <x v="1"/>
    <s v="No"/>
    <s v="First Timer"/>
    <n v="132.35294117647058"/>
  </r>
  <r>
    <x v="2"/>
    <x v="3"/>
    <n v="320000"/>
    <n v="2030"/>
    <x v="1"/>
    <n v="5.4"/>
    <s v="14"/>
    <x v="1"/>
    <s v="No"/>
    <s v="Upsizer"/>
    <n v="157.63546798029557"/>
  </r>
  <r>
    <x v="3"/>
    <x v="1"/>
    <n v="205000"/>
    <n v="2480"/>
    <x v="0"/>
    <n v="6.5"/>
    <s v="5"/>
    <x v="2"/>
    <s v="No"/>
    <s v="First Timer"/>
    <n v="82.661290322580641"/>
  </r>
  <r>
    <x v="4"/>
    <x v="0"/>
    <n v="435000"/>
    <n v="1260"/>
    <x v="1"/>
    <n v="5.3"/>
    <s v="22"/>
    <x v="0"/>
    <s v="Yes"/>
    <s v="Investor"/>
    <n v="345.23809523809524"/>
  </r>
  <r>
    <x v="5"/>
    <x v="2"/>
    <n v="305000"/>
    <n v="2050"/>
    <x v="0"/>
    <n v="6.4"/>
    <s v="10"/>
    <x v="1"/>
    <s v="No"/>
    <s v="First Timer"/>
    <n v="148.78048780487805"/>
  </r>
  <r>
    <x v="6"/>
    <x v="3"/>
    <n v="390000"/>
    <n v="1900"/>
    <x v="1"/>
    <n v="5.2"/>
    <s v="15"/>
    <x v="0"/>
    <s v="No"/>
    <s v="Upsizer"/>
    <n v="205.26315789473685"/>
  </r>
  <r>
    <x v="7"/>
    <x v="1"/>
    <n v="182000"/>
    <n v="2180"/>
    <x v="1"/>
    <n v="5.4"/>
    <s v="8"/>
    <x v="2"/>
    <s v="No"/>
    <s v="First Timer"/>
    <n v="83.486238532110093"/>
  </r>
  <r>
    <x v="8"/>
    <x v="0"/>
    <n v="540000"/>
    <n v="1600"/>
    <x v="0"/>
    <n v="6.1"/>
    <s v="20"/>
    <x v="0"/>
    <s v="Yes"/>
    <s v="Investor"/>
    <n v="337.5"/>
  </r>
  <r>
    <x v="0"/>
    <x v="0"/>
    <n v="825000"/>
    <n v="1700"/>
    <x v="1"/>
    <n v="5"/>
    <s v="20"/>
    <x v="3"/>
    <s v="Yes"/>
    <s v="Investor"/>
    <n v="485.29411764705884"/>
  </r>
  <r>
    <x v="1"/>
    <x v="1"/>
    <n v="318000"/>
    <n v="2400"/>
    <x v="0"/>
    <n v="6"/>
    <s v="12"/>
    <x v="1"/>
    <s v="No"/>
    <s v="First Timer"/>
    <n v="132.5"/>
  </r>
  <r>
    <x v="2"/>
    <x v="2"/>
    <n v="270000"/>
    <n v="2360"/>
    <x v="1"/>
    <n v="5.4"/>
    <s v="10"/>
    <x v="2"/>
    <s v="No"/>
    <s v="First Timer"/>
    <n v="114.40677966101696"/>
  </r>
  <r>
    <x v="3"/>
    <x v="3"/>
    <n v="320000"/>
    <n v="1980"/>
    <x v="0"/>
    <n v="6.2"/>
    <s v="15"/>
    <x v="1"/>
    <s v="No"/>
    <s v="Upsizer"/>
    <n v="161.61616161616161"/>
  </r>
  <r>
    <x v="4"/>
    <x v="1"/>
    <n v="232000"/>
    <n v="2250"/>
    <x v="1"/>
    <n v="5.3"/>
    <s v="8"/>
    <x v="2"/>
    <s v="No"/>
    <s v="First Timer"/>
    <n v="103.11111111111111"/>
  </r>
  <r>
    <x v="5"/>
    <x v="0"/>
    <n v="460000"/>
    <n v="1420"/>
    <x v="0"/>
    <n v="6.1"/>
    <s v="20"/>
    <x v="0"/>
    <s v="Yes"/>
    <s v="Investor"/>
    <n v="323.94366197183098"/>
  </r>
  <r>
    <x v="6"/>
    <x v="2"/>
    <n v="345000"/>
    <n v="2120"/>
    <x v="1"/>
    <n v="5.3"/>
    <n v="10"/>
    <x v="1"/>
    <s v="No"/>
    <s v="First Timer"/>
    <n v="162.73584905660377"/>
  </r>
  <r>
    <x v="7"/>
    <x v="1"/>
    <n v="185000"/>
    <n v="2200"/>
    <x v="0"/>
    <n v="6.4"/>
    <s v="5"/>
    <x v="2"/>
    <s v="No"/>
    <s v="First Timer"/>
    <n v="84.090909090909093"/>
  </r>
  <r>
    <x v="8"/>
    <x v="0"/>
    <n v="545000"/>
    <n v="1620"/>
    <x v="1"/>
    <n v="5.2"/>
    <s v="22"/>
    <x v="0"/>
    <s v="Yes"/>
    <s v="Upsizer"/>
    <n v="336.41975308641975"/>
  </r>
  <r>
    <x v="0"/>
    <x v="1"/>
    <n v="460000"/>
    <n v="2750"/>
    <x v="1"/>
    <n v="5"/>
    <s v="12"/>
    <x v="1"/>
    <s v="No"/>
    <s v="First Timer"/>
    <n v="167.27272727272728"/>
  </r>
  <r>
    <x v="1"/>
    <x v="3"/>
    <n v="450000"/>
    <n v="2200"/>
    <x v="1"/>
    <n v="5.3"/>
    <s v="15"/>
    <x v="0"/>
    <s v="No"/>
    <s v="Upsizer"/>
    <n v="204.54545454545453"/>
  </r>
  <r>
    <x v="2"/>
    <x v="0"/>
    <n v="405000"/>
    <n v="1500"/>
    <x v="0"/>
    <n v="6.3"/>
    <s v="18"/>
    <x v="1"/>
    <s v="Yes"/>
    <s v="Investor"/>
    <n v="270"/>
  </r>
  <r>
    <x v="3"/>
    <x v="2"/>
    <n v="255000"/>
    <n v="2300"/>
    <x v="1"/>
    <n v="5.5"/>
    <s v="10"/>
    <x v="2"/>
    <s v="No"/>
    <s v="First Timer"/>
    <n v="110.8695652173913"/>
  </r>
  <r>
    <x v="4"/>
    <x v="3"/>
    <n v="340000"/>
    <n v="1700"/>
    <x v="0"/>
    <n v="6.1"/>
    <s v="14"/>
    <x v="1"/>
    <s v="No"/>
    <s v="Upsizer"/>
    <n v="200"/>
  </r>
  <r>
    <x v="5"/>
    <x v="1"/>
    <n v="245000"/>
    <n v="2300"/>
    <x v="1"/>
    <n v="5.3"/>
    <s v="7"/>
    <x v="2"/>
    <s v="No"/>
    <s v="First Timer"/>
    <n v="106.52173913043478"/>
  </r>
  <r>
    <x v="6"/>
    <x v="0"/>
    <n v="510000"/>
    <n v="1520"/>
    <x v="1"/>
    <n v="5.0999999999999996"/>
    <s v="20"/>
    <x v="0"/>
    <s v="Yes"/>
    <s v="Investor"/>
    <n v="335.5263157894737"/>
  </r>
  <r>
    <x v="7"/>
    <x v="2"/>
    <n v="230000"/>
    <n v="1950"/>
    <x v="0"/>
    <n v="6.5"/>
    <s v="6"/>
    <x v="2"/>
    <s v="No"/>
    <s v="First Timer"/>
    <n v="117.94871794871794"/>
  </r>
  <r>
    <x v="8"/>
    <x v="1"/>
    <n v="295000"/>
    <n v="2580"/>
    <x v="1"/>
    <n v="5.2"/>
    <s v="10"/>
    <x v="1"/>
    <s v="No"/>
    <s v="First Timer"/>
    <n v="114.34108527131782"/>
  </r>
  <r>
    <x v="0"/>
    <x v="2"/>
    <n v="575000"/>
    <n v="2400"/>
    <x v="0"/>
    <n v="6"/>
    <s v="15"/>
    <x v="0"/>
    <s v="No"/>
    <s v="Upsizer"/>
    <n v="239.58333333333334"/>
  </r>
  <r>
    <x v="1"/>
    <x v="0"/>
    <n v="600000"/>
    <n v="1750"/>
    <x v="1"/>
    <n v="5.3"/>
    <s v="22"/>
    <x v="3"/>
    <s v="Yes"/>
    <s v="Investor"/>
    <n v="342.85714285714283"/>
  </r>
  <r>
    <x v="2"/>
    <x v="1"/>
    <n v="225000"/>
    <n v="2600"/>
    <x v="1"/>
    <n v="5.4"/>
    <s v="5"/>
    <x v="2"/>
    <s v="No"/>
    <s v="First Timer"/>
    <n v="86.538461538461533"/>
  </r>
  <r>
    <x v="3"/>
    <x v="0"/>
    <n v="395000"/>
    <n v="1480"/>
    <x v="0"/>
    <n v="6.2"/>
    <s v="20"/>
    <x v="0"/>
    <s v="Yes"/>
    <s v="Upsizer"/>
    <n v="266.89189189189187"/>
  </r>
  <r>
    <x v="4"/>
    <x v="2"/>
    <n v="300000"/>
    <n v="2050"/>
    <x v="1"/>
    <n v="5.4"/>
    <s v="10"/>
    <x v="1"/>
    <s v="No"/>
    <s v="First Timer"/>
    <n v="146.34146341463415"/>
  </r>
  <r>
    <x v="5"/>
    <x v="3"/>
    <n v="355000"/>
    <n v="1780"/>
    <x v="0"/>
    <n v="6.1"/>
    <s v="18"/>
    <x v="0"/>
    <s v="No"/>
    <s v="Upsizer"/>
    <n v="199.43820224719101"/>
  </r>
  <r>
    <x v="6"/>
    <x v="1"/>
    <n v="280000"/>
    <n v="2400"/>
    <x v="1"/>
    <n v="5.2"/>
    <s v="12"/>
    <x v="1"/>
    <s v="No"/>
    <s v="First Timer"/>
    <n v="116.66666666666667"/>
  </r>
  <r>
    <x v="7"/>
    <x v="0"/>
    <n v="350000"/>
    <n v="1180"/>
    <x v="1"/>
    <n v="5.4"/>
    <s v="25"/>
    <x v="0"/>
    <s v="Yes"/>
    <s v="Investor"/>
    <n v="296.61016949152543"/>
  </r>
  <r>
    <x v="8"/>
    <x v="3"/>
    <n v="430000"/>
    <n v="2050"/>
    <x v="1"/>
    <n v="5.2"/>
    <s v="15"/>
    <x v="0"/>
    <s v="No"/>
    <s v="Upsizer"/>
    <n v="209.7560975609756"/>
  </r>
  <r>
    <x v="0"/>
    <x v="0"/>
    <n v="830000"/>
    <n v="1720"/>
    <x v="0"/>
    <n v="6"/>
    <s v="20"/>
    <x v="3"/>
    <s v="Yes"/>
    <s v="Investor"/>
    <n v="482.55813953488371"/>
  </r>
  <r>
    <x v="1"/>
    <x v="2"/>
    <n v="380000"/>
    <n v="2450"/>
    <x v="0"/>
    <n v="6.1"/>
    <s v="10"/>
    <x v="1"/>
    <s v="No"/>
    <s v="First Timer"/>
    <n v="155.10204081632654"/>
  </r>
  <r>
    <x v="2"/>
    <x v="3"/>
    <n v="330000"/>
    <n v="2100"/>
    <x v="1"/>
    <n v="5.4"/>
    <s v="12"/>
    <x v="1"/>
    <s v="No"/>
    <s v="Upsizer"/>
    <n v="157.14285714285714"/>
  </r>
  <r>
    <x v="3"/>
    <x v="1"/>
    <n v="210000"/>
    <n v="2500"/>
    <x v="1"/>
    <n v="5.4"/>
    <s v="5"/>
    <x v="2"/>
    <s v="No"/>
    <s v="First Timer"/>
    <n v="84"/>
  </r>
  <r>
    <x v="4"/>
    <x v="0"/>
    <n v="440000"/>
    <n v="1300"/>
    <x v="0"/>
    <n v="6.2"/>
    <s v="22"/>
    <x v="0"/>
    <s v="Yes"/>
    <s v="Investor"/>
    <n v="338.46153846153845"/>
  </r>
  <r>
    <x v="5"/>
    <x v="2"/>
    <n v="310000"/>
    <n v="2100"/>
    <x v="1"/>
    <n v="5.5"/>
    <s v="10"/>
    <x v="1"/>
    <s v="No"/>
    <s v="First Timer"/>
    <n v="147.61904761904762"/>
  </r>
  <r>
    <x v="6"/>
    <x v="3"/>
    <n v="395000"/>
    <n v="1950"/>
    <x v="1"/>
    <n v="5.2"/>
    <s v="15"/>
    <x v="0"/>
    <s v="No"/>
    <s v="Upsizer"/>
    <n v="202.56410256410257"/>
  </r>
  <r>
    <x v="7"/>
    <x v="1"/>
    <n v="188000"/>
    <n v="2250"/>
    <x v="1"/>
    <n v="5.4"/>
    <s v="8"/>
    <x v="2"/>
    <s v="No"/>
    <s v="First Timer"/>
    <n v="83.555555555555557"/>
  </r>
  <r>
    <x v="8"/>
    <x v="0"/>
    <n v="550000"/>
    <n v="1650"/>
    <x v="0"/>
    <n v="6.1"/>
    <s v="20"/>
    <x v="0"/>
    <s v="Yes"/>
    <s v="Investor"/>
    <n v="333.33333333333331"/>
  </r>
  <r>
    <x v="0"/>
    <x v="1"/>
    <n v="470000"/>
    <n v="2800"/>
    <x v="1"/>
    <n v="5"/>
    <s v="10"/>
    <x v="1"/>
    <s v="No"/>
    <s v="First Timer"/>
    <n v="167.85714285714286"/>
  </r>
  <r>
    <x v="1"/>
    <x v="3"/>
    <n v="455000"/>
    <n v="2250"/>
    <x v="0"/>
    <n v="6"/>
    <s v="15"/>
    <x v="0"/>
    <s v="No"/>
    <s v="Upsizer"/>
    <n v="202.22222222222223"/>
  </r>
  <r>
    <x v="2"/>
    <x v="2"/>
    <n v="275000"/>
    <n v="2380"/>
    <x v="0"/>
    <n v="6.3"/>
    <s v="10"/>
    <x v="2"/>
    <s v="No"/>
    <s v="First Timer"/>
    <n v="115.54621848739495"/>
  </r>
  <r>
    <x v="3"/>
    <x v="0"/>
    <n v="400000"/>
    <n v="1500"/>
    <x v="1"/>
    <n v="5.4"/>
    <s v="20"/>
    <x v="0"/>
    <s v="Yes"/>
    <s v="Investor"/>
    <n v="266.66666666666669"/>
  </r>
  <r>
    <x v="4"/>
    <x v="1"/>
    <n v="235000"/>
    <n v="2300"/>
    <x v="0"/>
    <n v="6.5"/>
    <s v="8"/>
    <x v="2"/>
    <s v="No"/>
    <s v="First Timer"/>
    <n v="102.17391304347827"/>
  </r>
  <r>
    <x v="5"/>
    <x v="0"/>
    <n v="470000"/>
    <n v="1450"/>
    <x v="1"/>
    <n v="5.2"/>
    <s v="20"/>
    <x v="0"/>
    <s v="Yes"/>
    <s v="Investor"/>
    <n v="324.13793103448273"/>
  </r>
  <r>
    <x v="6"/>
    <x v="2"/>
    <n v="350000"/>
    <n v="2150"/>
    <x v="0"/>
    <n v="6.1"/>
    <s v="10"/>
    <x v="1"/>
    <s v="No"/>
    <s v="First Timer"/>
    <n v="162.7906976744186"/>
  </r>
  <r>
    <x v="7"/>
    <x v="3"/>
    <n v="285000"/>
    <n v="1700"/>
    <x v="1"/>
    <n v="5.4"/>
    <s v="12"/>
    <x v="1"/>
    <s v="No"/>
    <s v="Upsizer"/>
    <n v="167.64705882352942"/>
  </r>
  <r>
    <x v="8"/>
    <x v="1"/>
    <n v="300000"/>
    <n v="2600"/>
    <x v="1"/>
    <n v="5.2"/>
    <s v="10"/>
    <x v="1"/>
    <s v="No"/>
    <s v="First Timer"/>
    <n v="115.38461538461539"/>
  </r>
  <r>
    <x v="0"/>
    <x v="2"/>
    <n v="580000"/>
    <n v="2430"/>
    <x v="1"/>
    <n v="5.0999999999999996"/>
    <s v="15"/>
    <x v="0"/>
    <s v="No"/>
    <s v="Upsizer"/>
    <n v="238.68312757201647"/>
  </r>
  <r>
    <x v="1"/>
    <x v="0"/>
    <n v="605000"/>
    <n v="1780"/>
    <x v="1"/>
    <n v="5.3"/>
    <s v="22"/>
    <x v="3"/>
    <s v="Yes"/>
    <s v="Investor"/>
    <n v="339.88764044943821"/>
  </r>
  <r>
    <x v="2"/>
    <x v="1"/>
    <n v="230000"/>
    <n v="2650"/>
    <x v="0"/>
    <n v="6.4"/>
    <s v="5"/>
    <x v="2"/>
    <s v="No"/>
    <s v="First Timer"/>
    <n v="86.79245283018868"/>
  </r>
  <r>
    <x v="3"/>
    <x v="3"/>
    <n v="325000"/>
    <n v="2000"/>
    <x v="1"/>
    <n v="5.5"/>
    <s v="12"/>
    <x v="1"/>
    <s v="No"/>
    <s v="Upsizer"/>
    <n v="162.5"/>
  </r>
  <r>
    <x v="4"/>
    <x v="2"/>
    <n v="305000"/>
    <n v="2080"/>
    <x v="0"/>
    <n v="6.6"/>
    <s v="10"/>
    <x v="1"/>
    <s v="No"/>
    <s v="First Timer"/>
    <n v="146.63461538461539"/>
  </r>
  <r>
    <x v="5"/>
    <x v="1"/>
    <n v="250000"/>
    <n v="2330"/>
    <x v="1"/>
    <n v="5.3"/>
    <s v="7"/>
    <x v="2"/>
    <s v="No"/>
    <s v="First Timer"/>
    <n v="107.29613733905579"/>
  </r>
  <r>
    <x v="6"/>
    <x v="0"/>
    <n v="515000"/>
    <n v="1550"/>
    <x v="0"/>
    <n v="6"/>
    <s v="20"/>
    <x v="0"/>
    <s v="Yes"/>
    <s v="Investor"/>
    <n v="332.25806451612902"/>
  </r>
  <r>
    <x v="7"/>
    <x v="2"/>
    <n v="235000"/>
    <n v="1980"/>
    <x v="1"/>
    <n v="5.3"/>
    <s v="6"/>
    <x v="2"/>
    <s v="No"/>
    <s v="First Timer"/>
    <n v="118.68686868686869"/>
  </r>
  <r>
    <x v="8"/>
    <x v="3"/>
    <n v="435000"/>
    <n v="2080"/>
    <x v="1"/>
    <n v="5.2"/>
    <s v="15"/>
    <x v="0"/>
    <s v="No"/>
    <s v="Upsizer"/>
    <n v="209.13461538461539"/>
  </r>
  <r>
    <x v="0"/>
    <x v="0"/>
    <n v="840000"/>
    <n v="1750"/>
    <x v="1"/>
    <n v="5"/>
    <s v="20"/>
    <x v="3"/>
    <s v="Yes"/>
    <s v="Investor"/>
    <n v="480"/>
  </r>
  <r>
    <x v="1"/>
    <x v="1"/>
    <n v="320000"/>
    <n v="2420"/>
    <x v="1"/>
    <n v="5.2"/>
    <s v="12"/>
    <x v="1"/>
    <s v="No"/>
    <s v="First Timer"/>
    <n v="132.23140495867767"/>
  </r>
  <r>
    <x v="2"/>
    <x v="3"/>
    <n v="335000"/>
    <n v="2120"/>
    <x v="0"/>
    <n v="6.3"/>
    <s v="14"/>
    <x v="1"/>
    <s v="No"/>
    <s v="Upsizer"/>
    <n v="158.01886792452831"/>
  </r>
  <r>
    <x v="3"/>
    <x v="1"/>
    <n v="215000"/>
    <n v="2520"/>
    <x v="0"/>
    <n v="6.5"/>
    <s v="5"/>
    <x v="2"/>
    <s v="No"/>
    <s v="First Timer"/>
    <n v="85.317460317460316"/>
  </r>
  <r>
    <x v="4"/>
    <x v="0"/>
    <n v="445000"/>
    <n v="1320"/>
    <x v="1"/>
    <n v="5.3"/>
    <s v="22"/>
    <x v="0"/>
    <s v="Yes"/>
    <s v="Investor"/>
    <n v="337.12121212121212"/>
  </r>
  <r>
    <x v="5"/>
    <x v="2"/>
    <n v="315000"/>
    <n v="2120"/>
    <x v="0"/>
    <n v="6.4"/>
    <s v="10"/>
    <x v="1"/>
    <s v="No"/>
    <s v="First Timer"/>
    <n v="148.58490566037736"/>
  </r>
  <r>
    <x v="6"/>
    <x v="3"/>
    <n v="400000"/>
    <n v="1980"/>
    <x v="1"/>
    <n v="5.2"/>
    <s v="15"/>
    <x v="0"/>
    <s v="No"/>
    <s v="Upsizer"/>
    <n v="202.02020202020202"/>
  </r>
  <r>
    <x v="7"/>
    <x v="1"/>
    <n v="190000"/>
    <n v="2280"/>
    <x v="1"/>
    <n v="5.4"/>
    <s v="8"/>
    <x v="2"/>
    <s v="No"/>
    <s v="First Timer"/>
    <n v="83.333333333333329"/>
  </r>
  <r>
    <x v="8"/>
    <x v="0"/>
    <n v="555000"/>
    <n v="1680"/>
    <x v="1"/>
    <n v="5.0999999999999996"/>
    <s v="20"/>
    <x v="0"/>
    <s v="Yes"/>
    <s v="Investor"/>
    <n v="330.35714285714283"/>
  </r>
  <r>
    <x v="0"/>
    <x v="1"/>
    <n v="475000"/>
    <n v="2820"/>
    <x v="0"/>
    <n v="6"/>
    <s v="10"/>
    <x v="1"/>
    <s v="No"/>
    <s v="First Timer"/>
    <n v="168.43971631205673"/>
  </r>
  <r>
    <x v="1"/>
    <x v="3"/>
    <n v="460000"/>
    <n v="2280"/>
    <x v="1"/>
    <n v="5.3"/>
    <s v="15"/>
    <x v="0"/>
    <s v="No"/>
    <s v="Upsizer"/>
    <n v="201.75438596491227"/>
  </r>
  <r>
    <x v="2"/>
    <x v="2"/>
    <n v="280000"/>
    <n v="2400"/>
    <x v="1"/>
    <n v="5.4"/>
    <s v="10"/>
    <x v="2"/>
    <s v="No"/>
    <s v="First Timer"/>
    <n v="116.66666666666667"/>
  </r>
  <r>
    <x v="3"/>
    <x v="0"/>
    <n v="405000"/>
    <n v="1520"/>
    <x v="0"/>
    <n v="6.2"/>
    <s v="20"/>
    <x v="0"/>
    <s v="Yes"/>
    <s v="Investor"/>
    <n v="266.44736842105266"/>
  </r>
  <r>
    <x v="4"/>
    <x v="1"/>
    <n v="240000"/>
    <n v="2350"/>
    <x v="1"/>
    <n v="5.4"/>
    <s v="8"/>
    <x v="2"/>
    <s v="No"/>
    <s v="First Timer"/>
    <n v="102.12765957446808"/>
  </r>
  <r>
    <x v="5"/>
    <x v="0"/>
    <n v="475000"/>
    <n v="1480"/>
    <x v="0"/>
    <n v="6.2"/>
    <s v="20"/>
    <x v="0"/>
    <s v="Yes"/>
    <s v="Investor"/>
    <n v="320.94594594594594"/>
  </r>
  <r>
    <x v="6"/>
    <x v="2"/>
    <n v="355000"/>
    <n v="2180"/>
    <x v="1"/>
    <n v="5.3"/>
    <s v="10"/>
    <x v="1"/>
    <s v="No"/>
    <s v="First Timer"/>
    <n v="162.8440366972477"/>
  </r>
  <r>
    <x v="7"/>
    <x v="3"/>
    <n v="290000"/>
    <n v="1720"/>
    <x v="0"/>
    <n v="6.5"/>
    <s v="12"/>
    <x v="1"/>
    <s v="No"/>
    <s v="Upsizer"/>
    <n v="168.6046511627907"/>
  </r>
  <r>
    <x v="8"/>
    <x v="1"/>
    <n v="305000"/>
    <n v="2620"/>
    <x v="0"/>
    <n v="6"/>
    <s v="10"/>
    <x v="1"/>
    <s v="No"/>
    <s v="First Timer"/>
    <n v="116.41221374045801"/>
  </r>
  <r>
    <x v="0"/>
    <x v="2"/>
    <n v="585000"/>
    <n v="2460"/>
    <x v="0"/>
    <n v="6.1"/>
    <s v="15"/>
    <x v="0"/>
    <s v="No"/>
    <s v="Upsizer"/>
    <n v="237.80487804878049"/>
  </r>
  <r>
    <x v="1"/>
    <x v="0"/>
    <n v="610000"/>
    <n v="1800"/>
    <x v="0"/>
    <n v="6"/>
    <s v="22"/>
    <x v="3"/>
    <s v="Yes"/>
    <s v="Investor"/>
    <n v="338.88888888888891"/>
  </r>
  <r>
    <x v="2"/>
    <x v="1"/>
    <n v="235000"/>
    <n v="2680"/>
    <x v="1"/>
    <n v="5.4"/>
    <s v="5"/>
    <x v="2"/>
    <s v="No"/>
    <s v="First Timer"/>
    <n v="87.68656716417911"/>
  </r>
  <r>
    <x v="3"/>
    <x v="3"/>
    <n v="330000"/>
    <n v="2050"/>
    <x v="1"/>
    <n v="5.5"/>
    <s v="12"/>
    <x v="1"/>
    <s v="No"/>
    <s v="Upsizer"/>
    <n v="160.97560975609755"/>
  </r>
  <r>
    <x v="4"/>
    <x v="2"/>
    <n v="310000"/>
    <n v="2100"/>
    <x v="1"/>
    <n v="5.4"/>
    <s v="10"/>
    <x v="1"/>
    <s v="No"/>
    <s v="First Timer"/>
    <n v="147.61904761904762"/>
  </r>
  <r>
    <x v="5"/>
    <x v="1"/>
    <n v="255000"/>
    <n v="2360"/>
    <x v="0"/>
    <n v="6.3"/>
    <s v="7"/>
    <x v="2"/>
    <s v="No"/>
    <s v="First Timer"/>
    <n v="108.05084745762711"/>
  </r>
  <r>
    <x v="6"/>
    <x v="0"/>
    <n v="520000"/>
    <n v="1580"/>
    <x v="1"/>
    <n v="5.0999999999999996"/>
    <s v="20"/>
    <x v="0"/>
    <s v="Yes"/>
    <s v="Investor"/>
    <n v="329.11392405063293"/>
  </r>
  <r>
    <x v="7"/>
    <x v="2"/>
    <n v="240000"/>
    <n v="2000"/>
    <x v="0"/>
    <n v="6.6"/>
    <s v="6"/>
    <x v="2"/>
    <s v="No"/>
    <s v="First Timer"/>
    <n v="120"/>
  </r>
  <r>
    <x v="8"/>
    <x v="3"/>
    <n v="440000"/>
    <n v="2100"/>
    <x v="1"/>
    <n v="5.2"/>
    <s v="15"/>
    <x v="0"/>
    <s v="No"/>
    <s v="Upsizer"/>
    <n v="209.52380952380952"/>
  </r>
  <r>
    <x v="0"/>
    <x v="0"/>
    <n v="845000"/>
    <n v="1780"/>
    <x v="1"/>
    <n v="5"/>
    <s v="20"/>
    <x v="3"/>
    <s v="Yes"/>
    <s v="Investor"/>
    <n v="474.71910112359552"/>
  </r>
  <r>
    <x v="1"/>
    <x v="1"/>
    <n v="325000"/>
    <n v="2450"/>
    <x v="0"/>
    <n v="6"/>
    <s v="12"/>
    <x v="1"/>
    <s v="No"/>
    <s v="First Timer"/>
    <n v="132.65306122448979"/>
  </r>
  <r>
    <x v="2"/>
    <x v="3"/>
    <n v="340000"/>
    <n v="2150"/>
    <x v="1"/>
    <n v="5.4"/>
    <s v="14"/>
    <x v="1"/>
    <s v="No"/>
    <s v="Upsizer"/>
    <n v="158.13953488372093"/>
  </r>
  <r>
    <x v="3"/>
    <x v="1"/>
    <n v="220000"/>
    <n v="2550"/>
    <x v="1"/>
    <n v="5.4"/>
    <s v="5"/>
    <x v="2"/>
    <s v="No"/>
    <s v="First Timer"/>
    <n v="86.274509803921575"/>
  </r>
  <r>
    <x v="4"/>
    <x v="0"/>
    <n v="450000"/>
    <n v="1350"/>
    <x v="0"/>
    <n v="6.2"/>
    <s v="22"/>
    <x v="0"/>
    <s v="Yes"/>
    <s v="Investor"/>
    <n v="333.33333333333331"/>
  </r>
  <r>
    <x v="5"/>
    <x v="2"/>
    <n v="320000"/>
    <n v="2140"/>
    <x v="1"/>
    <n v="5.5"/>
    <s v="10"/>
    <x v="1"/>
    <s v="No"/>
    <s v="First Timer"/>
    <n v="149.53271028037383"/>
  </r>
  <r>
    <x v="6"/>
    <x v="3"/>
    <n v="405000"/>
    <n v="2000"/>
    <x v="0"/>
    <n v="6.1"/>
    <s v="15"/>
    <x v="0"/>
    <s v="No"/>
    <s v="Upsizer"/>
    <n v="202.5"/>
  </r>
  <r>
    <x v="7"/>
    <x v="1"/>
    <n v="195000"/>
    <n v="2300"/>
    <x v="0"/>
    <n v="6.4"/>
    <s v="8"/>
    <x v="2"/>
    <s v="No"/>
    <s v="First Timer"/>
    <n v="84.782608695652172"/>
  </r>
  <r>
    <x v="8"/>
    <x v="0"/>
    <n v="560000"/>
    <n v="1700"/>
    <x v="1"/>
    <n v="5.0999999999999996"/>
    <s v="20"/>
    <x v="0"/>
    <s v="Yes"/>
    <s v="Investor"/>
    <n v="329.41176470588238"/>
  </r>
  <r>
    <x v="0"/>
    <x v="0"/>
    <n v="860000"/>
    <n v="1820"/>
    <x v="1"/>
    <n v="5"/>
    <s v="20"/>
    <x v="3"/>
    <s v="Yes"/>
    <s v="Investor"/>
    <n v="472.52747252747253"/>
  </r>
  <r>
    <x v="1"/>
    <x v="1"/>
    <n v="330000"/>
    <n v="2500"/>
    <x v="1"/>
    <n v="5.2"/>
    <s v="12"/>
    <x v="1"/>
    <s v="No"/>
    <s v="First Timer"/>
    <n v="132"/>
  </r>
  <r>
    <x v="2"/>
    <x v="2"/>
    <n v="290000"/>
    <n v="2480"/>
    <x v="0"/>
    <n v="6.3"/>
    <s v="10"/>
    <x v="2"/>
    <s v="No"/>
    <s v="First Timer"/>
    <n v="116.93548387096774"/>
  </r>
  <r>
    <x v="3"/>
    <x v="3"/>
    <n v="340000"/>
    <n v="2100"/>
    <x v="1"/>
    <n v="5.4"/>
    <s v="15"/>
    <x v="1"/>
    <s v="No"/>
    <s v="Upsizer"/>
    <n v="161.9047619047619"/>
  </r>
  <r>
    <x v="4"/>
    <x v="1"/>
    <n v="250000"/>
    <n v="2400"/>
    <x v="0"/>
    <n v="6.5"/>
    <s v="8"/>
    <x v="2"/>
    <s v="No"/>
    <s v="First Timer"/>
    <n v="104.16666666666667"/>
  </r>
  <r>
    <x v="5"/>
    <x v="0"/>
    <n v="490000"/>
    <n v="1550"/>
    <x v="1"/>
    <n v="5.2"/>
    <s v="20"/>
    <x v="0"/>
    <s v="Yes"/>
    <s v="Investor"/>
    <n v="316.12903225806451"/>
  </r>
  <r>
    <x v="6"/>
    <x v="2"/>
    <n v="360000"/>
    <n v="2250"/>
    <x v="1"/>
    <n v="5.3"/>
    <n v="10"/>
    <x v="1"/>
    <s v="No"/>
    <s v="First Timer"/>
    <n v="160"/>
  </r>
  <r>
    <x v="7"/>
    <x v="1"/>
    <n v="200000"/>
    <n v="2350"/>
    <x v="0"/>
    <n v="6.4"/>
    <s v="5"/>
    <x v="2"/>
    <s v="No"/>
    <s v="First Timer"/>
    <n v="85.106382978723403"/>
  </r>
  <r>
    <x v="8"/>
    <x v="0"/>
    <n v="570000"/>
    <n v="1750"/>
    <x v="1"/>
    <n v="5.0999999999999996"/>
    <s v="22"/>
    <x v="0"/>
    <s v="Yes"/>
    <s v="Upsizer"/>
    <n v="325.71428571428572"/>
  </r>
  <r>
    <x v="0"/>
    <x v="1"/>
    <n v="490000"/>
    <n v="2900"/>
    <x v="1"/>
    <n v="5"/>
    <s v="12"/>
    <x v="1"/>
    <s v="No"/>
    <s v="First Timer"/>
    <n v="168.9655172413793"/>
  </r>
  <r>
    <x v="1"/>
    <x v="3"/>
    <n v="470000"/>
    <n v="2350"/>
    <x v="0"/>
    <n v="6"/>
    <s v="15"/>
    <x v="0"/>
    <s v="No"/>
    <s v="Upsizer"/>
    <n v="200"/>
  </r>
  <r>
    <x v="2"/>
    <x v="0"/>
    <n v="420000"/>
    <n v="1600"/>
    <x v="1"/>
    <n v="5.3"/>
    <s v="18"/>
    <x v="1"/>
    <s v="Yes"/>
    <s v="Investor"/>
    <n v="262.5"/>
  </r>
  <r>
    <x v="3"/>
    <x v="2"/>
    <n v="270000"/>
    <n v="2450"/>
    <x v="0"/>
    <n v="6.5"/>
    <s v="10"/>
    <x v="2"/>
    <s v="No"/>
    <s v="First Timer"/>
    <n v="110.20408163265306"/>
  </r>
  <r>
    <x v="4"/>
    <x v="3"/>
    <n v="360000"/>
    <n v="1850"/>
    <x v="1"/>
    <n v="5.4"/>
    <s v="14"/>
    <x v="1"/>
    <s v="No"/>
    <s v="Upsizer"/>
    <n v="194.59459459459458"/>
  </r>
  <r>
    <x v="5"/>
    <x v="1"/>
    <n v="260000"/>
    <n v="2450"/>
    <x v="1"/>
    <n v="5.3"/>
    <s v="7"/>
    <x v="2"/>
    <s v="No"/>
    <s v="First Timer"/>
    <n v="106.12244897959184"/>
  </r>
  <r>
    <x v="6"/>
    <x v="0"/>
    <n v="530000"/>
    <n v="1650"/>
    <x v="0"/>
    <n v="6"/>
    <s v="20"/>
    <x v="0"/>
    <s v="Yes"/>
    <s v="Investor"/>
    <n v="321.21212121212119"/>
  </r>
  <r>
    <x v="7"/>
    <x v="2"/>
    <n v="250000"/>
    <n v="2100"/>
    <x v="1"/>
    <n v="5.3"/>
    <s v="6"/>
    <x v="2"/>
    <s v="No"/>
    <s v="First Timer"/>
    <n v="119.04761904761905"/>
  </r>
  <r>
    <x v="8"/>
    <x v="1"/>
    <n v="315000"/>
    <n v="2700"/>
    <x v="1"/>
    <n v="5.2"/>
    <s v="10"/>
    <x v="1"/>
    <s v="No"/>
    <s v="First Timer"/>
    <n v="116.66666666666667"/>
  </r>
  <r>
    <x v="0"/>
    <x v="2"/>
    <n v="600000"/>
    <n v="2550"/>
    <x v="0"/>
    <n v="6.1"/>
    <s v="15"/>
    <x v="0"/>
    <s v="No"/>
    <s v="Upsizer"/>
    <n v="235.29411764705881"/>
  </r>
  <r>
    <x v="1"/>
    <x v="0"/>
    <n v="620000"/>
    <n v="1900"/>
    <x v="1"/>
    <n v="5.3"/>
    <s v="22"/>
    <x v="3"/>
    <s v="Yes"/>
    <s v="Investor"/>
    <n v="326.31578947368422"/>
  </r>
  <r>
    <x v="2"/>
    <x v="1"/>
    <n v="245000"/>
    <n v="2750"/>
    <x v="1"/>
    <n v="5.4"/>
    <s v="5"/>
    <x v="2"/>
    <s v="No"/>
    <s v="First Timer"/>
    <n v="89.090909090909093"/>
  </r>
  <r>
    <x v="3"/>
    <x v="0"/>
    <n v="420000"/>
    <n v="1600"/>
    <x v="0"/>
    <n v="6.2"/>
    <s v="20"/>
    <x v="0"/>
    <s v="Yes"/>
    <s v="Upsizer"/>
    <n v="262.5"/>
  </r>
  <r>
    <x v="4"/>
    <x v="2"/>
    <n v="320000"/>
    <n v="2200"/>
    <x v="1"/>
    <n v="5.4"/>
    <s v="10"/>
    <x v="1"/>
    <s v="No"/>
    <s v="First Timer"/>
    <n v="145.45454545454547"/>
  </r>
  <r>
    <x v="5"/>
    <x v="3"/>
    <n v="370000"/>
    <n v="1900"/>
    <x v="0"/>
    <n v="6.1"/>
    <s v="18"/>
    <x v="0"/>
    <s v="No"/>
    <s v="Upsizer"/>
    <n v="194.73684210526315"/>
  </r>
  <r>
    <x v="6"/>
    <x v="1"/>
    <n v="295000"/>
    <n v="2550"/>
    <x v="1"/>
    <n v="5.2"/>
    <s v="12"/>
    <x v="1"/>
    <s v="No"/>
    <s v="First Timer"/>
    <n v="115.68627450980392"/>
  </r>
  <r>
    <x v="7"/>
    <x v="0"/>
    <n v="365000"/>
    <n v="1300"/>
    <x v="1"/>
    <n v="5.4"/>
    <s v="25"/>
    <x v="0"/>
    <s v="Yes"/>
    <s v="Investor"/>
    <n v="280.76923076923077"/>
  </r>
  <r>
    <x v="8"/>
    <x v="3"/>
    <n v="455000"/>
    <n v="2200"/>
    <x v="1"/>
    <n v="5.2"/>
    <s v="15"/>
    <x v="0"/>
    <s v="No"/>
    <s v="Upsizer"/>
    <n v="206.81818181818181"/>
  </r>
  <r>
    <x v="0"/>
    <x v="0"/>
    <n v="870000"/>
    <n v="1850"/>
    <x v="0"/>
    <n v="6"/>
    <s v="20"/>
    <x v="3"/>
    <s v="Yes"/>
    <s v="Investor"/>
    <n v="470.27027027027026"/>
  </r>
  <r>
    <x v="1"/>
    <x v="2"/>
    <n v="400000"/>
    <n v="2600"/>
    <x v="0"/>
    <n v="6.1"/>
    <s v="10"/>
    <x v="1"/>
    <s v="No"/>
    <s v="First Timer"/>
    <n v="153.84615384615384"/>
  </r>
  <r>
    <x v="2"/>
    <x v="3"/>
    <n v="350000"/>
    <n v="2250"/>
    <x v="1"/>
    <n v="5.4"/>
    <s v="12"/>
    <x v="1"/>
    <s v="No"/>
    <s v="Upsizer"/>
    <n v="155.55555555555554"/>
  </r>
  <r>
    <x v="3"/>
    <x v="1"/>
    <n v="230000"/>
    <n v="2650"/>
    <x v="1"/>
    <n v="5.4"/>
    <s v="5"/>
    <x v="2"/>
    <s v="No"/>
    <s v="First Timer"/>
    <n v="86.79245283018868"/>
  </r>
  <r>
    <x v="4"/>
    <x v="0"/>
    <n v="460000"/>
    <n v="1400"/>
    <x v="0"/>
    <n v="6.2"/>
    <s v="22"/>
    <x v="0"/>
    <s v="Yes"/>
    <s v="Investor"/>
    <n v="328.57142857142856"/>
  </r>
  <r>
    <x v="5"/>
    <x v="2"/>
    <n v="330000"/>
    <n v="2300"/>
    <x v="1"/>
    <n v="5.5"/>
    <s v="10"/>
    <x v="1"/>
    <s v="No"/>
    <s v="First Timer"/>
    <n v="143.47826086956522"/>
  </r>
  <r>
    <x v="6"/>
    <x v="3"/>
    <n v="420000"/>
    <n v="2100"/>
    <x v="1"/>
    <n v="5.2"/>
    <s v="15"/>
    <x v="0"/>
    <s v="No"/>
    <s v="Upsizer"/>
    <n v="200"/>
  </r>
  <r>
    <x v="7"/>
    <x v="1"/>
    <n v="205000"/>
    <n v="2400"/>
    <x v="1"/>
    <n v="5.4"/>
    <s v="8"/>
    <x v="2"/>
    <s v="No"/>
    <s v="First Timer"/>
    <n v="85.416666666666671"/>
  </r>
  <r>
    <x v="8"/>
    <x v="0"/>
    <n v="580000"/>
    <n v="1780"/>
    <x v="0"/>
    <n v="6.1"/>
    <s v="20"/>
    <x v="0"/>
    <s v="Yes"/>
    <s v="Investor"/>
    <n v="325.84269662921349"/>
  </r>
  <r>
    <x v="0"/>
    <x v="1"/>
    <n v="500000"/>
    <n v="2950"/>
    <x v="1"/>
    <n v="5"/>
    <s v="10"/>
    <x v="1"/>
    <s v="No"/>
    <s v="First Timer"/>
    <n v="169.4915254237288"/>
  </r>
  <r>
    <x v="1"/>
    <x v="3"/>
    <n v="480000"/>
    <n v="2400"/>
    <x v="1"/>
    <n v="5.3"/>
    <s v="15"/>
    <x v="0"/>
    <s v="No"/>
    <s v="Upsizer"/>
    <n v="200"/>
  </r>
  <r>
    <x v="2"/>
    <x v="2"/>
    <n v="300000"/>
    <n v="2550"/>
    <x v="1"/>
    <n v="5.4"/>
    <s v="10"/>
    <x v="2"/>
    <s v="No"/>
    <s v="First Timer"/>
    <n v="117.64705882352941"/>
  </r>
  <r>
    <x v="3"/>
    <x v="0"/>
    <n v="430000"/>
    <n v="1650"/>
    <x v="0"/>
    <n v="6.2"/>
    <s v="20"/>
    <x v="0"/>
    <s v="Yes"/>
    <s v="Investor"/>
    <n v="260.60606060606062"/>
  </r>
  <r>
    <x v="4"/>
    <x v="1"/>
    <n v="255000"/>
    <n v="2450"/>
    <x v="1"/>
    <n v="5.4"/>
    <s v="8"/>
    <x v="2"/>
    <s v="No"/>
    <s v="First Timer"/>
    <n v="104.08163265306122"/>
  </r>
  <r>
    <x v="5"/>
    <x v="0"/>
    <n v="495000"/>
    <n v="1600"/>
    <x v="0"/>
    <n v="6.2"/>
    <s v="20"/>
    <x v="0"/>
    <s v="Yes"/>
    <s v="Investor"/>
    <n v="309.375"/>
  </r>
  <r>
    <x v="6"/>
    <x v="2"/>
    <n v="365000"/>
    <n v="2300"/>
    <x v="1"/>
    <n v="5.3"/>
    <s v="10"/>
    <x v="1"/>
    <s v="No"/>
    <s v="First Timer"/>
    <n v="158.69565217391303"/>
  </r>
  <r>
    <x v="7"/>
    <x v="3"/>
    <n v="300000"/>
    <n v="1800"/>
    <x v="0"/>
    <n v="6.5"/>
    <s v="12"/>
    <x v="1"/>
    <s v="No"/>
    <s v="Upsizer"/>
    <n v="166.66666666666666"/>
  </r>
  <r>
    <x v="8"/>
    <x v="1"/>
    <n v="320000"/>
    <n v="2750"/>
    <x v="0"/>
    <n v="6"/>
    <s v="10"/>
    <x v="1"/>
    <s v="No"/>
    <s v="First Timer"/>
    <n v="116.36363636363636"/>
  </r>
  <r>
    <x v="0"/>
    <x v="2"/>
    <n v="610000"/>
    <n v="2600"/>
    <x v="1"/>
    <n v="5.0999999999999996"/>
    <s v="15"/>
    <x v="0"/>
    <s v="No"/>
    <s v="Upsizer"/>
    <n v="234.61538461538461"/>
  </r>
  <r>
    <x v="1"/>
    <x v="0"/>
    <n v="630000"/>
    <n v="1950"/>
    <x v="1"/>
    <n v="5.3"/>
    <s v="22"/>
    <x v="3"/>
    <s v="Yes"/>
    <s v="Investor"/>
    <n v="323.07692307692309"/>
  </r>
  <r>
    <x v="2"/>
    <x v="1"/>
    <n v="250000"/>
    <n v="2800"/>
    <x v="0"/>
    <n v="6.4"/>
    <s v="5"/>
    <x v="2"/>
    <s v="No"/>
    <s v="First Timer"/>
    <n v="89.285714285714292"/>
  </r>
  <r>
    <x v="3"/>
    <x v="3"/>
    <n v="345000"/>
    <n v="2150"/>
    <x v="1"/>
    <n v="5.5"/>
    <s v="12"/>
    <x v="1"/>
    <s v="No"/>
    <s v="Upsizer"/>
    <n v="160.46511627906978"/>
  </r>
  <r>
    <x v="4"/>
    <x v="2"/>
    <n v="330000"/>
    <n v="2250"/>
    <x v="0"/>
    <n v="6.6"/>
    <s v="10"/>
    <x v="1"/>
    <s v="No"/>
    <s v="First Timer"/>
    <n v="146.66666666666666"/>
  </r>
  <r>
    <x v="5"/>
    <x v="1"/>
    <n v="270000"/>
    <n v="2550"/>
    <x v="1"/>
    <n v="5.3"/>
    <s v="7"/>
    <x v="2"/>
    <s v="No"/>
    <s v="First Timer"/>
    <n v="105.88235294117646"/>
  </r>
  <r>
    <x v="6"/>
    <x v="0"/>
    <n v="540000"/>
    <n v="1750"/>
    <x v="1"/>
    <n v="5.0999999999999996"/>
    <s v="20"/>
    <x v="0"/>
    <s v="Yes"/>
    <s v="Investor"/>
    <n v="308.57142857142856"/>
  </r>
  <r>
    <x v="7"/>
    <x v="2"/>
    <n v="260000"/>
    <n v="2150"/>
    <x v="0"/>
    <n v="6.6"/>
    <s v="6"/>
    <x v="2"/>
    <s v="No"/>
    <s v="First Timer"/>
    <n v="120.93023255813954"/>
  </r>
  <r>
    <x v="8"/>
    <x v="3"/>
    <n v="465000"/>
    <n v="2300"/>
    <x v="1"/>
    <n v="5.2"/>
    <s v="15"/>
    <x v="0"/>
    <s v="No"/>
    <s v="Upsizer"/>
    <n v="202.17391304347825"/>
  </r>
  <r>
    <x v="0"/>
    <x v="0"/>
    <n v="880000"/>
    <n v="1900"/>
    <x v="1"/>
    <n v="5"/>
    <s v="20"/>
    <x v="3"/>
    <s v="Yes"/>
    <s v="Investor"/>
    <n v="463.15789473684208"/>
  </r>
  <r>
    <x v="1"/>
    <x v="1"/>
    <n v="340000"/>
    <n v="2550"/>
    <x v="0"/>
    <n v="6"/>
    <s v="12"/>
    <x v="1"/>
    <s v="No"/>
    <s v="First Timer"/>
    <n v="133.33333333333334"/>
  </r>
  <r>
    <x v="2"/>
    <x v="3"/>
    <n v="360000"/>
    <n v="2300"/>
    <x v="1"/>
    <n v="5.4"/>
    <s v="14"/>
    <x v="1"/>
    <s v="No"/>
    <s v="Upsizer"/>
    <n v="156.52173913043478"/>
  </r>
  <r>
    <x v="3"/>
    <x v="1"/>
    <n v="235000"/>
    <n v="2700"/>
    <x v="0"/>
    <n v="6.5"/>
    <s v="5"/>
    <x v="2"/>
    <s v="No"/>
    <s v="First Timer"/>
    <n v="87.037037037037038"/>
  </r>
  <r>
    <x v="4"/>
    <x v="0"/>
    <n v="470000"/>
    <n v="1450"/>
    <x v="1"/>
    <n v="5.3"/>
    <s v="22"/>
    <x v="0"/>
    <s v="Yes"/>
    <s v="Investor"/>
    <n v="324.13793103448273"/>
  </r>
  <r>
    <x v="5"/>
    <x v="2"/>
    <n v="340000"/>
    <n v="2350"/>
    <x v="0"/>
    <n v="6.4"/>
    <s v="10"/>
    <x v="1"/>
    <s v="No"/>
    <s v="First Timer"/>
    <n v="144.68085106382978"/>
  </r>
  <r>
    <x v="6"/>
    <x v="3"/>
    <n v="430000"/>
    <n v="2150"/>
    <x v="1"/>
    <n v="5.2"/>
    <s v="15"/>
    <x v="0"/>
    <s v="No"/>
    <s v="Upsizer"/>
    <n v="200"/>
  </r>
  <r>
    <x v="7"/>
    <x v="1"/>
    <n v="210000"/>
    <n v="2450"/>
    <x v="1"/>
    <n v="5.4"/>
    <s v="8"/>
    <x v="2"/>
    <s v="No"/>
    <s v="First Timer"/>
    <n v="85.714285714285708"/>
  </r>
  <r>
    <x v="8"/>
    <x v="0"/>
    <n v="590000"/>
    <n v="1800"/>
    <x v="1"/>
    <n v="5.0999999999999996"/>
    <s v="20"/>
    <x v="0"/>
    <s v="Yes"/>
    <s v="Investor"/>
    <n v="327.77777777777777"/>
  </r>
  <r>
    <x v="0"/>
    <x v="1"/>
    <n v="510000"/>
    <n v="3000"/>
    <x v="0"/>
    <n v="6"/>
    <s v="10"/>
    <x v="1"/>
    <s v="No"/>
    <s v="First Timer"/>
    <n v="170"/>
  </r>
  <r>
    <x v="1"/>
    <x v="3"/>
    <n v="490000"/>
    <n v="2450"/>
    <x v="1"/>
    <n v="5.3"/>
    <s v="15"/>
    <x v="0"/>
    <s v="No"/>
    <s v="Upsizer"/>
    <n v="200"/>
  </r>
  <r>
    <x v="3"/>
    <x v="0"/>
    <n v="440000"/>
    <n v="1700"/>
    <x v="0"/>
    <n v="6.2"/>
    <s v="20"/>
    <x v="0"/>
    <s v="Yes"/>
    <s v="Investor"/>
    <n v="258.8235294117647"/>
  </r>
  <r>
    <x v="4"/>
    <x v="1"/>
    <n v="260000"/>
    <n v="2500"/>
    <x v="1"/>
    <n v="5.4"/>
    <s v="8"/>
    <x v="2"/>
    <s v="No"/>
    <s v="First Timer"/>
    <n v="104"/>
  </r>
  <r>
    <x v="5"/>
    <x v="0"/>
    <n v="500000"/>
    <n v="1650"/>
    <x v="0"/>
    <n v="6.2"/>
    <s v="20"/>
    <x v="0"/>
    <s v="Yes"/>
    <s v="Investor"/>
    <n v="303.030303030303"/>
  </r>
  <r>
    <x v="6"/>
    <x v="2"/>
    <n v="370000"/>
    <n v="2350"/>
    <x v="1"/>
    <n v="5.3"/>
    <s v="10"/>
    <x v="1"/>
    <s v="No"/>
    <s v="First Timer"/>
    <n v="157.44680851063831"/>
  </r>
  <r>
    <x v="7"/>
    <x v="3"/>
    <n v="310000"/>
    <n v="1850"/>
    <x v="0"/>
    <n v="6.5"/>
    <s v="12"/>
    <x v="1"/>
    <s v="No"/>
    <s v="Upsizer"/>
    <n v="167.56756756756758"/>
  </r>
  <r>
    <x v="8"/>
    <x v="1"/>
    <n v="325000"/>
    <n v="2800"/>
    <x v="1"/>
    <n v="5.2"/>
    <s v="10"/>
    <x v="1"/>
    <s v="No"/>
    <s v="First Timer"/>
    <n v="116.07142857142857"/>
  </r>
  <r>
    <x v="0"/>
    <x v="2"/>
    <n v="620000"/>
    <n v="2650"/>
    <x v="1"/>
    <n v="5.0999999999999996"/>
    <s v="15"/>
    <x v="0"/>
    <s v="No"/>
    <s v="Upsizer"/>
    <n v="233.96226415094338"/>
  </r>
  <r>
    <x v="1"/>
    <x v="0"/>
    <n v="640000"/>
    <n v="2000"/>
    <x v="1"/>
    <n v="5.3"/>
    <s v="22"/>
    <x v="3"/>
    <s v="Yes"/>
    <s v="Investor"/>
    <n v="320"/>
  </r>
  <r>
    <x v="2"/>
    <x v="1"/>
    <n v="255000"/>
    <n v="2850"/>
    <x v="0"/>
    <n v="6.4"/>
    <s v="5"/>
    <x v="2"/>
    <s v="No"/>
    <s v="First Timer"/>
    <n v="89.473684210526315"/>
  </r>
  <r>
    <x v="3"/>
    <x v="3"/>
    <n v="350000"/>
    <n v="2200"/>
    <x v="1"/>
    <n v="5.5"/>
    <s v="12"/>
    <x v="1"/>
    <s v="No"/>
    <s v="Upsizer"/>
    <n v="159.09090909090909"/>
  </r>
  <r>
    <x v="4"/>
    <x v="2"/>
    <n v="335000"/>
    <n v="2300"/>
    <x v="1"/>
    <n v="5.4"/>
    <s v="10"/>
    <x v="1"/>
    <s v="No"/>
    <s v="First Timer"/>
    <n v="145.65217391304347"/>
  </r>
  <r>
    <x v="5"/>
    <x v="1"/>
    <n v="270000"/>
    <n v="2550"/>
    <x v="0"/>
    <n v="6.3"/>
    <s v="7"/>
    <x v="2"/>
    <s v="No"/>
    <s v="First Timer"/>
    <n v="105.88235294117646"/>
  </r>
  <r>
    <x v="6"/>
    <x v="0"/>
    <n v="550000"/>
    <n v="1750"/>
    <x v="1"/>
    <n v="5.0999999999999996"/>
    <s v="20"/>
    <x v="0"/>
    <s v="Yes"/>
    <s v="Investor"/>
    <n v="314.28571428571428"/>
  </r>
  <r>
    <x v="7"/>
    <x v="2"/>
    <n v="270000"/>
    <n v="2200"/>
    <x v="0"/>
    <n v="6.6"/>
    <s v="6"/>
    <x v="2"/>
    <s v="No"/>
    <s v="First Timer"/>
    <n v="122.72727272727273"/>
  </r>
  <r>
    <x v="8"/>
    <x v="3"/>
    <n v="470000"/>
    <n v="2300"/>
    <x v="1"/>
    <n v="5.2"/>
    <s v="15"/>
    <x v="0"/>
    <s v="No"/>
    <s v="Upsizer"/>
    <n v="204.34782608695653"/>
  </r>
  <r>
    <x v="0"/>
    <x v="0"/>
    <n v="890000"/>
    <n v="1950"/>
    <x v="1"/>
    <n v="5"/>
    <s v="20"/>
    <x v="3"/>
    <s v="Yes"/>
    <s v="Investor"/>
    <n v="456.41025641025641"/>
  </r>
  <r>
    <x v="5"/>
    <x v="0"/>
    <n v="435000"/>
    <n v="1320"/>
    <x v="1"/>
    <n v="5.0999999999999996"/>
    <s v="20"/>
    <x v="0"/>
    <s v="Yes"/>
    <s v="Investor"/>
    <n v="329.54545454545456"/>
  </r>
  <r>
    <x v="6"/>
    <x v="2"/>
    <n v="318000"/>
    <n v="1760"/>
    <x v="0"/>
    <n v="6.4"/>
    <n v="10"/>
    <x v="1"/>
    <s v="No"/>
    <s v="First Timer"/>
    <n v="180.68181818181819"/>
  </r>
  <r>
    <x v="3"/>
    <x v="3"/>
    <n v="325000"/>
    <n v="1980"/>
    <x v="0"/>
    <n v="6.2"/>
    <s v="15"/>
    <x v="1"/>
    <s v="No"/>
    <s v="Upsizer"/>
    <n v="164.14141414141415"/>
  </r>
  <r>
    <x v="4"/>
    <x v="1"/>
    <n v="230000"/>
    <n v="2250"/>
    <x v="0"/>
    <n v="6.5"/>
    <s v="8"/>
    <x v="2"/>
    <s v="No"/>
    <s v="First Timer"/>
    <n v="102.22222222222223"/>
  </r>
  <r>
    <x v="5"/>
    <x v="0"/>
    <n v="455000"/>
    <n v="1400"/>
    <x v="1"/>
    <n v="5.0999999999999996"/>
    <s v="20"/>
    <x v="0"/>
    <s v="Yes"/>
    <s v="Investor"/>
    <n v="325"/>
  </r>
  <r>
    <x v="6"/>
    <x v="2"/>
    <n v="340000"/>
    <n v="2050"/>
    <x v="1"/>
    <n v="5.3"/>
    <n v="10"/>
    <x v="1"/>
    <s v="No"/>
    <s v="First Timer"/>
    <n v="165.85365853658536"/>
  </r>
  <r>
    <x v="7"/>
    <x v="1"/>
    <n v="180000"/>
    <n v="2200"/>
    <x v="0"/>
    <n v="6.4"/>
    <s v="5"/>
    <x v="2"/>
    <s v="No"/>
    <s v="First Timer"/>
    <n v="81.818181818181813"/>
  </r>
  <r>
    <x v="8"/>
    <x v="0"/>
    <n v="540000"/>
    <n v="1530"/>
    <x v="1"/>
    <n v="5.0999999999999996"/>
    <s v="22"/>
    <x v="0"/>
    <s v="Yes"/>
    <s v="Upsizer"/>
    <n v="352.94117647058823"/>
  </r>
  <r>
    <x v="0"/>
    <x v="1"/>
    <n v="470000"/>
    <n v="2680"/>
    <x v="1"/>
    <n v="5"/>
    <s v="12"/>
    <x v="1"/>
    <s v="No"/>
    <s v="First Timer"/>
    <n v="175.37313432835822"/>
  </r>
  <r>
    <x v="1"/>
    <x v="3"/>
    <n v="440000"/>
    <n v="2120"/>
    <x v="0"/>
    <n v="6.1"/>
    <s v="15"/>
    <x v="0"/>
    <s v="No"/>
    <s v="Upsizer"/>
    <n v="207.54716981132074"/>
  </r>
  <r>
    <x v="2"/>
    <x v="0"/>
    <n v="405000"/>
    <n v="1460"/>
    <x v="1"/>
    <n v="5.3"/>
    <s v="18"/>
    <x v="1"/>
    <s v="Yes"/>
    <s v="Investor"/>
    <n v="277.39726027397262"/>
  </r>
  <r>
    <x v="3"/>
    <x v="2"/>
    <n v="255000"/>
    <n v="2200"/>
    <x v="0"/>
    <n v="6.5"/>
    <s v="10"/>
    <x v="2"/>
    <s v="No"/>
    <s v="First Timer"/>
    <n v="115.90909090909091"/>
  </r>
  <r>
    <x v="4"/>
    <x v="3"/>
    <n v="345000"/>
    <n v="1620"/>
    <x v="1"/>
    <n v="5.4"/>
    <s v="14"/>
    <x v="1"/>
    <s v="No"/>
    <s v="Upsizer"/>
    <n v="212.96296296296296"/>
  </r>
  <r>
    <x v="5"/>
    <x v="1"/>
    <n v="240000"/>
    <n v="2230"/>
    <x v="1"/>
    <n v="5.3"/>
    <s v="7"/>
    <x v="2"/>
    <s v="No"/>
    <s v="First Timer"/>
    <n v="107.62331838565022"/>
  </r>
  <r>
    <x v="6"/>
    <x v="0"/>
    <n v="510000"/>
    <n v="1450"/>
    <x v="0"/>
    <n v="6.2"/>
    <s v="20"/>
    <x v="0"/>
    <s v="Yes"/>
    <s v="Investor"/>
    <n v="351.72413793103448"/>
  </r>
  <r>
    <x v="7"/>
    <x v="2"/>
    <n v="225000"/>
    <n v="1880"/>
    <x v="1"/>
    <n v="5.3"/>
    <s v="6"/>
    <x v="2"/>
    <s v="No"/>
    <s v="First Timer"/>
    <n v="119.68085106382979"/>
  </r>
  <r>
    <x v="8"/>
    <x v="1"/>
    <n v="290000"/>
    <n v="2510"/>
    <x v="1"/>
    <n v="5.2"/>
    <s v="10"/>
    <x v="1"/>
    <s v="No"/>
    <s v="First Timer"/>
    <n v="115.53784860557769"/>
  </r>
  <r>
    <x v="0"/>
    <x v="2"/>
    <n v="580000"/>
    <n v="2300"/>
    <x v="1"/>
    <n v="5.0999999999999996"/>
    <s v="15"/>
    <x v="0"/>
    <s v="No"/>
    <s v="Upsizer"/>
    <n v="252.17391304347825"/>
  </r>
  <r>
    <x v="1"/>
    <x v="0"/>
    <n v="600000"/>
    <n v="1650"/>
    <x v="1"/>
    <n v="5.3"/>
    <s v="22"/>
    <x v="3"/>
    <s v="Yes"/>
    <s v="Investor"/>
    <n v="363.63636363636363"/>
  </r>
  <r>
    <x v="2"/>
    <x v="1"/>
    <n v="218000"/>
    <n v="2500"/>
    <x v="0"/>
    <n v="6.4"/>
    <s v="5"/>
    <x v="2"/>
    <s v="No"/>
    <s v="First Timer"/>
    <n v="87.2"/>
  </r>
  <r>
    <x v="3"/>
    <x v="0"/>
    <n v="395000"/>
    <n v="1400"/>
    <x v="1"/>
    <n v="5.4"/>
    <s v="20"/>
    <x v="0"/>
    <s v="Yes"/>
    <s v="Upsizer"/>
    <n v="282.14285714285717"/>
  </r>
  <r>
    <x v="4"/>
    <x v="2"/>
    <n v="295000"/>
    <n v="1940"/>
    <x v="0"/>
    <n v="6.5"/>
    <s v="10"/>
    <x v="1"/>
    <s v="No"/>
    <s v="First Timer"/>
    <n v="152.06185567010309"/>
  </r>
  <r>
    <x v="5"/>
    <x v="3"/>
    <n v="355000"/>
    <n v="1700"/>
    <x v="1"/>
    <n v="5.3"/>
    <s v="18"/>
    <x v="0"/>
    <s v="No"/>
    <s v="Upsizer"/>
    <n v="208.8235294117647"/>
  </r>
  <r>
    <x v="6"/>
    <x v="1"/>
    <n v="280000"/>
    <n v="2330"/>
    <x v="1"/>
    <n v="5.2"/>
    <s v="12"/>
    <x v="1"/>
    <s v="No"/>
    <s v="First Timer"/>
    <n v="120.17167381974249"/>
  </r>
  <r>
    <x v="7"/>
    <x v="0"/>
    <n v="350000"/>
    <n v="1120"/>
    <x v="0"/>
    <n v="6.6"/>
    <s v="25"/>
    <x v="0"/>
    <s v="Yes"/>
    <s v="Investor"/>
    <n v="312.5"/>
  </r>
  <r>
    <x v="8"/>
    <x v="3"/>
    <n v="420000"/>
    <n v="1950"/>
    <x v="1"/>
    <n v="5.2"/>
    <s v="15"/>
    <x v="0"/>
    <s v="No"/>
    <s v="Upsizer"/>
    <n v="215.38461538461539"/>
  </r>
  <r>
    <x v="0"/>
    <x v="0"/>
    <n v="830000"/>
    <n v="1620"/>
    <x v="0"/>
    <n v="6"/>
    <s v="20"/>
    <x v="3"/>
    <s v="Yes"/>
    <s v="Investor"/>
    <n v="512.34567901234573"/>
  </r>
  <r>
    <x v="1"/>
    <x v="2"/>
    <n v="380000"/>
    <n v="2400"/>
    <x v="1"/>
    <n v="5.4"/>
    <s v="10"/>
    <x v="1"/>
    <s v="No"/>
    <s v="First Timer"/>
    <n v="158.33333333333334"/>
  </r>
  <r>
    <x v="2"/>
    <x v="3"/>
    <n v="315000"/>
    <n v="1980"/>
    <x v="1"/>
    <n v="5.5"/>
    <s v="12"/>
    <x v="1"/>
    <s v="No"/>
    <s v="Upsizer"/>
    <n v="159.09090909090909"/>
  </r>
  <r>
    <x v="3"/>
    <x v="1"/>
    <n v="205000"/>
    <n v="2420"/>
    <x v="0"/>
    <n v="6.6"/>
    <s v="5"/>
    <x v="2"/>
    <s v="No"/>
    <s v="First Timer"/>
    <n v="84.710743801652896"/>
  </r>
  <r>
    <x v="4"/>
    <x v="0"/>
    <n v="435000"/>
    <n v="1210"/>
    <x v="1"/>
    <n v="5.3"/>
    <s v="22"/>
    <x v="0"/>
    <s v="Yes"/>
    <s v="Investor"/>
    <n v="359.50413223140498"/>
  </r>
  <r>
    <x v="5"/>
    <x v="2"/>
    <n v="300000"/>
    <n v="2000"/>
    <x v="0"/>
    <n v="6.4"/>
    <s v="10"/>
    <x v="1"/>
    <s v="No"/>
    <s v="First Timer"/>
    <n v="150"/>
  </r>
  <r>
    <x v="6"/>
    <x v="3"/>
    <n v="390000"/>
    <n v="1850"/>
    <x v="1"/>
    <n v="5.2"/>
    <s v="15"/>
    <x v="0"/>
    <s v="No"/>
    <s v="Upsizer"/>
    <n v="210.81081081081081"/>
  </r>
  <r>
    <x v="7"/>
    <x v="1"/>
    <n v="185000"/>
    <n v="2140"/>
    <x v="1"/>
    <n v="5.4"/>
    <s v="8"/>
    <x v="2"/>
    <s v="No"/>
    <s v="First Timer"/>
    <n v="86.44859813084112"/>
  </r>
  <r>
    <x v="8"/>
    <x v="0"/>
    <n v="540000"/>
    <n v="1550"/>
    <x v="0"/>
    <n v="6.1"/>
    <s v="20"/>
    <x v="0"/>
    <s v="Yes"/>
    <s v="Investor"/>
    <n v="348.38709677419354"/>
  </r>
  <r>
    <x v="0"/>
    <x v="1"/>
    <n v="460000"/>
    <n v="2700"/>
    <x v="0"/>
    <n v="6"/>
    <s v="10"/>
    <x v="1"/>
    <s v="No"/>
    <s v="First Timer"/>
    <n v="170.37037037037038"/>
  </r>
  <r>
    <x v="1"/>
    <x v="3"/>
    <n v="450000"/>
    <n v="2150"/>
    <x v="1"/>
    <n v="5.3"/>
    <s v="15"/>
    <x v="0"/>
    <s v="No"/>
    <s v="Upsizer"/>
    <n v="209.30232558139534"/>
  </r>
  <r>
    <x v="2"/>
    <x v="2"/>
    <n v="270000"/>
    <n v="2300"/>
    <x v="1"/>
    <n v="5.4"/>
    <s v="10"/>
    <x v="2"/>
    <s v="No"/>
    <s v="First Timer"/>
    <n v="117.39130434782609"/>
  </r>
  <r>
    <x v="3"/>
    <x v="0"/>
    <n v="400000"/>
    <n v="1420"/>
    <x v="0"/>
    <n v="6.2"/>
    <s v="20"/>
    <x v="0"/>
    <s v="Yes"/>
    <s v="Investor"/>
    <n v="281.6901408450704"/>
  </r>
  <r>
    <x v="4"/>
    <x v="1"/>
    <n v="235000"/>
    <n v="2180"/>
    <x v="1"/>
    <n v="5.4"/>
    <s v="5"/>
    <x v="2"/>
    <s v="No"/>
    <s v="First Timer"/>
    <n v="107.79816513761467"/>
  </r>
  <r>
    <x v="5"/>
    <x v="0"/>
    <n v="460000"/>
    <n v="1380"/>
    <x v="1"/>
    <n v="5.2"/>
    <s v="20"/>
    <x v="0"/>
    <s v="Yes"/>
    <s v="Investor"/>
    <n v="333.33333333333331"/>
  </r>
  <r>
    <x v="6"/>
    <x v="2"/>
    <n v="345000"/>
    <n v="2080"/>
    <x v="1"/>
    <n v="5.3"/>
    <s v="10"/>
    <x v="1"/>
    <s v="No"/>
    <s v="First Timer"/>
    <n v="165.86538461538461"/>
  </r>
  <r>
    <x v="7"/>
    <x v="3"/>
    <n v="280000"/>
    <n v="1650"/>
    <x v="0"/>
    <n v="6.5"/>
    <s v="12"/>
    <x v="1"/>
    <s v="No"/>
    <s v="Upsizer"/>
    <n v="169.69696969696969"/>
  </r>
  <r>
    <x v="8"/>
    <x v="1"/>
    <n v="295000"/>
    <n v="2530"/>
    <x v="0"/>
    <n v="6"/>
    <s v="10"/>
    <x v="1"/>
    <s v="No"/>
    <s v="First Timer"/>
    <n v="116.60079051383399"/>
  </r>
  <r>
    <x v="0"/>
    <x v="2"/>
    <n v="575000"/>
    <n v="2320"/>
    <x v="0"/>
    <n v="6.1"/>
    <s v="15"/>
    <x v="0"/>
    <s v="No"/>
    <s v="Upsizer"/>
    <n v="247.84482758620689"/>
  </r>
  <r>
    <x v="1"/>
    <x v="0"/>
    <n v="590000"/>
    <n v="1680"/>
    <x v="0"/>
    <n v="6"/>
    <s v="22"/>
    <x v="3"/>
    <s v="Yes"/>
    <s v="Investor"/>
    <n v="351.1904761904762"/>
  </r>
  <r>
    <x v="2"/>
    <x v="1"/>
    <n v="220000"/>
    <n v="2520"/>
    <x v="1"/>
    <n v="5.4"/>
    <s v="5"/>
    <x v="2"/>
    <s v="No"/>
    <s v="First Timer"/>
    <n v="87.301587301587304"/>
  </r>
  <r>
    <x v="3"/>
    <x v="3"/>
    <n v="320000"/>
    <n v="1920"/>
    <x v="1"/>
    <n v="5.5"/>
    <s v="12"/>
    <x v="1"/>
    <s v="No"/>
    <s v="Upsizer"/>
    <n v="166.66666666666666"/>
  </r>
  <r>
    <x v="4"/>
    <x v="2"/>
    <n v="300000"/>
    <n v="1980"/>
    <x v="1"/>
    <n v="5.4"/>
    <s v="10"/>
    <x v="1"/>
    <s v="No"/>
    <s v="First Timer"/>
    <n v="151.5151515151515"/>
  </r>
  <r>
    <x v="5"/>
    <x v="1"/>
    <n v="240000"/>
    <n v="2250"/>
    <x v="0"/>
    <n v="6.3"/>
    <s v="7"/>
    <x v="2"/>
    <s v="No"/>
    <s v="First Timer"/>
    <n v="106.66666666666667"/>
  </r>
  <r>
    <x v="6"/>
    <x v="0"/>
    <n v="510000"/>
    <n v="1480"/>
    <x v="1"/>
    <n v="5.0999999999999996"/>
    <s v="20"/>
    <x v="0"/>
    <s v="Yes"/>
    <s v="Investor"/>
    <n v="344.59459459459458"/>
  </r>
  <r>
    <x v="7"/>
    <x v="2"/>
    <n v="230000"/>
    <n v="1900"/>
    <x v="0"/>
    <n v="6.6"/>
    <s v="6"/>
    <x v="2"/>
    <s v="No"/>
    <s v="First Timer"/>
    <n v="121.05263157894737"/>
  </r>
  <r>
    <x v="8"/>
    <x v="3"/>
    <n v="430000"/>
    <n v="1980"/>
    <x v="0"/>
    <n v="6.1"/>
    <s v="15"/>
    <x v="0"/>
    <s v="No"/>
    <s v="Upsizer"/>
    <n v="217.17171717171718"/>
  </r>
  <r>
    <x v="0"/>
    <x v="0"/>
    <n v="825000"/>
    <n v="1650"/>
    <x v="1"/>
    <n v="5"/>
    <s v="20"/>
    <x v="3"/>
    <s v="Yes"/>
    <s v="Investor"/>
    <n v="500"/>
  </r>
  <r>
    <x v="1"/>
    <x v="1"/>
    <n v="320000"/>
    <n v="2350"/>
    <x v="1"/>
    <n v="5.2"/>
    <s v="12"/>
    <x v="1"/>
    <s v="No"/>
    <s v="First Timer"/>
    <n v="136.17021276595744"/>
  </r>
  <r>
    <x v="2"/>
    <x v="3"/>
    <n v="330000"/>
    <n v="2000"/>
    <x v="0"/>
    <n v="6.3"/>
    <s v="14"/>
    <x v="1"/>
    <s v="No"/>
    <s v="Upsizer"/>
    <n v="165"/>
  </r>
  <r>
    <x v="3"/>
    <x v="1"/>
    <n v="210000"/>
    <n v="2450"/>
    <x v="1"/>
    <n v="5.4"/>
    <s v="5"/>
    <x v="2"/>
    <s v="No"/>
    <s v="First Timer"/>
    <n v="85.714285714285708"/>
  </r>
  <r>
    <x v="4"/>
    <x v="0"/>
    <n v="440000"/>
    <n v="1240"/>
    <x v="0"/>
    <n v="6.2"/>
    <s v="22"/>
    <x v="0"/>
    <s v="Yes"/>
    <s v="Investor"/>
    <n v="354.83870967741933"/>
  </r>
  <r>
    <x v="5"/>
    <x v="2"/>
    <n v="310000"/>
    <n v="2030"/>
    <x v="1"/>
    <n v="5.5"/>
    <s v="10"/>
    <x v="1"/>
    <s v="No"/>
    <s v="First Timer"/>
    <n v="152.70935960591132"/>
  </r>
  <r>
    <x v="6"/>
    <x v="3"/>
    <n v="400000"/>
    <n v="1880"/>
    <x v="0"/>
    <n v="6.1"/>
    <s v="15"/>
    <x v="0"/>
    <s v="No"/>
    <s v="Upsizer"/>
    <n v="212.7659574468085"/>
  </r>
  <r>
    <x v="7"/>
    <x v="1"/>
    <n v="185000"/>
    <n v="2160"/>
    <x v="0"/>
    <n v="6.4"/>
    <s v="8"/>
    <x v="2"/>
    <s v="No"/>
    <s v="First Timer"/>
    <n v="85.648148148148152"/>
  </r>
  <r>
    <x v="8"/>
    <x v="0"/>
    <n v="550000"/>
    <n v="1580"/>
    <x v="1"/>
    <n v="5.0999999999999996"/>
    <s v="20"/>
    <x v="0"/>
    <s v="Yes"/>
    <s v="Investor"/>
    <n v="348.1012658227848"/>
  </r>
  <r>
    <x v="0"/>
    <x v="1"/>
    <n v="470000"/>
    <n v="2720"/>
    <x v="1"/>
    <n v="5"/>
    <s v="10"/>
    <x v="1"/>
    <s v="No"/>
    <s v="First Timer"/>
    <n v="172.79411764705881"/>
  </r>
  <r>
    <x v="1"/>
    <x v="3"/>
    <n v="455000"/>
    <n v="2180"/>
    <x v="0"/>
    <n v="6"/>
    <s v="15"/>
    <x v="0"/>
    <s v="No"/>
    <s v="Upsizer"/>
    <n v="208.71559633027522"/>
  </r>
  <r>
    <x v="2"/>
    <x v="2"/>
    <n v="275000"/>
    <n v="2330"/>
    <x v="0"/>
    <n v="6.3"/>
    <s v="10"/>
    <x v="2"/>
    <s v="No"/>
    <s v="First Timer"/>
    <n v="118.02575107296137"/>
  </r>
  <r>
    <x v="3"/>
    <x v="0"/>
    <n v="405000"/>
    <n v="1450"/>
    <x v="1"/>
    <n v="5.4"/>
    <s v="20"/>
    <x v="0"/>
    <s v="Yes"/>
    <s v="Investor"/>
    <n v="279.31034482758622"/>
  </r>
  <r>
    <x v="4"/>
    <x v="1"/>
    <n v="240000"/>
    <n v="2200"/>
    <x v="0"/>
    <n v="6.5"/>
    <s v="8"/>
    <x v="2"/>
    <s v="No"/>
    <s v="First Timer"/>
    <n v="109.09090909090909"/>
  </r>
  <r>
    <x v="5"/>
    <x v="0"/>
    <n v="470000"/>
    <n v="1400"/>
    <x v="0"/>
    <n v="6.2"/>
    <s v="20"/>
    <x v="0"/>
    <s v="Yes"/>
    <s v="Investor"/>
    <n v="335.71428571428572"/>
  </r>
  <r>
    <x v="6"/>
    <x v="2"/>
    <n v="350000"/>
    <n v="2100"/>
    <x v="0"/>
    <n v="6.1"/>
    <s v="10"/>
    <x v="1"/>
    <s v="No"/>
    <s v="First Timer"/>
    <n v="166.66666666666666"/>
  </r>
  <r>
    <x v="7"/>
    <x v="3"/>
    <n v="285000"/>
    <n v="1680"/>
    <x v="1"/>
    <n v="5.4"/>
    <s v="12"/>
    <x v="1"/>
    <s v="No"/>
    <s v="Upsizer"/>
    <n v="169.64285714285714"/>
  </r>
  <r>
    <x v="8"/>
    <x v="1"/>
    <n v="300000"/>
    <n v="2550"/>
    <x v="1"/>
    <n v="5.2"/>
    <s v="10"/>
    <x v="1"/>
    <s v="No"/>
    <s v="First Timer"/>
    <n v="117.64705882352941"/>
  </r>
  <r>
    <x v="0"/>
    <x v="2"/>
    <n v="585000"/>
    <n v="2350"/>
    <x v="1"/>
    <n v="5.0999999999999996"/>
    <s v="15"/>
    <x v="0"/>
    <s v="No"/>
    <s v="Upsizer"/>
    <n v="248.93617021276594"/>
  </r>
  <r>
    <x v="1"/>
    <x v="0"/>
    <n v="610000"/>
    <n v="1700"/>
    <x v="1"/>
    <n v="5.3"/>
    <s v="22"/>
    <x v="3"/>
    <s v="Yes"/>
    <s v="Investor"/>
    <n v="358.8235294117647"/>
  </r>
  <r>
    <x v="2"/>
    <x v="1"/>
    <n v="225000"/>
    <n v="2550"/>
    <x v="0"/>
    <n v="6.4"/>
    <s v="5"/>
    <x v="2"/>
    <s v="No"/>
    <s v="First Timer"/>
    <n v="88.235294117647058"/>
  </r>
  <r>
    <x v="3"/>
    <x v="3"/>
    <n v="325000"/>
    <n v="1950"/>
    <x v="1"/>
    <n v="5.5"/>
    <s v="12"/>
    <x v="1"/>
    <s v="No"/>
    <s v="Upsizer"/>
    <n v="166.66666666666666"/>
  </r>
  <r>
    <x v="4"/>
    <x v="2"/>
    <n v="310000"/>
    <n v="2000"/>
    <x v="0"/>
    <n v="6.6"/>
    <s v="10"/>
    <x v="1"/>
    <s v="No"/>
    <s v="First Timer"/>
    <n v="155"/>
  </r>
  <r>
    <x v="5"/>
    <x v="1"/>
    <n v="250000"/>
    <n v="2280"/>
    <x v="1"/>
    <n v="5.3"/>
    <s v="7"/>
    <x v="2"/>
    <s v="No"/>
    <s v="First Timer"/>
    <n v="109.64912280701755"/>
  </r>
  <r>
    <x v="6"/>
    <x v="0"/>
    <n v="520000"/>
    <n v="1500"/>
    <x v="0"/>
    <n v="6"/>
    <s v="20"/>
    <x v="0"/>
    <s v="Yes"/>
    <s v="Investor"/>
    <n v="346.66666666666669"/>
  </r>
  <r>
    <x v="7"/>
    <x v="2"/>
    <n v="240000"/>
    <n v="1930"/>
    <x v="1"/>
    <n v="5.3"/>
    <s v="6"/>
    <x v="2"/>
    <s v="No"/>
    <s v="First Timer"/>
    <n v="124.35233160621762"/>
  </r>
  <r>
    <x v="8"/>
    <x v="3"/>
    <n v="440000"/>
    <n v="2000"/>
    <x v="1"/>
    <n v="5.2"/>
    <s v="15"/>
    <x v="0"/>
    <s v="No"/>
    <s v="Upsizer"/>
    <n v="220"/>
  </r>
  <r>
    <x v="0"/>
    <x v="0"/>
    <n v="840000"/>
    <n v="1680"/>
    <x v="0"/>
    <n v="6.1"/>
    <s v="20"/>
    <x v="3"/>
    <s v="Yes"/>
    <s v="Investor"/>
    <n v="500"/>
  </r>
  <r>
    <x v="1"/>
    <x v="1"/>
    <n v="325000"/>
    <n v="2380"/>
    <x v="0"/>
    <n v="6"/>
    <s v="12"/>
    <x v="1"/>
    <s v="No"/>
    <s v="First Timer"/>
    <n v="136.55462184873949"/>
  </r>
  <r>
    <x v="2"/>
    <x v="3"/>
    <n v="340000"/>
    <n v="2030"/>
    <x v="1"/>
    <n v="5.4"/>
    <s v="14"/>
    <x v="1"/>
    <s v="No"/>
    <s v="Upsizer"/>
    <n v="167.48768472906403"/>
  </r>
  <r>
    <x v="3"/>
    <x v="1"/>
    <n v="220000"/>
    <n v="2480"/>
    <x v="0"/>
    <n v="6.5"/>
    <s v="5"/>
    <x v="2"/>
    <s v="No"/>
    <s v="First Timer"/>
    <n v="88.709677419354833"/>
  </r>
  <r>
    <x v="4"/>
    <x v="0"/>
    <n v="450000"/>
    <n v="1260"/>
    <x v="1"/>
    <n v="5.3"/>
    <s v="22"/>
    <x v="0"/>
    <s v="Yes"/>
    <s v="Investor"/>
    <n v="357.14285714285717"/>
  </r>
  <r>
    <x v="5"/>
    <x v="2"/>
    <n v="320000"/>
    <n v="2050"/>
    <x v="0"/>
    <n v="6.4"/>
    <s v="10"/>
    <x v="1"/>
    <s v="No"/>
    <s v="First Timer"/>
    <n v="156.09756097560975"/>
  </r>
  <r>
    <x v="6"/>
    <x v="3"/>
    <n v="405000"/>
    <n v="1900"/>
    <x v="1"/>
    <n v="5.2"/>
    <s v="15"/>
    <x v="0"/>
    <s v="No"/>
    <s v="Upsizer"/>
    <n v="213.15789473684211"/>
  </r>
  <r>
    <x v="7"/>
    <x v="1"/>
    <n v="195000"/>
    <n v="2180"/>
    <x v="1"/>
    <n v="5.4"/>
    <s v="8"/>
    <x v="2"/>
    <s v="No"/>
    <s v="First Timer"/>
    <n v="89.449541284403665"/>
  </r>
  <r>
    <x v="8"/>
    <x v="0"/>
    <n v="560000"/>
    <n v="1600"/>
    <x v="0"/>
    <n v="6.1"/>
    <s v="20"/>
    <x v="0"/>
    <s v="Yes"/>
    <s v="Investor"/>
    <n v="350"/>
  </r>
  <r>
    <x v="4"/>
    <x v="1"/>
    <n v="400000"/>
    <n v="2250"/>
    <x v="1"/>
    <n v="5.4"/>
    <s v="8"/>
    <x v="2"/>
    <s v="No"/>
    <s v="First Timer"/>
    <n v="177.77777777777777"/>
  </r>
  <r>
    <x v="5"/>
    <x v="0"/>
    <n v="470000"/>
    <n v="1400"/>
    <x v="1"/>
    <n v="5.0999999999999996"/>
    <n v="20"/>
    <x v="0"/>
    <s v="Yes"/>
    <s v="Investor"/>
    <n v="335.71428571428572"/>
  </r>
  <r>
    <x v="6"/>
    <x v="2"/>
    <n v="300000"/>
    <n v="500"/>
    <x v="1"/>
    <n v="5.3"/>
    <s v="10"/>
    <x v="1"/>
    <s v="No"/>
    <s v="First Timer"/>
    <n v="600"/>
  </r>
  <r>
    <x v="7"/>
    <x v="1"/>
    <n v="394000"/>
    <n v="2200"/>
    <x v="0"/>
    <n v="6.4"/>
    <n v="5"/>
    <x v="2"/>
    <s v="No"/>
    <s v="First Timer"/>
    <n v="179.09090909090909"/>
  </r>
  <r>
    <x v="8"/>
    <x v="0"/>
    <n v="700000"/>
    <n v="740"/>
    <x v="1"/>
    <n v="5.0999999999999996"/>
    <s v="22"/>
    <x v="0"/>
    <s v="Yes"/>
    <s v="Upsizer"/>
    <n v="945.94594594594594"/>
  </r>
  <r>
    <x v="0"/>
    <x v="1"/>
    <n v="490000"/>
    <n v="2680"/>
    <x v="1"/>
    <n v="5"/>
    <n v="12"/>
    <x v="1"/>
    <s v="No"/>
    <s v="First Timer"/>
    <n v="182.83582089552237"/>
  </r>
  <r>
    <x v="1"/>
    <x v="3"/>
    <n v="440000"/>
    <n v="740"/>
    <x v="0"/>
    <n v="6.1"/>
    <s v="15"/>
    <x v="0"/>
    <s v="No"/>
    <s v="Upsizer"/>
    <n v="594.59459459459458"/>
  </r>
  <r>
    <x v="2"/>
    <x v="0"/>
    <n v="410000"/>
    <n v="1460"/>
    <x v="1"/>
    <n v="5.3"/>
    <n v="18"/>
    <x v="1"/>
    <s v="Yes"/>
    <s v="Investor"/>
    <n v="280.82191780821915"/>
  </r>
  <r>
    <x v="3"/>
    <x v="2"/>
    <n v="260000"/>
    <n v="740"/>
    <x v="0"/>
    <n v="6.5"/>
    <s v="10"/>
    <x v="2"/>
    <s v="No"/>
    <s v="First Timer"/>
    <n v="351.35135135135135"/>
  </r>
  <r>
    <x v="4"/>
    <x v="3"/>
    <n v="355000"/>
    <n v="1620"/>
    <x v="1"/>
    <n v="5.4"/>
    <n v="14"/>
    <x v="1"/>
    <s v="No"/>
    <s v="Upsizer"/>
    <n v="219.1358024691358"/>
  </r>
  <r>
    <x v="5"/>
    <x v="1"/>
    <n v="250000"/>
    <n v="2230"/>
    <x v="1"/>
    <n v="5.3"/>
    <n v="7"/>
    <x v="2"/>
    <s v="No"/>
    <s v="First Timer"/>
    <n v="112.10762331838565"/>
  </r>
  <r>
    <x v="6"/>
    <x v="0"/>
    <n v="290000"/>
    <n v="1450"/>
    <x v="1"/>
    <n v="5.0999999999999996"/>
    <n v="20"/>
    <x v="0"/>
    <s v="Yes"/>
    <s v="Investor"/>
    <n v="200"/>
  </r>
  <r>
    <x v="7"/>
    <x v="2"/>
    <n v="230000"/>
    <n v="740"/>
    <x v="1"/>
    <n v="5.3"/>
    <s v="6"/>
    <x v="2"/>
    <s v="No"/>
    <s v="First Timer"/>
    <n v="310.81081081081084"/>
  </r>
  <r>
    <x v="8"/>
    <x v="1"/>
    <n v="310000"/>
    <n v="2510"/>
    <x v="1"/>
    <n v="5.3"/>
    <n v="10"/>
    <x v="1"/>
    <s v="No"/>
    <s v="First Timer"/>
    <n v="123.50597609561753"/>
  </r>
  <r>
    <x v="0"/>
    <x v="2"/>
    <n v="600000"/>
    <n v="740"/>
    <x v="1"/>
    <n v="5.0999999999999996"/>
    <s v="15"/>
    <x v="0"/>
    <s v="No"/>
    <s v="Upsizer"/>
    <n v="810.81081081081084"/>
  </r>
  <r>
    <x v="1"/>
    <x v="0"/>
    <n v="620000"/>
    <n v="740"/>
    <x v="1"/>
    <n v="5.3"/>
    <s v="22"/>
    <x v="3"/>
    <s v="Yes"/>
    <s v="Investor"/>
    <n v="837.83783783783781"/>
  </r>
  <r>
    <x v="2"/>
    <x v="1"/>
    <n v="230000"/>
    <n v="740"/>
    <x v="0"/>
    <n v="6.4"/>
    <s v="5"/>
    <x v="2"/>
    <s v="No"/>
    <s v="First Timer"/>
    <n v="310.81081081081084"/>
  </r>
  <r>
    <x v="3"/>
    <x v="0"/>
    <n v="415000"/>
    <n v="1400"/>
    <x v="1"/>
    <n v="5.0999999999999996"/>
    <n v="20"/>
    <x v="0"/>
    <s v="Yes"/>
    <s v="Upsizer"/>
    <n v="296.42857142857144"/>
  </r>
  <r>
    <x v="4"/>
    <x v="2"/>
    <n v="305000"/>
    <n v="740"/>
    <x v="0"/>
    <n v="6.5"/>
    <s v="10"/>
    <x v="1"/>
    <s v="No"/>
    <s v="First Timer"/>
    <n v="412.16216216216219"/>
  </r>
  <r>
    <x v="5"/>
    <x v="3"/>
    <n v="360000"/>
    <n v="740"/>
    <x v="1"/>
    <n v="5.3"/>
    <s v="18"/>
    <x v="0"/>
    <s v="No"/>
    <s v="Upsizer"/>
    <n v="486.48648648648651"/>
  </r>
  <r>
    <x v="6"/>
    <x v="1"/>
    <n v="300000"/>
    <n v="740"/>
    <x v="1"/>
    <n v="5.2"/>
    <s v="12"/>
    <x v="1"/>
    <s v="No"/>
    <s v="First Timer"/>
    <n v="405.40540540540542"/>
  </r>
  <r>
    <x v="7"/>
    <x v="0"/>
    <n v="310000"/>
    <n v="1120"/>
    <x v="0"/>
    <n v="6.6"/>
    <n v="25"/>
    <x v="0"/>
    <s v="Yes"/>
    <s v="Investor"/>
    <n v="276.78571428571428"/>
  </r>
  <r>
    <x v="8"/>
    <x v="3"/>
    <n v="440000"/>
    <n v="740"/>
    <x v="1"/>
    <n v="5.2"/>
    <s v="15"/>
    <x v="0"/>
    <s v="No"/>
    <s v="Upsizer"/>
    <n v="594.59459459459458"/>
  </r>
  <r>
    <x v="0"/>
    <x v="0"/>
    <n v="860000"/>
    <n v="1620"/>
    <x v="1"/>
    <n v="5.0999999999999996"/>
    <n v="20"/>
    <x v="3"/>
    <s v="Yes"/>
    <s v="Investor"/>
    <n v="530.8641975308642"/>
  </r>
  <r>
    <x v="1"/>
    <x v="2"/>
    <n v="400000"/>
    <n v="740"/>
    <x v="1"/>
    <n v="5.4"/>
    <s v="10"/>
    <x v="1"/>
    <s v="No"/>
    <s v="First Timer"/>
    <n v="540.54054054054052"/>
  </r>
  <r>
    <x v="2"/>
    <x v="3"/>
    <n v="320000"/>
    <n v="740"/>
    <x v="1"/>
    <n v="5.5"/>
    <s v="12"/>
    <x v="1"/>
    <s v="No"/>
    <s v="Upsizer"/>
    <n v="432.43243243243245"/>
  </r>
  <r>
    <x v="3"/>
    <x v="1"/>
    <n v="210000"/>
    <n v="740"/>
    <x v="0"/>
    <n v="6.6"/>
    <s v="5"/>
    <x v="2"/>
    <s v="No"/>
    <s v="First Timer"/>
    <n v="283.7837837837838"/>
  </r>
  <r>
    <x v="4"/>
    <x v="0"/>
    <n v="450000"/>
    <n v="740"/>
    <x v="1"/>
    <n v="5.3"/>
    <s v="22"/>
    <x v="0"/>
    <s v="Yes"/>
    <s v="Investor"/>
    <n v="608.10810810810813"/>
  </r>
  <r>
    <x v="5"/>
    <x v="2"/>
    <n v="310000"/>
    <n v="740"/>
    <x v="0"/>
    <n v="6.4"/>
    <s v="10"/>
    <x v="1"/>
    <s v="No"/>
    <s v="First Timer"/>
    <n v="418.91891891891891"/>
  </r>
  <r>
    <x v="6"/>
    <x v="3"/>
    <n v="410000"/>
    <n v="740"/>
    <x v="1"/>
    <n v="5.2"/>
    <s v="15"/>
    <x v="0"/>
    <s v="No"/>
    <s v="Upsizer"/>
    <n v="554.05405405405406"/>
  </r>
  <r>
    <x v="7"/>
    <x v="1"/>
    <n v="190000"/>
    <n v="740"/>
    <x v="1"/>
    <n v="5.4"/>
    <s v="8"/>
    <x v="2"/>
    <s v="No"/>
    <s v="First Timer"/>
    <n v="256.75675675675677"/>
  </r>
  <r>
    <x v="8"/>
    <x v="0"/>
    <n v="330000"/>
    <n v="1550"/>
    <x v="1"/>
    <n v="5.0999999999999996"/>
    <n v="20"/>
    <x v="0"/>
    <s v="Yes"/>
    <s v="Investor"/>
    <n v="212.90322580645162"/>
  </r>
  <r>
    <x v="0"/>
    <x v="1"/>
    <n v="500000"/>
    <n v="740"/>
    <x v="0"/>
    <n v="6"/>
    <s v="10"/>
    <x v="1"/>
    <s v="No"/>
    <s v="First Timer"/>
    <n v="675.67567567567562"/>
  </r>
  <r>
    <x v="1"/>
    <x v="3"/>
    <n v="480000"/>
    <n v="740"/>
    <x v="1"/>
    <n v="5.3"/>
    <s v="15"/>
    <x v="0"/>
    <s v="No"/>
    <s v="Upsizer"/>
    <n v="648.64864864864865"/>
  </r>
  <r>
    <x v="2"/>
    <x v="2"/>
    <n v="300000"/>
    <n v="740"/>
    <x v="1"/>
    <n v="5.4"/>
    <s v="10"/>
    <x v="2"/>
    <s v="No"/>
    <s v="First Timer"/>
    <n v="405.40540540540542"/>
  </r>
  <r>
    <x v="3"/>
    <x v="0"/>
    <n v="430000"/>
    <n v="740"/>
    <x v="0"/>
    <n v="6.2"/>
    <s v="22"/>
    <x v="0"/>
    <s v="Yes"/>
    <s v="Investor"/>
    <n v="581.08108108108104"/>
  </r>
  <r>
    <x v="4"/>
    <x v="1"/>
    <n v="260000"/>
    <n v="740"/>
    <x v="1"/>
    <n v="5.4"/>
    <s v="5"/>
    <x v="2"/>
    <s v="No"/>
    <s v="First Timer"/>
    <n v="351.35135135135135"/>
  </r>
  <r>
    <x v="5"/>
    <x v="0"/>
    <n v="490000"/>
    <n v="740"/>
    <x v="1"/>
    <n v="5.2"/>
    <s v="22"/>
    <x v="0"/>
    <s v="Yes"/>
    <s v="Investor"/>
    <n v="662.16216216216219"/>
  </r>
  <r>
    <x v="6"/>
    <x v="2"/>
    <n v="360000"/>
    <n v="740"/>
    <x v="1"/>
    <n v="5.3"/>
    <s v="10"/>
    <x v="1"/>
    <s v="No"/>
    <s v="First Timer"/>
    <n v="486.48648648648651"/>
  </r>
  <r>
    <x v="7"/>
    <x v="3"/>
    <n v="290000"/>
    <n v="740"/>
    <x v="0"/>
    <n v="6.5"/>
    <s v="12"/>
    <x v="1"/>
    <s v="No"/>
    <s v="Upsizer"/>
    <n v="391.89189189189187"/>
  </r>
  <r>
    <x v="8"/>
    <x v="1"/>
    <n v="310000"/>
    <n v="740"/>
    <x v="0"/>
    <n v="6"/>
    <s v="10"/>
    <x v="1"/>
    <s v="No"/>
    <s v="First Timer"/>
    <n v="418.91891891891891"/>
  </r>
  <r>
    <x v="0"/>
    <x v="2"/>
    <n v="600000"/>
    <n v="740"/>
    <x v="0"/>
    <n v="6.1"/>
    <s v="15"/>
    <x v="0"/>
    <s v="No"/>
    <s v="Upsizer"/>
    <n v="810.81081081081084"/>
  </r>
  <r>
    <x v="1"/>
    <x v="0"/>
    <n v="620000"/>
    <n v="740"/>
    <x v="0"/>
    <n v="6"/>
    <s v="22"/>
    <x v="3"/>
    <s v="Yes"/>
    <s v="Investor"/>
    <n v="837.83783783783781"/>
  </r>
  <r>
    <x v="2"/>
    <x v="1"/>
    <n v="240000"/>
    <n v="740"/>
    <x v="1"/>
    <n v="5.4"/>
    <s v="5"/>
    <x v="2"/>
    <s v="No"/>
    <s v="First Timer"/>
    <n v="324.32432432432432"/>
  </r>
  <r>
    <x v="3"/>
    <x v="3"/>
    <n v="330000"/>
    <n v="740"/>
    <x v="1"/>
    <n v="5.5"/>
    <s v="12"/>
    <x v="1"/>
    <s v="No"/>
    <s v="Upsizer"/>
    <n v="445.94594594594594"/>
  </r>
  <r>
    <x v="4"/>
    <x v="2"/>
    <n v="310000"/>
    <n v="740"/>
    <x v="1"/>
    <n v="5.4"/>
    <s v="10"/>
    <x v="1"/>
    <s v="No"/>
    <s v="First Timer"/>
    <n v="418.91891891891891"/>
  </r>
  <r>
    <x v="5"/>
    <x v="1"/>
    <n v="260000"/>
    <n v="740"/>
    <x v="0"/>
    <n v="5.4"/>
    <s v="7"/>
    <x v="2"/>
    <s v="No"/>
    <s v="First Timer"/>
    <n v="351.35135135135135"/>
  </r>
  <r>
    <x v="6"/>
    <x v="0"/>
    <n v="410000"/>
    <n v="1480"/>
    <x v="1"/>
    <n v="5.0999999999999996"/>
    <n v="20"/>
    <x v="0"/>
    <s v="Yes"/>
    <s v="Investor"/>
    <n v="277.02702702702703"/>
  </r>
  <r>
    <x v="7"/>
    <x v="2"/>
    <n v="240000"/>
    <n v="740"/>
    <x v="0"/>
    <n v="6.6"/>
    <s v="6"/>
    <x v="2"/>
    <s v="No"/>
    <s v="First Timer"/>
    <n v="324.32432432432432"/>
  </r>
  <r>
    <x v="8"/>
    <x v="3"/>
    <n v="450000"/>
    <n v="740"/>
    <x v="0"/>
    <n v="6.1"/>
    <s v="15"/>
    <x v="0"/>
    <s v="No"/>
    <s v="Upsizer"/>
    <n v="608.10810810810813"/>
  </r>
  <r>
    <x v="0"/>
    <x v="0"/>
    <n v="900000"/>
    <n v="1650"/>
    <x v="1"/>
    <n v="5.0999999999999996"/>
    <n v="20"/>
    <x v="3"/>
    <s v="Yes"/>
    <s v="Investor"/>
    <n v="545.4545454545455"/>
  </r>
  <r>
    <x v="4"/>
    <x v="3"/>
    <n v="400000"/>
    <n v="740"/>
    <x v="1"/>
    <n v="5.2"/>
    <s v="15"/>
    <x v="1"/>
    <s v="No"/>
    <s v="Upsizer"/>
    <n v="540.54054054054052"/>
  </r>
  <r>
    <x v="4"/>
    <x v="1"/>
    <n v="420000"/>
    <n v="2250"/>
    <x v="1"/>
    <n v="5.4"/>
    <s v="8"/>
    <x v="2"/>
    <s v="No"/>
    <s v="First Timer"/>
    <n v="186.66666666666666"/>
  </r>
  <r>
    <x v="5"/>
    <x v="0"/>
    <n v="480000"/>
    <n v="1400"/>
    <x v="1"/>
    <n v="5.0999999999999996"/>
    <n v="20"/>
    <x v="0"/>
    <s v="Yes"/>
    <s v="Investor"/>
    <n v="342.85714285714283"/>
  </r>
  <r>
    <x v="6"/>
    <x v="2"/>
    <n v="300000"/>
    <n v="900"/>
    <x v="1"/>
    <n v="5.3"/>
    <s v="10"/>
    <x v="1"/>
    <s v="No"/>
    <s v="First Timer"/>
    <n v="333.33333333333331"/>
  </r>
  <r>
    <x v="8"/>
    <x v="0"/>
    <n v="770000"/>
    <n v="1530"/>
    <x v="1"/>
    <n v="5.0999999999999996"/>
    <n v="22"/>
    <x v="0"/>
    <s v="Yes"/>
    <s v="Upsizer"/>
    <n v="503.26797385620915"/>
  </r>
  <r>
    <x v="0"/>
    <x v="1"/>
    <n v="495000"/>
    <n v="2680"/>
    <x v="1"/>
    <n v="5"/>
    <n v="12"/>
    <x v="1"/>
    <s v="No"/>
    <s v="First Timer"/>
    <n v="184.70149253731344"/>
  </r>
  <r>
    <x v="1"/>
    <x v="3"/>
    <n v="450000"/>
    <n v="740"/>
    <x v="0"/>
    <n v="6.1"/>
    <s v="15"/>
    <x v="0"/>
    <s v="No"/>
    <s v="Upsizer"/>
    <n v="608.10810810810813"/>
  </r>
  <r>
    <x v="2"/>
    <x v="0"/>
    <n v="420000"/>
    <n v="1460"/>
    <x v="1"/>
    <n v="5.3"/>
    <n v="18"/>
    <x v="1"/>
    <s v="Yes"/>
    <s v="Investor"/>
    <n v="287.67123287671234"/>
  </r>
  <r>
    <x v="3"/>
    <x v="2"/>
    <n v="270000"/>
    <n v="740"/>
    <x v="0"/>
    <n v="6.5"/>
    <s v="10"/>
    <x v="2"/>
    <s v="No"/>
    <s v="First Timer"/>
    <n v="364.86486486486484"/>
  </r>
  <r>
    <x v="4"/>
    <x v="3"/>
    <n v="360000"/>
    <n v="740"/>
    <x v="1"/>
    <n v="5.4"/>
    <s v="14"/>
    <x v="1"/>
    <s v="No"/>
    <s v="Upsizer"/>
    <n v="486.48648648648651"/>
  </r>
  <r>
    <x v="5"/>
    <x v="1"/>
    <n v="260000"/>
    <n v="740"/>
    <x v="1"/>
    <n v="5.3"/>
    <s v="7"/>
    <x v="2"/>
    <s v="No"/>
    <s v="First Timer"/>
    <n v="351.35135135135135"/>
  </r>
  <r>
    <x v="6"/>
    <x v="0"/>
    <n v="330000"/>
    <n v="1450"/>
    <x v="1"/>
    <n v="5.0999999999999996"/>
    <n v="20"/>
    <x v="0"/>
    <s v="Yes"/>
    <s v="Investor"/>
    <n v="227.58620689655172"/>
  </r>
  <r>
    <x v="7"/>
    <x v="2"/>
    <n v="240000"/>
    <n v="740"/>
    <x v="1"/>
    <n v="5.3"/>
    <s v="6"/>
    <x v="2"/>
    <s v="No"/>
    <s v="First Timer"/>
    <n v="324.32432432432432"/>
  </r>
  <r>
    <x v="8"/>
    <x v="1"/>
    <n v="330000"/>
    <n v="2510"/>
    <x v="1"/>
    <n v="5.3"/>
    <n v="10"/>
    <x v="1"/>
    <s v="No"/>
    <s v="First Timer"/>
    <n v="131.47410358565736"/>
  </r>
  <r>
    <x v="0"/>
    <x v="2"/>
    <n v="610000"/>
    <n v="740"/>
    <x v="1"/>
    <n v="5.0999999999999996"/>
    <s v="15"/>
    <x v="0"/>
    <s v="No"/>
    <s v="Upsizer"/>
    <n v="824.32432432432438"/>
  </r>
  <r>
    <x v="1"/>
    <x v="0"/>
    <n v="630000"/>
    <n v="740"/>
    <x v="1"/>
    <n v="5.3"/>
    <s v="22"/>
    <x v="3"/>
    <s v="Yes"/>
    <s v="Investor"/>
    <n v="851.35135135135135"/>
  </r>
  <r>
    <x v="2"/>
    <x v="1"/>
    <n v="240000"/>
    <n v="740"/>
    <x v="0"/>
    <n v="6.4"/>
    <s v="5"/>
    <x v="2"/>
    <s v="No"/>
    <s v="First Timer"/>
    <n v="324.32432432432432"/>
  </r>
  <r>
    <x v="3"/>
    <x v="0"/>
    <n v="420000"/>
    <n v="740"/>
    <x v="1"/>
    <n v="5.4"/>
    <s v="20"/>
    <x v="0"/>
    <s v="Yes"/>
    <s v="Upsizer"/>
    <n v="567.56756756756761"/>
  </r>
  <r>
    <x v="4"/>
    <x v="2"/>
    <n v="310000"/>
    <n v="740"/>
    <x v="0"/>
    <n v="6.5"/>
    <s v="10"/>
    <x v="1"/>
    <s v="No"/>
    <s v="First Timer"/>
    <n v="418.91891891891891"/>
  </r>
  <r>
    <x v="5"/>
    <x v="3"/>
    <n v="370000"/>
    <n v="740"/>
    <x v="1"/>
    <n v="5.3"/>
    <s v="18"/>
    <x v="0"/>
    <s v="No"/>
    <s v="Upsizer"/>
    <n v="500"/>
  </r>
  <r>
    <x v="6"/>
    <x v="1"/>
    <n v="310000"/>
    <n v="740"/>
    <x v="1"/>
    <n v="5.2"/>
    <s v="12"/>
    <x v="1"/>
    <s v="No"/>
    <s v="First Timer"/>
    <n v="418.91891891891891"/>
  </r>
  <r>
    <x v="7"/>
    <x v="0"/>
    <n v="410000"/>
    <n v="1120"/>
    <x v="1"/>
    <n v="5.4"/>
    <n v="25"/>
    <x v="0"/>
    <s v="Yes"/>
    <s v="Investor"/>
    <n v="366.07142857142856"/>
  </r>
  <r>
    <x v="8"/>
    <x v="3"/>
    <n v="460000"/>
    <n v="740"/>
    <x v="1"/>
    <n v="5.2"/>
    <s v="15"/>
    <x v="0"/>
    <s v="No"/>
    <s v="Upsizer"/>
    <n v="621.62162162162167"/>
  </r>
  <r>
    <x v="0"/>
    <x v="0"/>
    <n v="920000"/>
    <n v="1620"/>
    <x v="1"/>
    <n v="5.0999999999999996"/>
    <n v="20"/>
    <x v="3"/>
    <s v="Yes"/>
    <s v="Investor"/>
    <n v="567.90123456790127"/>
  </r>
  <r>
    <x v="1"/>
    <x v="2"/>
    <n v="410000"/>
    <n v="740"/>
    <x v="1"/>
    <n v="5.4"/>
    <s v="10"/>
    <x v="1"/>
    <s v="No"/>
    <s v="First Timer"/>
    <n v="554.05405405405406"/>
  </r>
  <r>
    <x v="2"/>
    <x v="3"/>
    <n v="330000"/>
    <n v="740"/>
    <x v="1"/>
    <n v="5.5"/>
    <s v="12"/>
    <x v="1"/>
    <s v="No"/>
    <s v="Upsizer"/>
    <n v="445.94594594594594"/>
  </r>
  <r>
    <x v="3"/>
    <x v="1"/>
    <n v="220000"/>
    <n v="740"/>
    <x v="0"/>
    <n v="6.6"/>
    <s v="5"/>
    <x v="2"/>
    <s v="No"/>
    <s v="First Timer"/>
    <n v="297.29729729729729"/>
  </r>
  <r>
    <x v="4"/>
    <x v="0"/>
    <n v="460000"/>
    <n v="740"/>
    <x v="1"/>
    <n v="5.3"/>
    <s v="22"/>
    <x v="0"/>
    <s v="Yes"/>
    <s v="Investor"/>
    <n v="621.62162162162167"/>
  </r>
  <r>
    <x v="5"/>
    <x v="2"/>
    <n v="320000"/>
    <n v="740"/>
    <x v="0"/>
    <n v="6.4"/>
    <s v="10"/>
    <x v="1"/>
    <s v="No"/>
    <s v="First Timer"/>
    <n v="432.43243243243245"/>
  </r>
  <r>
    <x v="6"/>
    <x v="3"/>
    <n v="420000"/>
    <n v="740"/>
    <x v="1"/>
    <n v="5.2"/>
    <s v="15"/>
    <x v="0"/>
    <s v="No"/>
    <s v="Upsizer"/>
    <n v="567.56756756756761"/>
  </r>
  <r>
    <x v="7"/>
    <x v="1"/>
    <n v="200000"/>
    <n v="740"/>
    <x v="1"/>
    <n v="5.4"/>
    <s v="8"/>
    <x v="2"/>
    <s v="No"/>
    <s v="First Timer"/>
    <n v="270.27027027027026"/>
  </r>
  <r>
    <x v="8"/>
    <x v="0"/>
    <n v="550000"/>
    <n v="1550"/>
    <x v="1"/>
    <n v="5.0999999999999996"/>
    <n v="20"/>
    <x v="0"/>
    <s v="Yes"/>
    <s v="Investor"/>
    <n v="354.83870967741933"/>
  </r>
  <r>
    <x v="0"/>
    <x v="1"/>
    <n v="520000"/>
    <n v="740"/>
    <x v="0"/>
    <n v="6"/>
    <s v="10"/>
    <x v="1"/>
    <s v="No"/>
    <s v="First Timer"/>
    <n v="702.70270270270271"/>
  </r>
  <r>
    <x v="1"/>
    <x v="3"/>
    <n v="490000"/>
    <n v="740"/>
    <x v="1"/>
    <n v="5.3"/>
    <s v="15"/>
    <x v="0"/>
    <s v="No"/>
    <s v="Upsizer"/>
    <n v="662.16216216216219"/>
  </r>
  <r>
    <x v="2"/>
    <x v="2"/>
    <n v="310000"/>
    <n v="740"/>
    <x v="1"/>
    <n v="5.4"/>
    <s v="10"/>
    <x v="2"/>
    <s v="No"/>
    <s v="First Timer"/>
    <n v="418.91891891891891"/>
  </r>
  <r>
    <x v="3"/>
    <x v="0"/>
    <n v="440000"/>
    <n v="740"/>
    <x v="0"/>
    <n v="6.2"/>
    <s v="20"/>
    <x v="0"/>
    <s v="Yes"/>
    <s v="Investor"/>
    <n v="594.59459459459458"/>
  </r>
  <r>
    <x v="4"/>
    <x v="1"/>
    <n v="270000"/>
    <n v="740"/>
    <x v="1"/>
    <n v="5.4"/>
    <s v="5"/>
    <x v="2"/>
    <s v="No"/>
    <s v="First Timer"/>
    <n v="364.86486486486484"/>
  </r>
  <r>
    <x v="5"/>
    <x v="0"/>
    <n v="500000"/>
    <n v="740"/>
    <x v="1"/>
    <n v="5.2"/>
    <s v="20"/>
    <x v="0"/>
    <s v="Yes"/>
    <s v="Investor"/>
    <n v="675.67567567567562"/>
  </r>
  <r>
    <x v="6"/>
    <x v="2"/>
    <n v="370000"/>
    <n v="740"/>
    <x v="1"/>
    <n v="5.3"/>
    <s v="10"/>
    <x v="1"/>
    <s v="No"/>
    <s v="First Timer"/>
    <n v="500"/>
  </r>
  <r>
    <x v="7"/>
    <x v="3"/>
    <n v="300000"/>
    <n v="740"/>
    <x v="0"/>
    <n v="6.5"/>
    <s v="12"/>
    <x v="1"/>
    <s v="No"/>
    <s v="Upsizer"/>
    <n v="405.40540540540542"/>
  </r>
  <r>
    <x v="8"/>
    <x v="1"/>
    <n v="320000"/>
    <n v="740"/>
    <x v="0"/>
    <n v="6"/>
    <s v="10"/>
    <x v="1"/>
    <s v="No"/>
    <s v="First Timer"/>
    <n v="432.43243243243245"/>
  </r>
  <r>
    <x v="0"/>
    <x v="0"/>
    <n v="950000"/>
    <n v="1650"/>
    <x v="1"/>
    <n v="5.0999999999999996"/>
    <n v="20"/>
    <x v="3"/>
    <s v="Yes"/>
    <s v="Investor"/>
    <n v="575.75757575757575"/>
  </r>
  <r>
    <x v="0"/>
    <x v="1"/>
    <n v="455000"/>
    <n v="2700"/>
    <x v="1"/>
    <n v="5"/>
    <n v="12"/>
    <x v="1"/>
    <s v="No"/>
    <s v="Upsizer"/>
    <n v="168.5185185185185"/>
  </r>
  <r>
    <x v="1"/>
    <x v="0"/>
    <n v="590000"/>
    <n v="600"/>
    <x v="1"/>
    <n v="5.3"/>
    <s v="22"/>
    <x v="3"/>
    <s v="Yes"/>
    <s v="Investor"/>
    <n v="983.33333333333337"/>
  </r>
  <r>
    <x v="2"/>
    <x v="3"/>
    <n v="305000"/>
    <n v="1850"/>
    <x v="1"/>
    <n v="5.4"/>
    <n v="14"/>
    <x v="1"/>
    <s v="No"/>
    <s v="First Timer"/>
    <n v="164.86486486486487"/>
  </r>
  <r>
    <x v="3"/>
    <x v="2"/>
    <n v="245000"/>
    <n v="250"/>
    <x v="1"/>
    <n v="5.5"/>
    <n v="10"/>
    <x v="2"/>
    <s v="No"/>
    <s v="First Timer"/>
    <n v="980"/>
  </r>
  <r>
    <x v="4"/>
    <x v="1"/>
    <n v="225000"/>
    <n v="2100"/>
    <x v="1"/>
    <n v="5.4"/>
    <s v=" 8 "/>
    <x v="2"/>
    <s v="No"/>
    <s v="First Timer"/>
    <n v="107.14285714285714"/>
  </r>
  <r>
    <x v="5"/>
    <x v="0"/>
    <n v="460000"/>
    <n v="400"/>
    <x v="1"/>
    <n v="5.2"/>
    <s v="20"/>
    <x v="0"/>
    <s v="Yes"/>
    <s v="Investor"/>
    <n v="1150"/>
  </r>
  <r>
    <x v="6"/>
    <x v="3"/>
    <n v="375000"/>
    <n v="1750"/>
    <x v="1"/>
    <n v="5.2"/>
    <s v="15"/>
    <x v="0"/>
    <s v="No"/>
    <s v="Upsizer"/>
    <n v="214.28571428571428"/>
  </r>
  <r>
    <x v="7"/>
    <x v="1"/>
    <n v="180000"/>
    <n v="2150"/>
    <x v="1"/>
    <n v="5.4"/>
    <n v="8"/>
    <x v="2"/>
    <s v="No"/>
    <s v="First Timer"/>
    <n v="83.720930232558146"/>
  </r>
  <r>
    <x v="8"/>
    <x v="2"/>
    <n v="330000"/>
    <n v="950"/>
    <x v="1"/>
    <n v="5.3"/>
    <n v="10"/>
    <x v="1"/>
    <s v="No"/>
    <s v="First Timer"/>
    <n v="347.36842105263156"/>
  </r>
  <r>
    <x v="0"/>
    <x v="0"/>
    <n v="810000"/>
    <n v="1650"/>
    <x v="1"/>
    <n v="5.0999999999999996"/>
    <s v="20"/>
    <x v="3"/>
    <s v="Yes"/>
    <s v="Investor"/>
    <n v="490.90909090909093"/>
  </r>
  <r>
    <x v="1"/>
    <x v="1"/>
    <n v="310000"/>
    <n v="2300"/>
    <x v="1"/>
    <n v="5.2"/>
    <s v="12"/>
    <x v="1"/>
    <s v="No"/>
    <s v="First Timer"/>
    <n v="134.78260869565219"/>
  </r>
  <r>
    <x v="2"/>
    <x v="2"/>
    <n v="260000"/>
    <n v="400"/>
    <x v="1"/>
    <n v="5.4"/>
    <n v="10"/>
    <x v="2"/>
    <s v="No"/>
    <s v="First Timer"/>
    <n v="650"/>
  </r>
  <r>
    <x v="3"/>
    <x v="0"/>
    <n v="395000"/>
    <n v="1500"/>
    <x v="1"/>
    <n v="5.4"/>
    <s v="20"/>
    <x v="0"/>
    <s v="Yes"/>
    <s v="Upsizer"/>
    <n v="263.33333333333331"/>
  </r>
  <r>
    <x v="4"/>
    <x v="3"/>
    <n v="345000"/>
    <n v="1800"/>
    <x v="1"/>
    <n v="5.3"/>
    <n v="18"/>
    <x v="0"/>
    <s v="No"/>
    <s v="Upsizer"/>
    <n v="191.66666666666666"/>
  </r>
  <r>
    <x v="5"/>
    <x v="1"/>
    <n v="240000"/>
    <n v="2250"/>
    <x v="1"/>
    <n v="5.3"/>
    <s v="7"/>
    <x v="2"/>
    <s v="No"/>
    <s v="First Timer"/>
    <n v="106.66666666666667"/>
  </r>
  <r>
    <x v="6"/>
    <x v="0"/>
    <n v="500000"/>
    <n v="450"/>
    <x v="1"/>
    <n v="5.0999999999999996"/>
    <s v="20"/>
    <x v="0"/>
    <s v="Yes"/>
    <s v="Investor"/>
    <n v="1111.1111111111111"/>
  </r>
  <r>
    <x v="7"/>
    <x v="2"/>
    <n v="220000"/>
    <n v="1850"/>
    <x v="1"/>
    <n v="5.4"/>
    <s v="6"/>
    <x v="2"/>
    <s v="No"/>
    <s v="First Timer"/>
    <n v="118.91891891891892"/>
  </r>
  <r>
    <x v="8"/>
    <x v="0"/>
    <n v="540000"/>
    <n v="1500"/>
    <x v="1"/>
    <n v="5.0999999999999996"/>
    <s v="20"/>
    <x v="0"/>
    <s v="Yes"/>
    <s v="Investor"/>
    <n v="360"/>
  </r>
  <r>
    <x v="0"/>
    <x v="2"/>
    <n v="565000"/>
    <n v="2250"/>
    <x v="1"/>
    <n v="5.0999999999999996"/>
    <s v="15"/>
    <x v="0"/>
    <s v="No"/>
    <s v="Upsizer"/>
    <n v="251.11111111111111"/>
  </r>
  <r>
    <x v="1"/>
    <x v="3"/>
    <n v="445000"/>
    <n v="2100"/>
    <x v="1"/>
    <n v="5.3"/>
    <s v="15"/>
    <x v="0"/>
    <s v="No"/>
    <s v="Upsizer"/>
    <n v="211.9047619047619"/>
  </r>
  <r>
    <x v="0"/>
    <x v="1"/>
    <n v="460000"/>
    <n v="750"/>
    <x v="1"/>
    <n v="5"/>
    <s v="5"/>
    <x v="1"/>
    <s v="No"/>
    <s v="First Timer"/>
    <n v="613.33333333333337"/>
  </r>
  <r>
    <x v="1"/>
    <x v="0"/>
    <n v="600000"/>
    <n v="1700"/>
    <x v="1"/>
    <n v="5.3"/>
    <s v="22"/>
    <x v="3"/>
    <s v="Yes"/>
    <s v="Investor"/>
    <n v="352.94117647058823"/>
  </r>
  <r>
    <x v="2"/>
    <x v="3"/>
    <n v="315000"/>
    <n v="900"/>
    <x v="1"/>
    <n v="5.4"/>
    <s v="14"/>
    <x v="1"/>
    <s v="No"/>
    <s v="Upsizer"/>
    <n v="350"/>
  </r>
  <r>
    <x v="3"/>
    <x v="2"/>
    <n v="250000"/>
    <n v="2300"/>
    <x v="1"/>
    <n v="5.5"/>
    <s v="10"/>
    <x v="2"/>
    <s v="No"/>
    <s v="First Timer"/>
    <n v="108.69565217391305"/>
  </r>
  <r>
    <x v="4"/>
    <x v="1"/>
    <n v="230000"/>
    <n v="150"/>
    <x v="1"/>
    <n v="5.4"/>
    <n v="8"/>
    <x v="2"/>
    <s v="No"/>
    <s v="First Timer"/>
    <n v="1533.3333333333333"/>
  </r>
  <r>
    <x v="6"/>
    <x v="3"/>
    <n v="380000"/>
    <n v="800"/>
    <x v="1"/>
    <n v="5.2"/>
    <s v="15"/>
    <x v="0"/>
    <s v="No"/>
    <s v="Upsizer"/>
    <n v="475"/>
  </r>
  <r>
    <x v="7"/>
    <x v="1"/>
    <n v="185000"/>
    <n v="2200"/>
    <x v="1"/>
    <n v="5.4"/>
    <s v="8"/>
    <x v="2"/>
    <s v="No"/>
    <s v="First Timer"/>
    <n v="84.090909090909093"/>
  </r>
  <r>
    <x v="8"/>
    <x v="2"/>
    <n v="335000"/>
    <n v="2000"/>
    <x v="1"/>
    <n v="5.3"/>
    <s v="10"/>
    <x v="1"/>
    <s v="No"/>
    <s v="First Timer"/>
    <n v="167.5"/>
  </r>
  <r>
    <x v="0"/>
    <x v="0"/>
    <n v="820000"/>
    <n v="1700"/>
    <x v="1"/>
    <n v="5.0999999999999996"/>
    <s v="20"/>
    <x v="3"/>
    <s v="Yes"/>
    <s v="Investor"/>
    <n v="482.35294117647061"/>
  </r>
  <r>
    <x v="1"/>
    <x v="1"/>
    <n v="315000"/>
    <n v="350"/>
    <x v="1"/>
    <n v="5.2"/>
    <n v="12"/>
    <x v="1"/>
    <s v="No"/>
    <s v="First Timer"/>
    <n v="900"/>
  </r>
  <r>
    <x v="2"/>
    <x v="2"/>
    <n v="265000"/>
    <n v="450"/>
    <x v="1"/>
    <n v="4.5"/>
    <s v="10"/>
    <x v="0"/>
    <s v="No"/>
    <s v="First Timer"/>
    <n v="588.88888888888891"/>
  </r>
  <r>
    <x v="3"/>
    <x v="0"/>
    <n v="400000"/>
    <n v="1550"/>
    <x v="1"/>
    <n v="5.4"/>
    <s v="20"/>
    <x v="2"/>
    <s v="Yes"/>
    <s v="Upsizer"/>
    <n v="258.06451612903226"/>
  </r>
  <r>
    <x v="4"/>
    <x v="3"/>
    <n v="350000"/>
    <n v="1850"/>
    <x v="1"/>
    <n v="5.3"/>
    <s v="18"/>
    <x v="2"/>
    <s v="No"/>
    <s v="Upsizer"/>
    <n v="189.18918918918919"/>
  </r>
  <r>
    <x v="6"/>
    <x v="0"/>
    <n v="510000"/>
    <n v="1500"/>
    <x v="1"/>
    <n v="5.0999999999999996"/>
    <s v="20"/>
    <x v="2"/>
    <s v="Yes"/>
    <s v="Investor"/>
    <n v="340"/>
  </r>
  <r>
    <x v="7"/>
    <x v="2"/>
    <n v="225000"/>
    <n v="900"/>
    <x v="1"/>
    <n v="5.4"/>
    <s v="6"/>
    <x v="2"/>
    <s v="No"/>
    <s v="First Timer"/>
    <n v="250"/>
  </r>
  <r>
    <x v="8"/>
    <x v="0"/>
    <n v="550000"/>
    <n v="1600"/>
    <x v="1"/>
    <n v="5.0999999999999996"/>
    <s v="20"/>
    <x v="2"/>
    <s v="Yes"/>
    <s v="Investor"/>
    <n v="343.75"/>
  </r>
  <r>
    <x v="0"/>
    <x v="2"/>
    <n v="575000"/>
    <n v="300"/>
    <x v="1"/>
    <n v="5.0999999999999996"/>
    <n v="15"/>
    <x v="0"/>
    <s v="No"/>
    <s v="Upsizer"/>
    <n v="1916.6666666666667"/>
  </r>
  <r>
    <x v="1"/>
    <x v="3"/>
    <n v="450000"/>
    <n v="2150"/>
    <x v="1"/>
    <n v="5.3"/>
    <s v="15"/>
    <x v="2"/>
    <s v="No"/>
    <s v="Upsizer"/>
    <n v="209.30232558139534"/>
  </r>
  <r>
    <x v="0"/>
    <x v="1"/>
    <n v="465000"/>
    <n v="2800"/>
    <x v="1"/>
    <n v="5"/>
    <s v="12"/>
    <x v="2"/>
    <s v="No"/>
    <s v="First Timer"/>
    <n v="166.07142857142858"/>
  </r>
  <r>
    <x v="1"/>
    <x v="0"/>
    <n v="610000"/>
    <n v="1750"/>
    <x v="1"/>
    <n v="5.3"/>
    <s v="22"/>
    <x v="3"/>
    <s v="Yes"/>
    <s v="Investor"/>
    <n v="348.57142857142856"/>
  </r>
  <r>
    <x v="2"/>
    <x v="3"/>
    <n v="320000"/>
    <n v="1950"/>
    <x v="1"/>
    <n v="5.4"/>
    <s v="14"/>
    <x v="1"/>
    <s v="No"/>
    <s v="Upsizer"/>
    <n v="164.10256410256412"/>
  </r>
  <r>
    <x v="3"/>
    <x v="2"/>
    <n v="255000"/>
    <n v="350"/>
    <x v="1"/>
    <n v="5.5"/>
    <n v="10"/>
    <x v="2"/>
    <s v="No"/>
    <s v="First Timer"/>
    <n v="728.57142857142856"/>
  </r>
  <r>
    <x v="4"/>
    <x v="1"/>
    <n v="235000"/>
    <n v="2200"/>
    <x v="1"/>
    <n v="5.4"/>
    <s v="8"/>
    <x v="2"/>
    <s v="No"/>
    <s v="First Timer"/>
    <n v="106.81818181818181"/>
  </r>
  <r>
    <x v="5"/>
    <x v="0"/>
    <n v="480000"/>
    <n v="1500"/>
    <x v="1"/>
    <n v="5.2"/>
    <s v="20"/>
    <x v="0"/>
    <s v="Yes"/>
    <s v="Investor"/>
    <n v="320"/>
  </r>
  <r>
    <x v="6"/>
    <x v="3"/>
    <n v="385000"/>
    <n v="1850"/>
    <x v="1"/>
    <n v="5.2"/>
    <s v="15"/>
    <x v="0"/>
    <s v="No"/>
    <s v="Upsizer"/>
    <n v="208.1081081081081"/>
  </r>
  <r>
    <x v="7"/>
    <x v="1"/>
    <n v="190000"/>
    <n v="2250"/>
    <x v="1"/>
    <n v="5.4"/>
    <s v="8"/>
    <x v="2"/>
    <s v="No"/>
    <s v="First Timer"/>
    <n v="84.444444444444443"/>
  </r>
  <r>
    <x v="8"/>
    <x v="2"/>
    <n v="340000"/>
    <n v="2050"/>
    <x v="1"/>
    <n v="5.3"/>
    <s v="10"/>
    <x v="1"/>
    <s v="No"/>
    <s v="First Timer"/>
    <n v="165.85365853658536"/>
  </r>
  <r>
    <x v="0"/>
    <x v="0"/>
    <n v="830000"/>
    <n v="1750"/>
    <x v="1"/>
    <n v="5.0999999999999996"/>
    <s v="20"/>
    <x v="3"/>
    <s v="Yes"/>
    <s v="Investor"/>
    <n v="474.28571428571428"/>
  </r>
  <r>
    <x v="1"/>
    <x v="1"/>
    <n v="320000"/>
    <n v="2400"/>
    <x v="1"/>
    <n v="5.2"/>
    <s v="12"/>
    <x v="1"/>
    <s v="No"/>
    <s v="First Timer"/>
    <n v="133.33333333333334"/>
  </r>
  <r>
    <x v="2"/>
    <x v="2"/>
    <n v="270000"/>
    <n v="2500"/>
    <x v="1"/>
    <n v="5.4"/>
    <s v="10"/>
    <x v="2"/>
    <s v="No"/>
    <s v="First Timer"/>
    <n v="108"/>
  </r>
  <r>
    <x v="3"/>
    <x v="0"/>
    <n v="405000"/>
    <n v="1600"/>
    <x v="1"/>
    <n v="5.4"/>
    <s v="20"/>
    <x v="0"/>
    <s v="Yes"/>
    <s v="Upsizer"/>
    <n v="253.125"/>
  </r>
  <r>
    <x v="4"/>
    <x v="3"/>
    <n v="355000"/>
    <n v="1900"/>
    <x v="1"/>
    <n v="5.3"/>
    <s v="18"/>
    <x v="0"/>
    <s v="No"/>
    <s v="Upsizer"/>
    <n v="186.84210526315789"/>
  </r>
  <r>
    <x v="5"/>
    <x v="1"/>
    <n v="250000"/>
    <n v="2350"/>
    <x v="1"/>
    <n v="5.3"/>
    <s v="7"/>
    <x v="2"/>
    <s v="No"/>
    <s v="First Timer"/>
    <n v="106.38297872340425"/>
  </r>
  <r>
    <x v="6"/>
    <x v="0"/>
    <n v="520000"/>
    <n v="1550"/>
    <x v="1"/>
    <n v="5.0999999999999996"/>
    <s v="20"/>
    <x v="0"/>
    <s v="Yes"/>
    <s v="Investor"/>
    <n v="335.48387096774195"/>
  </r>
  <r>
    <x v="7"/>
    <x v="2"/>
    <n v="230000"/>
    <n v="1950"/>
    <x v="1"/>
    <n v="5.4"/>
    <s v="6"/>
    <x v="2"/>
    <s v="No"/>
    <s v="First Timer"/>
    <n v="117.94871794871794"/>
  </r>
  <r>
    <x v="8"/>
    <x v="0"/>
    <n v="560000"/>
    <n v="1650"/>
    <x v="1"/>
    <n v="5.0999999999999996"/>
    <s v="20"/>
    <x v="0"/>
    <s v="Yes"/>
    <s v="Investor"/>
    <n v="339.39393939393938"/>
  </r>
  <r>
    <x v="1"/>
    <x v="3"/>
    <n v="455000"/>
    <n v="2200"/>
    <x v="1"/>
    <n v="5.3"/>
    <s v="15"/>
    <x v="0"/>
    <s v="No"/>
    <s v="Upsizer"/>
    <n v="206.81818181818181"/>
  </r>
  <r>
    <x v="0"/>
    <x v="1"/>
    <n v="470000"/>
    <n v="850"/>
    <x v="1"/>
    <n v="5"/>
    <s v="12"/>
    <x v="1"/>
    <s v="No"/>
    <s v="First Timer"/>
    <n v="552.94117647058829"/>
  </r>
  <r>
    <x v="1"/>
    <x v="0"/>
    <n v="620000"/>
    <n v="1800"/>
    <x v="1"/>
    <n v="5.3"/>
    <s v="22"/>
    <x v="3"/>
    <s v="Yes"/>
    <s v="Investor"/>
    <n v="344.44444444444446"/>
  </r>
  <r>
    <x v="2"/>
    <x v="3"/>
    <n v="325000"/>
    <n v="2000"/>
    <x v="1"/>
    <n v="5.4"/>
    <s v="14"/>
    <x v="1"/>
    <s v="No"/>
    <s v="Upsizer"/>
    <n v="162.5"/>
  </r>
  <r>
    <x v="3"/>
    <x v="2"/>
    <n v="260000"/>
    <n v="400"/>
    <x v="1"/>
    <n v="5.5"/>
    <n v="10"/>
    <x v="2"/>
    <s v="No"/>
    <s v="First Timer"/>
    <n v="650"/>
  </r>
  <r>
    <x v="4"/>
    <x v="1"/>
    <n v="240000"/>
    <n v="2250"/>
    <x v="1"/>
    <n v="5.4"/>
    <s v="8"/>
    <x v="2"/>
    <s v="No"/>
    <s v="First Timer"/>
    <n v="106.66666666666667"/>
  </r>
  <r>
    <x v="7"/>
    <x v="1"/>
    <n v="195000"/>
    <n v="2300"/>
    <x v="1"/>
    <n v="5.4"/>
    <s v="8"/>
    <x v="2"/>
    <s v="No"/>
    <s v="First Timer"/>
    <n v="84.782608695652172"/>
  </r>
  <r>
    <x v="8"/>
    <x v="2"/>
    <n v="345000"/>
    <n v="2100"/>
    <x v="1"/>
    <n v="5.3"/>
    <s v="10"/>
    <x v="1"/>
    <s v="No"/>
    <s v="First Timer"/>
    <n v="164.28571428571428"/>
  </r>
  <r>
    <x v="0"/>
    <x v="0"/>
    <n v="840000"/>
    <n v="1800"/>
    <x v="1"/>
    <n v="5.0999999999999996"/>
    <s v="20"/>
    <x v="3"/>
    <s v="Yes"/>
    <s v="Investor"/>
    <n v="466.66666666666669"/>
  </r>
  <r>
    <x v="1"/>
    <x v="1"/>
    <n v="325000"/>
    <n v="2450"/>
    <x v="1"/>
    <n v="5.2"/>
    <s v="12"/>
    <x v="1"/>
    <s v="No"/>
    <s v="First Timer"/>
    <n v="132.65306122448979"/>
  </r>
  <r>
    <x v="2"/>
    <x v="2"/>
    <n v="275000"/>
    <n v="2550"/>
    <x v="1"/>
    <n v="5.4"/>
    <s v="10"/>
    <x v="2"/>
    <s v="No"/>
    <s v="First Timer"/>
    <n v="107.84313725490196"/>
  </r>
  <r>
    <x v="3"/>
    <x v="0"/>
    <n v="410000"/>
    <n v="1650"/>
    <x v="1"/>
    <n v="5.4"/>
    <s v="20"/>
    <x v="0"/>
    <s v="Yes"/>
    <s v="Upsizer"/>
    <n v="248.4848484848485"/>
  </r>
  <r>
    <x v="4"/>
    <x v="3"/>
    <n v="360000"/>
    <n v="1950"/>
    <x v="1"/>
    <n v="5.3"/>
    <s v="18"/>
    <x v="0"/>
    <s v="No"/>
    <s v="Upsizer"/>
    <n v="184.61538461538461"/>
  </r>
  <r>
    <x v="5"/>
    <x v="1"/>
    <n v="255000"/>
    <n v="2400"/>
    <x v="1"/>
    <n v="5.3"/>
    <s v="7"/>
    <x v="2"/>
    <s v="No"/>
    <s v="First Timer"/>
    <n v="106.25"/>
  </r>
  <r>
    <x v="6"/>
    <x v="0"/>
    <n v="530000"/>
    <n v="1600"/>
    <x v="1"/>
    <n v="5.0999999999999996"/>
    <s v="20"/>
    <x v="0"/>
    <s v="Yes"/>
    <s v="Investor"/>
    <n v="331.25"/>
  </r>
  <r>
    <x v="7"/>
    <x v="2"/>
    <n v="235000"/>
    <n v="2000"/>
    <x v="1"/>
    <n v="5.4"/>
    <s v="6"/>
    <x v="2"/>
    <s v="No"/>
    <s v="First Timer"/>
    <n v="117.5"/>
  </r>
  <r>
    <x v="8"/>
    <x v="0"/>
    <n v="570000"/>
    <n v="1700"/>
    <x v="1"/>
    <n v="5.0999999999999996"/>
    <s v="20"/>
    <x v="0"/>
    <s v="Yes"/>
    <s v="Investor"/>
    <n v="335.29411764705884"/>
  </r>
  <r>
    <x v="0"/>
    <x v="2"/>
    <n v="595000"/>
    <n v="2400"/>
    <x v="1"/>
    <n v="5.0999999999999996"/>
    <s v="15"/>
    <x v="0"/>
    <s v="No"/>
    <s v="Upsizer"/>
    <n v="247.91666666666666"/>
  </r>
  <r>
    <x v="1"/>
    <x v="3"/>
    <n v="460000"/>
    <n v="2250"/>
    <x v="1"/>
    <n v="5.3"/>
    <s v="15"/>
    <x v="0"/>
    <s v="No"/>
    <s v="Upsizer"/>
    <n v="204.44444444444446"/>
  </r>
  <r>
    <x v="0"/>
    <x v="1"/>
    <n v="475000"/>
    <n v="2900"/>
    <x v="1"/>
    <n v="5"/>
    <s v="12"/>
    <x v="1"/>
    <s v="No"/>
    <s v="First Timer"/>
    <n v="163.79310344827587"/>
  </r>
  <r>
    <x v="1"/>
    <x v="0"/>
    <n v="630000"/>
    <n v="1850"/>
    <x v="1"/>
    <n v="5.3"/>
    <s v="22"/>
    <x v="3"/>
    <s v="Yes"/>
    <s v="Investor"/>
    <n v="340.54054054054052"/>
  </r>
  <r>
    <x v="2"/>
    <x v="3"/>
    <n v="330000"/>
    <n v="2050"/>
    <x v="1"/>
    <n v="5.4"/>
    <s v="14"/>
    <x v="1"/>
    <s v="No"/>
    <s v="Upsizer"/>
    <n v="160.97560975609755"/>
  </r>
  <r>
    <x v="3"/>
    <x v="2"/>
    <n v="265000"/>
    <n v="450"/>
    <x v="1"/>
    <n v="5.5"/>
    <n v="10"/>
    <x v="2"/>
    <s v="No"/>
    <s v="First Timer"/>
    <n v="588.88888888888891"/>
  </r>
  <r>
    <x v="4"/>
    <x v="1"/>
    <n v="245000"/>
    <n v="2300"/>
    <x v="1"/>
    <n v="5.4"/>
    <s v="8"/>
    <x v="2"/>
    <s v="No"/>
    <s v="First Timer"/>
    <n v="106.52173913043478"/>
  </r>
  <r>
    <x v="5"/>
    <x v="0"/>
    <n v="495000"/>
    <n v="1600"/>
    <x v="1"/>
    <n v="5.2"/>
    <s v="20"/>
    <x v="0"/>
    <s v="Yes"/>
    <s v="Investor"/>
    <n v="309.375"/>
  </r>
  <r>
    <x v="7"/>
    <x v="1"/>
    <n v="200000"/>
    <n v="2350"/>
    <x v="1"/>
    <n v="5.4"/>
    <s v="8"/>
    <x v="2"/>
    <s v="No"/>
    <s v="First Timer"/>
    <n v="85.106382978723403"/>
  </r>
  <r>
    <x v="8"/>
    <x v="2"/>
    <n v="350000"/>
    <n v="2150"/>
    <x v="1"/>
    <n v="5.3"/>
    <s v="10"/>
    <x v="1"/>
    <s v="No"/>
    <s v="First Timer"/>
    <n v="162.7906976744186"/>
  </r>
  <r>
    <x v="0"/>
    <x v="0"/>
    <n v="850000"/>
    <n v="1850"/>
    <x v="1"/>
    <n v="5.0999999999999996"/>
    <s v="20"/>
    <x v="3"/>
    <s v="Yes"/>
    <s v="Investor"/>
    <n v="459.45945945945948"/>
  </r>
  <r>
    <x v="2"/>
    <x v="2"/>
    <n v="280000"/>
    <n v="2600"/>
    <x v="1"/>
    <n v="5.4"/>
    <s v="10"/>
    <x v="2"/>
    <s v="No"/>
    <s v="First Timer"/>
    <n v="107.69230769230769"/>
  </r>
  <r>
    <x v="3"/>
    <x v="0"/>
    <n v="415000"/>
    <n v="1700"/>
    <x v="1"/>
    <n v="5.4"/>
    <s v="20"/>
    <x v="0"/>
    <s v="Yes"/>
    <s v="Upsizer"/>
    <n v="244.11764705882354"/>
  </r>
  <r>
    <x v="4"/>
    <x v="3"/>
    <n v="365000"/>
    <n v="2000"/>
    <x v="1"/>
    <n v="5.3"/>
    <s v="18"/>
    <x v="0"/>
    <s v="No"/>
    <s v="Upsizer"/>
    <n v="182.5"/>
  </r>
  <r>
    <x v="6"/>
    <x v="0"/>
    <n v="540000"/>
    <n v="1650"/>
    <x v="1"/>
    <n v="5.0999999999999996"/>
    <s v="20"/>
    <x v="0"/>
    <s v="Yes"/>
    <s v="Investor"/>
    <n v="327.27272727272725"/>
  </r>
  <r>
    <x v="7"/>
    <x v="2"/>
    <n v="240000"/>
    <n v="2050"/>
    <x v="1"/>
    <n v="5.4"/>
    <s v="6"/>
    <x v="2"/>
    <s v="No"/>
    <s v="First Timer"/>
    <n v="117.07317073170732"/>
  </r>
  <r>
    <x v="8"/>
    <x v="0"/>
    <n v="580000"/>
    <n v="1750"/>
    <x v="1"/>
    <n v="5.0999999999999996"/>
    <s v="20"/>
    <x v="0"/>
    <s v="Yes"/>
    <s v="Investor"/>
    <n v="331.42857142857144"/>
  </r>
  <r>
    <x v="0"/>
    <x v="2"/>
    <n v="605000"/>
    <n v="2450"/>
    <x v="1"/>
    <n v="5.0999999999999996"/>
    <s v="15"/>
    <x v="0"/>
    <s v="No"/>
    <s v="Upsizer"/>
    <n v="246.9387755102041"/>
  </r>
  <r>
    <x v="1"/>
    <x v="3"/>
    <n v="465000"/>
    <n v="2300"/>
    <x v="1"/>
    <n v="5.3"/>
    <s v="15"/>
    <x v="0"/>
    <s v="No"/>
    <s v="Upsizer"/>
    <n v="202.17391304347825"/>
  </r>
  <r>
    <x v="0"/>
    <x v="1"/>
    <n v="485000"/>
    <n v="3050"/>
    <x v="1"/>
    <n v="5"/>
    <s v="12"/>
    <x v="1"/>
    <s v="No"/>
    <s v="First Timer"/>
    <n v="159.01639344262296"/>
  </r>
  <r>
    <x v="1"/>
    <x v="0"/>
    <n v="650000"/>
    <n v="2000"/>
    <x v="1"/>
    <n v="5.3"/>
    <s v="22"/>
    <x v="3"/>
    <s v="Yes"/>
    <s v="Investor"/>
    <n v="325"/>
  </r>
  <r>
    <x v="2"/>
    <x v="3"/>
    <n v="340000"/>
    <n v="2200"/>
    <x v="1"/>
    <n v="5.4"/>
    <s v="14"/>
    <x v="1"/>
    <s v="No"/>
    <s v="Upsizer"/>
    <n v="154.54545454545453"/>
  </r>
  <r>
    <x v="3"/>
    <x v="2"/>
    <n v="275000"/>
    <n v="600"/>
    <x v="1"/>
    <n v="5.5"/>
    <n v="10"/>
    <x v="2"/>
    <s v="No"/>
    <s v="First Timer"/>
    <n v="458.33333333333331"/>
  </r>
  <r>
    <x v="5"/>
    <x v="0"/>
    <n v="510000"/>
    <n v="1750"/>
    <x v="1"/>
    <n v="5.2"/>
    <s v="20"/>
    <x v="0"/>
    <s v="Yes"/>
    <s v="Investor"/>
    <n v="291.42857142857144"/>
  </r>
  <r>
    <x v="6"/>
    <x v="3"/>
    <n v="405000"/>
    <n v="2100"/>
    <x v="1"/>
    <n v="5.2"/>
    <s v="15"/>
    <x v="0"/>
    <s v="No"/>
    <s v="Upsizer"/>
    <n v="192.85714285714286"/>
  </r>
  <r>
    <x v="7"/>
    <x v="1"/>
    <n v="210000"/>
    <n v="2500"/>
    <x v="1"/>
    <n v="5.4"/>
    <s v="8"/>
    <x v="2"/>
    <s v="No"/>
    <s v="First Timer"/>
    <n v="84"/>
  </r>
  <r>
    <x v="8"/>
    <x v="2"/>
    <n v="360000"/>
    <n v="2300"/>
    <x v="1"/>
    <n v="5.3"/>
    <s v="10"/>
    <x v="1"/>
    <s v="No"/>
    <s v="First Timer"/>
    <n v="156.52173913043478"/>
  </r>
  <r>
    <x v="0"/>
    <x v="0"/>
    <n v="870000"/>
    <n v="2000"/>
    <x v="1"/>
    <n v="5.0999999999999996"/>
    <s v="20"/>
    <x v="3"/>
    <s v="Yes"/>
    <s v="Investor"/>
    <n v="435"/>
  </r>
  <r>
    <x v="1"/>
    <x v="1"/>
    <n v="340000"/>
    <n v="2650"/>
    <x v="1"/>
    <n v="5.2"/>
    <s v="12"/>
    <x v="1"/>
    <s v="No"/>
    <s v="First Timer"/>
    <n v="128.30188679245282"/>
  </r>
  <r>
    <x v="2"/>
    <x v="2"/>
    <n v="290000"/>
    <n v="2750"/>
    <x v="1"/>
    <n v="5.4"/>
    <s v="10"/>
    <x v="2"/>
    <s v="No"/>
    <s v="First Timer"/>
    <n v="105.45454545454545"/>
  </r>
  <r>
    <x v="3"/>
    <x v="0"/>
    <n v="425000"/>
    <n v="1850"/>
    <x v="1"/>
    <n v="5.4"/>
    <s v="20"/>
    <x v="0"/>
    <s v="Yes"/>
    <s v="Upsizer"/>
    <n v="229.72972972972974"/>
  </r>
  <r>
    <x v="4"/>
    <x v="3"/>
    <n v="375000"/>
    <n v="2150"/>
    <x v="1"/>
    <n v="5.3"/>
    <s v="18"/>
    <x v="0"/>
    <s v="No"/>
    <s v="Upsizer"/>
    <n v="174.41860465116278"/>
  </r>
  <r>
    <x v="5"/>
    <x v="1"/>
    <n v="270000"/>
    <n v="2600"/>
    <x v="1"/>
    <n v="5.3"/>
    <s v="7"/>
    <x v="2"/>
    <s v="No"/>
    <s v="First Timer"/>
    <n v="103.84615384615384"/>
  </r>
  <r>
    <x v="6"/>
    <x v="0"/>
    <n v="560000"/>
    <n v="1800"/>
    <x v="1"/>
    <n v="5.0999999999999996"/>
    <s v="20"/>
    <x v="0"/>
    <s v="Yes"/>
    <s v="Investor"/>
    <n v="311.11111111111109"/>
  </r>
  <r>
    <x v="7"/>
    <x v="2"/>
    <n v="250000"/>
    <n v="2200"/>
    <x v="1"/>
    <n v="5.4"/>
    <s v="6"/>
    <x v="2"/>
    <s v="No"/>
    <s v="First Timer"/>
    <n v="113.63636363636364"/>
  </r>
  <r>
    <x v="8"/>
    <x v="0"/>
    <n v="600000"/>
    <n v="1900"/>
    <x v="1"/>
    <n v="5.0999999999999996"/>
    <s v="20"/>
    <x v="0"/>
    <s v="Yes"/>
    <s v="Investor"/>
    <n v="315.78947368421052"/>
  </r>
  <r>
    <x v="0"/>
    <x v="2"/>
    <n v="625000"/>
    <n v="2600"/>
    <x v="1"/>
    <n v="5.0999999999999996"/>
    <s v="15"/>
    <x v="0"/>
    <s v="No"/>
    <s v="Upsizer"/>
    <n v="240.38461538461539"/>
  </r>
  <r>
    <x v="1"/>
    <x v="3"/>
    <n v="475000"/>
    <n v="2450"/>
    <x v="1"/>
    <n v="5.3"/>
    <s v="15"/>
    <x v="0"/>
    <s v="No"/>
    <s v="Upsizer"/>
    <n v="193.87755102040816"/>
  </r>
  <r>
    <x v="0"/>
    <x v="1"/>
    <n v="488000"/>
    <n v="3100"/>
    <x v="1"/>
    <n v="5"/>
    <s v="12"/>
    <x v="1"/>
    <s v="No"/>
    <s v="First Timer"/>
    <n v="157.41935483870967"/>
  </r>
  <r>
    <x v="1"/>
    <x v="0"/>
    <n v="655000"/>
    <n v="2050"/>
    <x v="1"/>
    <n v="5.3"/>
    <s v="22"/>
    <x v="3"/>
    <s v="Yes"/>
    <s v="Investor"/>
    <n v="319.51219512195121"/>
  </r>
  <r>
    <x v="2"/>
    <x v="3"/>
    <n v="345000"/>
    <n v="2250"/>
    <x v="1"/>
    <n v="5.4"/>
    <s v="14"/>
    <x v="1"/>
    <s v="No"/>
    <s v="Upsizer"/>
    <n v="153.33333333333334"/>
  </r>
  <r>
    <x v="3"/>
    <x v="2"/>
    <n v="278000"/>
    <n v="650"/>
    <x v="1"/>
    <n v="5.5"/>
    <n v="10"/>
    <x v="2"/>
    <s v="No"/>
    <s v="First Timer"/>
    <n v="427.69230769230768"/>
  </r>
  <r>
    <x v="4"/>
    <x v="1"/>
    <n v="258000"/>
    <n v="2500"/>
    <x v="1"/>
    <n v="5.4"/>
    <s v="8"/>
    <x v="2"/>
    <s v="No"/>
    <s v="First Timer"/>
    <n v="103.2"/>
  </r>
  <r>
    <x v="5"/>
    <x v="0"/>
    <n v="515000"/>
    <n v="1800"/>
    <x v="1"/>
    <n v="5.2"/>
    <s v="20"/>
    <x v="0"/>
    <s v="Yes"/>
    <s v="Investor"/>
    <n v="286.11111111111109"/>
  </r>
  <r>
    <x v="6"/>
    <x v="3"/>
    <n v="408000"/>
    <n v="2150"/>
    <x v="1"/>
    <n v="5.2"/>
    <s v="15"/>
    <x v="0"/>
    <s v="No"/>
    <s v="Upsizer"/>
    <n v="189.76744186046511"/>
  </r>
  <r>
    <x v="7"/>
    <x v="1"/>
    <n v="212000"/>
    <n v="2550"/>
    <x v="1"/>
    <n v="5.4"/>
    <s v="8"/>
    <x v="2"/>
    <s v="No"/>
    <s v="First Timer"/>
    <n v="83.137254901960787"/>
  </r>
  <r>
    <x v="8"/>
    <x v="2"/>
    <n v="362000"/>
    <n v="2350"/>
    <x v="1"/>
    <n v="5.3"/>
    <s v="10"/>
    <x v="1"/>
    <s v="No"/>
    <s v="First Timer"/>
    <n v="154.04255319148936"/>
  </r>
  <r>
    <x v="0"/>
    <x v="0"/>
    <n v="875000"/>
    <n v="2050"/>
    <x v="1"/>
    <n v="5.0999999999999996"/>
    <s v="20"/>
    <x v="3"/>
    <s v="Yes"/>
    <s v="Investor"/>
    <n v="426.82926829268291"/>
  </r>
  <r>
    <x v="1"/>
    <x v="1"/>
    <n v="343000"/>
    <n v="2700"/>
    <x v="1"/>
    <n v="5.2"/>
    <s v="12"/>
    <x v="1"/>
    <s v="No"/>
    <s v="First Timer"/>
    <n v="127.03703703703704"/>
  </r>
  <r>
    <x v="2"/>
    <x v="2"/>
    <n v="292000"/>
    <n v="2800"/>
    <x v="1"/>
    <n v="5.4"/>
    <s v="10"/>
    <x v="2"/>
    <s v="No"/>
    <s v="First Timer"/>
    <n v="104.28571428571429"/>
  </r>
  <r>
    <x v="3"/>
    <x v="0"/>
    <n v="428000"/>
    <n v="1900"/>
    <x v="1"/>
    <n v="5.4"/>
    <s v="20"/>
    <x v="0"/>
    <s v="Yes"/>
    <s v="Upsizer"/>
    <n v="225.26315789473685"/>
  </r>
  <r>
    <x v="4"/>
    <x v="3"/>
    <n v="378000"/>
    <n v="2200"/>
    <x v="1"/>
    <n v="5.3"/>
    <s v="18"/>
    <x v="0"/>
    <s v="No"/>
    <s v="Upsizer"/>
    <n v="171.81818181818181"/>
  </r>
  <r>
    <x v="5"/>
    <x v="1"/>
    <n v="272000"/>
    <n v="2650"/>
    <x v="1"/>
    <n v="5.3"/>
    <s v="7"/>
    <x v="2"/>
    <s v="No"/>
    <s v="First Timer"/>
    <n v="102.64150943396227"/>
  </r>
  <r>
    <x v="6"/>
    <x v="0"/>
    <n v="565000"/>
    <n v="1850"/>
    <x v="1"/>
    <n v="5.0999999999999996"/>
    <s v="20"/>
    <x v="0"/>
    <s v="Yes"/>
    <s v="Investor"/>
    <n v="305.40540540540542"/>
  </r>
  <r>
    <x v="7"/>
    <x v="2"/>
    <n v="252000"/>
    <n v="2250"/>
    <x v="1"/>
    <n v="5.4"/>
    <s v="6"/>
    <x v="2"/>
    <s v="No"/>
    <s v="First Timer"/>
    <n v="112"/>
  </r>
  <r>
    <x v="8"/>
    <x v="0"/>
    <n v="605000"/>
    <n v="1950"/>
    <x v="1"/>
    <n v="5.0999999999999996"/>
    <s v="20"/>
    <x v="0"/>
    <s v="Yes"/>
    <s v="Investor"/>
    <n v="310.25641025641028"/>
  </r>
  <r>
    <x v="0"/>
    <x v="2"/>
    <n v="630000"/>
    <n v="2650"/>
    <x v="1"/>
    <n v="5.0999999999999996"/>
    <s v="15"/>
    <x v="0"/>
    <s v="No"/>
    <s v="Upsizer"/>
    <n v="237.73584905660377"/>
  </r>
  <r>
    <x v="1"/>
    <x v="3"/>
    <n v="478000"/>
    <n v="2500"/>
    <x v="1"/>
    <n v="5.3"/>
    <s v="15"/>
    <x v="0"/>
    <s v="No"/>
    <s v="Upsizer"/>
    <n v="191.2"/>
  </r>
  <r>
    <x v="0"/>
    <x v="1"/>
    <n v="490000"/>
    <n v="3150"/>
    <x v="1"/>
    <n v="5"/>
    <s v="12"/>
    <x v="1"/>
    <s v="No"/>
    <s v="First Timer"/>
    <n v="155.55555555555554"/>
  </r>
  <r>
    <x v="1"/>
    <x v="0"/>
    <n v="660000"/>
    <n v="2100"/>
    <x v="1"/>
    <n v="5.3"/>
    <s v="22"/>
    <x v="3"/>
    <s v="Yes"/>
    <s v="Investor"/>
    <n v="314.28571428571428"/>
  </r>
  <r>
    <x v="2"/>
    <x v="3"/>
    <n v="348000"/>
    <n v="2300"/>
    <x v="1"/>
    <n v="5.4"/>
    <s v="14"/>
    <x v="1"/>
    <s v="No"/>
    <s v="Upsizer"/>
    <n v="151.30434782608697"/>
  </r>
  <r>
    <x v="3"/>
    <x v="2"/>
    <n v="280000"/>
    <n v="700"/>
    <x v="1"/>
    <n v="5.5"/>
    <n v="10"/>
    <x v="2"/>
    <s v="No"/>
    <s v="First Timer"/>
    <n v="400"/>
  </r>
  <r>
    <x v="4"/>
    <x v="1"/>
    <n v="260000"/>
    <n v="2550"/>
    <x v="1"/>
    <n v="5.4"/>
    <s v="8"/>
    <x v="2"/>
    <s v="No"/>
    <s v="First Timer"/>
    <n v="101.96078431372548"/>
  </r>
  <r>
    <x v="5"/>
    <x v="0"/>
    <n v="520000"/>
    <n v="1850"/>
    <x v="1"/>
    <n v="5.2"/>
    <s v="20"/>
    <x v="0"/>
    <s v="Yes"/>
    <s v="Investor"/>
    <n v="281.08108108108109"/>
  </r>
  <r>
    <x v="6"/>
    <x v="3"/>
    <n v="410000"/>
    <n v="2200"/>
    <x v="1"/>
    <n v="5.2"/>
    <s v="15"/>
    <x v="0"/>
    <s v="No"/>
    <s v="Upsizer"/>
    <n v="186.36363636363637"/>
  </r>
  <r>
    <x v="7"/>
    <x v="1"/>
    <n v="215000"/>
    <n v="2600"/>
    <x v="1"/>
    <n v="5.4"/>
    <s v="8"/>
    <x v="2"/>
    <s v="No"/>
    <s v="First Timer"/>
    <n v="82.692307692307693"/>
  </r>
  <r>
    <x v="8"/>
    <x v="2"/>
    <n v="365000"/>
    <n v="2400"/>
    <x v="1"/>
    <n v="5.3"/>
    <s v="10"/>
    <x v="1"/>
    <s v="No"/>
    <s v="First Timer"/>
    <n v="152.08333333333334"/>
  </r>
  <r>
    <x v="0"/>
    <x v="0"/>
    <n v="880000"/>
    <n v="2100"/>
    <x v="1"/>
    <n v="5.0999999999999996"/>
    <s v="20"/>
    <x v="3"/>
    <s v="Yes"/>
    <s v="Investor"/>
    <n v="419.04761904761904"/>
  </r>
  <r>
    <x v="1"/>
    <x v="1"/>
    <n v="345000"/>
    <n v="2750"/>
    <x v="1"/>
    <n v="5.2"/>
    <s v="12"/>
    <x v="1"/>
    <s v="No"/>
    <s v="First Timer"/>
    <n v="125.45454545454545"/>
  </r>
  <r>
    <x v="2"/>
    <x v="2"/>
    <n v="295000"/>
    <n v="2850"/>
    <x v="1"/>
    <n v="5.4"/>
    <s v="10"/>
    <x v="2"/>
    <s v="No"/>
    <s v="First Timer"/>
    <n v="103.50877192982456"/>
  </r>
  <r>
    <x v="3"/>
    <x v="0"/>
    <n v="430000"/>
    <n v="1950"/>
    <x v="1"/>
    <n v="5.4"/>
    <s v="20"/>
    <x v="0"/>
    <s v="Yes"/>
    <s v="Upsizer"/>
    <n v="220.51282051282053"/>
  </r>
  <r>
    <x v="4"/>
    <x v="3"/>
    <n v="380000"/>
    <n v="2250"/>
    <x v="1"/>
    <n v="5.3"/>
    <s v="18"/>
    <x v="0"/>
    <s v="No"/>
    <s v="Upsizer"/>
    <n v="168.88888888888889"/>
  </r>
  <r>
    <x v="5"/>
    <x v="1"/>
    <n v="275000"/>
    <n v="2700"/>
    <x v="1"/>
    <n v="5.3"/>
    <s v="7"/>
    <x v="2"/>
    <s v="No"/>
    <s v="First Timer"/>
    <n v="101.85185185185185"/>
  </r>
  <r>
    <x v="6"/>
    <x v="0"/>
    <n v="570000"/>
    <n v="1900"/>
    <x v="1"/>
    <n v="5.0999999999999996"/>
    <s v="20"/>
    <x v="0"/>
    <s v="Yes"/>
    <s v="Investor"/>
    <n v="300"/>
  </r>
  <r>
    <x v="7"/>
    <x v="2"/>
    <n v="255000"/>
    <n v="2300"/>
    <x v="1"/>
    <n v="5.4"/>
    <s v="6"/>
    <x v="2"/>
    <s v="No"/>
    <s v="First Timer"/>
    <n v="110.8695652173913"/>
  </r>
  <r>
    <x v="8"/>
    <x v="0"/>
    <n v="610000"/>
    <n v="2000"/>
    <x v="1"/>
    <n v="5.0999999999999996"/>
    <s v="20"/>
    <x v="0"/>
    <s v="Yes"/>
    <s v="Investor"/>
    <n v="305"/>
  </r>
  <r>
    <x v="0"/>
    <x v="2"/>
    <n v="635000"/>
    <n v="2700"/>
    <x v="1"/>
    <n v="5.0999999999999996"/>
    <s v="15"/>
    <x v="0"/>
    <s v="No"/>
    <s v="Upsizer"/>
    <n v="235.18518518518519"/>
  </r>
  <r>
    <x v="1"/>
    <x v="3"/>
    <n v="480000"/>
    <n v="2550"/>
    <x v="1"/>
    <n v="5.3"/>
    <s v="15"/>
    <x v="0"/>
    <s v="No"/>
    <s v="Upsizer"/>
    <n v="188.23529411764707"/>
  </r>
  <r>
    <x v="0"/>
    <x v="1"/>
    <n v="492000"/>
    <n v="3200"/>
    <x v="1"/>
    <n v="5"/>
    <s v="12"/>
    <x v="1"/>
    <s v="No"/>
    <s v="First Timer"/>
    <n v="153.75"/>
  </r>
  <r>
    <x v="1"/>
    <x v="0"/>
    <n v="665000"/>
    <n v="2150"/>
    <x v="1"/>
    <n v="5.3"/>
    <s v="22"/>
    <x v="3"/>
    <s v="Yes"/>
    <s v="Investor"/>
    <n v="309.30232558139534"/>
  </r>
  <r>
    <x v="2"/>
    <x v="3"/>
    <n v="350000"/>
    <n v="2350"/>
    <x v="1"/>
    <n v="5.4"/>
    <s v="14"/>
    <x v="1"/>
    <s v="No"/>
    <s v="Upsizer"/>
    <n v="148.93617021276594"/>
  </r>
  <r>
    <x v="3"/>
    <x v="2"/>
    <n v="282000"/>
    <n v="750"/>
    <x v="1"/>
    <n v="5.5"/>
    <n v="10"/>
    <x v="2"/>
    <s v="No"/>
    <s v="First Timer"/>
    <n v="376"/>
  </r>
  <r>
    <x v="4"/>
    <x v="1"/>
    <n v="262000"/>
    <n v="2600"/>
    <x v="1"/>
    <n v="5.4"/>
    <s v="8"/>
    <x v="2"/>
    <s v="No"/>
    <s v="First Timer"/>
    <n v="100.76923076923077"/>
  </r>
  <r>
    <x v="5"/>
    <x v="0"/>
    <n v="525000"/>
    <n v="1900"/>
    <x v="1"/>
    <n v="5.2"/>
    <s v="20"/>
    <x v="0"/>
    <s v="Yes"/>
    <s v="Investor"/>
    <n v="276.31578947368422"/>
  </r>
  <r>
    <x v="6"/>
    <x v="3"/>
    <n v="412000"/>
    <n v="2250"/>
    <x v="1"/>
    <n v="5.2"/>
    <s v="15"/>
    <x v="0"/>
    <s v="No"/>
    <s v="Upsizer"/>
    <n v="183.11111111111111"/>
  </r>
  <r>
    <x v="7"/>
    <x v="1"/>
    <n v="218000"/>
    <n v="2650"/>
    <x v="1"/>
    <n v="5.4"/>
    <s v="8"/>
    <x v="2"/>
    <s v="No"/>
    <s v="First Timer"/>
    <n v="82.264150943396231"/>
  </r>
  <r>
    <x v="8"/>
    <x v="2"/>
    <n v="368000"/>
    <n v="2450"/>
    <x v="1"/>
    <n v="5.3"/>
    <s v="10"/>
    <x v="1"/>
    <s v="No"/>
    <s v="First Timer"/>
    <n v="150.20408163265307"/>
  </r>
  <r>
    <x v="0"/>
    <x v="0"/>
    <n v="885000"/>
    <n v="2150"/>
    <x v="1"/>
    <n v="5.0999999999999996"/>
    <s v="20"/>
    <x v="3"/>
    <s v="Yes"/>
    <s v="Investor"/>
    <n v="411.62790697674421"/>
  </r>
  <r>
    <x v="1"/>
    <x v="1"/>
    <n v="348000"/>
    <n v="2800"/>
    <x v="1"/>
    <n v="5.2"/>
    <s v="12"/>
    <x v="1"/>
    <s v="No"/>
    <s v="First Timer"/>
    <n v="124.28571428571429"/>
  </r>
  <r>
    <x v="2"/>
    <x v="2"/>
    <n v="298000"/>
    <n v="2900"/>
    <x v="1"/>
    <n v="5.4"/>
    <s v="10"/>
    <x v="2"/>
    <s v="No"/>
    <s v="First Timer"/>
    <n v="102.75862068965517"/>
  </r>
  <r>
    <x v="3"/>
    <x v="0"/>
    <n v="432000"/>
    <n v="2000"/>
    <x v="1"/>
    <n v="5.4"/>
    <s v="20"/>
    <x v="0"/>
    <s v="Yes"/>
    <s v="Upsizer"/>
    <n v="216"/>
  </r>
  <r>
    <x v="4"/>
    <x v="3"/>
    <n v="382000"/>
    <n v="2300"/>
    <x v="1"/>
    <n v="5.3"/>
    <s v="18"/>
    <x v="0"/>
    <s v="No"/>
    <s v="Upsizer"/>
    <n v="166.08695652173913"/>
  </r>
  <r>
    <x v="5"/>
    <x v="1"/>
    <n v="278000"/>
    <n v="2750"/>
    <x v="1"/>
    <n v="5.3"/>
    <s v="7"/>
    <x v="2"/>
    <s v="No"/>
    <s v="First Timer"/>
    <n v="101.09090909090909"/>
  </r>
  <r>
    <x v="6"/>
    <x v="0"/>
    <n v="575000"/>
    <n v="1950"/>
    <x v="1"/>
    <n v="5.0999999999999996"/>
    <s v="20"/>
    <x v="0"/>
    <s v="Yes"/>
    <s v="Investor"/>
    <n v="294.87179487179486"/>
  </r>
  <r>
    <x v="7"/>
    <x v="2"/>
    <n v="258000"/>
    <n v="2350"/>
    <x v="1"/>
    <n v="5.4"/>
    <s v="6"/>
    <x v="2"/>
    <s v="No"/>
    <s v="First Timer"/>
    <n v="109.78723404255319"/>
  </r>
  <r>
    <x v="8"/>
    <x v="0"/>
    <n v="615000"/>
    <n v="2050"/>
    <x v="1"/>
    <n v="5.0999999999999996"/>
    <s v="20"/>
    <x v="0"/>
    <s v="Yes"/>
    <s v="Investor"/>
    <n v="300"/>
  </r>
  <r>
    <x v="0"/>
    <x v="2"/>
    <n v="640000"/>
    <n v="2750"/>
    <x v="1"/>
    <n v="5.0999999999999996"/>
    <s v="15"/>
    <x v="0"/>
    <s v="No"/>
    <s v="Upsizer"/>
    <n v="232.72727272727272"/>
  </r>
  <r>
    <x v="1"/>
    <x v="3"/>
    <n v="482000"/>
    <n v="2600"/>
    <x v="1"/>
    <n v="5.3"/>
    <s v="15"/>
    <x v="0"/>
    <s v="No"/>
    <s v="Upsizer"/>
    <n v="185.38461538461539"/>
  </r>
  <r>
    <x v="0"/>
    <x v="1"/>
    <n v="495000"/>
    <n v="3250"/>
    <x v="1"/>
    <n v="5"/>
    <s v="12"/>
    <x v="1"/>
    <s v="No"/>
    <s v="First Timer"/>
    <n v="152.30769230769232"/>
  </r>
  <r>
    <x v="1"/>
    <x v="0"/>
    <n v="670000"/>
    <n v="2200"/>
    <x v="1"/>
    <n v="5.3"/>
    <s v="22"/>
    <x v="3"/>
    <s v="Yes"/>
    <s v="Investor"/>
    <n v="304.54545454545456"/>
  </r>
  <r>
    <x v="2"/>
    <x v="3"/>
    <n v="352000"/>
    <n v="2400"/>
    <x v="1"/>
    <n v="5.4"/>
    <s v="14"/>
    <x v="1"/>
    <s v="No"/>
    <s v="Upsizer"/>
    <n v="146.66666666666666"/>
  </r>
  <r>
    <x v="3"/>
    <x v="2"/>
    <n v="285000"/>
    <n v="800"/>
    <x v="1"/>
    <n v="5.5"/>
    <n v="10"/>
    <x v="2"/>
    <s v="No"/>
    <s v="First Timer"/>
    <n v="356.25"/>
  </r>
  <r>
    <x v="4"/>
    <x v="1"/>
    <n v="265000"/>
    <n v="2650"/>
    <x v="1"/>
    <n v="5.4"/>
    <s v="8"/>
    <x v="2"/>
    <s v="No"/>
    <s v="First Timer"/>
    <n v="100"/>
  </r>
  <r>
    <x v="5"/>
    <x v="0"/>
    <n v="530000"/>
    <n v="1950"/>
    <x v="1"/>
    <n v="5.2"/>
    <s v="20"/>
    <x v="0"/>
    <s v="Yes"/>
    <s v="Investor"/>
    <n v="271.79487179487177"/>
  </r>
  <r>
    <x v="6"/>
    <x v="3"/>
    <n v="415000"/>
    <n v="2300"/>
    <x v="1"/>
    <n v="5.2"/>
    <s v="15"/>
    <x v="0"/>
    <s v="No"/>
    <s v="Upsizer"/>
    <n v="180.43478260869566"/>
  </r>
  <r>
    <x v="7"/>
    <x v="1"/>
    <n v="220000"/>
    <n v="2700"/>
    <x v="1"/>
    <n v="5.4"/>
    <s v="8"/>
    <x v="2"/>
    <s v="No"/>
    <s v="First Timer"/>
    <n v="81.481481481481481"/>
  </r>
  <r>
    <x v="8"/>
    <x v="2"/>
    <n v="370000"/>
    <n v="2500"/>
    <x v="1"/>
    <n v="5.3"/>
    <s v="10"/>
    <x v="1"/>
    <s v="No"/>
    <s v="First Timer"/>
    <n v="148"/>
  </r>
  <r>
    <x v="0"/>
    <x v="0"/>
    <n v="890000"/>
    <n v="2200"/>
    <x v="1"/>
    <n v="5.0999999999999996"/>
    <s v="20"/>
    <x v="3"/>
    <s v="Yes"/>
    <s v="Investor"/>
    <n v="404.54545454545456"/>
  </r>
  <r>
    <x v="1"/>
    <x v="1"/>
    <n v="350000"/>
    <n v="2850"/>
    <x v="1"/>
    <n v="5.2"/>
    <s v="12"/>
    <x v="1"/>
    <s v="No"/>
    <s v="First Timer"/>
    <n v="122.80701754385964"/>
  </r>
  <r>
    <x v="2"/>
    <x v="2"/>
    <n v="300000"/>
    <n v="2950"/>
    <x v="1"/>
    <n v="5.4"/>
    <s v="10"/>
    <x v="2"/>
    <s v="No"/>
    <s v="First Timer"/>
    <n v="101.69491525423729"/>
  </r>
  <r>
    <x v="3"/>
    <x v="0"/>
    <n v="435000"/>
    <n v="2050"/>
    <x v="1"/>
    <n v="5.4"/>
    <s v="20"/>
    <x v="0"/>
    <s v="Yes"/>
    <s v="Upsizer"/>
    <n v="212.19512195121951"/>
  </r>
  <r>
    <x v="4"/>
    <x v="3"/>
    <n v="385000"/>
    <n v="2350"/>
    <x v="1"/>
    <n v="5.3"/>
    <s v="18"/>
    <x v="0"/>
    <s v="No"/>
    <s v="Upsizer"/>
    <n v="163.82978723404256"/>
  </r>
  <r>
    <x v="5"/>
    <x v="1"/>
    <n v="280000"/>
    <n v="2800"/>
    <x v="1"/>
    <n v="5.3"/>
    <s v="7"/>
    <x v="2"/>
    <s v="No"/>
    <s v="First Timer"/>
    <n v="100"/>
  </r>
  <r>
    <x v="0"/>
    <x v="1"/>
    <n v="500000"/>
    <n v="3300"/>
    <x v="1"/>
    <n v="5"/>
    <s v="12"/>
    <x v="1"/>
    <s v="No"/>
    <s v="First Timer"/>
    <n v="151.5151515151515"/>
  </r>
  <r>
    <x v="1"/>
    <x v="0"/>
    <n v="675000"/>
    <n v="2650"/>
    <x v="1"/>
    <n v="5.3"/>
    <s v="22"/>
    <x v="3"/>
    <s v="Yes"/>
    <s v="Investor"/>
    <n v="254.71698113207546"/>
  </r>
  <r>
    <x v="2"/>
    <x v="3"/>
    <n v="355000"/>
    <n v="2450"/>
    <x v="1"/>
    <n v="5.4"/>
    <s v="14"/>
    <x v="1"/>
    <s v="No"/>
    <s v="Upsizer"/>
    <n v="144.89795918367346"/>
  </r>
  <r>
    <x v="3"/>
    <x v="2"/>
    <n v="290000"/>
    <n v="2850"/>
    <x v="1"/>
    <n v="5.5"/>
    <s v="10"/>
    <x v="2"/>
    <s v="No"/>
    <s v="First Timer"/>
    <n v="101.75438596491227"/>
  </r>
  <r>
    <x v="4"/>
    <x v="1"/>
    <n v="270000"/>
    <n v="2750"/>
    <x v="1"/>
    <n v="5.4"/>
    <s v="8"/>
    <x v="2"/>
    <s v="No"/>
    <s v="First Timer"/>
    <n v="98.181818181818187"/>
  </r>
  <r>
    <x v="5"/>
    <x v="0"/>
    <n v="540000"/>
    <n v="2000"/>
    <x v="1"/>
    <n v="5.2"/>
    <s v="20"/>
    <x v="0"/>
    <s v="Yes"/>
    <s v="Investor"/>
    <n v="270"/>
  </r>
  <r>
    <x v="6"/>
    <x v="3"/>
    <n v="420000"/>
    <n v="2350"/>
    <x v="1"/>
    <n v="5.2"/>
    <s v="15"/>
    <x v="0"/>
    <s v="No"/>
    <s v="Upsizer"/>
    <n v="178.72340425531914"/>
  </r>
  <r>
    <x v="7"/>
    <x v="1"/>
    <n v="225000"/>
    <n v="2800"/>
    <x v="1"/>
    <n v="5.4"/>
    <s v="8"/>
    <x v="2"/>
    <s v="No"/>
    <s v="First Timer"/>
    <n v="80.357142857142861"/>
  </r>
  <r>
    <x v="8"/>
    <x v="2"/>
    <n v="380000"/>
    <n v="2550"/>
    <x v="1"/>
    <n v="5.3"/>
    <s v="10"/>
    <x v="1"/>
    <s v="No"/>
    <s v="First Timer"/>
    <n v="149.01960784313727"/>
  </r>
  <r>
    <x v="0"/>
    <x v="0"/>
    <n v="900000"/>
    <n v="2250"/>
    <x v="1"/>
    <n v="5.0999999999999996"/>
    <s v="20"/>
    <x v="3"/>
    <s v="Yes"/>
    <s v="Investor"/>
    <n v="400"/>
  </r>
  <r>
    <x v="1"/>
    <x v="1"/>
    <n v="360000"/>
    <n v="2900"/>
    <x v="1"/>
    <n v="5.2"/>
    <s v="12"/>
    <x v="1"/>
    <s v="No"/>
    <s v="First Timer"/>
    <n v="124.13793103448276"/>
  </r>
  <r>
    <x v="2"/>
    <x v="2"/>
    <n v="310000"/>
    <n v="3000"/>
    <x v="1"/>
    <n v="5.4"/>
    <s v="10"/>
    <x v="2"/>
    <s v="No"/>
    <s v="First Timer"/>
    <n v="103.33333333333333"/>
  </r>
  <r>
    <x v="3"/>
    <x v="0"/>
    <n v="450000"/>
    <n v="2100"/>
    <x v="1"/>
    <n v="5.4"/>
    <s v="20"/>
    <x v="0"/>
    <s v="Yes"/>
    <s v="Upsizer"/>
    <n v="214.28571428571428"/>
  </r>
  <r>
    <x v="4"/>
    <x v="3"/>
    <n v="395000"/>
    <n v="2500"/>
    <x v="1"/>
    <n v="5.3"/>
    <s v="18"/>
    <x v="0"/>
    <s v="No"/>
    <s v="Upsizer"/>
    <n v="158"/>
  </r>
  <r>
    <x v="5"/>
    <x v="1"/>
    <n v="290000"/>
    <n v="2850"/>
    <x v="1"/>
    <n v="5.3"/>
    <s v="7"/>
    <x v="2"/>
    <s v="No"/>
    <s v="First Timer"/>
    <n v="101.75438596491227"/>
  </r>
  <r>
    <x v="6"/>
    <x v="0"/>
    <n v="590000"/>
    <n v="2050"/>
    <x v="1"/>
    <n v="5.0999999999999996"/>
    <s v="20"/>
    <x v="0"/>
    <s v="Yes"/>
    <s v="Investor"/>
    <n v="287.80487804878049"/>
  </r>
  <r>
    <x v="7"/>
    <x v="2"/>
    <n v="270000"/>
    <n v="2600"/>
    <x v="1"/>
    <n v="5.4"/>
    <s v="6"/>
    <x v="2"/>
    <s v="No"/>
    <s v="First Timer"/>
    <n v="103.84615384615384"/>
  </r>
  <r>
    <x v="8"/>
    <x v="0"/>
    <n v="630000"/>
    <n v="2150"/>
    <x v="1"/>
    <n v="5.0999999999999996"/>
    <s v="20"/>
    <x v="0"/>
    <s v="Yes"/>
    <s v="Investor"/>
    <n v="293.02325581395348"/>
  </r>
  <r>
    <x v="0"/>
    <x v="2"/>
    <n v="650000"/>
    <n v="2950"/>
    <x v="1"/>
    <n v="5.0999999999999996"/>
    <s v="15"/>
    <x v="0"/>
    <s v="No"/>
    <s v="Upsizer"/>
    <n v="220.33898305084745"/>
  </r>
  <r>
    <x v="1"/>
    <x v="3"/>
    <n v="500000"/>
    <n v="2700"/>
    <x v="1"/>
    <n v="5.3"/>
    <s v="15"/>
    <x v="0"/>
    <s v="No"/>
    <s v="Upsizer"/>
    <n v="185.18518518518519"/>
  </r>
  <r>
    <x v="0"/>
    <x v="1"/>
    <n v="505000"/>
    <n v="3350"/>
    <x v="1"/>
    <n v="5"/>
    <s v="12"/>
    <x v="1"/>
    <s v="No"/>
    <s v="First Timer"/>
    <n v="150.74626865671641"/>
  </r>
  <r>
    <x v="1"/>
    <x v="0"/>
    <n v="680000"/>
    <n v="2700"/>
    <x v="1"/>
    <n v="5.3"/>
    <s v="22"/>
    <x v="3"/>
    <s v="Yes"/>
    <s v="Investor"/>
    <n v="251.85185185185185"/>
  </r>
  <r>
    <x v="2"/>
    <x v="3"/>
    <n v="360000"/>
    <n v="2500"/>
    <x v="1"/>
    <n v="5.4"/>
    <s v="14"/>
    <x v="1"/>
    <s v="No"/>
    <s v="Upsizer"/>
    <n v="144"/>
  </r>
  <r>
    <x v="3"/>
    <x v="2"/>
    <n v="295000"/>
    <n v="2900"/>
    <x v="1"/>
    <n v="5.5"/>
    <s v="10"/>
    <x v="2"/>
    <s v="No"/>
    <s v="First Timer"/>
    <n v="101.72413793103448"/>
  </r>
  <r>
    <x v="4"/>
    <x v="1"/>
    <n v="275000"/>
    <n v="2800"/>
    <x v="1"/>
    <n v="5.4"/>
    <s v="8"/>
    <x v="2"/>
    <s v="No"/>
    <s v="First Timer"/>
    <n v="98.214285714285708"/>
  </r>
  <r>
    <x v="5"/>
    <x v="0"/>
    <n v="545000"/>
    <n v="2050"/>
    <x v="1"/>
    <n v="5.2"/>
    <s v="20"/>
    <x v="0"/>
    <s v="Yes"/>
    <s v="Investor"/>
    <n v="265.85365853658539"/>
  </r>
  <r>
    <x v="6"/>
    <x v="3"/>
    <n v="425000"/>
    <n v="2400"/>
    <x v="1"/>
    <n v="5.2"/>
    <s v="15"/>
    <x v="0"/>
    <s v="No"/>
    <s v="Upsizer"/>
    <n v="177.08333333333334"/>
  </r>
  <r>
    <x v="7"/>
    <x v="1"/>
    <n v="230000"/>
    <n v="2850"/>
    <x v="1"/>
    <n v="5.4"/>
    <s v="8"/>
    <x v="2"/>
    <s v="No"/>
    <s v="First Timer"/>
    <n v="80.701754385964918"/>
  </r>
  <r>
    <x v="8"/>
    <x v="2"/>
    <n v="385000"/>
    <n v="2600"/>
    <x v="1"/>
    <n v="5.3"/>
    <s v="10"/>
    <x v="1"/>
    <s v="No"/>
    <s v="First Timer"/>
    <n v="148.07692307692307"/>
  </r>
  <r>
    <x v="0"/>
    <x v="0"/>
    <n v="910000"/>
    <n v="2300"/>
    <x v="1"/>
    <n v="5.0999999999999996"/>
    <s v="20"/>
    <x v="3"/>
    <s v="Yes"/>
    <s v="Investor"/>
    <n v="395.6521739130435"/>
  </r>
  <r>
    <x v="1"/>
    <x v="1"/>
    <n v="365000"/>
    <n v="2950"/>
    <x v="1"/>
    <n v="5.2"/>
    <s v="12"/>
    <x v="1"/>
    <s v="No"/>
    <s v="First Timer"/>
    <n v="123.72881355932203"/>
  </r>
  <r>
    <x v="2"/>
    <x v="2"/>
    <n v="315000"/>
    <n v="3050"/>
    <x v="1"/>
    <n v="5.4"/>
    <s v="10"/>
    <x v="2"/>
    <s v="No"/>
    <s v="First Timer"/>
    <n v="103.27868852459017"/>
  </r>
  <r>
    <x v="3"/>
    <x v="0"/>
    <n v="455000"/>
    <n v="2150"/>
    <x v="1"/>
    <n v="5.4"/>
    <s v="20"/>
    <x v="0"/>
    <s v="Yes"/>
    <s v="Upsizer"/>
    <n v="211.62790697674419"/>
  </r>
  <r>
    <x v="4"/>
    <x v="3"/>
    <n v="400000"/>
    <n v="2550"/>
    <x v="1"/>
    <n v="5.3"/>
    <s v="18"/>
    <x v="0"/>
    <s v="No"/>
    <s v="Upsizer"/>
    <n v="156.86274509803923"/>
  </r>
  <r>
    <x v="5"/>
    <x v="1"/>
    <n v="295000"/>
    <n v="2900"/>
    <x v="1"/>
    <n v="5.3"/>
    <s v="7"/>
    <x v="2"/>
    <s v="No"/>
    <s v="First Timer"/>
    <n v="101.72413793103448"/>
  </r>
  <r>
    <x v="6"/>
    <x v="0"/>
    <n v="600000"/>
    <n v="2100"/>
    <x v="1"/>
    <n v="5.0999999999999996"/>
    <s v="20"/>
    <x v="0"/>
    <s v="Yes"/>
    <s v="Investor"/>
    <n v="285.71428571428572"/>
  </r>
  <r>
    <x v="7"/>
    <x v="2"/>
    <n v="275000"/>
    <n v="2650"/>
    <x v="1"/>
    <n v="5.4"/>
    <s v="6"/>
    <x v="2"/>
    <s v="No"/>
    <s v="First Timer"/>
    <n v="103.77358490566037"/>
  </r>
  <r>
    <x v="8"/>
    <x v="0"/>
    <n v="640000"/>
    <n v="2200"/>
    <x v="1"/>
    <n v="5.0999999999999996"/>
    <s v="20"/>
    <x v="0"/>
    <s v="Yes"/>
    <s v="Investor"/>
    <n v="290.90909090909093"/>
  </r>
  <r>
    <x v="0"/>
    <x v="2"/>
    <n v="660000"/>
    <n v="3000"/>
    <x v="1"/>
    <n v="5.0999999999999996"/>
    <s v="15"/>
    <x v="0"/>
    <s v="No"/>
    <s v="Upsizer"/>
    <n v="220"/>
  </r>
  <r>
    <x v="1"/>
    <x v="3"/>
    <n v="505000"/>
    <n v="2750"/>
    <x v="1"/>
    <n v="5.3"/>
    <s v="15"/>
    <x v="0"/>
    <s v="No"/>
    <s v="Upsizer"/>
    <n v="183.63636363636363"/>
  </r>
  <r>
    <x v="0"/>
    <x v="1"/>
    <n v="510000"/>
    <n v="3400"/>
    <x v="1"/>
    <n v="5"/>
    <s v="12"/>
    <x v="1"/>
    <s v="No"/>
    <s v="First Timer"/>
    <n v="150"/>
  </r>
  <r>
    <x v="1"/>
    <x v="0"/>
    <n v="685000"/>
    <n v="2750"/>
    <x v="1"/>
    <n v="5.3"/>
    <s v="22"/>
    <x v="3"/>
    <s v="Yes"/>
    <s v="Investor"/>
    <n v="249.09090909090909"/>
  </r>
  <r>
    <x v="2"/>
    <x v="3"/>
    <n v="365000"/>
    <n v="2550"/>
    <x v="1"/>
    <n v="5.4"/>
    <s v="14"/>
    <x v="1"/>
    <s v="No"/>
    <s v="Upsizer"/>
    <n v="143.13725490196077"/>
  </r>
  <r>
    <x v="3"/>
    <x v="2"/>
    <n v="300000"/>
    <n v="2950"/>
    <x v="1"/>
    <n v="5.5"/>
    <s v="10"/>
    <x v="2"/>
    <s v="No"/>
    <s v="First Timer"/>
    <n v="101.69491525423729"/>
  </r>
  <r>
    <x v="4"/>
    <x v="1"/>
    <n v="280000"/>
    <n v="2850"/>
    <x v="1"/>
    <n v="5.4"/>
    <s v="8"/>
    <x v="2"/>
    <s v="No"/>
    <s v="First Timer"/>
    <n v="98.245614035087726"/>
  </r>
  <r>
    <x v="5"/>
    <x v="0"/>
    <n v="550000"/>
    <n v="2100"/>
    <x v="1"/>
    <n v="5.2"/>
    <s v="20"/>
    <x v="0"/>
    <s v="Yes"/>
    <s v="Investor"/>
    <n v="261.90476190476193"/>
  </r>
  <r>
    <x v="6"/>
    <x v="3"/>
    <n v="430000"/>
    <n v="2450"/>
    <x v="1"/>
    <n v="5.2"/>
    <s v="15"/>
    <x v="0"/>
    <s v="No"/>
    <s v="Upsizer"/>
    <n v="175.51020408163265"/>
  </r>
  <r>
    <x v="7"/>
    <x v="1"/>
    <n v="235000"/>
    <n v="2900"/>
    <x v="1"/>
    <n v="5.4"/>
    <s v="8"/>
    <x v="2"/>
    <s v="No"/>
    <s v="First Timer"/>
    <n v="81.034482758620683"/>
  </r>
  <r>
    <x v="8"/>
    <x v="2"/>
    <n v="390000"/>
    <n v="2650"/>
    <x v="1"/>
    <n v="5.3"/>
    <s v="10"/>
    <x v="1"/>
    <s v="No"/>
    <s v="First Timer"/>
    <n v="147.16981132075472"/>
  </r>
  <r>
    <x v="0"/>
    <x v="0"/>
    <n v="920000"/>
    <n v="2350"/>
    <x v="1"/>
    <n v="5.0999999999999996"/>
    <s v="20"/>
    <x v="3"/>
    <s v="Yes"/>
    <s v="Investor"/>
    <n v="391.48936170212767"/>
  </r>
  <r>
    <x v="1"/>
    <x v="1"/>
    <n v="370000"/>
    <n v="3000"/>
    <x v="1"/>
    <n v="5.2"/>
    <s v="12"/>
    <x v="1"/>
    <s v="No"/>
    <s v="First Timer"/>
    <n v="123.33333333333333"/>
  </r>
  <r>
    <x v="2"/>
    <x v="2"/>
    <n v="320000"/>
    <n v="3100"/>
    <x v="1"/>
    <n v="5.4"/>
    <s v="10"/>
    <x v="2"/>
    <s v="No"/>
    <s v="First Timer"/>
    <n v="103.2258064516129"/>
  </r>
  <r>
    <x v="3"/>
    <x v="0"/>
    <n v="460000"/>
    <n v="2200"/>
    <x v="1"/>
    <n v="5.4"/>
    <s v="20"/>
    <x v="0"/>
    <s v="Yes"/>
    <s v="Upsizer"/>
    <n v="209.09090909090909"/>
  </r>
  <r>
    <x v="4"/>
    <x v="3"/>
    <n v="405000"/>
    <n v="2600"/>
    <x v="1"/>
    <n v="5.3"/>
    <s v="18"/>
    <x v="0"/>
    <s v="No"/>
    <s v="Upsizer"/>
    <n v="155.76923076923077"/>
  </r>
  <r>
    <x v="5"/>
    <x v="1"/>
    <n v="300000"/>
    <n v="2950"/>
    <x v="1"/>
    <n v="5.3"/>
    <s v="7"/>
    <x v="2"/>
    <s v="No"/>
    <s v="First Timer"/>
    <n v="101.69491525423729"/>
  </r>
  <r>
    <x v="6"/>
    <x v="0"/>
    <n v="610000"/>
    <n v="2150"/>
    <x v="1"/>
    <n v="5.0999999999999996"/>
    <s v="20"/>
    <x v="0"/>
    <s v="Yes"/>
    <s v="Investor"/>
    <n v="283.72093023255815"/>
  </r>
  <r>
    <x v="7"/>
    <x v="2"/>
    <n v="280000"/>
    <n v="2700"/>
    <x v="1"/>
    <n v="5.4"/>
    <s v="6"/>
    <x v="2"/>
    <s v="No"/>
    <s v="First Timer"/>
    <n v="103.70370370370371"/>
  </r>
  <r>
    <x v="8"/>
    <x v="0"/>
    <n v="650000"/>
    <n v="2250"/>
    <x v="1"/>
    <n v="5.0999999999999996"/>
    <s v="20"/>
    <x v="0"/>
    <s v="Yes"/>
    <s v="Investor"/>
    <n v="288.88888888888891"/>
  </r>
  <r>
    <x v="0"/>
    <x v="2"/>
    <n v="670000"/>
    <n v="3050"/>
    <x v="1"/>
    <n v="5.0999999999999996"/>
    <s v="15"/>
    <x v="0"/>
    <s v="No"/>
    <s v="Upsizer"/>
    <n v="219.67213114754099"/>
  </r>
  <r>
    <x v="1"/>
    <x v="3"/>
    <n v="510000"/>
    <n v="2800"/>
    <x v="1"/>
    <n v="5.3"/>
    <s v="15"/>
    <x v="0"/>
    <s v="No"/>
    <s v="Upsizer"/>
    <n v="182.14285714285714"/>
  </r>
  <r>
    <x v="0"/>
    <x v="1"/>
    <n v="515000"/>
    <n v="3405"/>
    <x v="1"/>
    <n v="5"/>
    <s v="12"/>
    <x v="1"/>
    <s v="No"/>
    <s v="First Timer"/>
    <n v="151.24816446402349"/>
  </r>
  <r>
    <x v="1"/>
    <x v="0"/>
    <n v="690000"/>
    <n v="2760"/>
    <x v="1"/>
    <n v="5.3"/>
    <s v="22"/>
    <x v="3"/>
    <s v="Yes"/>
    <s v="Investor"/>
    <n v="250"/>
  </r>
  <r>
    <x v="2"/>
    <x v="3"/>
    <n v="368000"/>
    <n v="2555"/>
    <x v="1"/>
    <n v="5.4"/>
    <s v="14"/>
    <x v="1"/>
    <s v="No"/>
    <s v="Upsizer"/>
    <n v="144.03131115459882"/>
  </r>
  <r>
    <x v="3"/>
    <x v="2"/>
    <n v="302000"/>
    <n v="2960"/>
    <x v="1"/>
    <n v="5.5"/>
    <s v="10"/>
    <x v="2"/>
    <s v="No"/>
    <s v="First Timer"/>
    <n v="102.02702702702703"/>
  </r>
  <r>
    <x v="4"/>
    <x v="1"/>
    <n v="282000"/>
    <n v="2860"/>
    <x v="1"/>
    <n v="5.4"/>
    <s v="8"/>
    <x v="2"/>
    <s v="No"/>
    <s v="First Timer"/>
    <n v="98.6013986013986"/>
  </r>
  <r>
    <x v="5"/>
    <x v="0"/>
    <n v="552000"/>
    <n v="2105"/>
    <x v="1"/>
    <n v="5.2"/>
    <s v="20"/>
    <x v="0"/>
    <s v="Yes"/>
    <s v="Investor"/>
    <n v="262.23277909738715"/>
  </r>
  <r>
    <x v="6"/>
    <x v="3"/>
    <n v="432000"/>
    <n v="2460"/>
    <x v="1"/>
    <n v="5.2"/>
    <s v="15"/>
    <x v="0"/>
    <s v="No"/>
    <s v="Upsizer"/>
    <n v="175.60975609756099"/>
  </r>
  <r>
    <x v="7"/>
    <x v="1"/>
    <n v="236000"/>
    <n v="2910"/>
    <x v="1"/>
    <n v="5.4"/>
    <s v="8"/>
    <x v="2"/>
    <s v="No"/>
    <s v="First Timer"/>
    <n v="81.099656357388312"/>
  </r>
  <r>
    <x v="8"/>
    <x v="2"/>
    <n v="392000"/>
    <n v="2660"/>
    <x v="1"/>
    <n v="5.3"/>
    <s v="10"/>
    <x v="1"/>
    <s v="No"/>
    <s v="First Timer"/>
    <n v="147.36842105263159"/>
  </r>
  <r>
    <x v="0"/>
    <x v="0"/>
    <n v="925000"/>
    <n v="2360"/>
    <x v="1"/>
    <n v="5.0999999999999996"/>
    <s v="20"/>
    <x v="3"/>
    <s v="Yes"/>
    <s v="Investor"/>
    <n v="391.94915254237287"/>
  </r>
  <r>
    <x v="1"/>
    <x v="1"/>
    <n v="372000"/>
    <n v="3010"/>
    <x v="1"/>
    <n v="5.2"/>
    <s v="12"/>
    <x v="1"/>
    <s v="No"/>
    <s v="First Timer"/>
    <n v="123.58803986710963"/>
  </r>
  <r>
    <x v="2"/>
    <x v="2"/>
    <n v="322000"/>
    <n v="3110"/>
    <x v="1"/>
    <n v="5.4"/>
    <s v="10"/>
    <x v="2"/>
    <s v="No"/>
    <s v="First Timer"/>
    <n v="103.53697749196141"/>
  </r>
  <r>
    <x v="3"/>
    <x v="0"/>
    <n v="462000"/>
    <n v="2210"/>
    <x v="1"/>
    <n v="5.4"/>
    <s v="20"/>
    <x v="0"/>
    <s v="Yes"/>
    <s v="Upsizer"/>
    <n v="209.0497737556561"/>
  </r>
  <r>
    <x v="4"/>
    <x v="3"/>
    <n v="408000"/>
    <n v="2610"/>
    <x v="1"/>
    <n v="5.3"/>
    <s v="18"/>
    <x v="0"/>
    <s v="No"/>
    <s v="Upsizer"/>
    <n v="156.32183908045977"/>
  </r>
  <r>
    <x v="5"/>
    <x v="1"/>
    <n v="302000"/>
    <n v="2965"/>
    <x v="1"/>
    <n v="5.3"/>
    <s v="7"/>
    <x v="2"/>
    <s v="No"/>
    <s v="First Timer"/>
    <n v="101.85497470489038"/>
  </r>
  <r>
    <x v="6"/>
    <x v="0"/>
    <n v="615000"/>
    <n v="2160"/>
    <x v="1"/>
    <n v="5.0999999999999996"/>
    <s v="20"/>
    <x v="0"/>
    <s v="Yes"/>
    <s v="Investor"/>
    <n v="284.72222222222223"/>
  </r>
  <r>
    <x v="7"/>
    <x v="2"/>
    <n v="282000"/>
    <n v="2710"/>
    <x v="1"/>
    <n v="5.4"/>
    <s v="6"/>
    <x v="2"/>
    <s v="No"/>
    <s v="First Timer"/>
    <n v="104.0590405904059"/>
  </r>
  <r>
    <x v="8"/>
    <x v="0"/>
    <n v="655000"/>
    <n v="2260"/>
    <x v="1"/>
    <n v="5.0999999999999996"/>
    <s v="20"/>
    <x v="0"/>
    <s v="Yes"/>
    <s v="Investor"/>
    <n v="289.82300884955754"/>
  </r>
  <r>
    <x v="0"/>
    <x v="2"/>
    <n v="675000"/>
    <n v="3060"/>
    <x v="1"/>
    <n v="5.0999999999999996"/>
    <s v="15"/>
    <x v="0"/>
    <s v="No"/>
    <s v="Upsizer"/>
    <n v="220.58823529411765"/>
  </r>
  <r>
    <x v="1"/>
    <x v="3"/>
    <n v="512000"/>
    <n v="2810"/>
    <x v="1"/>
    <n v="5.3"/>
    <s v="15"/>
    <x v="0"/>
    <s v="No"/>
    <s v="Upsizer"/>
    <n v="182.20640569395019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99">
  <r>
    <x v="0"/>
    <x v="0"/>
    <n v="175000"/>
    <n v="2200"/>
    <n v="2023"/>
    <n v="6.4"/>
    <s v="5"/>
    <x v="0"/>
    <s v="No"/>
    <x v="0"/>
    <n v="79.545454545454547"/>
    <n v="1112.1657449891725"/>
    <n v="167399.7234967518"/>
    <n v="333649.7234967518"/>
    <n v="166250"/>
  </r>
  <r>
    <x v="1"/>
    <x v="0"/>
    <n v="190000"/>
    <n v="2380"/>
    <n v="2024"/>
    <n v="5.5"/>
    <s v="5"/>
    <x v="0"/>
    <s v="No"/>
    <x v="0"/>
    <n v="79.831932773109244"/>
    <n v="1108.4279235680538"/>
    <n v="152028.37707041611"/>
    <n v="332528.37707041611"/>
    <n v="180500"/>
  </r>
  <r>
    <x v="0"/>
    <x v="0"/>
    <n v="225000"/>
    <n v="2800"/>
    <n v="2024"/>
    <n v="5.4"/>
    <s v="8"/>
    <x v="0"/>
    <s v="No"/>
    <x v="0"/>
    <n v="80.357142857142861"/>
    <n v="1258.8289290349828"/>
    <n v="170648.67871049483"/>
    <n v="377648.67871049483"/>
    <n v="207000"/>
  </r>
  <r>
    <x v="0"/>
    <x v="0"/>
    <n v="230000"/>
    <n v="2850"/>
    <n v="2024"/>
    <n v="5.4"/>
    <s v="8"/>
    <x v="0"/>
    <s v="No"/>
    <x v="0"/>
    <n v="80.701754385964918"/>
    <n v="1286.8029052357601"/>
    <n v="174440.87157072802"/>
    <n v="386040.87157072802"/>
    <n v="211600"/>
  </r>
  <r>
    <x v="1"/>
    <x v="0"/>
    <n v="194000"/>
    <n v="2400"/>
    <n v="2024"/>
    <n v="5.4"/>
    <s v="5"/>
    <x v="0"/>
    <s v="No"/>
    <x v="0"/>
    <n v="80.833333333333329"/>
    <n v="1120.7834377833203"/>
    <n v="151935.03133499614"/>
    <n v="336235.03133499611"/>
    <n v="184300"/>
  </r>
  <r>
    <x v="0"/>
    <x v="0"/>
    <n v="235000"/>
    <n v="2900"/>
    <n v="2024"/>
    <n v="5.4"/>
    <s v="8"/>
    <x v="0"/>
    <s v="No"/>
    <x v="0"/>
    <n v="81.034482758620683"/>
    <n v="1314.7768814365375"/>
    <n v="178233.06443096124"/>
    <n v="394433.06443096127"/>
    <n v="216200"/>
  </r>
  <r>
    <x v="0"/>
    <x v="0"/>
    <n v="236000"/>
    <n v="2910"/>
    <n v="2024"/>
    <n v="5.4"/>
    <s v="8"/>
    <x v="0"/>
    <s v="No"/>
    <x v="0"/>
    <n v="81.099656357388312"/>
    <n v="1320.3716766766929"/>
    <n v="178991.50300300785"/>
    <n v="396111.50300300785"/>
    <n v="217120"/>
  </r>
  <r>
    <x v="0"/>
    <x v="0"/>
    <n v="220000"/>
    <n v="2700"/>
    <n v="2024"/>
    <n v="5.4"/>
    <s v="8"/>
    <x v="0"/>
    <s v="No"/>
    <x v="0"/>
    <n v="81.481481481481481"/>
    <n v="1230.8549528342053"/>
    <n v="166856.48585026161"/>
    <n v="369256.48585026164"/>
    <n v="202400"/>
  </r>
  <r>
    <x v="1"/>
    <x v="0"/>
    <n v="200000"/>
    <n v="2450"/>
    <n v="2024"/>
    <n v="5.4"/>
    <s v="5"/>
    <x v="0"/>
    <s v="No"/>
    <x v="0"/>
    <n v="81.632653061224488"/>
    <n v="1155.446843075588"/>
    <n v="156634.05292267646"/>
    <n v="346634.05292267643"/>
    <n v="190000"/>
  </r>
  <r>
    <x v="1"/>
    <x v="0"/>
    <n v="198000"/>
    <n v="2420"/>
    <n v="2023"/>
    <n v="6.6"/>
    <s v="5"/>
    <x v="0"/>
    <s v="No"/>
    <x v="0"/>
    <n v="81.818181818181813"/>
    <n v="1281.8433761077576"/>
    <n v="196453.01283232722"/>
    <n v="384553.01283232722"/>
    <n v="188100"/>
  </r>
  <r>
    <x v="0"/>
    <x v="0"/>
    <n v="180000"/>
    <n v="2200"/>
    <n v="2023"/>
    <n v="6.4"/>
    <s v="5"/>
    <x v="0"/>
    <s v="No"/>
    <x v="0"/>
    <n v="81.818181818181813"/>
    <n v="1143.9419091317204"/>
    <n v="172182.57273951615"/>
    <n v="343182.57273951615"/>
    <n v="171000"/>
  </r>
  <r>
    <x v="1"/>
    <x v="0"/>
    <n v="188000"/>
    <n v="2290"/>
    <n v="2023"/>
    <n v="6.5"/>
    <s v="5"/>
    <x v="0"/>
    <s v="No"/>
    <x v="0"/>
    <n v="82.096069868995627"/>
    <n v="1205.9199901668844"/>
    <n v="183175.99705006531"/>
    <n v="361775.99705006531"/>
    <n v="178600"/>
  </r>
  <r>
    <x v="0"/>
    <x v="0"/>
    <n v="170000"/>
    <n v="2070"/>
    <n v="2024"/>
    <n v="5.4"/>
    <s v="8"/>
    <x v="0"/>
    <s v="No"/>
    <x v="0"/>
    <n v="82.125603864734302"/>
    <n v="951.11519082643133"/>
    <n v="128934.55724792942"/>
    <n v="285334.55724792939"/>
    <n v="156400"/>
  </r>
  <r>
    <x v="0"/>
    <x v="0"/>
    <n v="218000"/>
    <n v="2650"/>
    <n v="2024"/>
    <n v="5.4"/>
    <s v="8"/>
    <x v="0"/>
    <s v="No"/>
    <x v="0"/>
    <n v="82.264150943396231"/>
    <n v="1219.6653623538944"/>
    <n v="165339.60870616831"/>
    <n v="365899.60870616831"/>
    <n v="200560"/>
  </r>
  <r>
    <x v="0"/>
    <x v="0"/>
    <n v="172000"/>
    <n v="2090"/>
    <n v="2024"/>
    <n v="5.3"/>
    <s v="8"/>
    <x v="0"/>
    <s v="No"/>
    <x v="0"/>
    <n v="82.296650717703344"/>
    <n v="952.9231729556725"/>
    <n v="127636.95188670175"/>
    <n v="285876.95188670175"/>
    <n v="158240"/>
  </r>
  <r>
    <x v="1"/>
    <x v="0"/>
    <n v="205000"/>
    <n v="2480"/>
    <n v="2023"/>
    <n v="6.5"/>
    <s v="5"/>
    <x v="0"/>
    <s v="No"/>
    <x v="0"/>
    <n v="82.661290322580641"/>
    <n v="1314.9659467245281"/>
    <n v="199739.78401735844"/>
    <n v="394489.78401735844"/>
    <n v="194750"/>
  </r>
  <r>
    <x v="0"/>
    <x v="0"/>
    <n v="215000"/>
    <n v="2600"/>
    <n v="2024"/>
    <n v="5.4"/>
    <s v="8"/>
    <x v="0"/>
    <s v="No"/>
    <x v="0"/>
    <n v="82.692307692307693"/>
    <n v="1202.8809766334277"/>
    <n v="163064.29299002836"/>
    <n v="360864.29299002839"/>
    <n v="197800"/>
  </r>
  <r>
    <x v="0"/>
    <x v="0"/>
    <n v="212000"/>
    <n v="2550"/>
    <n v="2024"/>
    <n v="5.4"/>
    <s v="8"/>
    <x v="0"/>
    <s v="No"/>
    <x v="0"/>
    <n v="83.137254901960787"/>
    <n v="1186.0965909129616"/>
    <n v="160788.97727388848"/>
    <n v="355828.97727388848"/>
    <n v="195040"/>
  </r>
  <r>
    <x v="0"/>
    <x v="0"/>
    <n v="178000"/>
    <n v="2140"/>
    <n v="2024"/>
    <n v="5.4"/>
    <s v="8"/>
    <x v="0"/>
    <s v="No"/>
    <x v="0"/>
    <n v="83.177570093457945"/>
    <n v="995.87355274767526"/>
    <n v="135002.06582430258"/>
    <n v="298762.06582430261"/>
    <n v="163760"/>
  </r>
  <r>
    <x v="2"/>
    <x v="0"/>
    <n v="205000"/>
    <n v="2460"/>
    <n v="2024"/>
    <n v="5.4"/>
    <s v="5"/>
    <x v="0"/>
    <s v="No"/>
    <x v="0"/>
    <n v="83.333333333333329"/>
    <n v="1184.3330141524777"/>
    <n v="160549.9042457433"/>
    <n v="355299.9042457433"/>
    <n v="194750"/>
  </r>
  <r>
    <x v="0"/>
    <x v="0"/>
    <n v="180000"/>
    <n v="2160"/>
    <n v="2023"/>
    <n v="6.4"/>
    <s v="8"/>
    <x v="0"/>
    <s v="No"/>
    <x v="0"/>
    <n v="83.333333333333329"/>
    <n v="1107.8174277907185"/>
    <n v="166745.22833721561"/>
    <n v="332345.22833721561"/>
    <n v="165600"/>
  </r>
  <r>
    <x v="0"/>
    <x v="0"/>
    <n v="190000"/>
    <n v="2280"/>
    <n v="2024"/>
    <n v="5.4"/>
    <s v="8"/>
    <x v="0"/>
    <s v="No"/>
    <x v="0"/>
    <n v="83.333333333333329"/>
    <n v="1063.0110956295409"/>
    <n v="144103.3286888623"/>
    <n v="318903.32868886227"/>
    <n v="174800"/>
  </r>
  <r>
    <x v="0"/>
    <x v="0"/>
    <n v="182000"/>
    <n v="2180"/>
    <n v="2024"/>
    <n v="5.4"/>
    <s v="8"/>
    <x v="0"/>
    <s v="No"/>
    <x v="0"/>
    <n v="83.486238532110093"/>
    <n v="1018.2527337082971"/>
    <n v="138035.82011248913"/>
    <n v="305475.82011248916"/>
    <n v="167440"/>
  </r>
  <r>
    <x v="0"/>
    <x v="0"/>
    <n v="188000"/>
    <n v="2250"/>
    <n v="2024"/>
    <n v="5.4"/>
    <s v="8"/>
    <x v="0"/>
    <s v="No"/>
    <x v="0"/>
    <n v="83.555555555555557"/>
    <n v="1051.82150514923"/>
    <n v="142586.45154476902"/>
    <n v="315546.45154476899"/>
    <n v="172960"/>
  </r>
  <r>
    <x v="0"/>
    <x v="0"/>
    <n v="180000"/>
    <n v="2150"/>
    <n v="2024"/>
    <n v="5.4"/>
    <n v="8"/>
    <x v="0"/>
    <s v="No"/>
    <x v="0"/>
    <n v="83.720930232558146"/>
    <n v="1007.0631432279862"/>
    <n v="136518.94296839586"/>
    <n v="302118.94296839589"/>
    <n v="165600"/>
  </r>
  <r>
    <x v="0"/>
    <x v="0"/>
    <n v="166000"/>
    <n v="1980"/>
    <n v="2023"/>
    <n v="6.4"/>
    <s v="8"/>
    <x v="0"/>
    <s v="No"/>
    <x v="0"/>
    <n v="83.838383838383834"/>
    <n v="1021.6538500736627"/>
    <n v="153776.15502209886"/>
    <n v="306496.15502209886"/>
    <n v="152720"/>
  </r>
  <r>
    <x v="1"/>
    <x v="0"/>
    <n v="210000"/>
    <n v="2500"/>
    <n v="2024"/>
    <n v="5.4"/>
    <s v="5"/>
    <x v="0"/>
    <s v="No"/>
    <x v="0"/>
    <n v="84"/>
    <n v="1213.2191852293674"/>
    <n v="164465.75556881024"/>
    <n v="363965.75556881027"/>
    <n v="199500"/>
  </r>
  <r>
    <x v="0"/>
    <x v="0"/>
    <n v="210000"/>
    <n v="2500"/>
    <n v="2024"/>
    <n v="5.4"/>
    <s v="8"/>
    <x v="0"/>
    <s v="No"/>
    <x v="0"/>
    <n v="84"/>
    <n v="1174.9070004326504"/>
    <n v="159272.10012979517"/>
    <n v="352472.10012979514"/>
    <n v="193200"/>
  </r>
  <r>
    <x v="0"/>
    <x v="0"/>
    <n v="185000"/>
    <n v="2200"/>
    <n v="2023"/>
    <n v="6.4"/>
    <s v="5"/>
    <x v="0"/>
    <s v="No"/>
    <x v="0"/>
    <n v="84.090909090909093"/>
    <n v="1175.7180732742681"/>
    <n v="176965.42198228047"/>
    <n v="352715.42198228044"/>
    <n v="175750"/>
  </r>
  <r>
    <x v="0"/>
    <x v="0"/>
    <n v="185000"/>
    <n v="2200"/>
    <n v="2024"/>
    <n v="5.4"/>
    <s v="8"/>
    <x v="0"/>
    <s v="No"/>
    <x v="0"/>
    <n v="84.090909090909093"/>
    <n v="1035.0371194287636"/>
    <n v="140311.13582862908"/>
    <n v="310511.13582862908"/>
    <n v="170200"/>
  </r>
  <r>
    <x v="0"/>
    <x v="0"/>
    <n v="190000"/>
    <n v="2250"/>
    <n v="2024"/>
    <n v="5.4"/>
    <s v="8"/>
    <x v="0"/>
    <s v="No"/>
    <x v="0"/>
    <n v="84.444444444444443"/>
    <n v="1063.0110956295409"/>
    <n v="144103.3286888623"/>
    <n v="318903.32868886227"/>
    <n v="174800"/>
  </r>
  <r>
    <x v="2"/>
    <x v="0"/>
    <n v="210000"/>
    <n v="2480"/>
    <n v="2024"/>
    <n v="5.4"/>
    <s v="5"/>
    <x v="0"/>
    <s v="No"/>
    <x v="0"/>
    <n v="84.677419354838705"/>
    <n v="1213.2191852293674"/>
    <n v="164465.75556881024"/>
    <n v="363965.75556881027"/>
    <n v="199500"/>
  </r>
  <r>
    <x v="1"/>
    <x v="0"/>
    <n v="205000"/>
    <n v="2420"/>
    <n v="2023"/>
    <n v="6.6"/>
    <s v="5"/>
    <x v="0"/>
    <s v="No"/>
    <x v="0"/>
    <n v="84.710743801652896"/>
    <n v="1327.1610712226784"/>
    <n v="203398.32136680343"/>
    <n v="398148.32136680343"/>
    <n v="194750"/>
  </r>
  <r>
    <x v="0"/>
    <x v="0"/>
    <n v="195000"/>
    <n v="2300"/>
    <n v="2023"/>
    <n v="6.4"/>
    <s v="8"/>
    <x v="0"/>
    <s v="No"/>
    <x v="0"/>
    <n v="84.782608695652172"/>
    <n v="1200.1355467732785"/>
    <n v="180640.66403198353"/>
    <n v="360040.66403198353"/>
    <n v="179400"/>
  </r>
  <r>
    <x v="0"/>
    <x v="0"/>
    <n v="195000"/>
    <n v="2300"/>
    <n v="2024"/>
    <n v="5.4"/>
    <s v="8"/>
    <x v="0"/>
    <s v="No"/>
    <x v="0"/>
    <n v="84.782608695652172"/>
    <n v="1090.9850718303185"/>
    <n v="147895.52154909552"/>
    <n v="327295.52154909552"/>
    <n v="179400"/>
  </r>
  <r>
    <x v="2"/>
    <x v="0"/>
    <n v="212000"/>
    <n v="2500"/>
    <n v="2023"/>
    <n v="6.4"/>
    <s v="5"/>
    <x v="0"/>
    <s v="No"/>
    <x v="0"/>
    <n v="84.8"/>
    <n v="1347.3093596440262"/>
    <n v="202792.80789320791"/>
    <n v="404192.80789320788"/>
    <n v="201400"/>
  </r>
  <r>
    <x v="0"/>
    <x v="0"/>
    <n v="200000"/>
    <n v="2350"/>
    <n v="2023"/>
    <n v="6.4"/>
    <s v="5"/>
    <x v="0"/>
    <s v="No"/>
    <x v="0"/>
    <n v="85.106382978723403"/>
    <n v="1271.0465657019113"/>
    <n v="191313.96971057344"/>
    <n v="381313.96971057344"/>
    <n v="190000"/>
  </r>
  <r>
    <x v="0"/>
    <x v="0"/>
    <n v="200000"/>
    <n v="2350"/>
    <n v="2024"/>
    <n v="5.4"/>
    <s v="8"/>
    <x v="0"/>
    <s v="No"/>
    <x v="0"/>
    <n v="85.106382978723403"/>
    <n v="1118.9590480310958"/>
    <n v="151687.71440932879"/>
    <n v="335687.71440932876"/>
    <n v="184000"/>
  </r>
  <r>
    <x v="2"/>
    <x v="0"/>
    <n v="207000"/>
    <n v="2430"/>
    <n v="2023"/>
    <n v="6.4"/>
    <s v="5"/>
    <x v="0"/>
    <s v="No"/>
    <x v="0"/>
    <n v="85.18518518518519"/>
    <n v="1315.5331955014783"/>
    <n v="198009.95865044359"/>
    <n v="394659.95865044359"/>
    <n v="196650"/>
  </r>
  <r>
    <x v="2"/>
    <x v="0"/>
    <n v="215000"/>
    <n v="2520"/>
    <n v="2024"/>
    <n v="5.4"/>
    <s v="5"/>
    <x v="0"/>
    <s v="No"/>
    <x v="0"/>
    <n v="85.317460317460316"/>
    <n v="1242.1053563062569"/>
    <n v="168381.60689187711"/>
    <n v="372631.60689187713"/>
    <n v="204250"/>
  </r>
  <r>
    <x v="1"/>
    <x v="0"/>
    <n v="215000"/>
    <n v="2520"/>
    <n v="2023"/>
    <n v="6.5"/>
    <s v="5"/>
    <x v="0"/>
    <s v="No"/>
    <x v="0"/>
    <n v="85.317460317460316"/>
    <n v="1379.1106270525538"/>
    <n v="209483.18811576618"/>
    <n v="413733.18811576616"/>
    <n v="204250"/>
  </r>
  <r>
    <x v="0"/>
    <x v="0"/>
    <n v="205000"/>
    <n v="2400"/>
    <n v="2024"/>
    <n v="5.4"/>
    <s v="8"/>
    <x v="0"/>
    <s v="No"/>
    <x v="0"/>
    <n v="85.416666666666671"/>
    <n v="1146.9330242318731"/>
    <n v="155479.90726956195"/>
    <n v="344079.90726956195"/>
    <n v="188600"/>
  </r>
  <r>
    <x v="2"/>
    <x v="0"/>
    <n v="218000"/>
    <n v="2550"/>
    <n v="2023"/>
    <n v="6.4"/>
    <s v="5"/>
    <x v="0"/>
    <s v="No"/>
    <x v="0"/>
    <n v="85.490196078431367"/>
    <n v="1385.4407566150835"/>
    <n v="208532.2269845251"/>
    <n v="415632.2269845251"/>
    <n v="207100"/>
  </r>
  <r>
    <x v="0"/>
    <x v="0"/>
    <n v="185000"/>
    <n v="2160"/>
    <n v="2023"/>
    <n v="6.4"/>
    <s v="8"/>
    <x v="0"/>
    <s v="No"/>
    <x v="0"/>
    <n v="85.648148148148152"/>
    <n v="1138.5901341182387"/>
    <n v="171377.04023547159"/>
    <n v="341577.04023547156"/>
    <n v="170200"/>
  </r>
  <r>
    <x v="0"/>
    <x v="0"/>
    <n v="210000"/>
    <n v="2450"/>
    <n v="2024"/>
    <n v="5.4"/>
    <s v="8"/>
    <x v="0"/>
    <s v="No"/>
    <x v="0"/>
    <n v="85.714285714285708"/>
    <n v="1174.9070004326504"/>
    <n v="159272.10012979517"/>
    <n v="352472.10012979514"/>
    <n v="193200"/>
  </r>
  <r>
    <x v="1"/>
    <x v="0"/>
    <n v="210000"/>
    <n v="2450"/>
    <n v="2024"/>
    <n v="5.4"/>
    <s v="5"/>
    <x v="0"/>
    <s v="No"/>
    <x v="0"/>
    <n v="85.714285714285708"/>
    <n v="1213.2191852293674"/>
    <n v="164465.75556881024"/>
    <n v="363965.75556881027"/>
    <n v="199500"/>
  </r>
  <r>
    <x v="1"/>
    <x v="0"/>
    <n v="220000"/>
    <n v="2550"/>
    <n v="2024"/>
    <n v="5.4"/>
    <s v="5"/>
    <x v="0"/>
    <s v="No"/>
    <x v="0"/>
    <n v="86.274509803921575"/>
    <n v="1270.9915273831468"/>
    <n v="172297.45821494405"/>
    <n v="381297.45821494405"/>
    <n v="209000"/>
  </r>
  <r>
    <x v="0"/>
    <x v="0"/>
    <n v="185000"/>
    <n v="2140"/>
    <n v="2024"/>
    <n v="5.4"/>
    <s v="8"/>
    <x v="0"/>
    <s v="No"/>
    <x v="0"/>
    <n v="86.44859813084112"/>
    <n v="1035.0371194287636"/>
    <n v="140311.13582862908"/>
    <n v="310511.13582862908"/>
    <n v="170200"/>
  </r>
  <r>
    <x v="2"/>
    <x v="0"/>
    <n v="225000"/>
    <n v="2600"/>
    <n v="2024"/>
    <n v="5.4"/>
    <s v="5"/>
    <x v="0"/>
    <s v="No"/>
    <x v="0"/>
    <n v="86.538461538461533"/>
    <n v="1299.8776984600365"/>
    <n v="176213.30953801097"/>
    <n v="389963.30953801097"/>
    <n v="213750"/>
  </r>
  <r>
    <x v="2"/>
    <x v="0"/>
    <n v="230000"/>
    <n v="2650"/>
    <n v="2023"/>
    <n v="6.4"/>
    <s v="5"/>
    <x v="0"/>
    <s v="No"/>
    <x v="0"/>
    <n v="86.79245283018868"/>
    <n v="1461.7035505571982"/>
    <n v="220011.06516715951"/>
    <n v="438511.06516715954"/>
    <n v="218500"/>
  </r>
  <r>
    <x v="1"/>
    <x v="0"/>
    <n v="230000"/>
    <n v="2650"/>
    <n v="2024"/>
    <n v="5.4"/>
    <s v="5"/>
    <x v="0"/>
    <s v="No"/>
    <x v="0"/>
    <n v="86.79245283018868"/>
    <n v="1328.7638695369262"/>
    <n v="180129.16086107795"/>
    <n v="398629.16086107795"/>
    <n v="218500"/>
  </r>
  <r>
    <x v="1"/>
    <x v="0"/>
    <n v="235000"/>
    <n v="2700"/>
    <n v="2023"/>
    <n v="6.5"/>
    <s v="5"/>
    <x v="0"/>
    <s v="No"/>
    <x v="0"/>
    <n v="87.037037037037038"/>
    <n v="1507.3999877086053"/>
    <n v="228969.99631258161"/>
    <n v="452219.99631258158"/>
    <n v="223250"/>
  </r>
  <r>
    <x v="2"/>
    <x v="0"/>
    <n v="218000"/>
    <n v="2500"/>
    <n v="2023"/>
    <n v="6.4"/>
    <s v="5"/>
    <x v="0"/>
    <s v="No"/>
    <x v="0"/>
    <n v="87.2"/>
    <n v="1385.4407566150835"/>
    <n v="208532.2269845251"/>
    <n v="415632.2269845251"/>
    <n v="207100"/>
  </r>
  <r>
    <x v="2"/>
    <x v="0"/>
    <n v="220000"/>
    <n v="2520"/>
    <n v="2024"/>
    <n v="5.4"/>
    <s v="5"/>
    <x v="0"/>
    <s v="No"/>
    <x v="0"/>
    <n v="87.301587301587304"/>
    <n v="1270.9915273831468"/>
    <n v="172297.45821494405"/>
    <n v="381297.45821494405"/>
    <n v="209000"/>
  </r>
  <r>
    <x v="2"/>
    <x v="0"/>
    <n v="235000"/>
    <n v="2680"/>
    <n v="2024"/>
    <n v="5.4"/>
    <s v="5"/>
    <x v="0"/>
    <s v="No"/>
    <x v="0"/>
    <n v="87.68656716417911"/>
    <n v="1357.6500406138157"/>
    <n v="184045.01218414475"/>
    <n v="407295.01218414475"/>
    <n v="223250"/>
  </r>
  <r>
    <x v="2"/>
    <x v="0"/>
    <n v="225000"/>
    <n v="2550"/>
    <n v="2023"/>
    <n v="6.4"/>
    <s v="5"/>
    <x v="0"/>
    <s v="No"/>
    <x v="0"/>
    <n v="88.235294117647058"/>
    <n v="1429.9273864146505"/>
    <n v="215228.21592439522"/>
    <n v="428978.21592439525"/>
    <n v="213750"/>
  </r>
  <r>
    <x v="1"/>
    <x v="0"/>
    <n v="220000"/>
    <n v="2480"/>
    <n v="2023"/>
    <n v="6.5"/>
    <s v="5"/>
    <x v="0"/>
    <s v="No"/>
    <x v="0"/>
    <n v="88.709677419354833"/>
    <n v="1411.1829672165668"/>
    <n v="214354.89016496998"/>
    <n v="423354.89016496995"/>
    <n v="209000"/>
  </r>
  <r>
    <x v="2"/>
    <x v="0"/>
    <n v="245000"/>
    <n v="2750"/>
    <n v="2024"/>
    <n v="5.4"/>
    <s v="5"/>
    <x v="0"/>
    <s v="No"/>
    <x v="0"/>
    <n v="89.090909090909093"/>
    <n v="1415.4223827675953"/>
    <n v="191876.71483027862"/>
    <n v="424626.71483027865"/>
    <n v="232750"/>
  </r>
  <r>
    <x v="2"/>
    <x v="0"/>
    <n v="250000"/>
    <n v="2800"/>
    <n v="2023"/>
    <n v="6.4"/>
    <s v="5"/>
    <x v="0"/>
    <s v="No"/>
    <x v="0"/>
    <n v="89.285714285714292"/>
    <n v="1588.8082071273891"/>
    <n v="239142.46213821683"/>
    <n v="476642.46213821683"/>
    <n v="237500"/>
  </r>
  <r>
    <x v="0"/>
    <x v="0"/>
    <n v="168000"/>
    <n v="1880"/>
    <n v="2024"/>
    <n v="5.3"/>
    <s v="5"/>
    <x v="0"/>
    <s v="No"/>
    <x v="0"/>
    <n v="89.361702127659569"/>
    <n v="961.11310922475559"/>
    <n v="128733.93276742662"/>
    <n v="288333.9327674266"/>
    <n v="159600"/>
  </r>
  <r>
    <x v="0"/>
    <x v="0"/>
    <n v="195000"/>
    <n v="2180"/>
    <n v="2024"/>
    <n v="5.4"/>
    <s v="8"/>
    <x v="0"/>
    <s v="No"/>
    <x v="0"/>
    <n v="89.449541284403665"/>
    <n v="1090.9850718303185"/>
    <n v="147895.52154909552"/>
    <n v="327295.52154909552"/>
    <n v="179400"/>
  </r>
  <r>
    <x v="2"/>
    <x v="0"/>
    <n v="255000"/>
    <n v="2850"/>
    <n v="2023"/>
    <n v="6.4"/>
    <s v="5"/>
    <x v="0"/>
    <s v="No"/>
    <x v="0"/>
    <n v="89.473684210526315"/>
    <n v="1620.584371269937"/>
    <n v="243925.31138098118"/>
    <n v="486175.31138098118"/>
    <n v="242250"/>
  </r>
  <r>
    <x v="3"/>
    <x v="0"/>
    <n v="270000"/>
    <n v="2750"/>
    <n v="2024"/>
    <n v="5.4"/>
    <s v="8"/>
    <x v="0"/>
    <s v="No"/>
    <x v="0"/>
    <n v="98.181818181818187"/>
    <n v="1510.5947148419793"/>
    <n v="204778.41445259377"/>
    <n v="453178.41445259377"/>
    <n v="248400"/>
  </r>
  <r>
    <x v="3"/>
    <x v="0"/>
    <n v="275000"/>
    <n v="2800"/>
    <n v="2024"/>
    <n v="5.4"/>
    <s v="8"/>
    <x v="0"/>
    <s v="No"/>
    <x v="0"/>
    <n v="98.214285714285708"/>
    <n v="1538.5686910427567"/>
    <n v="208570.60731282708"/>
    <n v="461570.60731282708"/>
    <n v="253000"/>
  </r>
  <r>
    <x v="3"/>
    <x v="0"/>
    <n v="280000"/>
    <n v="2850"/>
    <n v="2024"/>
    <n v="5.4"/>
    <s v="8"/>
    <x v="0"/>
    <s v="No"/>
    <x v="0"/>
    <n v="98.245614035087726"/>
    <n v="1566.542667243534"/>
    <n v="212362.80017306024"/>
    <n v="469962.80017306027"/>
    <n v="257600"/>
  </r>
  <r>
    <x v="3"/>
    <x v="0"/>
    <n v="282000"/>
    <n v="2860"/>
    <n v="2024"/>
    <n v="5.4"/>
    <s v="8"/>
    <x v="0"/>
    <s v="No"/>
    <x v="0"/>
    <n v="98.6013986013986"/>
    <n v="1577.7322577238449"/>
    <n v="213879.67731715352"/>
    <n v="473319.67731715355"/>
    <n v="259440"/>
  </r>
  <r>
    <x v="3"/>
    <x v="0"/>
    <n v="225000"/>
    <n v="2250"/>
    <n v="2024"/>
    <n v="5.3"/>
    <s v="8"/>
    <x v="0"/>
    <s v="No"/>
    <x v="0"/>
    <n v="100"/>
    <n v="1246.5564762501529"/>
    <n v="166966.94287504588"/>
    <n v="373966.94287504588"/>
    <n v="207000"/>
  </r>
  <r>
    <x v="3"/>
    <x v="0"/>
    <n v="265000"/>
    <n v="2650"/>
    <n v="2024"/>
    <n v="5.4"/>
    <s v="8"/>
    <x v="0"/>
    <s v="No"/>
    <x v="0"/>
    <n v="100"/>
    <n v="1482.6207386412018"/>
    <n v="200986.22159236055"/>
    <n v="444786.22159236053"/>
    <n v="243800"/>
  </r>
  <r>
    <x v="4"/>
    <x v="0"/>
    <n v="280000"/>
    <n v="2800"/>
    <n v="2024"/>
    <n v="5.3"/>
    <s v="7"/>
    <x v="0"/>
    <s v="No"/>
    <x v="0"/>
    <n v="100"/>
    <n v="1568.1319150509171"/>
    <n v="210039.5745152751"/>
    <n v="470439.57451527508"/>
    <n v="260399.99999999997"/>
  </r>
  <r>
    <x v="3"/>
    <x v="0"/>
    <n v="262000"/>
    <n v="2600"/>
    <n v="2024"/>
    <n v="5.4"/>
    <s v="8"/>
    <x v="0"/>
    <s v="No"/>
    <x v="0"/>
    <n v="100.76923076923077"/>
    <n v="1465.8363529207354"/>
    <n v="198710.90587622064"/>
    <n v="439750.90587622067"/>
    <n v="241040"/>
  </r>
  <r>
    <x v="4"/>
    <x v="0"/>
    <n v="278000"/>
    <n v="2750"/>
    <n v="2024"/>
    <n v="5.3"/>
    <s v="7"/>
    <x v="0"/>
    <s v="No"/>
    <x v="0"/>
    <n v="101.09090909090909"/>
    <n v="1556.9309728005533"/>
    <n v="208539.29184016594"/>
    <n v="467079.29184016591"/>
    <n v="258539.99999999997"/>
  </r>
  <r>
    <x v="2"/>
    <x v="1"/>
    <n v="300000"/>
    <n v="2950"/>
    <n v="2024"/>
    <n v="5.4"/>
    <s v="10"/>
    <x v="0"/>
    <s v="No"/>
    <x v="0"/>
    <n v="101.69491525423729"/>
    <n v="1641.9507770021514"/>
    <n v="222585.23310064548"/>
    <n v="492585.23310064548"/>
    <n v="270000"/>
  </r>
  <r>
    <x v="1"/>
    <x v="1"/>
    <n v="300000"/>
    <n v="2950"/>
    <n v="2024"/>
    <n v="5.5"/>
    <s v="10"/>
    <x v="0"/>
    <s v="No"/>
    <x v="0"/>
    <n v="101.69491525423729"/>
    <n v="1658.0362291599697"/>
    <n v="227410.86874799087"/>
    <n v="497410.86874799087"/>
    <n v="270000"/>
  </r>
  <r>
    <x v="4"/>
    <x v="0"/>
    <n v="300000"/>
    <n v="2950"/>
    <n v="2024"/>
    <n v="5.3"/>
    <s v="7"/>
    <x v="0"/>
    <s v="No"/>
    <x v="0"/>
    <n v="101.69491525423729"/>
    <n v="1680.141337554554"/>
    <n v="225042.40126636619"/>
    <n v="504042.40126636619"/>
    <n v="279000"/>
  </r>
  <r>
    <x v="1"/>
    <x v="1"/>
    <n v="295000"/>
    <n v="2900"/>
    <n v="2024"/>
    <n v="5.5"/>
    <s v="10"/>
    <x v="0"/>
    <s v="No"/>
    <x v="0"/>
    <n v="101.72413793103448"/>
    <n v="1630.4022920073035"/>
    <n v="223620.687602191"/>
    <n v="489120.687602191"/>
    <n v="265500"/>
  </r>
  <r>
    <x v="4"/>
    <x v="0"/>
    <n v="295000"/>
    <n v="2900"/>
    <n v="2024"/>
    <n v="5.3"/>
    <s v="7"/>
    <x v="0"/>
    <s v="No"/>
    <x v="0"/>
    <n v="101.72413793103448"/>
    <n v="1652.1389819286449"/>
    <n v="221291.69457859342"/>
    <n v="495641.69457859342"/>
    <n v="274350"/>
  </r>
  <r>
    <x v="1"/>
    <x v="1"/>
    <n v="290000"/>
    <n v="2850"/>
    <n v="2024"/>
    <n v="5.5"/>
    <s v="10"/>
    <x v="0"/>
    <s v="No"/>
    <x v="0"/>
    <n v="101.75438596491227"/>
    <n v="1602.7683548546374"/>
    <n v="219830.50645639119"/>
    <n v="480830.50645639119"/>
    <n v="261000"/>
  </r>
  <r>
    <x v="4"/>
    <x v="0"/>
    <n v="290000"/>
    <n v="2850"/>
    <n v="2024"/>
    <n v="5.3"/>
    <s v="7"/>
    <x v="0"/>
    <s v="No"/>
    <x v="0"/>
    <n v="101.75438596491227"/>
    <n v="1624.1366263027357"/>
    <n v="217540.98789082072"/>
    <n v="487240.98789082072"/>
    <n v="269700"/>
  </r>
  <r>
    <x v="4"/>
    <x v="0"/>
    <n v="275000"/>
    <n v="2700"/>
    <n v="2024"/>
    <n v="5.3"/>
    <s v="7"/>
    <x v="0"/>
    <s v="No"/>
    <x v="0"/>
    <n v="101.85185185185185"/>
    <n v="1540.1295594250075"/>
    <n v="206288.86782750228"/>
    <n v="462038.86782750225"/>
    <n v="255749.99999999997"/>
  </r>
  <r>
    <x v="4"/>
    <x v="0"/>
    <n v="302000"/>
    <n v="2965"/>
    <n v="2024"/>
    <n v="5.3"/>
    <s v="7"/>
    <x v="0"/>
    <s v="No"/>
    <x v="0"/>
    <n v="101.85497470489038"/>
    <n v="1691.3422798049178"/>
    <n v="226542.68394147535"/>
    <n v="507402.68394147535"/>
    <n v="280860"/>
  </r>
  <r>
    <x v="3"/>
    <x v="0"/>
    <n v="260000"/>
    <n v="2550"/>
    <n v="2024"/>
    <n v="5.4"/>
    <s v="8"/>
    <x v="0"/>
    <s v="No"/>
    <x v="0"/>
    <n v="101.96078431372548"/>
    <n v="1454.6467624404245"/>
    <n v="197194.02873212736"/>
    <n v="436394.02873212739"/>
    <n v="239200"/>
  </r>
  <r>
    <x v="1"/>
    <x v="1"/>
    <n v="302000"/>
    <n v="2960"/>
    <n v="2024"/>
    <n v="5.5"/>
    <s v="10"/>
    <x v="0"/>
    <s v="No"/>
    <x v="0"/>
    <n v="102.02702702702703"/>
    <n v="1669.0898040210361"/>
    <n v="228926.94120631082"/>
    <n v="500726.94120631082"/>
    <n v="271800"/>
  </r>
  <r>
    <x v="3"/>
    <x v="0"/>
    <n v="240000"/>
    <n v="2350"/>
    <n v="2024"/>
    <n v="5.4"/>
    <s v="8"/>
    <x v="0"/>
    <s v="No"/>
    <x v="0"/>
    <n v="102.12765957446808"/>
    <n v="1342.7508576373148"/>
    <n v="182025.25729119443"/>
    <n v="402825.2572911944"/>
    <n v="220800"/>
  </r>
  <r>
    <x v="3"/>
    <x v="0"/>
    <n v="235000"/>
    <n v="2300"/>
    <n v="2023"/>
    <n v="6.5"/>
    <s v="8"/>
    <x v="0"/>
    <s v="No"/>
    <x v="0"/>
    <n v="102.17391304347827"/>
    <n v="1459.7978828335968"/>
    <n v="221739.36485007903"/>
    <n v="437939.36485007906"/>
    <n v="216200"/>
  </r>
  <r>
    <x v="3"/>
    <x v="0"/>
    <n v="230000"/>
    <n v="2250"/>
    <n v="2023"/>
    <n v="6.5"/>
    <s v="8"/>
    <x v="0"/>
    <s v="No"/>
    <x v="0"/>
    <n v="102.22222222222223"/>
    <n v="1428.7383534116054"/>
    <n v="217021.5060234816"/>
    <n v="428621.5060234816"/>
    <n v="211600"/>
  </r>
  <r>
    <x v="4"/>
    <x v="0"/>
    <n v="272000"/>
    <n v="2650"/>
    <n v="2024"/>
    <n v="5.3"/>
    <s v="7"/>
    <x v="0"/>
    <s v="No"/>
    <x v="0"/>
    <n v="102.64150943396227"/>
    <n v="1523.328146049462"/>
    <n v="204038.44381483863"/>
    <n v="456998.4438148386"/>
    <n v="252959.99999999997"/>
  </r>
  <r>
    <x v="2"/>
    <x v="1"/>
    <n v="298000"/>
    <n v="2900"/>
    <n v="2024"/>
    <n v="5.4"/>
    <s v="10"/>
    <x v="0"/>
    <s v="No"/>
    <x v="0"/>
    <n v="102.75862068965517"/>
    <n v="1631.0044384888035"/>
    <n v="221101.33154664107"/>
    <n v="489301.33154664107"/>
    <n v="268200"/>
  </r>
  <r>
    <x v="3"/>
    <x v="0"/>
    <n v="232000"/>
    <n v="2250"/>
    <n v="2024"/>
    <n v="5.3"/>
    <s v="8"/>
    <x v="0"/>
    <s v="No"/>
    <x v="0"/>
    <n v="103.11111111111111"/>
    <n v="1285.3382332890467"/>
    <n v="172161.46998671402"/>
    <n v="385601.46998671402"/>
    <n v="213440"/>
  </r>
  <r>
    <x v="3"/>
    <x v="0"/>
    <n v="258000"/>
    <n v="2500"/>
    <n v="2024"/>
    <n v="5.4"/>
    <s v="8"/>
    <x v="0"/>
    <s v="No"/>
    <x v="0"/>
    <n v="103.2"/>
    <n v="1443.4571719601136"/>
    <n v="195677.15158803409"/>
    <n v="433037.15158803412"/>
    <n v="237360"/>
  </r>
  <r>
    <x v="3"/>
    <x v="0"/>
    <n v="225000"/>
    <n v="2180"/>
    <n v="2024"/>
    <n v="5.4"/>
    <s v="5"/>
    <x v="0"/>
    <s v="No"/>
    <x v="0"/>
    <n v="103.21100917431193"/>
    <n v="1299.8776984600365"/>
    <n v="176213.30953801097"/>
    <n v="389963.30953801097"/>
    <n v="213750"/>
  </r>
  <r>
    <x v="2"/>
    <x v="1"/>
    <n v="320000"/>
    <n v="3100"/>
    <n v="2024"/>
    <n v="5.4"/>
    <s v="10"/>
    <x v="0"/>
    <s v="No"/>
    <x v="0"/>
    <n v="103.2258064516129"/>
    <n v="1751.4141621356282"/>
    <n v="237424.24864068849"/>
    <n v="525424.24864068849"/>
    <n v="288000"/>
  </r>
  <r>
    <x v="2"/>
    <x v="1"/>
    <n v="315000"/>
    <n v="3050"/>
    <n v="2024"/>
    <n v="5.4"/>
    <s v="10"/>
    <x v="0"/>
    <s v="No"/>
    <x v="0"/>
    <n v="103.27868852459017"/>
    <n v="1724.0483158522588"/>
    <n v="233714.4947556777"/>
    <n v="517214.4947556777"/>
    <n v="283500"/>
  </r>
  <r>
    <x v="2"/>
    <x v="1"/>
    <n v="310000"/>
    <n v="3000"/>
    <n v="2024"/>
    <n v="5.4"/>
    <s v="10"/>
    <x v="0"/>
    <s v="No"/>
    <x v="0"/>
    <n v="103.33333333333333"/>
    <n v="1696.6824695688897"/>
    <n v="230004.74087066698"/>
    <n v="509004.74087066698"/>
    <n v="279000"/>
  </r>
  <r>
    <x v="2"/>
    <x v="1"/>
    <n v="295000"/>
    <n v="2850"/>
    <n v="2024"/>
    <n v="5.4"/>
    <s v="10"/>
    <x v="0"/>
    <s v="No"/>
    <x v="0"/>
    <n v="103.50877192982456"/>
    <n v="1614.5849307187821"/>
    <n v="218875.4792156347"/>
    <n v="484375.4792156347"/>
    <n v="265500"/>
  </r>
  <r>
    <x v="2"/>
    <x v="1"/>
    <n v="322000"/>
    <n v="3110"/>
    <n v="2024"/>
    <n v="5.4"/>
    <s v="10"/>
    <x v="0"/>
    <s v="No"/>
    <x v="0"/>
    <n v="103.53697749196141"/>
    <n v="1762.3605006489756"/>
    <n v="238908.15019469272"/>
    <n v="528708.15019469266"/>
    <n v="289800"/>
  </r>
  <r>
    <x v="0"/>
    <x v="1"/>
    <n v="280000"/>
    <n v="2700"/>
    <n v="2024"/>
    <n v="5.4"/>
    <s v="6"/>
    <x v="0"/>
    <s v="No"/>
    <x v="0"/>
    <n v="103.70370370370371"/>
    <n v="1600.5979426183935"/>
    <n v="216979.38278551813"/>
    <n v="480179.38278551813"/>
    <n v="263200"/>
  </r>
  <r>
    <x v="3"/>
    <x v="0"/>
    <n v="220000"/>
    <n v="2120"/>
    <n v="2023"/>
    <n v="6.6"/>
    <s v="8"/>
    <x v="0"/>
    <s v="No"/>
    <x v="0"/>
    <n v="103.77358490566037"/>
    <n v="1379.2934573323241"/>
    <n v="211388.03719969722"/>
    <n v="413788.03719969722"/>
    <n v="202400"/>
  </r>
  <r>
    <x v="0"/>
    <x v="1"/>
    <n v="275000"/>
    <n v="2650"/>
    <n v="2024"/>
    <n v="5.4"/>
    <s v="6"/>
    <x v="0"/>
    <s v="No"/>
    <x v="0"/>
    <n v="103.77358490566037"/>
    <n v="1572.0158365002078"/>
    <n v="213104.75095006239"/>
    <n v="471604.75095006236"/>
    <n v="258499.99999999997"/>
  </r>
  <r>
    <x v="4"/>
    <x v="0"/>
    <n v="270000"/>
    <n v="2600"/>
    <n v="2024"/>
    <n v="5.3"/>
    <s v="7"/>
    <x v="0"/>
    <s v="No"/>
    <x v="0"/>
    <n v="103.84615384615384"/>
    <n v="1512.1272037990984"/>
    <n v="202538.16113972955"/>
    <n v="453638.16113972955"/>
    <n v="251099.99999999997"/>
  </r>
  <r>
    <x v="0"/>
    <x v="1"/>
    <n v="270000"/>
    <n v="2600"/>
    <n v="2024"/>
    <n v="5.4"/>
    <s v="6"/>
    <x v="0"/>
    <s v="No"/>
    <x v="0"/>
    <n v="103.84615384615384"/>
    <n v="1543.4337303820223"/>
    <n v="209230.1191146067"/>
    <n v="463030.1191146067"/>
    <n v="253800"/>
  </r>
  <r>
    <x v="3"/>
    <x v="0"/>
    <n v="260000"/>
    <n v="2500"/>
    <n v="2024"/>
    <n v="5.4"/>
    <s v="8"/>
    <x v="0"/>
    <s v="No"/>
    <x v="0"/>
    <n v="104"/>
    <n v="1454.6467624404245"/>
    <n v="197194.02873212736"/>
    <n v="436394.02873212739"/>
    <n v="239200"/>
  </r>
  <r>
    <x v="4"/>
    <x v="0"/>
    <n v="232000"/>
    <n v="2230"/>
    <n v="2024"/>
    <n v="5.3"/>
    <s v="7"/>
    <x v="0"/>
    <s v="No"/>
    <x v="0"/>
    <n v="104.03587443946188"/>
    <n v="1299.3093010421885"/>
    <n v="174032.79031265652"/>
    <n v="389792.79031265655"/>
    <n v="215760"/>
  </r>
  <r>
    <x v="0"/>
    <x v="1"/>
    <n v="282000"/>
    <n v="2710"/>
    <n v="2024"/>
    <n v="5.4"/>
    <s v="6"/>
    <x v="0"/>
    <s v="No"/>
    <x v="0"/>
    <n v="104.0590405904059"/>
    <n v="1612.0307850656677"/>
    <n v="218529.23551970033"/>
    <n v="483609.23551970033"/>
    <n v="265080"/>
  </r>
  <r>
    <x v="3"/>
    <x v="0"/>
    <n v="255000"/>
    <n v="2450"/>
    <n v="2024"/>
    <n v="5.4"/>
    <s v="8"/>
    <x v="0"/>
    <s v="No"/>
    <x v="0"/>
    <n v="104.08163265306122"/>
    <n v="1426.6727862396469"/>
    <n v="193401.83587189415"/>
    <n v="428001.83587189415"/>
    <n v="234600"/>
  </r>
  <r>
    <x v="3"/>
    <x v="0"/>
    <n v="250000"/>
    <n v="2400"/>
    <n v="2023"/>
    <n v="6.5"/>
    <s v="8"/>
    <x v="0"/>
    <s v="No"/>
    <x v="0"/>
    <n v="104.16666666666667"/>
    <n v="1552.976471099571"/>
    <n v="235892.94132987133"/>
    <n v="465892.9413298713"/>
    <n v="230000"/>
  </r>
  <r>
    <x v="4"/>
    <x v="0"/>
    <n v="223000"/>
    <n v="2140"/>
    <n v="2024"/>
    <n v="5.4"/>
    <s v="7"/>
    <x v="0"/>
    <s v="No"/>
    <x v="0"/>
    <n v="104.20560747663552"/>
    <n v="1261.2006357128748"/>
    <n v="170970.19071386242"/>
    <n v="378360.19071386242"/>
    <n v="207390"/>
  </r>
  <r>
    <x v="2"/>
    <x v="1"/>
    <n v="292000"/>
    <n v="2800"/>
    <n v="2024"/>
    <n v="5.4"/>
    <s v="10"/>
    <x v="0"/>
    <s v="No"/>
    <x v="0"/>
    <n v="104.28571428571429"/>
    <n v="1598.1654229487606"/>
    <n v="216649.62688462815"/>
    <n v="479449.62688462815"/>
    <n v="262800"/>
  </r>
  <r>
    <x v="4"/>
    <x v="0"/>
    <n v="235000"/>
    <n v="2250"/>
    <n v="2023"/>
    <n v="6.3"/>
    <s v="7"/>
    <x v="0"/>
    <s v="No"/>
    <x v="0"/>
    <n v="104.44444444444444"/>
    <n v="1448.4695263217291"/>
    <n v="215990.85789651869"/>
    <n v="434540.85789651866"/>
    <n v="218549.99999999997"/>
  </r>
  <r>
    <x v="3"/>
    <x v="0"/>
    <n v="230000"/>
    <n v="2200"/>
    <n v="2023"/>
    <n v="6.5"/>
    <s v="8"/>
    <x v="0"/>
    <s v="No"/>
    <x v="0"/>
    <n v="104.54545454545455"/>
    <n v="1428.7383534116054"/>
    <n v="217021.5060234816"/>
    <n v="428621.5060234816"/>
    <n v="211600"/>
  </r>
  <r>
    <x v="4"/>
    <x v="0"/>
    <n v="240000"/>
    <n v="2280"/>
    <n v="2024"/>
    <n v="5.3"/>
    <s v="7"/>
    <x v="0"/>
    <s v="No"/>
    <x v="0"/>
    <n v="105.26315789473684"/>
    <n v="1344.1130700436431"/>
    <n v="180033.92101309294"/>
    <n v="403233.92101309291"/>
    <n v="223199.99999999997"/>
  </r>
  <r>
    <x v="3"/>
    <x v="0"/>
    <n v="214000"/>
    <n v="2030"/>
    <n v="2024"/>
    <n v="5.4"/>
    <s v="5"/>
    <x v="0"/>
    <s v="No"/>
    <x v="0"/>
    <n v="105.41871921182266"/>
    <n v="1236.3281220908791"/>
    <n v="167598.43662726379"/>
    <n v="370898.43662726379"/>
    <n v="203300"/>
  </r>
  <r>
    <x v="2"/>
    <x v="1"/>
    <n v="290000"/>
    <n v="2750"/>
    <n v="2024"/>
    <n v="5.4"/>
    <s v="10"/>
    <x v="0"/>
    <s v="No"/>
    <x v="0"/>
    <n v="105.45454545454545"/>
    <n v="1587.2190844354129"/>
    <n v="215165.72533062389"/>
    <n v="476165.72533062391"/>
    <n v="261000"/>
  </r>
  <r>
    <x v="4"/>
    <x v="0"/>
    <n v="230000"/>
    <n v="2180"/>
    <n v="2023"/>
    <n v="6.2"/>
    <s v="7"/>
    <x v="0"/>
    <s v="No"/>
    <x v="0"/>
    <n v="105.50458715596331"/>
    <n v="1404.4291036570417"/>
    <n v="207428.73109711247"/>
    <n v="421328.73109711247"/>
    <n v="213900"/>
  </r>
  <r>
    <x v="4"/>
    <x v="0"/>
    <n v="270000"/>
    <n v="2550"/>
    <n v="2024"/>
    <n v="5.3"/>
    <s v="7"/>
    <x v="0"/>
    <s v="No"/>
    <x v="0"/>
    <n v="105.88235294117646"/>
    <n v="1512.1272037990984"/>
    <n v="202538.16113972955"/>
    <n v="453638.16113972955"/>
    <n v="251099.99999999997"/>
  </r>
  <r>
    <x v="4"/>
    <x v="0"/>
    <n v="270000"/>
    <n v="2550"/>
    <n v="2023"/>
    <n v="6.3"/>
    <s v="7"/>
    <x v="0"/>
    <s v="No"/>
    <x v="0"/>
    <n v="105.88235294117646"/>
    <n v="1664.1990302419867"/>
    <n v="248159.70907259596"/>
    <n v="499259.70907259593"/>
    <n v="251099.99999999997"/>
  </r>
  <r>
    <x v="4"/>
    <x v="0"/>
    <n v="260000"/>
    <n v="2450"/>
    <n v="2024"/>
    <n v="5.3"/>
    <s v="7"/>
    <x v="0"/>
    <s v="No"/>
    <x v="0"/>
    <n v="106.12244897959184"/>
    <n v="1456.12249254728"/>
    <n v="195036.74776418402"/>
    <n v="436836.74776418402"/>
    <n v="241799.99999999997"/>
  </r>
  <r>
    <x v="4"/>
    <x v="0"/>
    <n v="255000"/>
    <n v="2400"/>
    <n v="2024"/>
    <n v="5.3"/>
    <s v="7"/>
    <x v="0"/>
    <s v="No"/>
    <x v="0"/>
    <n v="106.25"/>
    <n v="1428.1201369213709"/>
    <n v="191286.04107641126"/>
    <n v="428436.04107641126"/>
    <n v="237149.99999999997"/>
  </r>
  <r>
    <x v="4"/>
    <x v="0"/>
    <n v="250000"/>
    <n v="2350"/>
    <n v="2024"/>
    <n v="5.3"/>
    <s v="7"/>
    <x v="0"/>
    <s v="No"/>
    <x v="0"/>
    <n v="106.38297872340425"/>
    <n v="1400.1177812954613"/>
    <n v="187535.33438863841"/>
    <n v="420035.33438863838"/>
    <n v="232499.99999999997"/>
  </r>
  <r>
    <x v="4"/>
    <x v="0"/>
    <n v="245000"/>
    <n v="2300"/>
    <n v="2024"/>
    <n v="5.3"/>
    <s v="7"/>
    <x v="0"/>
    <s v="No"/>
    <x v="0"/>
    <n v="106.52173913043478"/>
    <n v="1372.1154256695522"/>
    <n v="183784.62770086571"/>
    <n v="411634.62770086568"/>
    <n v="227849.99999999997"/>
  </r>
  <r>
    <x v="3"/>
    <x v="0"/>
    <n v="245000"/>
    <n v="2300"/>
    <n v="2024"/>
    <n v="5.4"/>
    <s v="8"/>
    <x v="0"/>
    <s v="No"/>
    <x v="0"/>
    <n v="106.52173913043478"/>
    <n v="1370.7248338380923"/>
    <n v="185817.45015142774"/>
    <n v="411217.45015142777"/>
    <n v="225400"/>
  </r>
  <r>
    <x v="4"/>
    <x v="0"/>
    <n v="240000"/>
    <n v="2250"/>
    <n v="2023"/>
    <n v="6.3"/>
    <s v="7"/>
    <x v="0"/>
    <s v="No"/>
    <x v="0"/>
    <n v="106.66666666666667"/>
    <n v="1479.288026881766"/>
    <n v="220586.40806452971"/>
    <n v="443786.40806452965"/>
    <n v="223199.99999999997"/>
  </r>
  <r>
    <x v="4"/>
    <x v="0"/>
    <n v="240000"/>
    <n v="2250"/>
    <n v="2024"/>
    <n v="5.3"/>
    <s v="7"/>
    <x v="0"/>
    <s v="No"/>
    <x v="0"/>
    <n v="106.66666666666667"/>
    <n v="1344.1130700436431"/>
    <n v="180033.92101309294"/>
    <n v="403233.92101309291"/>
    <n v="223199.99999999997"/>
  </r>
  <r>
    <x v="3"/>
    <x v="0"/>
    <n v="240000"/>
    <n v="2250"/>
    <n v="2024"/>
    <n v="5.4"/>
    <s v="8"/>
    <x v="0"/>
    <s v="No"/>
    <x v="0"/>
    <n v="106.66666666666667"/>
    <n v="1342.7508576373148"/>
    <n v="182025.25729119443"/>
    <n v="402825.2572911944"/>
    <n v="220800"/>
  </r>
  <r>
    <x v="3"/>
    <x v="0"/>
    <n v="235000"/>
    <n v="2200"/>
    <n v="2024"/>
    <n v="5.4"/>
    <s v="8"/>
    <x v="0"/>
    <s v="No"/>
    <x v="0"/>
    <n v="106.81818181818181"/>
    <n v="1314.7768814365375"/>
    <n v="178233.06443096124"/>
    <n v="394433.06443096127"/>
    <n v="216200"/>
  </r>
  <r>
    <x v="3"/>
    <x v="0"/>
    <n v="225000"/>
    <n v="2100"/>
    <n v="2024"/>
    <n v="5.4"/>
    <s v=" 8 "/>
    <x v="0"/>
    <s v="No"/>
    <x v="0"/>
    <n v="107.14285714285714"/>
    <n v="1258.8289290349828"/>
    <n v="170648.67871049483"/>
    <n v="377648.67871049483"/>
    <n v="207000"/>
  </r>
  <r>
    <x v="4"/>
    <x v="0"/>
    <n v="250000"/>
    <n v="2330"/>
    <n v="2024"/>
    <n v="5.3"/>
    <s v="7"/>
    <x v="0"/>
    <s v="No"/>
    <x v="0"/>
    <n v="107.29613733905579"/>
    <n v="1400.1177812954613"/>
    <n v="187535.33438863841"/>
    <n v="420035.33438863838"/>
    <n v="232499.99999999997"/>
  </r>
  <r>
    <x v="4"/>
    <x v="0"/>
    <n v="240000"/>
    <n v="2230"/>
    <n v="2024"/>
    <n v="5.3"/>
    <s v="7"/>
    <x v="0"/>
    <s v="No"/>
    <x v="0"/>
    <n v="107.62331838565022"/>
    <n v="1344.1130700436431"/>
    <n v="180033.92101309294"/>
    <n v="403233.92101309291"/>
    <n v="223199.99999999997"/>
  </r>
  <r>
    <x v="2"/>
    <x v="1"/>
    <n v="280000"/>
    <n v="2600"/>
    <n v="2024"/>
    <n v="5.4"/>
    <s v="10"/>
    <x v="0"/>
    <s v="No"/>
    <x v="0"/>
    <n v="107.69230769230769"/>
    <n v="1532.4873918686746"/>
    <n v="207746.21756060244"/>
    <n v="459746.21756060247"/>
    <n v="252000"/>
  </r>
  <r>
    <x v="3"/>
    <x v="0"/>
    <n v="235000"/>
    <n v="2180"/>
    <n v="2024"/>
    <n v="5.4"/>
    <s v="5"/>
    <x v="0"/>
    <s v="No"/>
    <x v="0"/>
    <n v="107.79816513761467"/>
    <n v="1357.6500406138157"/>
    <n v="184045.01218414475"/>
    <n v="407295.01218414475"/>
    <n v="223250"/>
  </r>
  <r>
    <x v="2"/>
    <x v="1"/>
    <n v="275000"/>
    <n v="2550"/>
    <n v="2024"/>
    <n v="5.4"/>
    <s v="10"/>
    <x v="0"/>
    <s v="No"/>
    <x v="0"/>
    <n v="107.84313725490196"/>
    <n v="1505.1215455853053"/>
    <n v="204036.46367559163"/>
    <n v="451536.46367559163"/>
    <n v="247500"/>
  </r>
  <r>
    <x v="2"/>
    <x v="1"/>
    <n v="270000"/>
    <n v="2500"/>
    <n v="2024"/>
    <n v="5.4"/>
    <s v="10"/>
    <x v="0"/>
    <s v="No"/>
    <x v="0"/>
    <n v="108"/>
    <n v="1477.7556993019364"/>
    <n v="200326.70979058091"/>
    <n v="443326.70979058091"/>
    <n v="243000"/>
  </r>
  <r>
    <x v="4"/>
    <x v="0"/>
    <n v="255000"/>
    <n v="2360"/>
    <n v="2023"/>
    <n v="6.3"/>
    <s v="7"/>
    <x v="0"/>
    <s v="No"/>
    <x v="0"/>
    <n v="108.05084745762711"/>
    <n v="1571.7435285618762"/>
    <n v="234373.05856856285"/>
    <n v="471523.05856856285"/>
    <n v="237149.99999999997"/>
  </r>
  <r>
    <x v="4"/>
    <x v="0"/>
    <n v="228000"/>
    <n v="2100"/>
    <n v="2023"/>
    <n v="6.6"/>
    <s v="7"/>
    <x v="0"/>
    <s v="No"/>
    <x v="0"/>
    <n v="108.57142857142857"/>
    <n v="1444.9870785214723"/>
    <n v="221456.12355644163"/>
    <n v="433496.12355644163"/>
    <n v="212040"/>
  </r>
  <r>
    <x v="1"/>
    <x v="1"/>
    <n v="250000"/>
    <n v="2300"/>
    <n v="2024"/>
    <n v="5.5"/>
    <s v="10"/>
    <x v="0"/>
    <s v="No"/>
    <x v="0"/>
    <n v="108.69565217391305"/>
    <n v="1381.6968576333079"/>
    <n v="189509.05728999234"/>
    <n v="414509.05728999234"/>
    <n v="225000"/>
  </r>
  <r>
    <x v="3"/>
    <x v="0"/>
    <n v="240000"/>
    <n v="2200"/>
    <n v="2023"/>
    <n v="6.5"/>
    <s v="8"/>
    <x v="0"/>
    <s v="No"/>
    <x v="0"/>
    <n v="109.09090909090909"/>
    <n v="1490.8574122555883"/>
    <n v="226457.22367667648"/>
    <n v="447257.22367667651"/>
    <n v="220800"/>
  </r>
  <r>
    <x v="4"/>
    <x v="0"/>
    <n v="250000"/>
    <n v="2280"/>
    <n v="2024"/>
    <n v="5.3"/>
    <s v="7"/>
    <x v="0"/>
    <s v="No"/>
    <x v="0"/>
    <n v="109.64912280701755"/>
    <n v="1400.1177812954613"/>
    <n v="187535.33438863841"/>
    <n v="420035.33438863838"/>
    <n v="232499.99999999997"/>
  </r>
  <r>
    <x v="0"/>
    <x v="1"/>
    <n v="258000"/>
    <n v="2350"/>
    <n v="2024"/>
    <n v="5.4"/>
    <s v="6"/>
    <x v="0"/>
    <s v="No"/>
    <x v="0"/>
    <n v="109.78723404255319"/>
    <n v="1474.8366756983769"/>
    <n v="199931.00270951306"/>
    <n v="442451.00270951306"/>
    <n v="242520"/>
  </r>
  <r>
    <x v="2"/>
    <x v="1"/>
    <n v="260000"/>
    <n v="2360"/>
    <n v="2024"/>
    <n v="5.4"/>
    <s v="10"/>
    <x v="0"/>
    <s v="No"/>
    <x v="0"/>
    <n v="110.16949152542372"/>
    <n v="1423.0240067351979"/>
    <n v="192907.20202055937"/>
    <n v="426907.20202055934"/>
    <n v="234000"/>
  </r>
  <r>
    <x v="1"/>
    <x v="1"/>
    <n v="270000"/>
    <n v="2450"/>
    <n v="2023"/>
    <n v="6.5"/>
    <s v="10"/>
    <x v="0"/>
    <s v="No"/>
    <x v="0"/>
    <n v="110.20408163265306"/>
    <n v="1640.7534020747644"/>
    <n v="249226.02062242929"/>
    <n v="492226.02062242932"/>
    <n v="243000"/>
  </r>
  <r>
    <x v="1"/>
    <x v="1"/>
    <n v="255000"/>
    <n v="2300"/>
    <n v="2024"/>
    <n v="5.5"/>
    <s v="10"/>
    <x v="0"/>
    <s v="No"/>
    <x v="0"/>
    <n v="110.8695652173913"/>
    <n v="1409.3307947859744"/>
    <n v="193299.2384357923"/>
    <n v="422799.23843579227"/>
    <n v="229500"/>
  </r>
  <r>
    <x v="0"/>
    <x v="1"/>
    <n v="255000"/>
    <n v="2300"/>
    <n v="2024"/>
    <n v="5.4"/>
    <s v="6"/>
    <x v="0"/>
    <s v="No"/>
    <x v="0"/>
    <n v="110.8695652173913"/>
    <n v="1457.6874120274654"/>
    <n v="197606.22360823964"/>
    <n v="437306.22360823967"/>
    <n v="239700"/>
  </r>
  <r>
    <x v="0"/>
    <x v="1"/>
    <n v="252000"/>
    <n v="2250"/>
    <n v="2024"/>
    <n v="5.4"/>
    <s v="6"/>
    <x v="0"/>
    <s v="No"/>
    <x v="0"/>
    <n v="112"/>
    <n v="1440.5381483565541"/>
    <n v="195281.44450696625"/>
    <n v="432161.44450696628"/>
    <n v="236880"/>
  </r>
  <r>
    <x v="5"/>
    <x v="0"/>
    <n v="279000"/>
    <n v="2490"/>
    <n v="2023"/>
    <n v="6"/>
    <s v="10"/>
    <x v="1"/>
    <s v="No"/>
    <x v="0"/>
    <n v="112.04819277108433"/>
    <n v="1617.8408191301121"/>
    <n v="234252.24573903362"/>
    <n v="485352.24573903362"/>
    <n v="251100"/>
  </r>
  <r>
    <x v="4"/>
    <x v="0"/>
    <n v="250000"/>
    <n v="2230"/>
    <n v="2024"/>
    <n v="5.3"/>
    <n v="7"/>
    <x v="0"/>
    <s v="No"/>
    <x v="0"/>
    <n v="112.10762331838565"/>
    <n v="1400.1177812954613"/>
    <n v="187535.33438863841"/>
    <n v="420035.33438863838"/>
    <n v="232499.99999999997"/>
  </r>
  <r>
    <x v="1"/>
    <x v="1"/>
    <n v="240000"/>
    <n v="2140"/>
    <n v="2024"/>
    <n v="5.5"/>
    <s v="10"/>
    <x v="0"/>
    <s v="No"/>
    <x v="0"/>
    <n v="112.14953271028037"/>
    <n v="1326.4289833279756"/>
    <n v="181928.69499839263"/>
    <n v="397928.6949983926"/>
    <n v="216000"/>
  </r>
  <r>
    <x v="5"/>
    <x v="0"/>
    <n v="276000"/>
    <n v="2460"/>
    <n v="2024"/>
    <n v="5.0999999999999996"/>
    <s v="10"/>
    <x v="1"/>
    <s v="No"/>
    <x v="0"/>
    <n v="112.19512195121951"/>
    <n v="1466.6307821465014"/>
    <n v="191589.23464395039"/>
    <n v="439989.23464395036"/>
    <n v="248400"/>
  </r>
  <r>
    <x v="2"/>
    <x v="1"/>
    <n v="248000"/>
    <n v="2210"/>
    <n v="2024"/>
    <n v="5.5"/>
    <s v="8"/>
    <x v="0"/>
    <s v="No"/>
    <x v="0"/>
    <n v="112.21719457013575"/>
    <n v="1401.1020223894025"/>
    <n v="192170.60671682074"/>
    <n v="420330.60671682074"/>
    <n v="228160"/>
  </r>
  <r>
    <x v="6"/>
    <x v="0"/>
    <n v="255000"/>
    <n v="2270"/>
    <n v="2024"/>
    <n v="5.2"/>
    <s v="12"/>
    <x v="1"/>
    <s v="No"/>
    <x v="0"/>
    <n v="112.33480176211454"/>
    <n v="1338.10060747221"/>
    <n v="177030.18224166296"/>
    <n v="401430.18224166299"/>
    <n v="224400"/>
  </r>
  <r>
    <x v="5"/>
    <x v="0"/>
    <n v="273000"/>
    <n v="2430"/>
    <n v="2024"/>
    <n v="5.0999999999999996"/>
    <s v="10"/>
    <x v="1"/>
    <s v="No"/>
    <x v="0"/>
    <n v="112.34567901234568"/>
    <n v="1450.6891432101263"/>
    <n v="189506.74296303792"/>
    <n v="435206.74296303792"/>
    <n v="245700"/>
  </r>
  <r>
    <x v="5"/>
    <x v="0"/>
    <n v="282000"/>
    <n v="2510"/>
    <n v="2024"/>
    <n v="5.2"/>
    <s v="10"/>
    <x v="1"/>
    <s v="No"/>
    <x v="0"/>
    <n v="112.35059760956176"/>
    <n v="1513.4132539057348"/>
    <n v="200223.97617172039"/>
    <n v="454023.97617172042"/>
    <n v="253800"/>
  </r>
  <r>
    <x v="5"/>
    <x v="0"/>
    <n v="285000"/>
    <n v="2530"/>
    <n v="2023"/>
    <n v="6"/>
    <s v="10"/>
    <x v="1"/>
    <s v="No"/>
    <x v="0"/>
    <n v="112.64822134387352"/>
    <n v="1652.6330948103296"/>
    <n v="239289.92844309885"/>
    <n v="495789.92844309885"/>
    <n v="256500"/>
  </r>
  <r>
    <x v="1"/>
    <x v="1"/>
    <n v="248000"/>
    <n v="2200"/>
    <n v="2023"/>
    <n v="6.5"/>
    <s v="10"/>
    <x v="0"/>
    <s v="No"/>
    <x v="0"/>
    <n v="112.72727272727273"/>
    <n v="1507.0623841279319"/>
    <n v="228918.71523837955"/>
    <n v="452118.71523837955"/>
    <n v="223200"/>
  </r>
  <r>
    <x v="2"/>
    <x v="1"/>
    <n v="254000"/>
    <n v="2240"/>
    <n v="2023"/>
    <n v="6.3"/>
    <s v="10"/>
    <x v="0"/>
    <s v="No"/>
    <x v="0"/>
    <n v="113.39285714285714"/>
    <n v="1515.077253338583"/>
    <n v="225923.17600157487"/>
    <n v="454523.17600157484"/>
    <n v="228600"/>
  </r>
  <r>
    <x v="0"/>
    <x v="1"/>
    <n v="250000"/>
    <n v="2200"/>
    <n v="2024"/>
    <n v="5.4"/>
    <s v="6"/>
    <x v="0"/>
    <s v="No"/>
    <x v="0"/>
    <n v="113.63636363636364"/>
    <n v="1429.1053059092797"/>
    <n v="193731.59177278393"/>
    <n v="428731.5917727839"/>
    <n v="235000"/>
  </r>
  <r>
    <x v="5"/>
    <x v="0"/>
    <n v="290000"/>
    <n v="2550"/>
    <n v="2024"/>
    <n v="5.2"/>
    <s v="10"/>
    <x v="1"/>
    <s v="No"/>
    <x v="0"/>
    <n v="113.72549019607843"/>
    <n v="1556.346963236394"/>
    <n v="205904.08897091818"/>
    <n v="466904.08897091821"/>
    <n v="261000"/>
  </r>
  <r>
    <x v="2"/>
    <x v="1"/>
    <n v="265000"/>
    <n v="2330"/>
    <n v="2023"/>
    <n v="6.3"/>
    <s v="10"/>
    <x v="0"/>
    <s v="No"/>
    <x v="0"/>
    <n v="113.73390557939913"/>
    <n v="1580.6908351760806"/>
    <n v="235707.25055282415"/>
    <n v="474207.25055282412"/>
    <n v="238500"/>
  </r>
  <r>
    <x v="2"/>
    <x v="1"/>
    <n v="262000"/>
    <n v="2300"/>
    <n v="2024"/>
    <n v="5.4"/>
    <s v="10"/>
    <x v="0"/>
    <s v="No"/>
    <x v="0"/>
    <n v="113.91304347826087"/>
    <n v="1433.9703452485455"/>
    <n v="194391.10357456363"/>
    <n v="430191.10357456363"/>
    <n v="235800"/>
  </r>
  <r>
    <x v="5"/>
    <x v="0"/>
    <n v="295000"/>
    <n v="2580"/>
    <n v="2024"/>
    <n v="5.2"/>
    <s v="10"/>
    <x v="1"/>
    <s v="No"/>
    <x v="0"/>
    <n v="114.34108527131782"/>
    <n v="1583.180531568056"/>
    <n v="209454.15947041666"/>
    <n v="474954.15947041666"/>
    <n v="265500"/>
  </r>
  <r>
    <x v="2"/>
    <x v="1"/>
    <n v="270000"/>
    <n v="2360"/>
    <n v="2024"/>
    <n v="5.4"/>
    <s v="10"/>
    <x v="0"/>
    <s v="No"/>
    <x v="0"/>
    <n v="114.40677966101696"/>
    <n v="1477.7556993019364"/>
    <n v="200326.70979058091"/>
    <n v="443326.70979058091"/>
    <n v="243000"/>
  </r>
  <r>
    <x v="5"/>
    <x v="0"/>
    <n v="300000"/>
    <n v="2600"/>
    <n v="2024"/>
    <n v="5.2"/>
    <s v="10"/>
    <x v="1"/>
    <s v="No"/>
    <x v="0"/>
    <n v="115.38461538461539"/>
    <n v="1610.0140998997181"/>
    <n v="213004.22996991529"/>
    <n v="483004.22996991529"/>
    <n v="270000"/>
  </r>
  <r>
    <x v="5"/>
    <x v="0"/>
    <n v="290000"/>
    <n v="2510"/>
    <n v="2024"/>
    <n v="5.2"/>
    <s v="10"/>
    <x v="1"/>
    <s v="No"/>
    <x v="0"/>
    <n v="115.53784860557769"/>
    <n v="1556.346963236394"/>
    <n v="205904.08897091818"/>
    <n v="466904.08897091821"/>
    <n v="261000"/>
  </r>
  <r>
    <x v="2"/>
    <x v="1"/>
    <n v="275000"/>
    <n v="2380"/>
    <n v="2023"/>
    <n v="6.3"/>
    <s v="10"/>
    <x v="0"/>
    <s v="No"/>
    <x v="0"/>
    <n v="115.54621848739495"/>
    <n v="1640.3395459374422"/>
    <n v="244601.86378123253"/>
    <n v="492101.8637812325"/>
    <n v="247500"/>
  </r>
  <r>
    <x v="6"/>
    <x v="0"/>
    <n v="295000"/>
    <n v="2550"/>
    <n v="2024"/>
    <n v="5.2"/>
    <s v="12"/>
    <x v="1"/>
    <s v="No"/>
    <x v="0"/>
    <n v="115.68627450980392"/>
    <n v="1547.9987419776546"/>
    <n v="204799.62259329637"/>
    <n v="464399.62259329634"/>
    <n v="259600"/>
  </r>
  <r>
    <x v="0"/>
    <x v="1"/>
    <n v="220000"/>
    <n v="1900"/>
    <n v="2023"/>
    <n v="6.6"/>
    <s v="6"/>
    <x v="0"/>
    <s v="No"/>
    <x v="0"/>
    <n v="115.78947368421052"/>
    <n v="1409.2780977091138"/>
    <n v="215983.42931273405"/>
    <n v="422783.42931273405"/>
    <n v="206800"/>
  </r>
  <r>
    <x v="6"/>
    <x v="0"/>
    <n v="270000"/>
    <n v="2330"/>
    <n v="2024"/>
    <n v="5.2"/>
    <s v="12"/>
    <x v="1"/>
    <s v="No"/>
    <x v="0"/>
    <n v="115.87982832618026"/>
    <n v="1416.8124079117517"/>
    <n v="187443.72237352544"/>
    <n v="425043.72237352544"/>
    <n v="237600"/>
  </r>
  <r>
    <x v="1"/>
    <x v="1"/>
    <n v="255000"/>
    <n v="2200"/>
    <n v="2023"/>
    <n v="6.5"/>
    <s v="10"/>
    <x v="0"/>
    <s v="No"/>
    <x v="0"/>
    <n v="115.90909090909091"/>
    <n v="1549.600435292833"/>
    <n v="235380.13058784988"/>
    <n v="464880.13058784988"/>
    <n v="229500"/>
  </r>
  <r>
    <x v="0"/>
    <x v="1"/>
    <n v="218000"/>
    <n v="1880"/>
    <n v="2024"/>
    <n v="5.3"/>
    <s v="6"/>
    <x v="0"/>
    <s v="No"/>
    <x v="0"/>
    <n v="115.95744680851064"/>
    <n v="1234.0306913680258"/>
    <n v="165289.20741040778"/>
    <n v="370209.20741040778"/>
    <n v="204920"/>
  </r>
  <r>
    <x v="5"/>
    <x v="0"/>
    <n v="325000"/>
    <n v="2800"/>
    <n v="2024"/>
    <n v="5.2"/>
    <s v="10"/>
    <x v="1"/>
    <s v="No"/>
    <x v="0"/>
    <n v="116.07142857142857"/>
    <n v="1744.181941558028"/>
    <n v="230754.58246740827"/>
    <n v="523254.58246740827"/>
    <n v="292500"/>
  </r>
  <r>
    <x v="0"/>
    <x v="1"/>
    <n v="214000"/>
    <n v="1840"/>
    <n v="2023"/>
    <n v="6.5"/>
    <s v="6"/>
    <x v="0"/>
    <s v="No"/>
    <x v="0"/>
    <n v="116.30434782608695"/>
    <n v="1358.2467257669118"/>
    <n v="206314.01773007354"/>
    <n v="407474.01773007354"/>
    <n v="201160"/>
  </r>
  <r>
    <x v="5"/>
    <x v="0"/>
    <n v="320000"/>
    <n v="2750"/>
    <n v="2023"/>
    <n v="6"/>
    <s v="10"/>
    <x v="1"/>
    <s v="No"/>
    <x v="0"/>
    <n v="116.36363636363636"/>
    <n v="1855.5880362782648"/>
    <n v="268676.4108834794"/>
    <n v="556676.4108834794"/>
    <n v="288000"/>
  </r>
  <r>
    <x v="5"/>
    <x v="0"/>
    <n v="305000"/>
    <n v="2620"/>
    <n v="2023"/>
    <n v="6"/>
    <s v="10"/>
    <x v="1"/>
    <s v="No"/>
    <x v="0"/>
    <n v="116.41221374045801"/>
    <n v="1768.607347077721"/>
    <n v="256082.20412331633"/>
    <n v="530582.20412331633"/>
    <n v="274500"/>
  </r>
  <r>
    <x v="0"/>
    <x v="1"/>
    <n v="212000"/>
    <n v="1820"/>
    <n v="2023"/>
    <n v="6.7"/>
    <s v="6"/>
    <x v="0"/>
    <s v="No"/>
    <x v="0"/>
    <n v="116.48351648351648"/>
    <n v="1370.5631109891049"/>
    <n v="211888.93329673144"/>
    <n v="411168.93329673144"/>
    <n v="199280"/>
  </r>
  <r>
    <x v="0"/>
    <x v="1"/>
    <n v="225000"/>
    <n v="1930"/>
    <n v="2024"/>
    <n v="5.3"/>
    <s v="6"/>
    <x v="0"/>
    <s v="No"/>
    <x v="0"/>
    <n v="116.58031088082902"/>
    <n v="1273.6555300816781"/>
    <n v="170596.65902450343"/>
    <n v="382096.65902450343"/>
    <n v="211500"/>
  </r>
  <r>
    <x v="5"/>
    <x v="0"/>
    <n v="295000"/>
    <n v="2530"/>
    <n v="2023"/>
    <n v="6"/>
    <s v="10"/>
    <x v="1"/>
    <s v="No"/>
    <x v="0"/>
    <n v="116.60079051383399"/>
    <n v="1710.6202209440253"/>
    <n v="247686.06628320756"/>
    <n v="513186.06628320756"/>
    <n v="265500"/>
  </r>
  <r>
    <x v="6"/>
    <x v="0"/>
    <n v="280000"/>
    <n v="2400"/>
    <n v="2024"/>
    <n v="5.2"/>
    <s v="12"/>
    <x v="1"/>
    <s v="No"/>
    <x v="0"/>
    <n v="116.66666666666667"/>
    <n v="1469.2869415381131"/>
    <n v="194386.08246143383"/>
    <n v="440786.08246143383"/>
    <n v="246400"/>
  </r>
  <r>
    <x v="2"/>
    <x v="1"/>
    <n v="280000"/>
    <n v="2400"/>
    <n v="2024"/>
    <n v="5.4"/>
    <s v="10"/>
    <x v="0"/>
    <s v="No"/>
    <x v="0"/>
    <n v="116.66666666666667"/>
    <n v="1532.4873918686746"/>
    <n v="207746.21756060244"/>
    <n v="459746.21756060247"/>
    <n v="252000"/>
  </r>
  <r>
    <x v="5"/>
    <x v="0"/>
    <n v="315000"/>
    <n v="2700"/>
    <n v="2024"/>
    <n v="5.2"/>
    <s v="10"/>
    <x v="1"/>
    <s v="No"/>
    <x v="0"/>
    <n v="116.66666666666667"/>
    <n v="1690.514804894704"/>
    <n v="223654.44146841107"/>
    <n v="507154.44146841107"/>
    <n v="283500"/>
  </r>
  <r>
    <x v="2"/>
    <x v="1"/>
    <n v="290000"/>
    <n v="2480"/>
    <n v="2023"/>
    <n v="6.3"/>
    <s v="10"/>
    <x v="0"/>
    <s v="No"/>
    <x v="0"/>
    <n v="116.93548387096774"/>
    <n v="1729.8126120794846"/>
    <n v="257943.78362384532"/>
    <n v="518943.78362384532"/>
    <n v="261000"/>
  </r>
  <r>
    <x v="0"/>
    <x v="1"/>
    <n v="240000"/>
    <n v="2050"/>
    <n v="2024"/>
    <n v="5.4"/>
    <s v="6"/>
    <x v="0"/>
    <s v="No"/>
    <x v="0"/>
    <n v="117.07317073170732"/>
    <n v="1371.9410936729087"/>
    <n v="185982.32810187261"/>
    <n v="411582.32810187258"/>
    <n v="225600"/>
  </r>
  <r>
    <x v="2"/>
    <x v="1"/>
    <n v="270000"/>
    <n v="2300"/>
    <n v="2024"/>
    <n v="5.4"/>
    <s v="10"/>
    <x v="0"/>
    <s v="No"/>
    <x v="0"/>
    <n v="117.39130434782609"/>
    <n v="1477.7556993019364"/>
    <n v="200326.70979058091"/>
    <n v="443326.70979058091"/>
    <n v="243000"/>
  </r>
  <r>
    <x v="0"/>
    <x v="1"/>
    <n v="235000"/>
    <n v="2000"/>
    <n v="2024"/>
    <n v="5.4"/>
    <s v="6"/>
    <x v="0"/>
    <s v="No"/>
    <x v="0"/>
    <n v="117.5"/>
    <n v="1343.3589875547232"/>
    <n v="182107.69626641696"/>
    <n v="403007.69626641693"/>
    <n v="220900"/>
  </r>
  <r>
    <x v="2"/>
    <x v="1"/>
    <n v="300000"/>
    <n v="2550"/>
    <n v="2024"/>
    <n v="5.4"/>
    <s v="10"/>
    <x v="0"/>
    <s v="No"/>
    <x v="0"/>
    <n v="117.64705882352941"/>
    <n v="1641.9507770021514"/>
    <n v="222585.23310064548"/>
    <n v="492585.23310064548"/>
    <n v="270000"/>
  </r>
  <r>
    <x v="5"/>
    <x v="0"/>
    <n v="300000"/>
    <n v="2550"/>
    <n v="2024"/>
    <n v="5.2"/>
    <s v="10"/>
    <x v="1"/>
    <s v="No"/>
    <x v="0"/>
    <n v="117.64705882352941"/>
    <n v="1610.0140998997181"/>
    <n v="213004.22996991529"/>
    <n v="483004.22996991529"/>
    <n v="270000"/>
  </r>
  <r>
    <x v="0"/>
    <x v="1"/>
    <n v="230000"/>
    <n v="1950"/>
    <n v="2023"/>
    <n v="6.5"/>
    <s v="6"/>
    <x v="0"/>
    <s v="No"/>
    <x v="0"/>
    <n v="117.94871794871794"/>
    <n v="1459.7978828335968"/>
    <n v="221739.36485007903"/>
    <n v="437939.36485007906"/>
    <n v="216200"/>
  </r>
  <r>
    <x v="0"/>
    <x v="1"/>
    <n v="230000"/>
    <n v="1950"/>
    <n v="2024"/>
    <n v="5.4"/>
    <s v="6"/>
    <x v="0"/>
    <s v="No"/>
    <x v="0"/>
    <n v="117.94871794871794"/>
    <n v="1314.7768814365375"/>
    <n v="178233.06443096124"/>
    <n v="394433.06443096127"/>
    <n v="216200"/>
  </r>
  <r>
    <x v="2"/>
    <x v="1"/>
    <n v="275000"/>
    <n v="2330"/>
    <n v="2023"/>
    <n v="6.3"/>
    <s v="10"/>
    <x v="0"/>
    <s v="No"/>
    <x v="0"/>
    <n v="118.02575107296137"/>
    <n v="1640.3395459374422"/>
    <n v="244601.86378123253"/>
    <n v="492101.8637812325"/>
    <n v="247500"/>
  </r>
  <r>
    <x v="0"/>
    <x v="1"/>
    <n v="208000"/>
    <n v="1760"/>
    <n v="2024"/>
    <n v="5.3"/>
    <s v="6"/>
    <x v="0"/>
    <s v="No"/>
    <x v="0"/>
    <n v="118.18181818181819"/>
    <n v="1177.4237789199512"/>
    <n v="157707.13367598536"/>
    <n v="353227.13367598539"/>
    <n v="195520"/>
  </r>
  <r>
    <x v="0"/>
    <x v="1"/>
    <n v="235000"/>
    <n v="1980"/>
    <n v="2024"/>
    <n v="5.3"/>
    <s v="6"/>
    <x v="0"/>
    <s v="No"/>
    <x v="0"/>
    <n v="118.68686868686869"/>
    <n v="1330.2624425297527"/>
    <n v="178178.73275892579"/>
    <n v="399078.73275892576"/>
    <n v="220900"/>
  </r>
  <r>
    <x v="0"/>
    <x v="1"/>
    <n v="220000"/>
    <n v="1850"/>
    <n v="2024"/>
    <n v="5.4"/>
    <s v="6"/>
    <x v="0"/>
    <s v="No"/>
    <x v="0"/>
    <n v="118.91891891891892"/>
    <n v="1257.6126692001665"/>
    <n v="170483.80076004995"/>
    <n v="377283.80076004995"/>
    <n v="206800"/>
  </r>
  <r>
    <x v="0"/>
    <x v="1"/>
    <n v="250000"/>
    <n v="2100"/>
    <n v="2024"/>
    <n v="5.3"/>
    <s v="6"/>
    <x v="0"/>
    <s v="No"/>
    <x v="0"/>
    <n v="119.04761904761905"/>
    <n v="1415.1728112018645"/>
    <n v="189551.84336055935"/>
    <n v="424551.84336055932"/>
    <n v="235000"/>
  </r>
  <r>
    <x v="0"/>
    <x v="1"/>
    <n v="225000"/>
    <n v="1880"/>
    <n v="2024"/>
    <n v="5.3"/>
    <s v="6"/>
    <x v="0"/>
    <s v="No"/>
    <x v="0"/>
    <n v="119.68085106382979"/>
    <n v="1273.6555300816781"/>
    <n v="170596.65902450343"/>
    <n v="382096.65902450343"/>
    <n v="211500"/>
  </r>
  <r>
    <x v="0"/>
    <x v="1"/>
    <n v="240000"/>
    <n v="2000"/>
    <n v="2023"/>
    <n v="6.6"/>
    <s v="6"/>
    <x v="0"/>
    <s v="No"/>
    <x v="0"/>
    <n v="120"/>
    <n v="1537.3942884099422"/>
    <n v="235618.28652298258"/>
    <n v="461218.28652298258"/>
    <n v="225600"/>
  </r>
  <r>
    <x v="6"/>
    <x v="0"/>
    <n v="280000"/>
    <n v="2330"/>
    <n v="2024"/>
    <n v="5.2"/>
    <s v="12"/>
    <x v="1"/>
    <s v="No"/>
    <x v="0"/>
    <n v="120.17167381974249"/>
    <n v="1469.2869415381131"/>
    <n v="194386.08246143383"/>
    <n v="440786.08246143383"/>
    <n v="246400"/>
  </r>
  <r>
    <x v="0"/>
    <x v="1"/>
    <n v="260000"/>
    <n v="2150"/>
    <n v="2023"/>
    <n v="6.6"/>
    <s v="6"/>
    <x v="0"/>
    <s v="No"/>
    <x v="0"/>
    <n v="120.93023255813954"/>
    <n v="1665.5104791107708"/>
    <n v="255253.14373323118"/>
    <n v="499653.14373323118"/>
    <n v="244400"/>
  </r>
  <r>
    <x v="0"/>
    <x v="1"/>
    <n v="230000"/>
    <n v="1900"/>
    <n v="2023"/>
    <n v="6.6"/>
    <s v="6"/>
    <x v="0"/>
    <s v="No"/>
    <x v="0"/>
    <n v="121.05263157894737"/>
    <n v="1473.3361930595279"/>
    <n v="225800.85791785832"/>
    <n v="442000.85791785829"/>
    <n v="216200"/>
  </r>
  <r>
    <x v="0"/>
    <x v="1"/>
    <n v="270000"/>
    <n v="2200"/>
    <n v="2023"/>
    <n v="6.6"/>
    <s v="6"/>
    <x v="0"/>
    <s v="No"/>
    <x v="0"/>
    <n v="122.72727272727273"/>
    <n v="1729.5685744611851"/>
    <n v="265070.57233835547"/>
    <n v="518870.57233835547"/>
    <n v="253800"/>
  </r>
  <r>
    <x v="7"/>
    <x v="0"/>
    <n v="350000"/>
    <n v="2850"/>
    <n v="2024"/>
    <n v="5.2"/>
    <s v="12"/>
    <x v="1"/>
    <s v="No"/>
    <x v="0"/>
    <n v="122.80701754385964"/>
    <n v="1836.6086769226413"/>
    <n v="242982.60307679232"/>
    <n v="550982.60307679232"/>
    <n v="308000"/>
  </r>
  <r>
    <x v="7"/>
    <x v="0"/>
    <n v="370000"/>
    <n v="3000"/>
    <n v="2024"/>
    <n v="5.2"/>
    <s v="12"/>
    <x v="1"/>
    <s v="No"/>
    <x v="0"/>
    <n v="123.33333333333333"/>
    <n v="1941.5577441753637"/>
    <n v="256867.323252609"/>
    <n v="582467.323252609"/>
    <n v="325600"/>
  </r>
  <r>
    <x v="5"/>
    <x v="0"/>
    <n v="310000"/>
    <n v="2510"/>
    <n v="2024"/>
    <n v="5.3"/>
    <n v="10"/>
    <x v="1"/>
    <s v="No"/>
    <x v="0"/>
    <n v="123.50597609561753"/>
    <n v="1680.141337554554"/>
    <n v="225042.40126636619"/>
    <n v="504042.40126636619"/>
    <n v="279000"/>
  </r>
  <r>
    <x v="7"/>
    <x v="0"/>
    <n v="372000"/>
    <n v="3010"/>
    <n v="2024"/>
    <n v="5.2"/>
    <s v="12"/>
    <x v="1"/>
    <s v="No"/>
    <x v="0"/>
    <n v="123.58803986710963"/>
    <n v="1952.0526509006359"/>
    <n v="258255.79527019063"/>
    <n v="585615.79527019057"/>
    <n v="327360"/>
  </r>
  <r>
    <x v="7"/>
    <x v="0"/>
    <n v="365000"/>
    <n v="2950"/>
    <n v="2024"/>
    <n v="5.2"/>
    <s v="12"/>
    <x v="1"/>
    <s v="No"/>
    <x v="0"/>
    <n v="123.72881355932203"/>
    <n v="1915.3204773621831"/>
    <n v="253396.14320865489"/>
    <n v="574596.14320865483"/>
    <n v="321200"/>
  </r>
  <r>
    <x v="7"/>
    <x v="0"/>
    <n v="360000"/>
    <n v="2900"/>
    <n v="2024"/>
    <n v="5.2"/>
    <s v="12"/>
    <x v="1"/>
    <s v="No"/>
    <x v="0"/>
    <n v="124.13793103448276"/>
    <n v="1889.0832105490024"/>
    <n v="249924.9631647006"/>
    <n v="566724.96316470066"/>
    <n v="316800"/>
  </r>
  <r>
    <x v="7"/>
    <x v="0"/>
    <n v="348000"/>
    <n v="2800"/>
    <n v="2024"/>
    <n v="5.2"/>
    <s v="12"/>
    <x v="1"/>
    <s v="No"/>
    <x v="0"/>
    <n v="124.28571428571429"/>
    <n v="1826.1137701973689"/>
    <n v="241594.13105921069"/>
    <n v="547834.13105921075"/>
    <n v="306240"/>
  </r>
  <r>
    <x v="0"/>
    <x v="1"/>
    <n v="240000"/>
    <n v="1930"/>
    <n v="2024"/>
    <n v="5.3"/>
    <s v="6"/>
    <x v="0"/>
    <s v="No"/>
    <x v="0"/>
    <n v="124.35233160621762"/>
    <n v="1358.56589875379"/>
    <n v="181969.76962613699"/>
    <n v="407569.76962613699"/>
    <n v="225600"/>
  </r>
  <r>
    <x v="7"/>
    <x v="0"/>
    <n v="345000"/>
    <n v="2750"/>
    <n v="2024"/>
    <n v="5.2"/>
    <s v="12"/>
    <x v="1"/>
    <s v="No"/>
    <x v="0"/>
    <n v="125.45454545454545"/>
    <n v="1810.3714101094608"/>
    <n v="239511.42303283815"/>
    <n v="543111.42303283815"/>
    <n v="303600"/>
  </r>
  <r>
    <x v="2"/>
    <x v="1"/>
    <n v="252000"/>
    <n v="1990"/>
    <n v="2023"/>
    <n v="6.3"/>
    <s v="10"/>
    <x v="0"/>
    <s v="No"/>
    <x v="0"/>
    <n v="126.63316582914572"/>
    <n v="1503.1475111863108"/>
    <n v="224144.25335589319"/>
    <n v="450944.25335589319"/>
    <n v="226800"/>
  </r>
  <r>
    <x v="7"/>
    <x v="0"/>
    <n v="343000"/>
    <n v="2700"/>
    <n v="2024"/>
    <n v="5.2"/>
    <s v="12"/>
    <x v="1"/>
    <s v="No"/>
    <x v="0"/>
    <n v="127.03703703703704"/>
    <n v="1799.8765033841883"/>
    <n v="238122.95101525652"/>
    <n v="539962.95101525658"/>
    <n v="301840"/>
  </r>
  <r>
    <x v="7"/>
    <x v="0"/>
    <n v="340000"/>
    <n v="2650"/>
    <n v="2024"/>
    <n v="5.2"/>
    <s v="12"/>
    <x v="1"/>
    <s v="No"/>
    <x v="0"/>
    <n v="128.30188679245282"/>
    <n v="1784.1341432962802"/>
    <n v="236040.24298888387"/>
    <n v="535240.24298888387"/>
    <n v="299200"/>
  </r>
  <r>
    <x v="7"/>
    <x v="0"/>
    <n v="310000"/>
    <n v="2400"/>
    <n v="2023"/>
    <n v="6"/>
    <s v="12"/>
    <x v="1"/>
    <s v="No"/>
    <x v="0"/>
    <n v="129.16666666666666"/>
    <n v="1757.6542232524673"/>
    <n v="254496.2669757402"/>
    <n v="527296.2669757402"/>
    <n v="272800"/>
  </r>
  <r>
    <x v="5"/>
    <x v="0"/>
    <n v="330000"/>
    <n v="2510"/>
    <n v="2024"/>
    <n v="5.3"/>
    <n v="10"/>
    <x v="1"/>
    <s v="No"/>
    <x v="0"/>
    <n v="131.47410358565736"/>
    <n v="1788.5375528806542"/>
    <n v="239561.26586419623"/>
    <n v="536561.26586419623"/>
    <n v="297000"/>
  </r>
  <r>
    <x v="7"/>
    <x v="0"/>
    <n v="310000"/>
    <n v="2350"/>
    <n v="2024"/>
    <n v="5.2"/>
    <s v="12"/>
    <x v="1"/>
    <s v="No"/>
    <x v="0"/>
    <n v="131.91489361702128"/>
    <n v="1626.7105424171966"/>
    <n v="215213.16272515891"/>
    <n v="488013.16272515891"/>
    <n v="272800"/>
  </r>
  <r>
    <x v="7"/>
    <x v="0"/>
    <n v="330000"/>
    <n v="2500"/>
    <n v="2024"/>
    <n v="5.2"/>
    <s v="12"/>
    <x v="1"/>
    <s v="No"/>
    <x v="0"/>
    <n v="132"/>
    <n v="1731.6596096699188"/>
    <n v="229097.88290097559"/>
    <n v="519497.88290097559"/>
    <n v="290400"/>
  </r>
  <r>
    <x v="7"/>
    <x v="0"/>
    <n v="320000"/>
    <n v="2420"/>
    <n v="2024"/>
    <n v="5.2"/>
    <s v="12"/>
    <x v="1"/>
    <s v="No"/>
    <x v="0"/>
    <n v="132.23140495867767"/>
    <n v="1679.1850760435575"/>
    <n v="222155.52281306719"/>
    <n v="503755.52281306719"/>
    <n v="281600"/>
  </r>
  <r>
    <x v="7"/>
    <x v="0"/>
    <n v="315000"/>
    <n v="2380"/>
    <n v="2023"/>
    <n v="6"/>
    <s v="12"/>
    <x v="1"/>
    <s v="No"/>
    <x v="0"/>
    <n v="132.35294117647058"/>
    <n v="1786.0034849178296"/>
    <n v="258601.04547534889"/>
    <n v="535801.04547534883"/>
    <n v="277200"/>
  </r>
  <r>
    <x v="7"/>
    <x v="0"/>
    <n v="318000"/>
    <n v="2400"/>
    <n v="2023"/>
    <n v="6"/>
    <s v="12"/>
    <x v="1"/>
    <s v="No"/>
    <x v="0"/>
    <n v="132.5"/>
    <n v="1803.0130419170473"/>
    <n v="261063.91257511417"/>
    <n v="540903.91257511417"/>
    <n v="279840"/>
  </r>
  <r>
    <x v="7"/>
    <x v="0"/>
    <n v="325000"/>
    <n v="2450"/>
    <n v="2023"/>
    <n v="6"/>
    <s v="12"/>
    <x v="1"/>
    <s v="No"/>
    <x v="0"/>
    <n v="132.65306122448979"/>
    <n v="1842.7020082485544"/>
    <n v="266810.60247456632"/>
    <n v="552810.60247456632"/>
    <n v="286000"/>
  </r>
  <r>
    <x v="7"/>
    <x v="0"/>
    <n v="325000"/>
    <n v="2450"/>
    <n v="2024"/>
    <n v="5.2"/>
    <s v="12"/>
    <x v="1"/>
    <s v="No"/>
    <x v="0"/>
    <n v="132.65306122448979"/>
    <n v="1705.4223428567382"/>
    <n v="225626.70285702136"/>
    <n v="511626.70285702136"/>
    <n v="286000"/>
  </r>
  <r>
    <x v="7"/>
    <x v="0"/>
    <n v="292000"/>
    <n v="2190"/>
    <n v="2023"/>
    <n v="6"/>
    <s v="12"/>
    <x v="1"/>
    <s v="No"/>
    <x v="0"/>
    <n v="133.33333333333334"/>
    <n v="1655.596881257163"/>
    <n v="239719.06437714887"/>
    <n v="496679.06437714887"/>
    <n v="256960"/>
  </r>
  <r>
    <x v="7"/>
    <x v="0"/>
    <n v="300000"/>
    <n v="2250"/>
    <n v="2024"/>
    <n v="5.2"/>
    <s v="12"/>
    <x v="1"/>
    <s v="No"/>
    <x v="0"/>
    <n v="133.33333333333334"/>
    <n v="1574.2360087908353"/>
    <n v="208270.80263725057"/>
    <n v="472270.80263725057"/>
    <n v="264000"/>
  </r>
  <r>
    <x v="7"/>
    <x v="0"/>
    <n v="340000"/>
    <n v="2550"/>
    <n v="2023"/>
    <n v="6"/>
    <s v="12"/>
    <x v="1"/>
    <s v="No"/>
    <x v="0"/>
    <n v="133.33333333333334"/>
    <n v="1927.7497932446418"/>
    <n v="279124.93797339255"/>
    <n v="578324.93797339255"/>
    <n v="299200"/>
  </r>
  <r>
    <x v="7"/>
    <x v="0"/>
    <n v="320000"/>
    <n v="2400"/>
    <n v="2024"/>
    <n v="5.2"/>
    <s v="12"/>
    <x v="1"/>
    <s v="No"/>
    <x v="0"/>
    <n v="133.33333333333334"/>
    <n v="1679.1850760435575"/>
    <n v="222155.52281306719"/>
    <n v="503755.52281306719"/>
    <n v="281600"/>
  </r>
  <r>
    <x v="7"/>
    <x v="0"/>
    <n v="310000"/>
    <n v="2300"/>
    <n v="2024"/>
    <n v="5.2"/>
    <s v="12"/>
    <x v="1"/>
    <s v="No"/>
    <x v="0"/>
    <n v="134.78260869565219"/>
    <n v="1626.7105424171966"/>
    <n v="215213.16272515891"/>
    <n v="488013.16272515891"/>
    <n v="272800"/>
  </r>
  <r>
    <x v="7"/>
    <x v="0"/>
    <n v="320000"/>
    <n v="2350"/>
    <n v="2024"/>
    <n v="5.2"/>
    <s v="12"/>
    <x v="1"/>
    <s v="No"/>
    <x v="0"/>
    <n v="136.17021276595744"/>
    <n v="1679.1850760435575"/>
    <n v="222155.52281306719"/>
    <n v="503755.52281306719"/>
    <n v="281600"/>
  </r>
  <r>
    <x v="7"/>
    <x v="0"/>
    <n v="325000"/>
    <n v="2380"/>
    <n v="2023"/>
    <n v="6"/>
    <s v="12"/>
    <x v="1"/>
    <s v="No"/>
    <x v="0"/>
    <n v="136.55462184873949"/>
    <n v="1842.7020082485544"/>
    <n v="266810.60247456632"/>
    <n v="552810.60247456632"/>
    <n v="286000"/>
  </r>
  <r>
    <x v="2"/>
    <x v="2"/>
    <n v="365000"/>
    <n v="2550"/>
    <n v="2024"/>
    <n v="5.4"/>
    <s v="14"/>
    <x v="1"/>
    <s v="No"/>
    <x v="1"/>
    <n v="143.13725490196077"/>
    <n v="1908.9198107443531"/>
    <n v="258775.94322330604"/>
    <n v="572675.94322330598"/>
    <n v="313900"/>
  </r>
  <r>
    <x v="4"/>
    <x v="1"/>
    <n v="330000"/>
    <n v="2300"/>
    <n v="2024"/>
    <n v="5.5"/>
    <s v="10"/>
    <x v="1"/>
    <s v="No"/>
    <x v="0"/>
    <n v="143.47826086956522"/>
    <n v="1823.8398520759667"/>
    <n v="250151.95562279003"/>
    <n v="547151.95562279003"/>
    <n v="297000"/>
  </r>
  <r>
    <x v="2"/>
    <x v="2"/>
    <n v="360000"/>
    <n v="2500"/>
    <n v="2024"/>
    <n v="5.4"/>
    <s v="14"/>
    <x v="1"/>
    <s v="No"/>
    <x v="1"/>
    <n v="144"/>
    <n v="1882.7702242958003"/>
    <n v="255231.06728874013"/>
    <n v="564831.06728874007"/>
    <n v="309600"/>
  </r>
  <r>
    <x v="2"/>
    <x v="2"/>
    <n v="368000"/>
    <n v="2555"/>
    <n v="2024"/>
    <n v="5.4"/>
    <s v="14"/>
    <x v="1"/>
    <s v="No"/>
    <x v="1"/>
    <n v="144.03131115459882"/>
    <n v="1924.6095626134845"/>
    <n v="260902.86878404539"/>
    <n v="577382.86878404533"/>
    <n v="316480"/>
  </r>
  <r>
    <x v="4"/>
    <x v="1"/>
    <n v="340000"/>
    <n v="2350"/>
    <n v="2023"/>
    <n v="6.4"/>
    <s v="10"/>
    <x v="1"/>
    <s v="No"/>
    <x v="0"/>
    <n v="144.68085106382978"/>
    <n v="2047.0539426567625"/>
    <n v="308116.18279702892"/>
    <n v="614116.18279702892"/>
    <n v="306000"/>
  </r>
  <r>
    <x v="2"/>
    <x v="2"/>
    <n v="355000"/>
    <n v="2450"/>
    <n v="2024"/>
    <n v="5.4"/>
    <s v="14"/>
    <x v="1"/>
    <s v="No"/>
    <x v="1"/>
    <n v="144.89795918367346"/>
    <n v="1856.6206378472473"/>
    <n v="251686.19135417423"/>
    <n v="556986.19135417417"/>
    <n v="305300"/>
  </r>
  <r>
    <x v="3"/>
    <x v="1"/>
    <n v="320000"/>
    <n v="2200"/>
    <n v="2024"/>
    <n v="5.4"/>
    <s v="10"/>
    <x v="1"/>
    <s v="No"/>
    <x v="0"/>
    <n v="145.45454545454547"/>
    <n v="1751.4141621356282"/>
    <n v="237424.24864068849"/>
    <n v="525424.24864068849"/>
    <n v="288000"/>
  </r>
  <r>
    <x v="3"/>
    <x v="1"/>
    <n v="335000"/>
    <n v="2300"/>
    <n v="2024"/>
    <n v="5.4"/>
    <s v="10"/>
    <x v="1"/>
    <s v="No"/>
    <x v="0"/>
    <n v="145.65217391304347"/>
    <n v="1833.5117009857358"/>
    <n v="248553.51029572077"/>
    <n v="550053.51029572077"/>
    <n v="301500"/>
  </r>
  <r>
    <x v="3"/>
    <x v="1"/>
    <n v="300000"/>
    <n v="2050"/>
    <n v="2024"/>
    <n v="5.4"/>
    <s v="10"/>
    <x v="1"/>
    <s v="No"/>
    <x v="0"/>
    <n v="146.34146341463415"/>
    <n v="1641.9507770021514"/>
    <n v="222585.23310064548"/>
    <n v="492585.23310064548"/>
    <n v="270000"/>
  </r>
  <r>
    <x v="3"/>
    <x v="1"/>
    <n v="290000"/>
    <n v="1980"/>
    <n v="2024"/>
    <n v="5.4"/>
    <s v="10"/>
    <x v="1"/>
    <s v="No"/>
    <x v="0"/>
    <n v="146.46464646464648"/>
    <n v="1587.2190844354129"/>
    <n v="215165.72533062389"/>
    <n v="476165.72533062391"/>
    <n v="261000"/>
  </r>
  <r>
    <x v="3"/>
    <x v="1"/>
    <n v="305000"/>
    <n v="2080"/>
    <n v="2023"/>
    <n v="6.6"/>
    <s v="10"/>
    <x v="1"/>
    <s v="No"/>
    <x v="0"/>
    <n v="146.63461538461539"/>
    <n v="1870.632678051991"/>
    <n v="286689.80341559718"/>
    <n v="561189.80341559718"/>
    <n v="274500"/>
  </r>
  <r>
    <x v="3"/>
    <x v="1"/>
    <n v="330000"/>
    <n v="2250"/>
    <n v="2023"/>
    <n v="6.6"/>
    <s v="10"/>
    <x v="1"/>
    <s v="No"/>
    <x v="0"/>
    <n v="146.66666666666666"/>
    <n v="2023.9632254333019"/>
    <n v="310188.96762999042"/>
    <n v="607188.96762999042"/>
    <n v="297000"/>
  </r>
  <r>
    <x v="2"/>
    <x v="2"/>
    <n v="352000"/>
    <n v="2400"/>
    <n v="2024"/>
    <n v="5.4"/>
    <s v="14"/>
    <x v="1"/>
    <s v="No"/>
    <x v="1"/>
    <n v="146.66666666666666"/>
    <n v="1840.9308859781156"/>
    <n v="249559.26579343475"/>
    <n v="552279.26579343481"/>
    <n v="302720"/>
  </r>
  <r>
    <x v="3"/>
    <x v="1"/>
    <n v="285000"/>
    <n v="1940"/>
    <n v="2023"/>
    <n v="6.5"/>
    <s v="10"/>
    <x v="1"/>
    <s v="No"/>
    <x v="0"/>
    <n v="146.90721649484536"/>
    <n v="1731.9063688566957"/>
    <n v="263071.9106570087"/>
    <n v="519571.9106570087"/>
    <n v="256500"/>
  </r>
  <r>
    <x v="5"/>
    <x v="1"/>
    <n v="390000"/>
    <n v="2650"/>
    <n v="2024"/>
    <n v="5.3"/>
    <s v="10"/>
    <x v="1"/>
    <s v="No"/>
    <x v="0"/>
    <n v="147.16981132075472"/>
    <n v="2113.7261988589553"/>
    <n v="283117.85965768655"/>
    <n v="634117.85965768655"/>
    <n v="351000"/>
  </r>
  <r>
    <x v="3"/>
    <x v="1"/>
    <n v="280000"/>
    <n v="1900"/>
    <n v="2024"/>
    <n v="5.4"/>
    <s v="10"/>
    <x v="1"/>
    <s v="No"/>
    <x v="0"/>
    <n v="147.36842105263159"/>
    <n v="1532.4873918686746"/>
    <n v="207746.21756060244"/>
    <n v="459746.21756060247"/>
    <n v="252000"/>
  </r>
  <r>
    <x v="5"/>
    <x v="1"/>
    <n v="392000"/>
    <n v="2660"/>
    <n v="2024"/>
    <n v="5.3"/>
    <s v="10"/>
    <x v="1"/>
    <s v="No"/>
    <x v="0"/>
    <n v="147.36842105263159"/>
    <n v="2124.565820391565"/>
    <n v="284569.74611746945"/>
    <n v="637369.74611746939"/>
    <n v="352800"/>
  </r>
  <r>
    <x v="4"/>
    <x v="1"/>
    <n v="295000"/>
    <n v="2000"/>
    <n v="2023"/>
    <n v="6.4"/>
    <s v="10"/>
    <x v="1"/>
    <s v="No"/>
    <x v="0"/>
    <n v="147.5"/>
    <n v="1776.1203325992499"/>
    <n v="267336.09977977496"/>
    <n v="532836.0997797749"/>
    <n v="265500"/>
  </r>
  <r>
    <x v="3"/>
    <x v="1"/>
    <n v="295000"/>
    <n v="2000"/>
    <n v="2023"/>
    <n v="6.6"/>
    <s v="10"/>
    <x v="1"/>
    <s v="No"/>
    <x v="0"/>
    <n v="147.5"/>
    <n v="1809.3004590994667"/>
    <n v="277290.13772983989"/>
    <n v="542790.13772983989"/>
    <n v="265500"/>
  </r>
  <r>
    <x v="4"/>
    <x v="1"/>
    <n v="310000"/>
    <n v="2100"/>
    <n v="2024"/>
    <n v="5.5"/>
    <s v="10"/>
    <x v="1"/>
    <s v="No"/>
    <x v="0"/>
    <n v="147.61904761904762"/>
    <n v="1713.304103465302"/>
    <n v="234991.23103959055"/>
    <n v="513991.23103959055"/>
    <n v="279000"/>
  </r>
  <r>
    <x v="3"/>
    <x v="1"/>
    <n v="310000"/>
    <n v="2100"/>
    <n v="2024"/>
    <n v="5.4"/>
    <s v="10"/>
    <x v="1"/>
    <s v="No"/>
    <x v="0"/>
    <n v="147.61904761904762"/>
    <n v="1696.6824695688897"/>
    <n v="230004.74087066698"/>
    <n v="509004.74087066698"/>
    <n v="279000"/>
  </r>
  <r>
    <x v="4"/>
    <x v="1"/>
    <n v="285000"/>
    <n v="1930"/>
    <n v="2023"/>
    <n v="6.4"/>
    <s v="10"/>
    <x v="1"/>
    <s v="No"/>
    <x v="0"/>
    <n v="147.66839378238342"/>
    <n v="1715.9128636975804"/>
    <n v="258273.85910927417"/>
    <n v="514773.85910927417"/>
    <n v="256500"/>
  </r>
  <r>
    <x v="4"/>
    <x v="1"/>
    <n v="300000"/>
    <n v="2030"/>
    <n v="2024"/>
    <n v="5.5"/>
    <s v="10"/>
    <x v="1"/>
    <s v="No"/>
    <x v="0"/>
    <n v="147.78325123152709"/>
    <n v="1658.0362291599697"/>
    <n v="227410.86874799087"/>
    <n v="497410.86874799087"/>
    <n v="270000"/>
  </r>
  <r>
    <x v="5"/>
    <x v="1"/>
    <n v="370000"/>
    <n v="2500"/>
    <n v="2024"/>
    <n v="5.3"/>
    <s v="10"/>
    <x v="1"/>
    <s v="No"/>
    <x v="0"/>
    <n v="148"/>
    <n v="2005.3299835328546"/>
    <n v="268598.99505985627"/>
    <n v="601598.99505985621"/>
    <n v="333000"/>
  </r>
  <r>
    <x v="5"/>
    <x v="1"/>
    <n v="385000"/>
    <n v="2600"/>
    <n v="2024"/>
    <n v="5.3"/>
    <s v="10"/>
    <x v="1"/>
    <s v="No"/>
    <x v="0"/>
    <n v="148.07692307692307"/>
    <n v="2086.6271450274298"/>
    <n v="279488.14350822894"/>
    <n v="625988.14350822894"/>
    <n v="346500"/>
  </r>
  <r>
    <x v="4"/>
    <x v="1"/>
    <n v="292000"/>
    <n v="1970"/>
    <n v="2023"/>
    <n v="6.4"/>
    <s v="10"/>
    <x v="1"/>
    <s v="No"/>
    <x v="0"/>
    <n v="148.2233502538071"/>
    <n v="1758.058091928749"/>
    <n v="264617.4275786248"/>
    <n v="527417.4275786248"/>
    <n v="262800"/>
  </r>
  <r>
    <x v="4"/>
    <x v="1"/>
    <n v="315000"/>
    <n v="2120"/>
    <n v="2023"/>
    <n v="6.4"/>
    <s v="10"/>
    <x v="1"/>
    <s v="No"/>
    <x v="0"/>
    <n v="148.58490566037736"/>
    <n v="1896.5352704025888"/>
    <n v="285460.58112077671"/>
    <n v="568960.58112077671"/>
    <n v="283500"/>
  </r>
  <r>
    <x v="4"/>
    <x v="1"/>
    <n v="305000"/>
    <n v="2050"/>
    <n v="2023"/>
    <n v="6.4"/>
    <s v="10"/>
    <x v="1"/>
    <s v="No"/>
    <x v="0"/>
    <n v="148.78048780487805"/>
    <n v="1836.3278015009191"/>
    <n v="276398.34045027598"/>
    <n v="550898.34045027592"/>
    <n v="274500"/>
  </r>
  <r>
    <x v="2"/>
    <x v="2"/>
    <n v="350000"/>
    <n v="2350"/>
    <n v="2024"/>
    <n v="5.4"/>
    <s v="14"/>
    <x v="1"/>
    <s v="No"/>
    <x v="1"/>
    <n v="148.93617021276594"/>
    <n v="1830.4710513986947"/>
    <n v="248141.31541960838"/>
    <n v="549141.31541960838"/>
    <n v="301000"/>
  </r>
  <r>
    <x v="5"/>
    <x v="1"/>
    <n v="380000"/>
    <n v="2550"/>
    <n v="2024"/>
    <n v="5.3"/>
    <s v="10"/>
    <x v="1"/>
    <s v="No"/>
    <x v="0"/>
    <n v="149.01960784313727"/>
    <n v="2059.5280911959048"/>
    <n v="275858.42735877144"/>
    <n v="617858.42735877144"/>
    <n v="342000"/>
  </r>
  <r>
    <x v="3"/>
    <x v="1"/>
    <n v="278000"/>
    <n v="1860"/>
    <n v="2024"/>
    <n v="5.6"/>
    <s v="10"/>
    <x v="1"/>
    <s v="No"/>
    <x v="0"/>
    <n v="149.46236559139786"/>
    <n v="1551.4244706212367"/>
    <n v="215227.34118637102"/>
    <n v="465427.34118637105"/>
    <n v="250200"/>
  </r>
  <r>
    <x v="4"/>
    <x v="1"/>
    <n v="320000"/>
    <n v="2140"/>
    <n v="2024"/>
    <n v="5.5"/>
    <s v="10"/>
    <x v="1"/>
    <s v="No"/>
    <x v="0"/>
    <n v="149.53271028037383"/>
    <n v="1768.5719777706342"/>
    <n v="242571.59333119029"/>
    <n v="530571.59333119029"/>
    <n v="288000"/>
  </r>
  <r>
    <x v="4"/>
    <x v="1"/>
    <n v="300000"/>
    <n v="2000"/>
    <n v="2023"/>
    <n v="6.4"/>
    <s v="10"/>
    <x v="1"/>
    <s v="No"/>
    <x v="0"/>
    <n v="150"/>
    <n v="1806.2240670500846"/>
    <n v="271867.22011502553"/>
    <n v="541867.22011502553"/>
    <n v="270000"/>
  </r>
  <r>
    <x v="8"/>
    <x v="0"/>
    <n v="510000"/>
    <n v="3400"/>
    <n v="2024"/>
    <n v="5"/>
    <s v="12"/>
    <x v="1"/>
    <s v="No"/>
    <x v="0"/>
    <n v="150"/>
    <n v="2623.6401062878099"/>
    <n v="338292.03188634297"/>
    <n v="787092.03188634291"/>
    <n v="448800"/>
  </r>
  <r>
    <x v="5"/>
    <x v="1"/>
    <n v="368000"/>
    <n v="2450"/>
    <n v="2024"/>
    <n v="5.3"/>
    <s v="10"/>
    <x v="1"/>
    <s v="No"/>
    <x v="0"/>
    <n v="150.20408163265307"/>
    <n v="1994.4903620002449"/>
    <n v="267147.10860007349"/>
    <n v="598347.10860007349"/>
    <n v="331200"/>
  </r>
  <r>
    <x v="8"/>
    <x v="0"/>
    <n v="505000"/>
    <n v="3350"/>
    <n v="2024"/>
    <n v="5"/>
    <s v="12"/>
    <x v="1"/>
    <s v="No"/>
    <x v="0"/>
    <n v="150.74626865671641"/>
    <n v="2597.9181444614592"/>
    <n v="334975.4433384377"/>
    <n v="779375.4433384377"/>
    <n v="444400"/>
  </r>
  <r>
    <x v="4"/>
    <x v="1"/>
    <n v="284000"/>
    <n v="1880"/>
    <n v="2024"/>
    <n v="5.5"/>
    <s v="10"/>
    <x v="1"/>
    <s v="No"/>
    <x v="0"/>
    <n v="151.06382978723406"/>
    <n v="1569.607630271438"/>
    <n v="215282.28908143137"/>
    <n v="470882.28908143134"/>
    <n v="255600"/>
  </r>
  <r>
    <x v="8"/>
    <x v="0"/>
    <n v="515000"/>
    <n v="3405"/>
    <n v="2024"/>
    <n v="5"/>
    <s v="12"/>
    <x v="1"/>
    <s v="No"/>
    <x v="0"/>
    <n v="151.24816446402349"/>
    <n v="2649.3620681141615"/>
    <n v="341608.62043424841"/>
    <n v="794808.62043424835"/>
    <n v="453200"/>
  </r>
  <r>
    <x v="2"/>
    <x v="2"/>
    <n v="348000"/>
    <n v="2300"/>
    <n v="2024"/>
    <n v="5.4"/>
    <s v="14"/>
    <x v="1"/>
    <s v="No"/>
    <x v="1"/>
    <n v="151.30434782608697"/>
    <n v="1820.0112168192736"/>
    <n v="246723.36504578212"/>
    <n v="546003.36504578218"/>
    <n v="299280"/>
  </r>
  <r>
    <x v="3"/>
    <x v="1"/>
    <n v="300000"/>
    <n v="1980"/>
    <n v="2024"/>
    <n v="5.4"/>
    <s v="10"/>
    <x v="1"/>
    <s v="No"/>
    <x v="0"/>
    <n v="151.5151515151515"/>
    <n v="1641.9507770021514"/>
    <n v="222585.23310064548"/>
    <n v="492585.23310064548"/>
    <n v="270000"/>
  </r>
  <r>
    <x v="8"/>
    <x v="0"/>
    <n v="500000"/>
    <n v="3300"/>
    <n v="2024"/>
    <n v="5"/>
    <s v="12"/>
    <x v="1"/>
    <s v="No"/>
    <x v="0"/>
    <n v="151.5151515151515"/>
    <n v="2572.196182635108"/>
    <n v="331658.85479053244"/>
    <n v="771658.8547905325"/>
    <n v="440000"/>
  </r>
  <r>
    <x v="3"/>
    <x v="1"/>
    <n v="272000"/>
    <n v="1790"/>
    <n v="2023"/>
    <n v="6.5"/>
    <s v="10"/>
    <x v="1"/>
    <s v="No"/>
    <x v="0"/>
    <n v="151.95530726256985"/>
    <n v="1652.907130979022"/>
    <n v="251072.13929370657"/>
    <n v="495872.13929370657"/>
    <n v="244800"/>
  </r>
  <r>
    <x v="3"/>
    <x v="1"/>
    <n v="295000"/>
    <n v="1940"/>
    <n v="2023"/>
    <n v="6.5"/>
    <s v="10"/>
    <x v="1"/>
    <s v="No"/>
    <x v="0"/>
    <n v="152.06185567010309"/>
    <n v="1792.6750133779833"/>
    <n v="272302.50401339494"/>
    <n v="537802.50401339494"/>
    <n v="265500"/>
  </r>
  <r>
    <x v="5"/>
    <x v="1"/>
    <n v="365000"/>
    <n v="2400"/>
    <n v="2024"/>
    <n v="5.3"/>
    <s v="10"/>
    <x v="1"/>
    <s v="No"/>
    <x v="0"/>
    <n v="152.08333333333334"/>
    <n v="1978.2309297013298"/>
    <n v="264969.27891039889"/>
    <n v="593469.27891039895"/>
    <n v="328500"/>
  </r>
  <r>
    <x v="8"/>
    <x v="0"/>
    <n v="495000"/>
    <n v="3250"/>
    <n v="2024"/>
    <n v="5"/>
    <s v="12"/>
    <x v="1"/>
    <s v="No"/>
    <x v="0"/>
    <n v="152.30769230769232"/>
    <n v="2546.4742208087569"/>
    <n v="328342.26624262705"/>
    <n v="763942.26624262705"/>
    <n v="435600"/>
  </r>
  <r>
    <x v="4"/>
    <x v="1"/>
    <n v="310000"/>
    <n v="2030"/>
    <n v="2024"/>
    <n v="5.5"/>
    <s v="10"/>
    <x v="1"/>
    <s v="No"/>
    <x v="0"/>
    <n v="152.70935960591132"/>
    <n v="1713.304103465302"/>
    <n v="234991.23103959055"/>
    <n v="513991.23103959055"/>
    <n v="279000"/>
  </r>
  <r>
    <x v="2"/>
    <x v="2"/>
    <n v="345000"/>
    <n v="2250"/>
    <n v="2024"/>
    <n v="5.4"/>
    <s v="14"/>
    <x v="1"/>
    <s v="No"/>
    <x v="1"/>
    <n v="153.33333333333334"/>
    <n v="1804.3214649501419"/>
    <n v="244596.43948504259"/>
    <n v="541296.43948504259"/>
    <n v="296700"/>
  </r>
  <r>
    <x v="7"/>
    <x v="1"/>
    <n v="362000"/>
    <n v="2360"/>
    <n v="2024"/>
    <n v="5.4"/>
    <s v="10"/>
    <x v="1"/>
    <s v="No"/>
    <x v="0"/>
    <n v="153.38983050847457"/>
    <n v="1981.2872709159292"/>
    <n v="268586.18127477879"/>
    <n v="594386.18127477879"/>
    <n v="325800"/>
  </r>
  <r>
    <x v="8"/>
    <x v="0"/>
    <n v="492000"/>
    <n v="3200"/>
    <n v="2024"/>
    <n v="5"/>
    <s v="12"/>
    <x v="1"/>
    <s v="No"/>
    <x v="0"/>
    <n v="153.75"/>
    <n v="2531.0410437129462"/>
    <n v="326352.31311388384"/>
    <n v="759312.31311388384"/>
    <n v="432960"/>
  </r>
  <r>
    <x v="7"/>
    <x v="1"/>
    <n v="400000"/>
    <n v="2600"/>
    <n v="2023"/>
    <n v="6.1"/>
    <s v="10"/>
    <x v="1"/>
    <s v="No"/>
    <x v="0"/>
    <n v="153.84615384615384"/>
    <n v="2341.5408403593456"/>
    <n v="342462.25210780377"/>
    <n v="702462.25210780371"/>
    <n v="360000"/>
  </r>
  <r>
    <x v="5"/>
    <x v="1"/>
    <n v="362000"/>
    <n v="2350"/>
    <n v="2024"/>
    <n v="5.3"/>
    <s v="10"/>
    <x v="1"/>
    <s v="No"/>
    <x v="0"/>
    <n v="154.04255319148936"/>
    <n v="1961.9714974024148"/>
    <n v="262791.44922072435"/>
    <n v="588591.4492207244"/>
    <n v="325800"/>
  </r>
  <r>
    <x v="7"/>
    <x v="1"/>
    <n v="370000"/>
    <n v="2400"/>
    <n v="2024"/>
    <n v="5.4"/>
    <s v="10"/>
    <x v="1"/>
    <s v="No"/>
    <x v="0"/>
    <n v="154.16666666666666"/>
    <n v="2025.07262496932"/>
    <n v="274521.78749079606"/>
    <n v="607521.78749079606"/>
    <n v="333000"/>
  </r>
  <r>
    <x v="2"/>
    <x v="2"/>
    <n v="340000"/>
    <n v="2200"/>
    <n v="2024"/>
    <n v="5.4"/>
    <s v="14"/>
    <x v="1"/>
    <s v="No"/>
    <x v="1"/>
    <n v="154.54545454545453"/>
    <n v="1778.1718785015889"/>
    <n v="241051.56355047668"/>
    <n v="533451.56355047668"/>
    <n v="292400"/>
  </r>
  <r>
    <x v="3"/>
    <x v="1"/>
    <n v="310000"/>
    <n v="2000"/>
    <n v="2023"/>
    <n v="6.6"/>
    <s v="10"/>
    <x v="1"/>
    <s v="No"/>
    <x v="0"/>
    <n v="155"/>
    <n v="1901.2987875282531"/>
    <n v="291389.63625847583"/>
    <n v="570389.63625847583"/>
    <n v="279000"/>
  </r>
  <r>
    <x v="7"/>
    <x v="1"/>
    <n v="380000"/>
    <n v="2450"/>
    <n v="2023"/>
    <n v="6.1"/>
    <s v="10"/>
    <x v="1"/>
    <s v="No"/>
    <x v="0"/>
    <n v="155.10204081632654"/>
    <n v="2224.4637983413782"/>
    <n v="325339.13950241345"/>
    <n v="667339.13950241345"/>
    <n v="342000"/>
  </r>
  <r>
    <x v="2"/>
    <x v="2"/>
    <n v="308000"/>
    <n v="1980"/>
    <n v="2024"/>
    <n v="5.5"/>
    <s v="12"/>
    <x v="1"/>
    <s v="No"/>
    <x v="1"/>
    <n v="155.55555555555554"/>
    <n v="1664.4227390796968"/>
    <n v="228286.82172390906"/>
    <n v="499326.82172390906"/>
    <n v="271040"/>
  </r>
  <r>
    <x v="2"/>
    <x v="2"/>
    <n v="350000"/>
    <n v="2250"/>
    <n v="2024"/>
    <n v="5.4"/>
    <s v="12"/>
    <x v="1"/>
    <s v="No"/>
    <x v="1"/>
    <n v="155.55555555555554"/>
    <n v="1873.040145617269"/>
    <n v="253912.04368518078"/>
    <n v="561912.04368518083"/>
    <n v="308000"/>
  </r>
  <r>
    <x v="8"/>
    <x v="0"/>
    <n v="490000"/>
    <n v="3150"/>
    <n v="2024"/>
    <n v="5"/>
    <s v="12"/>
    <x v="1"/>
    <s v="No"/>
    <x v="0"/>
    <n v="155.55555555555554"/>
    <n v="2520.7522589824061"/>
    <n v="325025.67769472179"/>
    <n v="756225.67769472185"/>
    <n v="431200"/>
  </r>
  <r>
    <x v="3"/>
    <x v="2"/>
    <n v="405000"/>
    <n v="2600"/>
    <n v="2024"/>
    <n v="5.3"/>
    <s v="18"/>
    <x v="2"/>
    <s v="No"/>
    <x v="1"/>
    <n v="155.76923076923077"/>
    <n v="1999.9101727665497"/>
    <n v="267873.05182996497"/>
    <n v="599973.05182996497"/>
    <n v="332100"/>
  </r>
  <r>
    <x v="4"/>
    <x v="1"/>
    <n v="320000"/>
    <n v="2050"/>
    <n v="2023"/>
    <n v="6.4"/>
    <s v="10"/>
    <x v="1"/>
    <s v="No"/>
    <x v="0"/>
    <n v="156.09756097560975"/>
    <n v="1926.6390048534236"/>
    <n v="289991.70145602722"/>
    <n v="577991.70145602722"/>
    <n v="288000"/>
  </r>
  <r>
    <x v="3"/>
    <x v="2"/>
    <n v="408000"/>
    <n v="2610"/>
    <n v="2024"/>
    <n v="5.3"/>
    <s v="18"/>
    <x v="2"/>
    <s v="No"/>
    <x v="1"/>
    <n v="156.32183908045977"/>
    <n v="2014.7243221944502"/>
    <n v="269857.29665833502"/>
    <n v="604417.29665833502"/>
    <n v="334560"/>
  </r>
  <r>
    <x v="2"/>
    <x v="2"/>
    <n v="360000"/>
    <n v="2300"/>
    <n v="2024"/>
    <n v="5.4"/>
    <s v="14"/>
    <x v="1"/>
    <s v="No"/>
    <x v="1"/>
    <n v="156.52173913043478"/>
    <n v="1882.7702242958003"/>
    <n v="255231.06728874013"/>
    <n v="564831.06728874007"/>
    <n v="309600"/>
  </r>
  <r>
    <x v="5"/>
    <x v="1"/>
    <n v="360000"/>
    <n v="2300"/>
    <n v="2024"/>
    <n v="5.3"/>
    <s v="10"/>
    <x v="1"/>
    <s v="No"/>
    <x v="0"/>
    <n v="156.52173913043478"/>
    <n v="1951.1318758698046"/>
    <n v="261339.56276094128"/>
    <n v="585339.56276094122"/>
    <n v="324000"/>
  </r>
  <r>
    <x v="3"/>
    <x v="2"/>
    <n v="400000"/>
    <n v="2550"/>
    <n v="2024"/>
    <n v="5.3"/>
    <s v="18"/>
    <x v="2"/>
    <s v="No"/>
    <x v="1"/>
    <n v="156.86274509803923"/>
    <n v="1975.2199237200491"/>
    <n v="264565.97711601469"/>
    <n v="592565.97711601469"/>
    <n v="328000"/>
  </r>
  <r>
    <x v="2"/>
    <x v="2"/>
    <n v="330000"/>
    <n v="2100"/>
    <n v="2024"/>
    <n v="5.4"/>
    <s v="12"/>
    <x v="1"/>
    <s v="No"/>
    <x v="1"/>
    <n v="157.14285714285714"/>
    <n v="1766.0092801534252"/>
    <n v="239402.78404602758"/>
    <n v="529802.78404602758"/>
    <n v="290400"/>
  </r>
  <r>
    <x v="8"/>
    <x v="0"/>
    <n v="488000"/>
    <n v="3100"/>
    <n v="2024"/>
    <n v="5"/>
    <s v="12"/>
    <x v="1"/>
    <s v="No"/>
    <x v="0"/>
    <n v="157.41935483870967"/>
    <n v="2510.4634742518656"/>
    <n v="323699.04227555968"/>
    <n v="753139.04227555962"/>
    <n v="429440"/>
  </r>
  <r>
    <x v="6"/>
    <x v="1"/>
    <n v="370000"/>
    <n v="2350"/>
    <n v="2024"/>
    <n v="5.3"/>
    <s v="10"/>
    <x v="1"/>
    <s v="No"/>
    <x v="0"/>
    <n v="157.44680851063831"/>
    <n v="2005.3299835328546"/>
    <n v="268598.99505985627"/>
    <n v="601598.99505985621"/>
    <n v="333000"/>
  </r>
  <r>
    <x v="2"/>
    <x v="2"/>
    <n v="315000"/>
    <n v="2000"/>
    <n v="2023"/>
    <n v="6.3"/>
    <s v="14"/>
    <x v="1"/>
    <s v="No"/>
    <x v="1"/>
    <n v="157.5"/>
    <n v="1795.4261939169821"/>
    <n v="267727.85817509459"/>
    <n v="538627.85817509459"/>
    <n v="270900"/>
  </r>
  <r>
    <x v="2"/>
    <x v="2"/>
    <n v="320000"/>
    <n v="2030"/>
    <n v="2024"/>
    <n v="5.4"/>
    <s v="14"/>
    <x v="1"/>
    <s v="No"/>
    <x v="1"/>
    <n v="157.63546798029557"/>
    <n v="1673.573532707378"/>
    <n v="226872.05981221341"/>
    <n v="502072.05981221341"/>
    <n v="275200"/>
  </r>
  <r>
    <x v="2"/>
    <x v="2"/>
    <n v="300000"/>
    <n v="1900"/>
    <n v="2023"/>
    <n v="6.3"/>
    <s v="12"/>
    <x v="1"/>
    <s v="No"/>
    <x v="1"/>
    <n v="157.89473684210526"/>
    <n v="1749.6955156666049"/>
    <n v="260908.65469998133"/>
    <n v="524908.65469998133"/>
    <n v="264000"/>
  </r>
  <r>
    <x v="3"/>
    <x v="2"/>
    <n v="395000"/>
    <n v="2500"/>
    <n v="2024"/>
    <n v="5.3"/>
    <s v="18"/>
    <x v="2"/>
    <s v="No"/>
    <x v="1"/>
    <n v="158"/>
    <n v="1950.5296746735487"/>
    <n v="261258.90240206465"/>
    <n v="585158.90240206465"/>
    <n v="323900"/>
  </r>
  <r>
    <x v="2"/>
    <x v="2"/>
    <n v="335000"/>
    <n v="2120"/>
    <n v="2023"/>
    <n v="6.3"/>
    <s v="14"/>
    <x v="1"/>
    <s v="No"/>
    <x v="1"/>
    <n v="158.01886792452831"/>
    <n v="1909.4215078164732"/>
    <n v="284726.45234494179"/>
    <n v="572826.45234494179"/>
    <n v="288100"/>
  </r>
  <r>
    <x v="2"/>
    <x v="2"/>
    <n v="340000"/>
    <n v="2150"/>
    <n v="2024"/>
    <n v="5.4"/>
    <s v="14"/>
    <x v="1"/>
    <s v="No"/>
    <x v="1"/>
    <n v="158.13953488372093"/>
    <n v="1778.1718785015889"/>
    <n v="241051.56355047668"/>
    <n v="533451.56355047668"/>
    <n v="292400"/>
  </r>
  <r>
    <x v="7"/>
    <x v="1"/>
    <n v="380000"/>
    <n v="2400"/>
    <n v="2024"/>
    <n v="5.4"/>
    <s v="10"/>
    <x v="1"/>
    <s v="No"/>
    <x v="0"/>
    <n v="158.33333333333334"/>
    <n v="2079.8043175360585"/>
    <n v="281941.29526081757"/>
    <n v="623941.29526081751"/>
    <n v="342000"/>
  </r>
  <r>
    <x v="6"/>
    <x v="1"/>
    <n v="365000"/>
    <n v="2300"/>
    <n v="2024"/>
    <n v="5.3"/>
    <s v="10"/>
    <x v="1"/>
    <s v="No"/>
    <x v="0"/>
    <n v="158.69565217391303"/>
    <n v="1978.2309297013298"/>
    <n v="264969.27891039889"/>
    <n v="593469.27891039895"/>
    <n v="328500"/>
  </r>
  <r>
    <x v="2"/>
    <x v="2"/>
    <n v="310000"/>
    <n v="1950"/>
    <n v="2023"/>
    <n v="6.3"/>
    <s v="14"/>
    <x v="1"/>
    <s v="No"/>
    <x v="1"/>
    <n v="158.97435897435898"/>
    <n v="1766.9273654421092"/>
    <n v="263478.20963263267"/>
    <n v="530078.20963263267"/>
    <n v="266600"/>
  </r>
  <r>
    <x v="8"/>
    <x v="0"/>
    <n v="485000"/>
    <n v="3050"/>
    <n v="2024"/>
    <n v="5"/>
    <s v="12"/>
    <x v="1"/>
    <s v="No"/>
    <x v="0"/>
    <n v="159.01639344262296"/>
    <n v="2495.0302971560545"/>
    <n v="321709.08914681646"/>
    <n v="748509.0891468164"/>
    <n v="426800"/>
  </r>
  <r>
    <x v="1"/>
    <x v="2"/>
    <n v="315000"/>
    <n v="1980"/>
    <n v="2023"/>
    <n v="6.2"/>
    <s v="15"/>
    <x v="1"/>
    <s v="No"/>
    <x v="1"/>
    <n v="159.09090909090909"/>
    <n v="1757.9985624318508"/>
    <n v="259649.56872955529"/>
    <n v="527399.56872955523"/>
    <n v="267750"/>
  </r>
  <r>
    <x v="1"/>
    <x v="2"/>
    <n v="350000"/>
    <n v="2200"/>
    <n v="2024"/>
    <n v="5.5"/>
    <s v="12"/>
    <x v="1"/>
    <s v="No"/>
    <x v="1"/>
    <n v="159.09090909090909"/>
    <n v="1891.3894762269285"/>
    <n v="259416.84286807862"/>
    <n v="567416.84286807862"/>
    <n v="308000"/>
  </r>
  <r>
    <x v="2"/>
    <x v="2"/>
    <n v="315000"/>
    <n v="1980"/>
    <n v="2024"/>
    <n v="5.5"/>
    <s v="12"/>
    <x v="1"/>
    <s v="No"/>
    <x v="1"/>
    <n v="159.09090909090909"/>
    <n v="1702.2505286042356"/>
    <n v="233475.15858127066"/>
    <n v="510675.15858127066"/>
    <n v="277200"/>
  </r>
  <r>
    <x v="2"/>
    <x v="2"/>
    <n v="298000"/>
    <n v="1870"/>
    <n v="2024"/>
    <n v="5.4"/>
    <s v="14"/>
    <x v="1"/>
    <s v="No"/>
    <x v="1"/>
    <n v="159.35828877005346"/>
    <n v="1558.5153523337456"/>
    <n v="211274.60570012368"/>
    <n v="467554.60570012371"/>
    <n v="256280"/>
  </r>
  <r>
    <x v="6"/>
    <x v="1"/>
    <n v="360000"/>
    <n v="2250"/>
    <n v="2024"/>
    <n v="5.3"/>
    <n v="10"/>
    <x v="1"/>
    <s v="No"/>
    <x v="0"/>
    <n v="160"/>
    <n v="1951.1318758698046"/>
    <n v="261339.56276094128"/>
    <n v="585339.56276094122"/>
    <n v="324000"/>
  </r>
  <r>
    <x v="6"/>
    <x v="1"/>
    <n v="322000"/>
    <n v="2010"/>
    <n v="2024"/>
    <n v="5.3"/>
    <s v="10"/>
    <x v="1"/>
    <s v="No"/>
    <x v="0"/>
    <n v="160.19900497512438"/>
    <n v="1745.1790667502141"/>
    <n v="233753.72002506419"/>
    <n v="523553.72002506419"/>
    <n v="289800"/>
  </r>
  <r>
    <x v="1"/>
    <x v="2"/>
    <n v="345000"/>
    <n v="2150"/>
    <n v="2024"/>
    <n v="5.5"/>
    <s v="12"/>
    <x v="1"/>
    <s v="No"/>
    <x v="1"/>
    <n v="160.46511627906978"/>
    <n v="1864.3696265665435"/>
    <n v="255710.88796996302"/>
    <n v="559310.88796996302"/>
    <n v="303600"/>
  </r>
  <r>
    <x v="6"/>
    <x v="1"/>
    <n v="326000"/>
    <n v="2030"/>
    <n v="2023"/>
    <n v="6.1"/>
    <s v="10"/>
    <x v="1"/>
    <s v="No"/>
    <x v="0"/>
    <n v="160.59113300492612"/>
    <n v="1908.3557848928667"/>
    <n v="279106.73546786001"/>
    <n v="572506.73546786001"/>
    <n v="293400"/>
  </r>
  <r>
    <x v="6"/>
    <x v="1"/>
    <n v="330000"/>
    <n v="2050"/>
    <n v="2024"/>
    <n v="5.3"/>
    <n v="10"/>
    <x v="1"/>
    <s v="No"/>
    <x v="0"/>
    <n v="160.97560975609755"/>
    <n v="1788.5375528806542"/>
    <n v="239561.26586419623"/>
    <n v="536561.26586419623"/>
    <n v="297000"/>
  </r>
  <r>
    <x v="1"/>
    <x v="2"/>
    <n v="330000"/>
    <n v="2050"/>
    <n v="2024"/>
    <n v="5.5"/>
    <s v="12"/>
    <x v="1"/>
    <s v="No"/>
    <x v="1"/>
    <n v="160.97560975609755"/>
    <n v="1783.3100775853898"/>
    <n v="244593.02327561693"/>
    <n v="534993.02327561693"/>
    <n v="290400"/>
  </r>
  <r>
    <x v="2"/>
    <x v="2"/>
    <n v="330000"/>
    <n v="2050"/>
    <n v="2024"/>
    <n v="5.4"/>
    <s v="14"/>
    <x v="1"/>
    <s v="No"/>
    <x v="1"/>
    <n v="160.97560975609755"/>
    <n v="1725.8727056044836"/>
    <n v="233961.81168134516"/>
    <n v="517761.81168134516"/>
    <n v="283800"/>
  </r>
  <r>
    <x v="6"/>
    <x v="1"/>
    <n v="335000"/>
    <n v="2080"/>
    <n v="2024"/>
    <n v="5.3"/>
    <s v="10"/>
    <x v="1"/>
    <s v="No"/>
    <x v="0"/>
    <n v="161.05769230769232"/>
    <n v="1815.6366067121794"/>
    <n v="243190.98201365385"/>
    <n v="544690.98201365385"/>
    <n v="301500"/>
  </r>
  <r>
    <x v="1"/>
    <x v="2"/>
    <n v="300000"/>
    <n v="1860"/>
    <n v="2024"/>
    <n v="5.5"/>
    <s v="12"/>
    <x v="1"/>
    <s v="No"/>
    <x v="1"/>
    <n v="161.29032258064515"/>
    <n v="1621.1909796230816"/>
    <n v="222357.29388692445"/>
    <n v="486357.29388692445"/>
    <n v="264000"/>
  </r>
  <r>
    <x v="1"/>
    <x v="2"/>
    <n v="320000"/>
    <n v="1980"/>
    <n v="2023"/>
    <n v="6.2"/>
    <s v="15"/>
    <x v="1"/>
    <s v="No"/>
    <x v="1"/>
    <n v="161.61616161616161"/>
    <n v="1785.9033015180707"/>
    <n v="263770.99045542127"/>
    <n v="535770.99045542127"/>
    <n v="272000"/>
  </r>
  <r>
    <x v="6"/>
    <x v="1"/>
    <n v="340000"/>
    <n v="2100"/>
    <n v="2023"/>
    <n v="6.1"/>
    <s v="10"/>
    <x v="1"/>
    <s v="No"/>
    <x v="0"/>
    <n v="161.9047619047619"/>
    <n v="1990.3097143054438"/>
    <n v="291092.91429163318"/>
    <n v="597092.91429163318"/>
    <n v="306000"/>
  </r>
  <r>
    <x v="1"/>
    <x v="2"/>
    <n v="340000"/>
    <n v="2100"/>
    <n v="2024"/>
    <n v="5.4"/>
    <s v="15"/>
    <x v="1"/>
    <s v="No"/>
    <x v="1"/>
    <n v="161.9047619047619"/>
    <n v="1757.4954613097102"/>
    <n v="238248.63839291304"/>
    <n v="527248.63839291304"/>
    <n v="289000"/>
  </r>
  <r>
    <x v="1"/>
    <x v="2"/>
    <n v="312000"/>
    <n v="1920"/>
    <n v="2024"/>
    <n v="5.5"/>
    <s v="12"/>
    <x v="1"/>
    <s v="No"/>
    <x v="1"/>
    <n v="162.5"/>
    <n v="1686.0386188080047"/>
    <n v="231251.58564240142"/>
    <n v="505811.58564240142"/>
    <n v="274560"/>
  </r>
  <r>
    <x v="1"/>
    <x v="2"/>
    <n v="325000"/>
    <n v="2000"/>
    <n v="2024"/>
    <n v="5.5"/>
    <s v="12"/>
    <x v="1"/>
    <s v="No"/>
    <x v="1"/>
    <n v="162.5"/>
    <n v="1756.290227925005"/>
    <n v="240887.06837750139"/>
    <n v="526887.06837750133"/>
    <n v="286000"/>
  </r>
  <r>
    <x v="2"/>
    <x v="2"/>
    <n v="325000"/>
    <n v="2000"/>
    <n v="2024"/>
    <n v="5.4"/>
    <s v="14"/>
    <x v="1"/>
    <s v="No"/>
    <x v="1"/>
    <n v="162.5"/>
    <n v="1699.7231191559306"/>
    <n v="230416.93574677926"/>
    <n v="509916.93574677926"/>
    <n v="279500"/>
  </r>
  <r>
    <x v="6"/>
    <x v="1"/>
    <n v="345000"/>
    <n v="2120"/>
    <n v="2024"/>
    <n v="5.3"/>
    <n v="10"/>
    <x v="1"/>
    <s v="No"/>
    <x v="0"/>
    <n v="162.73584905660377"/>
    <n v="1869.8347143752296"/>
    <n v="250450.41431256878"/>
    <n v="560950.41431256873"/>
    <n v="310500"/>
  </r>
  <r>
    <x v="6"/>
    <x v="1"/>
    <n v="350000"/>
    <n v="2150"/>
    <n v="2023"/>
    <n v="6.1"/>
    <s v="10"/>
    <x v="1"/>
    <s v="No"/>
    <x v="0"/>
    <n v="162.7906976744186"/>
    <n v="2048.8482353144273"/>
    <n v="299654.47059432813"/>
    <n v="614654.47059432813"/>
    <n v="315000"/>
  </r>
  <r>
    <x v="5"/>
    <x v="1"/>
    <n v="350000"/>
    <n v="2150"/>
    <n v="2024"/>
    <n v="5.3"/>
    <s v="10"/>
    <x v="1"/>
    <s v="No"/>
    <x v="0"/>
    <n v="162.7906976744186"/>
    <n v="1896.9337682067544"/>
    <n v="254080.13046202634"/>
    <n v="569080.13046202634"/>
    <n v="315000"/>
  </r>
  <r>
    <x v="6"/>
    <x v="1"/>
    <n v="355000"/>
    <n v="2180"/>
    <n v="2024"/>
    <n v="5.3"/>
    <s v="10"/>
    <x v="1"/>
    <s v="No"/>
    <x v="0"/>
    <n v="162.8440366972477"/>
    <n v="1924.0328220382796"/>
    <n v="257709.84661148378"/>
    <n v="577209.84661148372"/>
    <n v="319500"/>
  </r>
  <r>
    <x v="1"/>
    <x v="2"/>
    <n v="318000"/>
    <n v="1950"/>
    <n v="2024"/>
    <n v="5.5"/>
    <s v="12"/>
    <x v="1"/>
    <s v="No"/>
    <x v="1"/>
    <n v="163.07692307692307"/>
    <n v="1718.4624384004665"/>
    <n v="235698.73152013996"/>
    <n v="515538.73152013996"/>
    <n v="279840"/>
  </r>
  <r>
    <x v="1"/>
    <x v="2"/>
    <n v="298000"/>
    <n v="1820"/>
    <n v="2023"/>
    <n v="6.3"/>
    <s v="12"/>
    <x v="1"/>
    <s v="No"/>
    <x v="1"/>
    <n v="163.73626373626374"/>
    <n v="1738.0308788954944"/>
    <n v="259169.2636686482"/>
    <n v="521409.2636686482"/>
    <n v="262240"/>
  </r>
  <r>
    <x v="8"/>
    <x v="0"/>
    <n v="475000"/>
    <n v="2900"/>
    <n v="2024"/>
    <n v="5"/>
    <s v="12"/>
    <x v="1"/>
    <s v="No"/>
    <x v="0"/>
    <n v="163.79310344827587"/>
    <n v="2443.5863735033522"/>
    <n v="315075.9120510057"/>
    <n v="733075.91205100575"/>
    <n v="418000"/>
  </r>
  <r>
    <x v="3"/>
    <x v="2"/>
    <n v="385000"/>
    <n v="2350"/>
    <n v="2024"/>
    <n v="5.3"/>
    <s v="18"/>
    <x v="2"/>
    <s v="No"/>
    <x v="1"/>
    <n v="163.82978723404256"/>
    <n v="1901.1491765805472"/>
    <n v="254644.75297416421"/>
    <n v="570344.75297416421"/>
    <n v="315700"/>
  </r>
  <r>
    <x v="2"/>
    <x v="2"/>
    <n v="320000"/>
    <n v="1950"/>
    <n v="2024"/>
    <n v="5.4"/>
    <s v="14"/>
    <x v="1"/>
    <s v="No"/>
    <x v="1"/>
    <n v="164.10256410256412"/>
    <n v="1673.573532707378"/>
    <n v="226872.05981221341"/>
    <n v="502072.05981221341"/>
    <n v="275200"/>
  </r>
  <r>
    <x v="1"/>
    <x v="2"/>
    <n v="325000"/>
    <n v="1980"/>
    <n v="2023"/>
    <n v="6.2"/>
    <s v="15"/>
    <x v="1"/>
    <s v="No"/>
    <x v="1"/>
    <n v="164.14141414141415"/>
    <n v="1813.8080406042907"/>
    <n v="267892.41218128713"/>
    <n v="544142.41218128707"/>
    <n v="276250"/>
  </r>
  <r>
    <x v="5"/>
    <x v="1"/>
    <n v="345000"/>
    <n v="2100"/>
    <n v="2024"/>
    <n v="5.3"/>
    <s v="10"/>
    <x v="1"/>
    <s v="No"/>
    <x v="0"/>
    <n v="164.28571428571428"/>
    <n v="1869.8347143752296"/>
    <n v="250450.41431256878"/>
    <n v="560950.41431256873"/>
    <n v="310500"/>
  </r>
  <r>
    <x v="2"/>
    <x v="2"/>
    <n v="305000"/>
    <n v="1850"/>
    <n v="2024"/>
    <n v="5.4"/>
    <n v="14"/>
    <x v="1"/>
    <s v="No"/>
    <x v="0"/>
    <n v="164.86486486486487"/>
    <n v="1595.1247733617197"/>
    <n v="216237.43200851599"/>
    <n v="478537.43200851599"/>
    <n v="262300"/>
  </r>
  <r>
    <x v="2"/>
    <x v="2"/>
    <n v="330000"/>
    <n v="2000"/>
    <n v="2023"/>
    <n v="6.3"/>
    <s v="14"/>
    <x v="1"/>
    <s v="No"/>
    <x v="1"/>
    <n v="165"/>
    <n v="1880.9226793416003"/>
    <n v="280476.80380247999"/>
    <n v="564276.80380247999"/>
    <n v="283800"/>
  </r>
  <r>
    <x v="0"/>
    <x v="2"/>
    <n v="278000"/>
    <n v="1680"/>
    <n v="2024"/>
    <n v="5.4"/>
    <s v="12"/>
    <x v="1"/>
    <s v="No"/>
    <x v="1"/>
    <n v="165.47619047619048"/>
    <n v="1487.7290299474309"/>
    <n v="201678.70898422934"/>
    <n v="446318.70898422936"/>
    <n v="244640"/>
  </r>
  <r>
    <x v="1"/>
    <x v="2"/>
    <n v="305000"/>
    <n v="1840"/>
    <n v="2024"/>
    <n v="5.2"/>
    <s v="15"/>
    <x v="1"/>
    <s v="No"/>
    <x v="1"/>
    <n v="165.7608695652174"/>
    <n v="1545.9116866629702"/>
    <n v="204523.50599889091"/>
    <n v="463773.50599889091"/>
    <n v="259250"/>
  </r>
  <r>
    <x v="6"/>
    <x v="1"/>
    <n v="340000"/>
    <n v="2050"/>
    <n v="2024"/>
    <n v="5.3"/>
    <n v="10"/>
    <x v="1"/>
    <s v="No"/>
    <x v="0"/>
    <n v="165.85365853658536"/>
    <n v="1842.7356605437044"/>
    <n v="246820.69816311129"/>
    <n v="552820.69816311123"/>
    <n v="306000"/>
  </r>
  <r>
    <x v="5"/>
    <x v="1"/>
    <n v="340000"/>
    <n v="2050"/>
    <n v="2024"/>
    <n v="5.3"/>
    <s v="10"/>
    <x v="1"/>
    <s v="No"/>
    <x v="0"/>
    <n v="165.85365853658536"/>
    <n v="1842.7356605437044"/>
    <n v="246820.69816311129"/>
    <n v="552820.69816311123"/>
    <n v="306000"/>
  </r>
  <r>
    <x v="6"/>
    <x v="1"/>
    <n v="345000"/>
    <n v="2080"/>
    <n v="2024"/>
    <n v="5.3"/>
    <s v="10"/>
    <x v="1"/>
    <s v="No"/>
    <x v="0"/>
    <n v="165.86538461538461"/>
    <n v="1869.8347143752296"/>
    <n v="250450.41431256878"/>
    <n v="560950.41431256873"/>
    <n v="310500"/>
  </r>
  <r>
    <x v="8"/>
    <x v="0"/>
    <n v="465000"/>
    <n v="2800"/>
    <n v="2024"/>
    <n v="5"/>
    <s v="12"/>
    <x v="0"/>
    <s v="No"/>
    <x v="0"/>
    <n v="166.07142857142858"/>
    <n v="2392.1424498506508"/>
    <n v="308442.73495519522"/>
    <n v="717642.73495519522"/>
    <n v="409200"/>
  </r>
  <r>
    <x v="3"/>
    <x v="2"/>
    <n v="382000"/>
    <n v="2300"/>
    <n v="2024"/>
    <n v="5.3"/>
    <s v="18"/>
    <x v="2"/>
    <s v="No"/>
    <x v="1"/>
    <n v="166.08695652173913"/>
    <n v="1886.3350271526472"/>
    <n v="252660.5081457941"/>
    <n v="565900.50814579404"/>
    <n v="313240"/>
  </r>
  <r>
    <x v="0"/>
    <x v="2"/>
    <n v="270000"/>
    <n v="1620"/>
    <n v="2024"/>
    <n v="5.4"/>
    <s v="12"/>
    <x v="1"/>
    <s v="No"/>
    <x v="1"/>
    <n v="166.66666666666666"/>
    <n v="1444.916683761893"/>
    <n v="195875.00512856792"/>
    <n v="433475.00512856792"/>
    <n v="237600"/>
  </r>
  <r>
    <x v="8"/>
    <x v="0"/>
    <n v="450000"/>
    <n v="2700"/>
    <n v="2023"/>
    <n v="6"/>
    <s v="10"/>
    <x v="1"/>
    <s v="No"/>
    <x v="0"/>
    <n v="166.66666666666666"/>
    <n v="2609.4206760163097"/>
    <n v="377826.20280489296"/>
    <n v="782826.20280489302"/>
    <n v="405000"/>
  </r>
  <r>
    <x v="0"/>
    <x v="2"/>
    <n v="275000"/>
    <n v="1650"/>
    <n v="2023"/>
    <n v="6.5"/>
    <s v="12"/>
    <x v="1"/>
    <s v="No"/>
    <x v="1"/>
    <n v="166.66666666666666"/>
    <n v="1634.0013304612878"/>
    <n v="248200.39913838636"/>
    <n v="490200.39913838636"/>
    <n v="242000"/>
  </r>
  <r>
    <x v="0"/>
    <x v="2"/>
    <n v="300000"/>
    <n v="1800"/>
    <n v="2023"/>
    <n v="6.5"/>
    <s v="12"/>
    <x v="1"/>
    <s v="No"/>
    <x v="1"/>
    <n v="166.66666666666666"/>
    <n v="1782.5469059577686"/>
    <n v="270764.07178733061"/>
    <n v="534764.07178733055"/>
    <n v="264000"/>
  </r>
  <r>
    <x v="1"/>
    <x v="2"/>
    <n v="320000"/>
    <n v="1920"/>
    <n v="2024"/>
    <n v="5.5"/>
    <s v="12"/>
    <x v="1"/>
    <s v="No"/>
    <x v="1"/>
    <n v="166.66666666666666"/>
    <n v="1729.2703782646201"/>
    <n v="237181.11347938603"/>
    <n v="518781.11347938603"/>
    <n v="281600"/>
  </r>
  <r>
    <x v="6"/>
    <x v="1"/>
    <n v="350000"/>
    <n v="2100"/>
    <n v="2023"/>
    <n v="6.1"/>
    <s v="10"/>
    <x v="1"/>
    <s v="No"/>
    <x v="0"/>
    <n v="166.66666666666666"/>
    <n v="2048.8482353144273"/>
    <n v="299654.47059432813"/>
    <n v="614654.47059432813"/>
    <n v="315000"/>
  </r>
  <r>
    <x v="1"/>
    <x v="2"/>
    <n v="325000"/>
    <n v="1950"/>
    <n v="2024"/>
    <n v="5.5"/>
    <s v="12"/>
    <x v="1"/>
    <s v="No"/>
    <x v="1"/>
    <n v="166.66666666666666"/>
    <n v="1756.290227925005"/>
    <n v="240887.06837750139"/>
    <n v="526887.06837750133"/>
    <n v="286000"/>
  </r>
  <r>
    <x v="8"/>
    <x v="0"/>
    <n v="432000"/>
    <n v="2590"/>
    <n v="2023"/>
    <n v="6.1"/>
    <s v="10"/>
    <x v="1"/>
    <s v="No"/>
    <x v="0"/>
    <n v="166.79536679536679"/>
    <n v="2528.8641075880932"/>
    <n v="369859.23227642808"/>
    <n v="758659.23227642803"/>
    <n v="388800"/>
  </r>
  <r>
    <x v="8"/>
    <x v="0"/>
    <n v="460000"/>
    <n v="2750"/>
    <n v="2024"/>
    <n v="5"/>
    <s v="12"/>
    <x v="1"/>
    <s v="No"/>
    <x v="0"/>
    <n v="167.27272727272728"/>
    <n v="2366.4204880242992"/>
    <n v="305126.14640728984"/>
    <n v="709926.1464072899"/>
    <n v="404800"/>
  </r>
  <r>
    <x v="8"/>
    <x v="0"/>
    <n v="455000"/>
    <n v="2720"/>
    <n v="2024"/>
    <n v="5"/>
    <s v="10"/>
    <x v="1"/>
    <s v="No"/>
    <x v="0"/>
    <n v="167.27941176470588"/>
    <n v="2393.8962199751745"/>
    <n v="308668.86599255237"/>
    <n v="718168.86599255237"/>
    <n v="409500"/>
  </r>
  <r>
    <x v="2"/>
    <x v="2"/>
    <n v="340000"/>
    <n v="2030"/>
    <n v="2024"/>
    <n v="5.4"/>
    <s v="14"/>
    <x v="1"/>
    <s v="No"/>
    <x v="1"/>
    <n v="167.48768472906403"/>
    <n v="1778.1718785015889"/>
    <n v="241051.56355047668"/>
    <n v="533451.56355047668"/>
    <n v="292400"/>
  </r>
  <r>
    <x v="5"/>
    <x v="1"/>
    <n v="335000"/>
    <n v="2000"/>
    <n v="2024"/>
    <n v="5.3"/>
    <s v="10"/>
    <x v="1"/>
    <s v="No"/>
    <x v="0"/>
    <n v="167.5"/>
    <n v="1815.6366067121794"/>
    <n v="243190.98201365385"/>
    <n v="544690.98201365385"/>
    <n v="301500"/>
  </r>
  <r>
    <x v="0"/>
    <x v="2"/>
    <n v="310000"/>
    <n v="1850"/>
    <n v="2023"/>
    <n v="6.5"/>
    <s v="12"/>
    <x v="1"/>
    <s v="No"/>
    <x v="1"/>
    <n v="167.56756756756758"/>
    <n v="1841.965136156361"/>
    <n v="279789.54084690835"/>
    <n v="552589.54084690835"/>
    <n v="272800"/>
  </r>
  <r>
    <x v="0"/>
    <x v="2"/>
    <n v="285000"/>
    <n v="1700"/>
    <n v="2024"/>
    <n v="5.4"/>
    <s v="12"/>
    <x v="1"/>
    <s v="No"/>
    <x v="1"/>
    <n v="167.64705882352942"/>
    <n v="1525.1898328597761"/>
    <n v="206756.94985793286"/>
    <n v="457556.94985793286"/>
    <n v="250800"/>
  </r>
  <r>
    <x v="8"/>
    <x v="0"/>
    <n v="470000"/>
    <n v="2800"/>
    <n v="2024"/>
    <n v="5"/>
    <s v="10"/>
    <x v="1"/>
    <s v="No"/>
    <x v="0"/>
    <n v="167.85714285714286"/>
    <n v="2472.8158755787517"/>
    <n v="318844.76267362549"/>
    <n v="741844.76267362549"/>
    <n v="423000"/>
  </r>
  <r>
    <x v="8"/>
    <x v="0"/>
    <n v="450000"/>
    <n v="2680"/>
    <n v="2024"/>
    <n v="5"/>
    <s v="12"/>
    <x v="1"/>
    <s v="No"/>
    <x v="0"/>
    <n v="167.91044776119404"/>
    <n v="2314.9765643715969"/>
    <n v="298492.96931147907"/>
    <n v="694492.96931147901"/>
    <n v="396000"/>
  </r>
  <r>
    <x v="8"/>
    <x v="0"/>
    <n v="475000"/>
    <n v="2820"/>
    <n v="2023"/>
    <n v="6"/>
    <s v="10"/>
    <x v="1"/>
    <s v="No"/>
    <x v="0"/>
    <n v="168.43971631205673"/>
    <n v="2754.3884913505494"/>
    <n v="398816.54740516481"/>
    <n v="826316.54740516481"/>
    <n v="427500"/>
  </r>
  <r>
    <x v="8"/>
    <x v="0"/>
    <n v="438000"/>
    <n v="2600"/>
    <n v="2024"/>
    <n v="5"/>
    <s v="12"/>
    <x v="1"/>
    <s v="No"/>
    <x v="0"/>
    <n v="168.46153846153845"/>
    <n v="2253.2438559883544"/>
    <n v="290533.15679650637"/>
    <n v="675973.15679650637"/>
    <n v="385440"/>
  </r>
  <r>
    <x v="8"/>
    <x v="0"/>
    <n v="455000"/>
    <n v="2700"/>
    <n v="2024"/>
    <n v="5"/>
    <n v="12"/>
    <x v="1"/>
    <s v="No"/>
    <x v="1"/>
    <n v="168.5185185185185"/>
    <n v="2340.6985261979485"/>
    <n v="301809.55785938457"/>
    <n v="702209.55785938457"/>
    <n v="400400"/>
  </r>
  <r>
    <x v="0"/>
    <x v="2"/>
    <n v="268000"/>
    <n v="1590"/>
    <n v="2023"/>
    <n v="6.6"/>
    <s v="12"/>
    <x v="1"/>
    <s v="No"/>
    <x v="1"/>
    <n v="168.55345911949686"/>
    <n v="1607.1767241959255"/>
    <n v="246313.01725877757"/>
    <n v="482153.01725877757"/>
    <n v="235840"/>
  </r>
  <r>
    <x v="0"/>
    <x v="2"/>
    <n v="290000"/>
    <n v="1720"/>
    <n v="2023"/>
    <n v="6.5"/>
    <s v="12"/>
    <x v="1"/>
    <s v="No"/>
    <x v="1"/>
    <n v="168.6046511627907"/>
    <n v="1723.1286757591763"/>
    <n v="261738.60272775288"/>
    <n v="516938.60272775288"/>
    <n v="255200"/>
  </r>
  <r>
    <x v="3"/>
    <x v="2"/>
    <n v="380000"/>
    <n v="2250"/>
    <n v="2024"/>
    <n v="5.3"/>
    <s v="18"/>
    <x v="2"/>
    <s v="No"/>
    <x v="1"/>
    <n v="168.88888888888889"/>
    <n v="1876.4589275340466"/>
    <n v="251337.67826021393"/>
    <n v="562937.67826021393"/>
    <n v="311600"/>
  </r>
  <r>
    <x v="8"/>
    <x v="0"/>
    <n v="490000"/>
    <n v="2900"/>
    <n v="2024"/>
    <n v="5"/>
    <s v="12"/>
    <x v="1"/>
    <s v="No"/>
    <x v="0"/>
    <n v="168.9655172413793"/>
    <n v="2520.7522589824061"/>
    <n v="325025.67769472179"/>
    <n v="756225.67769472185"/>
    <n v="431200"/>
  </r>
  <r>
    <x v="8"/>
    <x v="0"/>
    <n v="500000"/>
    <n v="2950"/>
    <n v="2024"/>
    <n v="5"/>
    <s v="10"/>
    <x v="1"/>
    <s v="No"/>
    <x v="0"/>
    <n v="169.4915254237288"/>
    <n v="2630.6551867859062"/>
    <n v="339196.55603577185"/>
    <n v="789196.55603577185"/>
    <n v="450000"/>
  </r>
  <r>
    <x v="0"/>
    <x v="2"/>
    <n v="285000"/>
    <n v="1680"/>
    <n v="2024"/>
    <n v="5.4"/>
    <s v="12"/>
    <x v="1"/>
    <s v="No"/>
    <x v="1"/>
    <n v="169.64285714285714"/>
    <n v="1525.1898328597761"/>
    <n v="206756.94985793286"/>
    <n v="457556.94985793286"/>
    <n v="250800"/>
  </r>
  <r>
    <x v="8"/>
    <x v="0"/>
    <n v="436000"/>
    <n v="2570"/>
    <n v="2024"/>
    <n v="5.0999999999999996"/>
    <s v="10"/>
    <x v="1"/>
    <s v="No"/>
    <x v="0"/>
    <n v="169.64980544747081"/>
    <n v="2316.8515254198355"/>
    <n v="302655.45762595063"/>
    <n v="695055.45762595069"/>
    <n v="392400"/>
  </r>
  <r>
    <x v="0"/>
    <x v="2"/>
    <n v="280000"/>
    <n v="1650"/>
    <n v="2023"/>
    <n v="6.5"/>
    <s v="12"/>
    <x v="1"/>
    <s v="No"/>
    <x v="1"/>
    <n v="169.69696969696969"/>
    <n v="1663.710445560584"/>
    <n v="252713.1336681752"/>
    <n v="499113.1336681752"/>
    <n v="246400"/>
  </r>
  <r>
    <x v="8"/>
    <x v="0"/>
    <n v="510000"/>
    <n v="3000"/>
    <n v="2023"/>
    <n v="6"/>
    <s v="10"/>
    <x v="1"/>
    <s v="No"/>
    <x v="0"/>
    <n v="170"/>
    <n v="2957.3434328184844"/>
    <n v="428203.02984554536"/>
    <n v="887203.0298455453"/>
    <n v="459000"/>
  </r>
  <r>
    <x v="8"/>
    <x v="0"/>
    <n v="460000"/>
    <n v="2700"/>
    <n v="2023"/>
    <n v="6"/>
    <s v="10"/>
    <x v="1"/>
    <s v="No"/>
    <x v="0"/>
    <n v="170.37037037037038"/>
    <n v="2667.4078021500059"/>
    <n v="386222.34064500174"/>
    <n v="800222.34064500174"/>
    <n v="414000"/>
  </r>
  <r>
    <x v="3"/>
    <x v="2"/>
    <n v="378000"/>
    <n v="2200"/>
    <n v="2024"/>
    <n v="5.3"/>
    <s v="18"/>
    <x v="2"/>
    <s v="No"/>
    <x v="1"/>
    <n v="171.81818181818181"/>
    <n v="1866.5828279154464"/>
    <n v="250014.84837463393"/>
    <n v="559974.84837463393"/>
    <n v="309960"/>
  </r>
  <r>
    <x v="8"/>
    <x v="0"/>
    <n v="470000"/>
    <n v="2720"/>
    <n v="2024"/>
    <n v="5"/>
    <s v="10"/>
    <x v="1"/>
    <s v="No"/>
    <x v="0"/>
    <n v="172.79411764705881"/>
    <n v="2472.8158755787517"/>
    <n v="318844.76267362549"/>
    <n v="741844.76267362549"/>
    <n v="423000"/>
  </r>
  <r>
    <x v="3"/>
    <x v="2"/>
    <n v="375000"/>
    <n v="2150"/>
    <n v="2024"/>
    <n v="5.3"/>
    <s v="18"/>
    <x v="2"/>
    <s v="No"/>
    <x v="1"/>
    <n v="174.41860465116278"/>
    <n v="1851.7686784875461"/>
    <n v="248030.60354626388"/>
    <n v="555530.60354626388"/>
    <n v="307500"/>
  </r>
  <r>
    <x v="8"/>
    <x v="0"/>
    <n v="470000"/>
    <n v="2680"/>
    <n v="2024"/>
    <n v="5"/>
    <s v="12"/>
    <x v="1"/>
    <s v="No"/>
    <x v="0"/>
    <n v="175.37313432835822"/>
    <n v="2417.8644116770015"/>
    <n v="311759.32350310043"/>
    <n v="725359.32350310043"/>
    <n v="413600"/>
  </r>
  <r>
    <x v="6"/>
    <x v="2"/>
    <n v="430000"/>
    <n v="2450"/>
    <n v="2024"/>
    <n v="5.2"/>
    <s v="15"/>
    <x v="2"/>
    <s v="No"/>
    <x v="1"/>
    <n v="175.51020408163265"/>
    <n v="2179.4820500494329"/>
    <n v="288344.61501482979"/>
    <n v="653844.61501482979"/>
    <n v="365500"/>
  </r>
  <r>
    <x v="6"/>
    <x v="2"/>
    <n v="432000"/>
    <n v="2460"/>
    <n v="2024"/>
    <n v="5.2"/>
    <s v="15"/>
    <x v="2"/>
    <s v="No"/>
    <x v="1"/>
    <n v="175.60975609756099"/>
    <n v="2189.6191758636164"/>
    <n v="289685.7527590848"/>
    <n v="656885.7527590848"/>
    <n v="367200"/>
  </r>
  <r>
    <x v="6"/>
    <x v="2"/>
    <n v="425000"/>
    <n v="2400"/>
    <n v="2024"/>
    <n v="5.2"/>
    <s v="15"/>
    <x v="2"/>
    <s v="No"/>
    <x v="1"/>
    <n v="177.08333333333334"/>
    <n v="2154.1392355139747"/>
    <n v="284991.77065419231"/>
    <n v="646241.77065419231"/>
    <n v="361250"/>
  </r>
  <r>
    <x v="3"/>
    <x v="0"/>
    <n v="400000"/>
    <n v="2250"/>
    <n v="2024"/>
    <n v="5.4"/>
    <s v="8"/>
    <x v="0"/>
    <s v="No"/>
    <x v="0"/>
    <n v="177.77777777777777"/>
    <n v="2237.9180960621916"/>
    <n v="303375.42881865759"/>
    <n v="671375.42881865753"/>
    <n v="368000"/>
  </r>
  <r>
    <x v="6"/>
    <x v="2"/>
    <n v="420000"/>
    <n v="2350"/>
    <n v="2024"/>
    <n v="5.2"/>
    <s v="15"/>
    <x v="2"/>
    <s v="No"/>
    <x v="1"/>
    <n v="178.72340425531914"/>
    <n v="2128.7964209785159"/>
    <n v="281638.9262935546"/>
    <n v="638638.9262935546"/>
    <n v="357000"/>
  </r>
  <r>
    <x v="0"/>
    <x v="0"/>
    <n v="394000"/>
    <n v="2200"/>
    <n v="2023"/>
    <n v="6.4"/>
    <n v="5"/>
    <x v="0"/>
    <s v="No"/>
    <x v="0"/>
    <n v="179.09090909090909"/>
    <n v="2503.9617344327653"/>
    <n v="376888.52032982971"/>
    <n v="751188.52032982977"/>
    <n v="374300"/>
  </r>
  <r>
    <x v="6"/>
    <x v="2"/>
    <n v="415000"/>
    <n v="2300"/>
    <n v="2024"/>
    <n v="5.2"/>
    <s v="15"/>
    <x v="2"/>
    <s v="No"/>
    <x v="1"/>
    <n v="180.43478260869566"/>
    <n v="2103.4536064430577"/>
    <n v="278286.08193291718"/>
    <n v="631036.08193291724"/>
    <n v="352750"/>
  </r>
  <r>
    <x v="6"/>
    <x v="1"/>
    <n v="318000"/>
    <n v="1760"/>
    <n v="2023"/>
    <n v="6.4"/>
    <s v="21"/>
    <x v="1"/>
    <s v="No"/>
    <x v="0"/>
    <n v="180.68181818181819"/>
    <n v="1680.5911486086011"/>
    <n v="252957.34458258038"/>
    <n v="504177.34458258038"/>
    <n v="251220"/>
  </r>
  <r>
    <x v="6"/>
    <x v="1"/>
    <n v="318000"/>
    <n v="1760"/>
    <n v="2023"/>
    <n v="6.4"/>
    <n v="10"/>
    <x v="1"/>
    <s v="No"/>
    <x v="0"/>
    <n v="180.68181818181819"/>
    <n v="1914.5975110730897"/>
    <n v="288179.25332192698"/>
    <n v="574379.25332192704"/>
    <n v="286200"/>
  </r>
  <r>
    <x v="7"/>
    <x v="2"/>
    <n v="510000"/>
    <n v="2800"/>
    <n v="2024"/>
    <n v="5.3"/>
    <s v="15"/>
    <x v="2"/>
    <s v="No"/>
    <x v="1"/>
    <n v="182.14285714285714"/>
    <n v="2610.5421857702481"/>
    <n v="349662.65573107434"/>
    <n v="783162.65573107428"/>
    <n v="433500"/>
  </r>
  <r>
    <x v="7"/>
    <x v="2"/>
    <n v="512000"/>
    <n v="2810"/>
    <n v="2024"/>
    <n v="5.3"/>
    <s v="15"/>
    <x v="2"/>
    <s v="No"/>
    <x v="1"/>
    <n v="182.20640569395019"/>
    <n v="2620.7796061066019"/>
    <n v="351033.88183198049"/>
    <n v="786233.88183198054"/>
    <n v="435200"/>
  </r>
  <r>
    <x v="3"/>
    <x v="2"/>
    <n v="365000"/>
    <n v="2000"/>
    <n v="2024"/>
    <n v="5.3"/>
    <s v="18"/>
    <x v="2"/>
    <s v="No"/>
    <x v="1"/>
    <n v="182.5"/>
    <n v="1802.3881803945449"/>
    <n v="241416.45411836344"/>
    <n v="540716.45411836344"/>
    <n v="299300"/>
  </r>
  <r>
    <x v="8"/>
    <x v="0"/>
    <n v="490000"/>
    <n v="2680"/>
    <n v="2024"/>
    <n v="5"/>
    <n v="12"/>
    <x v="1"/>
    <s v="No"/>
    <x v="0"/>
    <n v="182.83582089552237"/>
    <n v="2520.7522589824061"/>
    <n v="325025.67769472179"/>
    <n v="756225.67769472185"/>
    <n v="431200"/>
  </r>
  <r>
    <x v="6"/>
    <x v="2"/>
    <n v="412000"/>
    <n v="2250"/>
    <n v="2024"/>
    <n v="5.2"/>
    <s v="15"/>
    <x v="2"/>
    <s v="No"/>
    <x v="1"/>
    <n v="183.11111111111111"/>
    <n v="2088.2479177217824"/>
    <n v="276274.37531653454"/>
    <n v="626474.37531653454"/>
    <n v="350200"/>
  </r>
  <r>
    <x v="7"/>
    <x v="2"/>
    <n v="505000"/>
    <n v="2750"/>
    <n v="2024"/>
    <n v="5.3"/>
    <s v="15"/>
    <x v="2"/>
    <s v="No"/>
    <x v="1"/>
    <n v="183.63636363636363"/>
    <n v="2584.9486349293634"/>
    <n v="346234.59047880897"/>
    <n v="775484.59047880897"/>
    <n v="429250"/>
  </r>
  <r>
    <x v="3"/>
    <x v="2"/>
    <n v="360000"/>
    <n v="1950"/>
    <n v="2024"/>
    <n v="5.3"/>
    <s v="18"/>
    <x v="2"/>
    <s v="No"/>
    <x v="1"/>
    <n v="184.61538461538461"/>
    <n v="1777.6979313480442"/>
    <n v="238109.37940441328"/>
    <n v="533309.37940441328"/>
    <n v="295200"/>
  </r>
  <r>
    <x v="8"/>
    <x v="0"/>
    <n v="495000"/>
    <n v="2680"/>
    <n v="2024"/>
    <n v="5"/>
    <n v="12"/>
    <x v="1"/>
    <s v="No"/>
    <x v="0"/>
    <n v="184.70149253731344"/>
    <n v="2546.4742208087569"/>
    <n v="328342.26624262705"/>
    <n v="763942.26624262705"/>
    <n v="435600"/>
  </r>
  <r>
    <x v="7"/>
    <x v="2"/>
    <n v="500000"/>
    <n v="2700"/>
    <n v="2024"/>
    <n v="5.3"/>
    <s v="15"/>
    <x v="2"/>
    <s v="No"/>
    <x v="1"/>
    <n v="185.18518518518519"/>
    <n v="2559.3550840884786"/>
    <n v="342806.52522654348"/>
    <n v="767806.52522654342"/>
    <n v="425000"/>
  </r>
  <r>
    <x v="7"/>
    <x v="2"/>
    <n v="482000"/>
    <n v="2600"/>
    <n v="2024"/>
    <n v="5.3"/>
    <s v="15"/>
    <x v="2"/>
    <s v="No"/>
    <x v="1"/>
    <n v="185.38461538461539"/>
    <n v="2467.2183010612935"/>
    <n v="330465.49031838792"/>
    <n v="740165.49031838798"/>
    <n v="409700"/>
  </r>
  <r>
    <x v="6"/>
    <x v="2"/>
    <n v="410000"/>
    <n v="2200"/>
    <n v="2024"/>
    <n v="5.2"/>
    <s v="15"/>
    <x v="2"/>
    <s v="No"/>
    <x v="1"/>
    <n v="186.36363636363637"/>
    <n v="2078.1107919075989"/>
    <n v="274933.23757227953"/>
    <n v="623433.23757227953"/>
    <n v="348500"/>
  </r>
  <r>
    <x v="3"/>
    <x v="0"/>
    <n v="420000"/>
    <n v="2250"/>
    <n v="2024"/>
    <n v="5.4"/>
    <s v="8"/>
    <x v="0"/>
    <s v="No"/>
    <x v="0"/>
    <n v="186.66666666666666"/>
    <n v="2349.8140008653008"/>
    <n v="318544.20025959035"/>
    <n v="704944.20025959029"/>
    <n v="386400"/>
  </r>
  <r>
    <x v="3"/>
    <x v="2"/>
    <n v="355000"/>
    <n v="1900"/>
    <n v="2024"/>
    <n v="5.3"/>
    <s v="18"/>
    <x v="2"/>
    <s v="No"/>
    <x v="1"/>
    <n v="186.84210526315789"/>
    <n v="1753.0076823015438"/>
    <n v="234802.30469046306"/>
    <n v="525902.304690463"/>
    <n v="291100"/>
  </r>
  <r>
    <x v="7"/>
    <x v="2"/>
    <n v="480000"/>
    <n v="2550"/>
    <n v="2024"/>
    <n v="5.3"/>
    <s v="15"/>
    <x v="2"/>
    <s v="No"/>
    <x v="1"/>
    <n v="188.23529411764707"/>
    <n v="2456.9808807249387"/>
    <n v="329094.2642174816"/>
    <n v="737094.2642174816"/>
    <n v="408000"/>
  </r>
  <r>
    <x v="3"/>
    <x v="2"/>
    <n v="350000"/>
    <n v="1850"/>
    <n v="2024"/>
    <n v="5.3"/>
    <s v="18"/>
    <x v="0"/>
    <s v="No"/>
    <x v="1"/>
    <n v="189.18918918918919"/>
    <n v="1728.3174332550429"/>
    <n v="231495.22997651284"/>
    <n v="518495.22997651284"/>
    <n v="287000"/>
  </r>
  <r>
    <x v="6"/>
    <x v="2"/>
    <n v="408000"/>
    <n v="2150"/>
    <n v="2024"/>
    <n v="5.2"/>
    <s v="15"/>
    <x v="2"/>
    <s v="No"/>
    <x v="1"/>
    <n v="189.76744186046511"/>
    <n v="2067.9736660934154"/>
    <n v="273592.09982802451"/>
    <n v="620392.09982802451"/>
    <n v="346800"/>
  </r>
  <r>
    <x v="7"/>
    <x v="2"/>
    <n v="478000"/>
    <n v="2500"/>
    <n v="2024"/>
    <n v="5.3"/>
    <s v="15"/>
    <x v="2"/>
    <s v="No"/>
    <x v="1"/>
    <n v="191.2"/>
    <n v="2446.7434603885854"/>
    <n v="327723.03811657557"/>
    <n v="734023.03811657557"/>
    <n v="406300"/>
  </r>
  <r>
    <x v="3"/>
    <x v="2"/>
    <n v="345000"/>
    <n v="1800"/>
    <n v="2024"/>
    <n v="5.3"/>
    <n v="18"/>
    <x v="2"/>
    <s v="No"/>
    <x v="1"/>
    <n v="191.66666666666666"/>
    <n v="1703.6271842085423"/>
    <n v="228188.15526256268"/>
    <n v="511088.15526256268"/>
    <n v="282900"/>
  </r>
  <r>
    <x v="6"/>
    <x v="2"/>
    <n v="405000"/>
    <n v="2100"/>
    <n v="2024"/>
    <n v="5.2"/>
    <s v="15"/>
    <x v="2"/>
    <s v="No"/>
    <x v="1"/>
    <n v="192.85714285714286"/>
    <n v="2052.7679773721406"/>
    <n v="271580.39321164205"/>
    <n v="615830.39321164205"/>
    <n v="344250"/>
  </r>
  <r>
    <x v="7"/>
    <x v="2"/>
    <n v="475000"/>
    <n v="2450"/>
    <n v="2024"/>
    <n v="5.3"/>
    <s v="15"/>
    <x v="2"/>
    <s v="No"/>
    <x v="1"/>
    <n v="193.87755102040816"/>
    <n v="2431.387329884054"/>
    <n v="325666.19896521617"/>
    <n v="729416.19896521617"/>
    <n v="403750"/>
  </r>
  <r>
    <x v="3"/>
    <x v="2"/>
    <n v="360000"/>
    <n v="1850"/>
    <n v="2024"/>
    <n v="5.4"/>
    <s v="14"/>
    <x v="1"/>
    <s v="No"/>
    <x v="1"/>
    <n v="194.59459459459458"/>
    <n v="1882.7702242958003"/>
    <n v="255231.06728874013"/>
    <n v="564831.06728874007"/>
    <n v="309600"/>
  </r>
  <r>
    <x v="4"/>
    <x v="2"/>
    <n v="370000"/>
    <n v="1900"/>
    <n v="2023"/>
    <n v="6.1"/>
    <s v="18"/>
    <x v="2"/>
    <s v="No"/>
    <x v="1"/>
    <n v="194.73684210526315"/>
    <n v="1973.3985860139599"/>
    <n v="288619.57580418792"/>
    <n v="592019.57580418792"/>
    <n v="303400"/>
  </r>
  <r>
    <x v="4"/>
    <x v="2"/>
    <n v="355000"/>
    <n v="1780"/>
    <n v="2023"/>
    <n v="6.1"/>
    <s v="18"/>
    <x v="2"/>
    <s v="No"/>
    <x v="1"/>
    <n v="199.43820224719101"/>
    <n v="1893.3959406350152"/>
    <n v="276918.7821905046"/>
    <n v="568018.7821905046"/>
    <n v="291100"/>
  </r>
  <r>
    <x v="3"/>
    <x v="2"/>
    <n v="340000"/>
    <n v="1700"/>
    <n v="2023"/>
    <n v="6.1"/>
    <s v="14"/>
    <x v="1"/>
    <s v="No"/>
    <x v="1"/>
    <n v="200"/>
    <n v="1901.8515047807573"/>
    <n v="278155.45143422717"/>
    <n v="570555.45143422717"/>
    <n v="292400"/>
  </r>
  <r>
    <x v="7"/>
    <x v="2"/>
    <n v="470000"/>
    <n v="2350"/>
    <n v="2023"/>
    <n v="6"/>
    <s v="15"/>
    <x v="2"/>
    <s v="No"/>
    <x v="1"/>
    <n v="200"/>
    <n v="2573.9840989346067"/>
    <n v="372695.22968038201"/>
    <n v="772195.22968038195"/>
    <n v="399500"/>
  </r>
  <r>
    <x v="6"/>
    <x v="2"/>
    <n v="420000"/>
    <n v="2100"/>
    <n v="2024"/>
    <n v="5.2"/>
    <s v="15"/>
    <x v="2"/>
    <s v="No"/>
    <x v="1"/>
    <n v="200"/>
    <n v="2128.7964209785159"/>
    <n v="281638.9262935546"/>
    <n v="638638.9262935546"/>
    <n v="357000"/>
  </r>
  <r>
    <x v="7"/>
    <x v="2"/>
    <n v="480000"/>
    <n v="2400"/>
    <n v="2024"/>
    <n v="5.3"/>
    <s v="15"/>
    <x v="2"/>
    <s v="No"/>
    <x v="1"/>
    <n v="200"/>
    <n v="2456.9808807249387"/>
    <n v="329094.2642174816"/>
    <n v="737094.2642174816"/>
    <n v="408000"/>
  </r>
  <r>
    <x v="6"/>
    <x v="2"/>
    <n v="430000"/>
    <n v="2150"/>
    <n v="2024"/>
    <n v="5.2"/>
    <s v="15"/>
    <x v="2"/>
    <s v="No"/>
    <x v="1"/>
    <n v="200"/>
    <n v="2179.4820500494329"/>
    <n v="288344.61501482979"/>
    <n v="653844.61501482979"/>
    <n v="365500"/>
  </r>
  <r>
    <x v="7"/>
    <x v="2"/>
    <n v="490000"/>
    <n v="2450"/>
    <n v="2024"/>
    <n v="5.3"/>
    <s v="15"/>
    <x v="2"/>
    <s v="No"/>
    <x v="1"/>
    <n v="200"/>
    <n v="2508.1679824067091"/>
    <n v="335950.39472201263"/>
    <n v="752450.39472201257"/>
    <n v="416500"/>
  </r>
  <r>
    <x v="6"/>
    <x v="3"/>
    <n v="290000"/>
    <n v="1450"/>
    <n v="2024"/>
    <n v="5.0999999999999996"/>
    <n v="20"/>
    <x v="2"/>
    <s v="Yes"/>
    <x v="2"/>
    <n v="200"/>
    <n v="1369.8000863848163"/>
    <n v="178940.02591544486"/>
    <n v="410940.02591544483"/>
    <n v="232000"/>
  </r>
  <r>
    <x v="7"/>
    <x v="2"/>
    <n v="460000"/>
    <n v="2280"/>
    <n v="2024"/>
    <n v="5.3"/>
    <s v="15"/>
    <x v="2"/>
    <s v="No"/>
    <x v="1"/>
    <n v="201.75438596491227"/>
    <n v="2354.6066773613998"/>
    <n v="315382.00320841989"/>
    <n v="706382.00320841989"/>
    <n v="391000"/>
  </r>
  <r>
    <x v="7"/>
    <x v="2"/>
    <n v="440000"/>
    <n v="2180"/>
    <n v="2023"/>
    <n v="6"/>
    <s v="15"/>
    <x v="2"/>
    <s v="No"/>
    <x v="1"/>
    <n v="201.83486238532109"/>
    <n v="2409.6872415558018"/>
    <n v="348906.17246674059"/>
    <n v="722906.17246674059"/>
    <n v="374000"/>
  </r>
  <r>
    <x v="6"/>
    <x v="2"/>
    <n v="400000"/>
    <n v="1980"/>
    <n v="2024"/>
    <n v="5.2"/>
    <s v="15"/>
    <x v="2"/>
    <s v="No"/>
    <x v="1"/>
    <n v="202.02020202020202"/>
    <n v="2027.4251628366819"/>
    <n v="268227.54885100445"/>
    <n v="608227.54885100445"/>
    <n v="340000"/>
  </r>
  <r>
    <x v="5"/>
    <x v="2"/>
    <n v="465000"/>
    <n v="2300"/>
    <n v="2024"/>
    <n v="5.2"/>
    <s v="15"/>
    <x v="2"/>
    <s v="No"/>
    <x v="1"/>
    <n v="202.17391304347825"/>
    <n v="2356.8817517976427"/>
    <n v="311814.52553929272"/>
    <n v="707064.52553929272"/>
    <n v="395250"/>
  </r>
  <r>
    <x v="7"/>
    <x v="2"/>
    <n v="465000"/>
    <n v="2300"/>
    <n v="2024"/>
    <n v="5.3"/>
    <s v="15"/>
    <x v="2"/>
    <s v="No"/>
    <x v="1"/>
    <n v="202.17391304347825"/>
    <n v="2380.2002282022845"/>
    <n v="318810.06846068532"/>
    <n v="714060.06846068532"/>
    <n v="395250"/>
  </r>
  <r>
    <x v="7"/>
    <x v="2"/>
    <n v="455000"/>
    <n v="2250"/>
    <n v="2023"/>
    <n v="6"/>
    <s v="15"/>
    <x v="2"/>
    <s v="No"/>
    <x v="1"/>
    <n v="202.22222222222223"/>
    <n v="2491.8356702452043"/>
    <n v="360800.70107356133"/>
    <n v="747550.70107356133"/>
    <n v="386750"/>
  </r>
  <r>
    <x v="4"/>
    <x v="2"/>
    <n v="338000"/>
    <n v="1670"/>
    <n v="2024"/>
    <n v="5.3"/>
    <s v="18"/>
    <x v="2"/>
    <s v="No"/>
    <x v="1"/>
    <n v="202.39520958083833"/>
    <n v="1669.0608355434415"/>
    <n v="223558.25066303246"/>
    <n v="500718.25066303246"/>
    <n v="277160"/>
  </r>
  <r>
    <x v="6"/>
    <x v="2"/>
    <n v="405000"/>
    <n v="2000"/>
    <n v="2023"/>
    <n v="6.1"/>
    <s v="15"/>
    <x v="2"/>
    <s v="No"/>
    <x v="1"/>
    <n v="202.5"/>
    <n v="2239.0984285936242"/>
    <n v="327479.52857808722"/>
    <n v="671729.52857808722"/>
    <n v="344250"/>
  </r>
  <r>
    <x v="6"/>
    <x v="2"/>
    <n v="395000"/>
    <n v="1950"/>
    <n v="2024"/>
    <n v="5.2"/>
    <s v="15"/>
    <x v="2"/>
    <s v="No"/>
    <x v="1"/>
    <n v="202.56410256410257"/>
    <n v="2002.0823483012234"/>
    <n v="264874.70449036692"/>
    <n v="600624.70449036686"/>
    <n v="335750"/>
  </r>
  <r>
    <x v="4"/>
    <x v="2"/>
    <n v="345000"/>
    <n v="1700"/>
    <n v="2024"/>
    <n v="5.3"/>
    <s v="18"/>
    <x v="2"/>
    <s v="No"/>
    <x v="1"/>
    <n v="202.94117647058823"/>
    <n v="1703.6271842085423"/>
    <n v="228188.15526256268"/>
    <n v="511088.15526256268"/>
    <n v="282900"/>
  </r>
  <r>
    <x v="3"/>
    <x v="2"/>
    <n v="330000"/>
    <n v="1620"/>
    <n v="2024"/>
    <n v="5.4"/>
    <s v="14"/>
    <x v="1"/>
    <s v="No"/>
    <x v="1"/>
    <n v="203.7037037037037"/>
    <n v="1725.8727056044836"/>
    <n v="233961.81168134516"/>
    <n v="517761.81168134516"/>
    <n v="283800"/>
  </r>
  <r>
    <x v="7"/>
    <x v="2"/>
    <n v="438000"/>
    <n v="2150"/>
    <n v="2024"/>
    <n v="5.3"/>
    <s v="15"/>
    <x v="2"/>
    <s v="No"/>
    <x v="1"/>
    <n v="203.72093023255815"/>
    <n v="2241.995053661507"/>
    <n v="300298.51609845203"/>
    <n v="672598.51609845203"/>
    <n v="372300"/>
  </r>
  <r>
    <x v="7"/>
    <x v="2"/>
    <n v="432000"/>
    <n v="2120"/>
    <n v="2023"/>
    <n v="6.1"/>
    <s v="15"/>
    <x v="2"/>
    <s v="No"/>
    <x v="1"/>
    <n v="203.77358490566039"/>
    <n v="2388.3716571665327"/>
    <n v="349311.49714995979"/>
    <n v="716511.49714995979"/>
    <n v="367200"/>
  </r>
  <r>
    <x v="3"/>
    <x v="2"/>
    <n v="322000"/>
    <n v="1580"/>
    <n v="2024"/>
    <n v="5.4"/>
    <s v="14"/>
    <x v="1"/>
    <s v="No"/>
    <x v="1"/>
    <n v="203.79746835443038"/>
    <n v="1684.0333672867991"/>
    <n v="228290.01018603978"/>
    <n v="505210.01018603978"/>
    <n v="276920"/>
  </r>
  <r>
    <x v="5"/>
    <x v="2"/>
    <n v="470000"/>
    <n v="2300"/>
    <n v="2024"/>
    <n v="5.2"/>
    <s v="15"/>
    <x v="2"/>
    <s v="No"/>
    <x v="1"/>
    <n v="204.34782608695653"/>
    <n v="2382.2245663331014"/>
    <n v="315167.36989993032"/>
    <n v="714667.36989993032"/>
    <n v="399500"/>
  </r>
  <r>
    <x v="7"/>
    <x v="2"/>
    <n v="460000"/>
    <n v="2250"/>
    <n v="2024"/>
    <n v="5.3"/>
    <s v="15"/>
    <x v="2"/>
    <s v="No"/>
    <x v="1"/>
    <n v="204.44444444444446"/>
    <n v="2354.6066773613998"/>
    <n v="315382.00320841989"/>
    <n v="706382.00320841989"/>
    <n v="391000"/>
  </r>
  <r>
    <x v="7"/>
    <x v="2"/>
    <n v="450000"/>
    <n v="2200"/>
    <n v="2024"/>
    <n v="5.3"/>
    <s v="15"/>
    <x v="2"/>
    <s v="No"/>
    <x v="1"/>
    <n v="204.54545454545453"/>
    <n v="2303.4195756796303"/>
    <n v="308525.87270388898"/>
    <n v="691025.87270388892"/>
    <n v="382500"/>
  </r>
  <r>
    <x v="6"/>
    <x v="2"/>
    <n v="385000"/>
    <n v="1880"/>
    <n v="2023"/>
    <n v="6.1"/>
    <s v="15"/>
    <x v="2"/>
    <s v="No"/>
    <x v="1"/>
    <n v="204.78723404255319"/>
    <n v="2128.5256666877663"/>
    <n v="311307.70000632992"/>
    <n v="638557.70000632992"/>
    <n v="327250"/>
  </r>
  <r>
    <x v="6"/>
    <x v="2"/>
    <n v="390000"/>
    <n v="1900"/>
    <n v="2024"/>
    <n v="5.2"/>
    <s v="15"/>
    <x v="2"/>
    <s v="No"/>
    <x v="1"/>
    <n v="205.26315789473685"/>
    <n v="1976.7395337657649"/>
    <n v="261521.86012972938"/>
    <n v="593021.86012972938"/>
    <n v="331500"/>
  </r>
  <r>
    <x v="6"/>
    <x v="2"/>
    <n v="380000"/>
    <n v="1850"/>
    <n v="2024"/>
    <n v="5.2"/>
    <s v="15"/>
    <x v="2"/>
    <s v="No"/>
    <x v="1"/>
    <n v="205.40540540540542"/>
    <n v="1926.0539046948477"/>
    <n v="254816.17140845419"/>
    <n v="577816.17140845419"/>
    <n v="323000"/>
  </r>
  <r>
    <x v="5"/>
    <x v="2"/>
    <n v="455000"/>
    <n v="2200"/>
    <n v="2024"/>
    <n v="5.2"/>
    <s v="15"/>
    <x v="2"/>
    <s v="No"/>
    <x v="1"/>
    <n v="206.81818181818181"/>
    <n v="2306.1961227267257"/>
    <n v="305108.83681801753"/>
    <n v="691858.83681801753"/>
    <n v="386750"/>
  </r>
  <r>
    <x v="7"/>
    <x v="2"/>
    <n v="455000"/>
    <n v="2200"/>
    <n v="2024"/>
    <n v="5.3"/>
    <s v="15"/>
    <x v="2"/>
    <s v="No"/>
    <x v="1"/>
    <n v="206.81818181818181"/>
    <n v="2329.013126520515"/>
    <n v="311953.93795615446"/>
    <n v="698703.93795615446"/>
    <n v="386750"/>
  </r>
  <r>
    <x v="7"/>
    <x v="2"/>
    <n v="440000"/>
    <n v="2120"/>
    <n v="2023"/>
    <n v="6.1"/>
    <s v="15"/>
    <x v="2"/>
    <s v="No"/>
    <x v="1"/>
    <n v="207.54716981132074"/>
    <n v="2432.6007619288757"/>
    <n v="355780.22857866273"/>
    <n v="729780.22857866273"/>
    <n v="374000"/>
  </r>
  <r>
    <x v="7"/>
    <x v="2"/>
    <n v="430000"/>
    <n v="2070"/>
    <n v="2024"/>
    <n v="5.3"/>
    <s v="15"/>
    <x v="2"/>
    <s v="No"/>
    <x v="1"/>
    <n v="207.72946859903382"/>
    <n v="2201.0453723160913"/>
    <n v="294813.61169482738"/>
    <n v="660313.61169482744"/>
    <n v="365500"/>
  </r>
  <r>
    <x v="6"/>
    <x v="2"/>
    <n v="374000"/>
    <n v="1800"/>
    <n v="2024"/>
    <n v="5.2"/>
    <s v="15"/>
    <x v="2"/>
    <s v="No"/>
    <x v="1"/>
    <n v="207.77777777777777"/>
    <n v="1895.6425272522977"/>
    <n v="250792.75817568914"/>
    <n v="568692.75817568914"/>
    <n v="317900"/>
  </r>
  <r>
    <x v="6"/>
    <x v="2"/>
    <n v="385000"/>
    <n v="1850"/>
    <n v="2024"/>
    <n v="5.2"/>
    <s v="15"/>
    <x v="2"/>
    <s v="No"/>
    <x v="1"/>
    <n v="208.1081081081081"/>
    <n v="1951.3967192303064"/>
    <n v="258169.01576909178"/>
    <n v="585419.01576909178"/>
    <n v="327250"/>
  </r>
  <r>
    <x v="7"/>
    <x v="2"/>
    <n v="455000"/>
    <n v="2180"/>
    <n v="2023"/>
    <n v="6"/>
    <s v="15"/>
    <x v="2"/>
    <s v="No"/>
    <x v="1"/>
    <n v="208.71559633027522"/>
    <n v="2491.8356702452043"/>
    <n v="360800.70107356133"/>
    <n v="747550.70107356133"/>
    <n v="386750"/>
  </r>
  <r>
    <x v="7"/>
    <x v="2"/>
    <n v="428000"/>
    <n v="2050"/>
    <n v="2024"/>
    <n v="5.3"/>
    <s v="15"/>
    <x v="2"/>
    <s v="No"/>
    <x v="1"/>
    <n v="208.78048780487805"/>
    <n v="2190.8079519797375"/>
    <n v="293442.38559392124"/>
    <n v="657242.38559392118"/>
    <n v="363800"/>
  </r>
  <r>
    <x v="4"/>
    <x v="2"/>
    <n v="355000"/>
    <n v="1700"/>
    <n v="2024"/>
    <n v="5.3"/>
    <s v="18"/>
    <x v="2"/>
    <s v="No"/>
    <x v="1"/>
    <n v="208.8235294117647"/>
    <n v="1753.0076823015438"/>
    <n v="234802.30469046306"/>
    <n v="525902.304690463"/>
    <n v="291100"/>
  </r>
  <r>
    <x v="6"/>
    <x v="2"/>
    <n v="372000"/>
    <n v="1780"/>
    <n v="2024"/>
    <n v="5.3"/>
    <s v="15"/>
    <x v="2"/>
    <s v="No"/>
    <x v="1"/>
    <n v="208.98876404494382"/>
    <n v="1904.1601825618277"/>
    <n v="255048.05476854835"/>
    <n v="571248.05476854835"/>
    <n v="316200"/>
  </r>
  <r>
    <x v="1"/>
    <x v="3"/>
    <n v="462000"/>
    <n v="2210"/>
    <n v="2024"/>
    <n v="5.4"/>
    <s v="20"/>
    <x v="2"/>
    <s v="Yes"/>
    <x v="1"/>
    <n v="209.0497737556561"/>
    <n v="2247.6481747407229"/>
    <n v="304694.45242221688"/>
    <n v="674294.45242221688"/>
    <n v="369600"/>
  </r>
  <r>
    <x v="1"/>
    <x v="3"/>
    <n v="460000"/>
    <n v="2200"/>
    <n v="2024"/>
    <n v="5.4"/>
    <s v="20"/>
    <x v="2"/>
    <s v="Yes"/>
    <x v="1"/>
    <n v="209.09090909090909"/>
    <n v="2237.9180960621916"/>
    <n v="303375.42881865759"/>
    <n v="671375.42881865753"/>
    <n v="368000"/>
  </r>
  <r>
    <x v="5"/>
    <x v="2"/>
    <n v="435000"/>
    <n v="2080"/>
    <n v="2024"/>
    <n v="5.2"/>
    <s v="15"/>
    <x v="2"/>
    <s v="No"/>
    <x v="1"/>
    <n v="209.13461538461539"/>
    <n v="2204.8248645848917"/>
    <n v="291697.45937546744"/>
    <n v="661447.45937546738"/>
    <n v="369750"/>
  </r>
  <r>
    <x v="7"/>
    <x v="2"/>
    <n v="450000"/>
    <n v="2150"/>
    <n v="2024"/>
    <n v="5.3"/>
    <s v="15"/>
    <x v="2"/>
    <s v="No"/>
    <x v="1"/>
    <n v="209.30232558139534"/>
    <n v="2303.4195756796303"/>
    <n v="308525.87270388898"/>
    <n v="691025.87270388892"/>
    <n v="382500"/>
  </r>
  <r>
    <x v="7"/>
    <x v="2"/>
    <n v="450000"/>
    <n v="2150"/>
    <n v="2024"/>
    <n v="5.3"/>
    <s v="15"/>
    <x v="0"/>
    <s v="No"/>
    <x v="1"/>
    <n v="209.30232558139534"/>
    <n v="2303.4195756796303"/>
    <n v="308525.87270388898"/>
    <n v="691025.87270388892"/>
    <n v="382500"/>
  </r>
  <r>
    <x v="5"/>
    <x v="2"/>
    <n v="440000"/>
    <n v="2100"/>
    <n v="2024"/>
    <n v="5.2"/>
    <s v="15"/>
    <x v="2"/>
    <s v="No"/>
    <x v="1"/>
    <n v="209.52380952380952"/>
    <n v="2230.1676791203499"/>
    <n v="295050.30373610486"/>
    <n v="669050.30373610486"/>
    <n v="374000"/>
  </r>
  <r>
    <x v="5"/>
    <x v="2"/>
    <n v="415000"/>
    <n v="1980"/>
    <n v="2023"/>
    <n v="6.1"/>
    <s v="15"/>
    <x v="2"/>
    <s v="No"/>
    <x v="1"/>
    <n v="209.59595959595958"/>
    <n v="2294.3848095465532"/>
    <n v="335565.44286396599"/>
    <n v="688315.44286396599"/>
    <n v="352750"/>
  </r>
  <r>
    <x v="5"/>
    <x v="2"/>
    <n v="430000"/>
    <n v="2050"/>
    <n v="2024"/>
    <n v="5.2"/>
    <s v="15"/>
    <x v="2"/>
    <s v="No"/>
    <x v="1"/>
    <n v="209.7560975609756"/>
    <n v="2179.4820500494329"/>
    <n v="288344.61501482979"/>
    <n v="653844.61501482979"/>
    <n v="365500"/>
  </r>
  <r>
    <x v="5"/>
    <x v="2"/>
    <n v="420000"/>
    <n v="2000"/>
    <n v="2024"/>
    <n v="5.2"/>
    <s v="15"/>
    <x v="2"/>
    <s v="No"/>
    <x v="1"/>
    <n v="210"/>
    <n v="2128.7964209785159"/>
    <n v="281638.9262935546"/>
    <n v="638638.9262935546"/>
    <n v="357000"/>
  </r>
  <r>
    <x v="5"/>
    <x v="2"/>
    <n v="410000"/>
    <n v="1950"/>
    <n v="2024"/>
    <n v="5.2"/>
    <s v="15"/>
    <x v="2"/>
    <s v="No"/>
    <x v="1"/>
    <n v="210.25641025641025"/>
    <n v="2078.1107919075989"/>
    <n v="274933.23757227953"/>
    <n v="623433.23757227953"/>
    <n v="348500"/>
  </r>
  <r>
    <x v="6"/>
    <x v="2"/>
    <n v="390000"/>
    <n v="1850"/>
    <n v="2024"/>
    <n v="5.2"/>
    <s v="15"/>
    <x v="2"/>
    <s v="No"/>
    <x v="1"/>
    <n v="210.81081081081081"/>
    <n v="1976.7395337657649"/>
    <n v="261521.86012972938"/>
    <n v="593021.86012972938"/>
    <n v="331500"/>
  </r>
  <r>
    <x v="1"/>
    <x v="3"/>
    <n v="455000"/>
    <n v="2150"/>
    <n v="2024"/>
    <n v="5.4"/>
    <s v="20"/>
    <x v="2"/>
    <s v="Yes"/>
    <x v="1"/>
    <n v="211.62790697674419"/>
    <n v="2213.5928993658636"/>
    <n v="300077.86980975908"/>
    <n v="664077.86980975908"/>
    <n v="364000"/>
  </r>
  <r>
    <x v="5"/>
    <x v="2"/>
    <n v="400000"/>
    <n v="1890"/>
    <n v="2024"/>
    <n v="5.3"/>
    <s v="15"/>
    <x v="2"/>
    <s v="No"/>
    <x v="1"/>
    <n v="211.64021164021165"/>
    <n v="2047.4840672707828"/>
    <n v="274245.22018123488"/>
    <n v="614245.22018123488"/>
    <n v="340000"/>
  </r>
  <r>
    <x v="7"/>
    <x v="2"/>
    <n v="445000"/>
    <n v="2100"/>
    <n v="2024"/>
    <n v="5.3"/>
    <s v="15"/>
    <x v="2"/>
    <s v="No"/>
    <x v="1"/>
    <n v="211.9047619047619"/>
    <n v="2277.8260248387455"/>
    <n v="305097.80745162355"/>
    <n v="683347.80745162349"/>
    <n v="378250"/>
  </r>
  <r>
    <x v="5"/>
    <x v="2"/>
    <n v="405000"/>
    <n v="1910"/>
    <n v="2024"/>
    <n v="5.3"/>
    <s v="15"/>
    <x v="2"/>
    <s v="No"/>
    <x v="1"/>
    <n v="212.04188481675394"/>
    <n v="2073.0776181116676"/>
    <n v="277673.28543350031"/>
    <n v="621923.28543350031"/>
    <n v="344250"/>
  </r>
  <r>
    <x v="1"/>
    <x v="3"/>
    <n v="435000"/>
    <n v="2050"/>
    <n v="2024"/>
    <n v="5.4"/>
    <s v="20"/>
    <x v="2"/>
    <s v="Yes"/>
    <x v="1"/>
    <n v="212.19512195121951"/>
    <n v="2116.2921125805506"/>
    <n v="286887.63377416524"/>
    <n v="634887.6337741653"/>
    <n v="348000"/>
  </r>
  <r>
    <x v="6"/>
    <x v="2"/>
    <n v="368000"/>
    <n v="1730"/>
    <n v="2023"/>
    <n v="6.1"/>
    <s v="15"/>
    <x v="2"/>
    <s v="No"/>
    <x v="1"/>
    <n v="212.71676300578034"/>
    <n v="2034.538819067787"/>
    <n v="297561.64572033612"/>
    <n v="610361.64572033612"/>
    <n v="312800"/>
  </r>
  <r>
    <x v="6"/>
    <x v="2"/>
    <n v="400000"/>
    <n v="1880"/>
    <n v="2023"/>
    <n v="6.1"/>
    <s v="15"/>
    <x v="2"/>
    <s v="No"/>
    <x v="1"/>
    <n v="212.7659574468085"/>
    <n v="2211.4552381171598"/>
    <n v="323436.57143514795"/>
    <n v="663436.5714351479"/>
    <n v="340000"/>
  </r>
  <r>
    <x v="5"/>
    <x v="3"/>
    <n v="330000"/>
    <n v="1550"/>
    <n v="2024"/>
    <n v="5.0999999999999996"/>
    <n v="20"/>
    <x v="2"/>
    <s v="Yes"/>
    <x v="2"/>
    <n v="212.90322580645162"/>
    <n v="1558.7380293344459"/>
    <n v="203621.40880033374"/>
    <n v="467621.40880033374"/>
    <n v="264000"/>
  </r>
  <r>
    <x v="3"/>
    <x v="2"/>
    <n v="345000"/>
    <n v="1620"/>
    <n v="2024"/>
    <n v="5.4"/>
    <s v="14"/>
    <x v="1"/>
    <s v="No"/>
    <x v="1"/>
    <n v="212.96296296296296"/>
    <n v="1804.3214649501419"/>
    <n v="244596.43948504259"/>
    <n v="541296.43948504259"/>
    <n v="296700"/>
  </r>
  <r>
    <x v="6"/>
    <x v="2"/>
    <n v="405000"/>
    <n v="1900"/>
    <n v="2024"/>
    <n v="5.2"/>
    <s v="15"/>
    <x v="2"/>
    <s v="No"/>
    <x v="1"/>
    <n v="213.15789473684211"/>
    <n v="2052.7679773721406"/>
    <n v="271580.39321164205"/>
    <n v="615830.39321164205"/>
    <n v="344250"/>
  </r>
  <r>
    <x v="7"/>
    <x v="2"/>
    <n v="423000"/>
    <n v="1980"/>
    <n v="2023"/>
    <n v="6"/>
    <s v="12"/>
    <x v="2"/>
    <s v="No"/>
    <x v="1"/>
    <n v="213.63636363636363"/>
    <n v="2398.3475368896575"/>
    <n v="347264.26106689719"/>
    <n v="719504.26106689719"/>
    <n v="372240"/>
  </r>
  <r>
    <x v="6"/>
    <x v="2"/>
    <n v="375000"/>
    <n v="1750"/>
    <n v="2024"/>
    <n v="5.2"/>
    <s v="15"/>
    <x v="2"/>
    <s v="No"/>
    <x v="1"/>
    <n v="214.28571428571428"/>
    <n v="1900.7110901593892"/>
    <n v="251463.32704781677"/>
    <n v="570213.32704781671"/>
    <n v="318750"/>
  </r>
  <r>
    <x v="1"/>
    <x v="3"/>
    <n v="450000"/>
    <n v="2100"/>
    <n v="2024"/>
    <n v="5.4"/>
    <s v="20"/>
    <x v="2"/>
    <s v="Yes"/>
    <x v="1"/>
    <n v="214.28571428571428"/>
    <n v="2189.2677026695351"/>
    <n v="296780.31080086058"/>
    <n v="656780.31080086064"/>
    <n v="360000"/>
  </r>
  <r>
    <x v="5"/>
    <x v="2"/>
    <n v="420000"/>
    <n v="1950"/>
    <n v="2024"/>
    <n v="5.2"/>
    <s v="15"/>
    <x v="2"/>
    <s v="No"/>
    <x v="1"/>
    <n v="215.38461538461539"/>
    <n v="2128.7964209785159"/>
    <n v="281638.9262935546"/>
    <n v="638638.9262935546"/>
    <n v="357000"/>
  </r>
  <r>
    <x v="1"/>
    <x v="3"/>
    <n v="432000"/>
    <n v="2000"/>
    <n v="2024"/>
    <n v="5.4"/>
    <s v="20"/>
    <x v="2"/>
    <s v="Yes"/>
    <x v="1"/>
    <n v="216"/>
    <n v="2101.6969945627538"/>
    <n v="284909.09836882621"/>
    <n v="630509.09836882621"/>
    <n v="345600"/>
  </r>
  <r>
    <x v="5"/>
    <x v="2"/>
    <n v="430000"/>
    <n v="1980"/>
    <n v="2023"/>
    <n v="6.1"/>
    <s v="15"/>
    <x v="2"/>
    <s v="No"/>
    <x v="1"/>
    <n v="217.17171717171718"/>
    <n v="2377.3143809759467"/>
    <n v="347694.31429278402"/>
    <n v="713194.31429278408"/>
    <n v="365500"/>
  </r>
  <r>
    <x v="5"/>
    <x v="2"/>
    <n v="398000"/>
    <n v="1830"/>
    <n v="2023"/>
    <n v="6.1"/>
    <s v="15"/>
    <x v="2"/>
    <s v="No"/>
    <x v="1"/>
    <n v="217.4863387978142"/>
    <n v="2200.3979619265738"/>
    <n v="321819.38857797207"/>
    <n v="660119.38857797207"/>
    <n v="338300"/>
  </r>
  <r>
    <x v="3"/>
    <x v="2"/>
    <n v="355000"/>
    <n v="1620"/>
    <n v="2024"/>
    <n v="5.4"/>
    <n v="14"/>
    <x v="1"/>
    <s v="No"/>
    <x v="1"/>
    <n v="219.1358024691358"/>
    <n v="1856.6206378472473"/>
    <n v="251686.19135417423"/>
    <n v="556986.19135417417"/>
    <n v="305300"/>
  </r>
  <r>
    <x v="8"/>
    <x v="1"/>
    <n v="670000"/>
    <n v="3050"/>
    <n v="2024"/>
    <n v="5.0999999999999996"/>
    <s v="15"/>
    <x v="2"/>
    <s v="No"/>
    <x v="1"/>
    <n v="219.67213114754099"/>
    <n v="3362.5049534316927"/>
    <n v="439251.48602950783"/>
    <n v="1008751.4860295078"/>
    <n v="569500"/>
  </r>
  <r>
    <x v="5"/>
    <x v="2"/>
    <n v="440000"/>
    <n v="2000"/>
    <n v="2024"/>
    <n v="5.2"/>
    <s v="15"/>
    <x v="2"/>
    <s v="No"/>
    <x v="1"/>
    <n v="220"/>
    <n v="2230.1676791203499"/>
    <n v="295050.30373610486"/>
    <n v="669050.30373610486"/>
    <n v="374000"/>
  </r>
  <r>
    <x v="8"/>
    <x v="1"/>
    <n v="660000"/>
    <n v="3000"/>
    <n v="2024"/>
    <n v="5.0999999999999996"/>
    <s v="15"/>
    <x v="2"/>
    <s v="No"/>
    <x v="1"/>
    <n v="220"/>
    <n v="3312.3183123356976"/>
    <n v="432695.49370070931"/>
    <n v="993695.49370070931"/>
    <n v="561000"/>
  </r>
  <r>
    <x v="8"/>
    <x v="1"/>
    <n v="650000"/>
    <n v="2950"/>
    <n v="2024"/>
    <n v="5.0999999999999996"/>
    <s v="15"/>
    <x v="2"/>
    <s v="No"/>
    <x v="1"/>
    <n v="220.33898305084745"/>
    <n v="3262.131671239702"/>
    <n v="426139.50137191045"/>
    <n v="978639.50137191045"/>
    <n v="552500"/>
  </r>
  <r>
    <x v="1"/>
    <x v="3"/>
    <n v="430000"/>
    <n v="1950"/>
    <n v="2024"/>
    <n v="5.4"/>
    <s v="20"/>
    <x v="2"/>
    <s v="Yes"/>
    <x v="1"/>
    <n v="220.51282051282053"/>
    <n v="2091.9669158842225"/>
    <n v="283590.07476526673"/>
    <n v="627590.07476526673"/>
    <n v="344000"/>
  </r>
  <r>
    <x v="8"/>
    <x v="1"/>
    <n v="675000"/>
    <n v="3060"/>
    <n v="2024"/>
    <n v="5.0999999999999996"/>
    <s v="15"/>
    <x v="2"/>
    <s v="No"/>
    <x v="1"/>
    <n v="220.58823529411765"/>
    <n v="3387.5982739796905"/>
    <n v="442529.48219390714"/>
    <n v="1016279.4821939071"/>
    <n v="573750"/>
  </r>
  <r>
    <x v="1"/>
    <x v="3"/>
    <n v="428000"/>
    <n v="1900"/>
    <n v="2024"/>
    <n v="5.4"/>
    <s v="20"/>
    <x v="2"/>
    <s v="Yes"/>
    <x v="1"/>
    <n v="225.26315789473685"/>
    <n v="2082.2368372056912"/>
    <n v="282271.05116170744"/>
    <n v="624671.05116170738"/>
    <n v="342400"/>
  </r>
  <r>
    <x v="6"/>
    <x v="3"/>
    <n v="330000"/>
    <n v="1450"/>
    <n v="2024"/>
    <n v="5.0999999999999996"/>
    <n v="20"/>
    <x v="2"/>
    <s v="Yes"/>
    <x v="2"/>
    <n v="227.58620689655172"/>
    <n v="1558.7380293344459"/>
    <n v="203621.40880033374"/>
    <n v="467621.40880033374"/>
    <n v="264000"/>
  </r>
  <r>
    <x v="1"/>
    <x v="3"/>
    <n v="425000"/>
    <n v="1850"/>
    <n v="2024"/>
    <n v="5.4"/>
    <s v="20"/>
    <x v="2"/>
    <s v="Yes"/>
    <x v="1"/>
    <n v="229.72972972972974"/>
    <n v="2067.6417191878941"/>
    <n v="280292.51575636823"/>
    <n v="620292.51575636817"/>
    <n v="340000"/>
  </r>
  <r>
    <x v="8"/>
    <x v="1"/>
    <n v="640000"/>
    <n v="2750"/>
    <n v="2024"/>
    <n v="5.0999999999999996"/>
    <s v="15"/>
    <x v="2"/>
    <s v="No"/>
    <x v="1"/>
    <n v="232.72727272727272"/>
    <n v="3211.9450301437064"/>
    <n v="419583.50904311193"/>
    <n v="963583.50904311193"/>
    <n v="544000"/>
  </r>
  <r>
    <x v="8"/>
    <x v="1"/>
    <n v="620000"/>
    <n v="2650"/>
    <n v="2024"/>
    <n v="5.0999999999999996"/>
    <s v="15"/>
    <x v="2"/>
    <s v="No"/>
    <x v="1"/>
    <n v="233.96226415094338"/>
    <n v="3111.5717479517161"/>
    <n v="406471.52438551467"/>
    <n v="933471.52438551467"/>
    <n v="527000"/>
  </r>
  <r>
    <x v="8"/>
    <x v="1"/>
    <n v="610000"/>
    <n v="2600"/>
    <n v="2024"/>
    <n v="5.0999999999999996"/>
    <s v="15"/>
    <x v="2"/>
    <s v="No"/>
    <x v="1"/>
    <n v="234.61538461538461"/>
    <n v="3061.3851068557206"/>
    <n v="399915.5320567161"/>
    <n v="918415.53205671604"/>
    <n v="518500"/>
  </r>
  <r>
    <x v="8"/>
    <x v="1"/>
    <n v="635000"/>
    <n v="2700"/>
    <n v="2024"/>
    <n v="5.0999999999999996"/>
    <s v="15"/>
    <x v="2"/>
    <s v="No"/>
    <x v="1"/>
    <n v="235.18518518518519"/>
    <n v="3186.8517095957091"/>
    <n v="416305.51287871273"/>
    <n v="956055.51287871273"/>
    <n v="539750"/>
  </r>
  <r>
    <x v="8"/>
    <x v="1"/>
    <n v="600000"/>
    <n v="2550"/>
    <n v="2023"/>
    <n v="6.1"/>
    <s v="15"/>
    <x v="2"/>
    <s v="No"/>
    <x v="1"/>
    <n v="235.29411764705881"/>
    <n v="3317.1828571757396"/>
    <n v="485154.8571527219"/>
    <n v="995154.85715272184"/>
    <n v="510000"/>
  </r>
  <r>
    <x v="8"/>
    <x v="1"/>
    <n v="630000"/>
    <n v="2650"/>
    <n v="2024"/>
    <n v="5.0999999999999996"/>
    <s v="15"/>
    <x v="2"/>
    <s v="No"/>
    <x v="1"/>
    <n v="237.73584905660377"/>
    <n v="3161.7583890477113"/>
    <n v="413027.51671431342"/>
    <n v="948527.51671431342"/>
    <n v="535500"/>
  </r>
  <r>
    <x v="8"/>
    <x v="1"/>
    <n v="585000"/>
    <n v="2460"/>
    <n v="2023"/>
    <n v="6.1"/>
    <s v="15"/>
    <x v="2"/>
    <s v="No"/>
    <x v="1"/>
    <n v="237.80487804878049"/>
    <n v="3234.2532857463461"/>
    <n v="473025.98572390387"/>
    <n v="970275.98572390387"/>
    <n v="497250"/>
  </r>
  <r>
    <x v="8"/>
    <x v="1"/>
    <n v="580000"/>
    <n v="2430"/>
    <n v="2024"/>
    <n v="5.0999999999999996"/>
    <s v="15"/>
    <x v="2"/>
    <s v="No"/>
    <x v="1"/>
    <n v="238.68312757201647"/>
    <n v="2910.8251835677343"/>
    <n v="380247.5550703202"/>
    <n v="873247.55507032014"/>
    <n v="493000"/>
  </r>
  <r>
    <x v="8"/>
    <x v="1"/>
    <n v="575000"/>
    <n v="2400"/>
    <n v="2023"/>
    <n v="6"/>
    <s v="15"/>
    <x v="2"/>
    <s v="No"/>
    <x v="1"/>
    <n v="239.58333333333334"/>
    <n v="3149.0230997604231"/>
    <n v="455956.92992812698"/>
    <n v="944706.92992812698"/>
    <n v="488750"/>
  </r>
  <r>
    <x v="8"/>
    <x v="1"/>
    <n v="625000"/>
    <n v="2600"/>
    <n v="2024"/>
    <n v="5.0999999999999996"/>
    <s v="15"/>
    <x v="2"/>
    <s v="No"/>
    <x v="1"/>
    <n v="240.38461538461539"/>
    <n v="3136.6650684997135"/>
    <n v="409749.52054991398"/>
    <n v="940999.52054991398"/>
    <n v="531250"/>
  </r>
  <r>
    <x v="8"/>
    <x v="1"/>
    <n v="570000"/>
    <n v="2350"/>
    <n v="2024"/>
    <n v="5.0999999999999996"/>
    <s v="15"/>
    <x v="2"/>
    <s v="No"/>
    <x v="1"/>
    <n v="242.55319148936169"/>
    <n v="2860.6385424717387"/>
    <n v="373691.56274152157"/>
    <n v="858191.56274152151"/>
    <n v="484500"/>
  </r>
  <r>
    <x v="8"/>
    <x v="1"/>
    <n v="560000"/>
    <n v="2300"/>
    <n v="2024"/>
    <n v="5.0999999999999996"/>
    <s v="15"/>
    <x v="2"/>
    <s v="No"/>
    <x v="1"/>
    <n v="243.47826086956522"/>
    <n v="2810.4519013757431"/>
    <n v="367135.57041272288"/>
    <n v="843135.57041272288"/>
    <n v="476000"/>
  </r>
  <r>
    <x v="8"/>
    <x v="1"/>
    <n v="565000"/>
    <n v="2320"/>
    <n v="2023"/>
    <n v="6.1"/>
    <s v="15"/>
    <x v="2"/>
    <s v="No"/>
    <x v="1"/>
    <n v="243.5344827586207"/>
    <n v="3123.6805238404881"/>
    <n v="456854.15715214645"/>
    <n v="937104.15715214645"/>
    <n v="480250"/>
  </r>
  <r>
    <x v="1"/>
    <x v="3"/>
    <n v="415000"/>
    <n v="1700"/>
    <n v="2024"/>
    <n v="5.4"/>
    <s v="20"/>
    <x v="2"/>
    <s v="Yes"/>
    <x v="1"/>
    <n v="244.11764705882354"/>
    <n v="2018.9913257952378"/>
    <n v="273697.39773857145"/>
    <n v="605697.39773857151"/>
    <n v="332000"/>
  </r>
  <r>
    <x v="8"/>
    <x v="1"/>
    <n v="605000"/>
    <n v="2450"/>
    <n v="2024"/>
    <n v="5.0999999999999996"/>
    <s v="15"/>
    <x v="2"/>
    <s v="No"/>
    <x v="1"/>
    <n v="246.9387755102041"/>
    <n v="3036.2917863077228"/>
    <n v="396637.53589231684"/>
    <n v="910887.53589231684"/>
    <n v="514250"/>
  </r>
  <r>
    <x v="8"/>
    <x v="1"/>
    <n v="575000"/>
    <n v="2320"/>
    <n v="2023"/>
    <n v="6.1"/>
    <s v="15"/>
    <x v="2"/>
    <s v="No"/>
    <x v="1"/>
    <n v="247.84482758620689"/>
    <n v="3178.9669047934176"/>
    <n v="464940.07143802533"/>
    <n v="953690.07143802533"/>
    <n v="488750"/>
  </r>
  <r>
    <x v="8"/>
    <x v="1"/>
    <n v="595000"/>
    <n v="2400"/>
    <n v="2024"/>
    <n v="5.0999999999999996"/>
    <s v="15"/>
    <x v="2"/>
    <s v="No"/>
    <x v="1"/>
    <n v="247.91666666666666"/>
    <n v="2986.1051452117272"/>
    <n v="390081.54356351821"/>
    <n v="895831.54356351821"/>
    <n v="505750"/>
  </r>
  <r>
    <x v="7"/>
    <x v="0"/>
    <n v="298000"/>
    <n v="1200"/>
    <n v="2024"/>
    <n v="5.4"/>
    <s v="12"/>
    <x v="1"/>
    <s v="No"/>
    <x v="0"/>
    <n v="248.33333333333334"/>
    <n v="1594.7598954112746"/>
    <n v="216187.96862338245"/>
    <n v="478427.96862338245"/>
    <n v="262240"/>
  </r>
  <r>
    <x v="1"/>
    <x v="3"/>
    <n v="410000"/>
    <n v="1650"/>
    <n v="2024"/>
    <n v="5.4"/>
    <s v="20"/>
    <x v="2"/>
    <s v="Yes"/>
    <x v="1"/>
    <n v="248.4848484848485"/>
    <n v="1994.6661290989098"/>
    <n v="270399.83872967301"/>
    <n v="598399.83872967307"/>
    <n v="328000"/>
  </r>
  <r>
    <x v="8"/>
    <x v="1"/>
    <n v="585000"/>
    <n v="2350"/>
    <n v="2024"/>
    <n v="5.0999999999999996"/>
    <s v="15"/>
    <x v="2"/>
    <s v="No"/>
    <x v="1"/>
    <n v="248.93617021276594"/>
    <n v="2935.918504115732"/>
    <n v="383525.55123471946"/>
    <n v="880775.55123471946"/>
    <n v="497250"/>
  </r>
  <r>
    <x v="7"/>
    <x v="3"/>
    <n v="685000"/>
    <n v="2750"/>
    <n v="2024"/>
    <n v="5.3"/>
    <s v="22"/>
    <x v="3"/>
    <s v="Yes"/>
    <x v="2"/>
    <n v="249.09090909090909"/>
    <n v="3217.5609915964096"/>
    <n v="430968.29747892288"/>
    <n v="965268.29747892288"/>
    <n v="534300"/>
  </r>
  <r>
    <x v="8"/>
    <x v="1"/>
    <n v="556000"/>
    <n v="2230"/>
    <n v="2024"/>
    <n v="5.2"/>
    <s v="15"/>
    <x v="2"/>
    <s v="No"/>
    <x v="1"/>
    <n v="249.32735426008969"/>
    <n v="2818.1209763429879"/>
    <n v="372836.29290289618"/>
    <n v="845436.29290289618"/>
    <n v="472600"/>
  </r>
  <r>
    <x v="0"/>
    <x v="1"/>
    <n v="225000"/>
    <n v="900"/>
    <n v="2024"/>
    <n v="5.4"/>
    <s v="6"/>
    <x v="0"/>
    <s v="No"/>
    <x v="0"/>
    <n v="250"/>
    <n v="1286.194775318352"/>
    <n v="174358.43259550561"/>
    <n v="385858.43259550561"/>
    <n v="211500"/>
  </r>
  <r>
    <x v="7"/>
    <x v="3"/>
    <n v="690000"/>
    <n v="2760"/>
    <n v="2024"/>
    <n v="5.3"/>
    <s v="22"/>
    <x v="3"/>
    <s v="Yes"/>
    <x v="2"/>
    <n v="250"/>
    <n v="3241.0468382503977"/>
    <n v="434114.05147511931"/>
    <n v="972314.05147511931"/>
    <n v="538200"/>
  </r>
  <r>
    <x v="8"/>
    <x v="1"/>
    <n v="552000"/>
    <n v="2200"/>
    <n v="2023"/>
    <n v="6"/>
    <s v="15"/>
    <x v="2"/>
    <s v="No"/>
    <x v="1"/>
    <n v="250.90909090909091"/>
    <n v="3023.062175770006"/>
    <n v="437718.6527310019"/>
    <n v="906918.65273100184"/>
    <n v="469200"/>
  </r>
  <r>
    <x v="8"/>
    <x v="1"/>
    <n v="565000"/>
    <n v="2250"/>
    <n v="2024"/>
    <n v="5.0999999999999996"/>
    <s v="15"/>
    <x v="2"/>
    <s v="No"/>
    <x v="1"/>
    <n v="251.11111111111111"/>
    <n v="2835.5452219237409"/>
    <n v="370413.56657712231"/>
    <n v="850663.56657712231"/>
    <n v="480250"/>
  </r>
  <r>
    <x v="8"/>
    <x v="1"/>
    <n v="548000"/>
    <n v="2180"/>
    <n v="2024"/>
    <n v="5"/>
    <s v="15"/>
    <x v="2"/>
    <s v="No"/>
    <x v="1"/>
    <n v="251.37614678899084"/>
    <n v="2723.0204133441666"/>
    <n v="351106.12400325004"/>
    <n v="816906.12400325004"/>
    <n v="465800"/>
  </r>
  <r>
    <x v="7"/>
    <x v="3"/>
    <n v="680000"/>
    <n v="2700"/>
    <n v="2024"/>
    <n v="5.3"/>
    <s v="22"/>
    <x v="3"/>
    <s v="Yes"/>
    <x v="2"/>
    <n v="251.85185185185185"/>
    <n v="3194.075144942421"/>
    <n v="427822.54348272632"/>
    <n v="958222.54348272632"/>
    <n v="530400"/>
  </r>
  <r>
    <x v="8"/>
    <x v="1"/>
    <n v="580000"/>
    <n v="2300"/>
    <n v="2024"/>
    <n v="5.0999999999999996"/>
    <s v="15"/>
    <x v="2"/>
    <s v="No"/>
    <x v="1"/>
    <n v="252.17391304347825"/>
    <n v="2910.8251835677343"/>
    <n v="380247.5550703202"/>
    <n v="873247.55507032014"/>
    <n v="493000"/>
  </r>
  <r>
    <x v="1"/>
    <x v="3"/>
    <n v="405000"/>
    <n v="1600"/>
    <n v="2024"/>
    <n v="5.4"/>
    <s v="20"/>
    <x v="2"/>
    <s v="Yes"/>
    <x v="1"/>
    <n v="253.125"/>
    <n v="1970.3409324025815"/>
    <n v="267102.27972077456"/>
    <n v="591102.27972077462"/>
    <n v="324000"/>
  </r>
  <r>
    <x v="7"/>
    <x v="3"/>
    <n v="675000"/>
    <n v="2650"/>
    <n v="2024"/>
    <n v="5.3"/>
    <s v="22"/>
    <x v="3"/>
    <s v="Yes"/>
    <x v="2"/>
    <n v="254.71698113207546"/>
    <n v="3170.5892982884329"/>
    <n v="424676.78948652989"/>
    <n v="951176.78948652989"/>
    <n v="526500"/>
  </r>
  <r>
    <x v="0"/>
    <x v="0"/>
    <n v="190000"/>
    <n v="740"/>
    <n v="2024"/>
    <n v="5.4"/>
    <s v="8"/>
    <x v="0"/>
    <s v="No"/>
    <x v="0"/>
    <n v="256.75675675675677"/>
    <n v="1063.0110956295409"/>
    <n v="144103.3286888623"/>
    <n v="318903.32868886227"/>
    <n v="174800"/>
  </r>
  <r>
    <x v="1"/>
    <x v="3"/>
    <n v="400000"/>
    <n v="1550"/>
    <n v="2024"/>
    <n v="5.4"/>
    <s v="20"/>
    <x v="0"/>
    <s v="Yes"/>
    <x v="1"/>
    <n v="258.06451612903226"/>
    <n v="1946.0157357062535"/>
    <n v="263804.72071187611"/>
    <n v="583804.72071187617"/>
    <n v="320000"/>
  </r>
  <r>
    <x v="1"/>
    <x v="3"/>
    <n v="440000"/>
    <n v="1700"/>
    <n v="2023"/>
    <n v="6.2"/>
    <s v="20"/>
    <x v="2"/>
    <s v="Yes"/>
    <x v="2"/>
    <n v="258.8235294117647"/>
    <n v="2311.1689784351502"/>
    <n v="341350.6935305451"/>
    <n v="693350.6935305451"/>
    <n v="352000"/>
  </r>
  <r>
    <x v="1"/>
    <x v="3"/>
    <n v="430000"/>
    <n v="1650"/>
    <n v="2023"/>
    <n v="6.2"/>
    <s v="20"/>
    <x v="2"/>
    <s v="Yes"/>
    <x v="2"/>
    <n v="260.60606060606062"/>
    <n v="2258.6424107434423"/>
    <n v="333592.72322303272"/>
    <n v="677592.72322303266"/>
    <n v="344000"/>
  </r>
  <r>
    <x v="4"/>
    <x v="3"/>
    <n v="550000"/>
    <n v="2100"/>
    <n v="2024"/>
    <n v="5.2"/>
    <s v="20"/>
    <x v="2"/>
    <s v="Yes"/>
    <x v="2"/>
    <n v="261.90476190476193"/>
    <n v="2623.726681318059"/>
    <n v="347118.00439541752"/>
    <n v="787118.00439541752"/>
    <n v="440000"/>
  </r>
  <r>
    <x v="4"/>
    <x v="3"/>
    <n v="552000"/>
    <n v="2105"/>
    <n v="2024"/>
    <n v="5.2"/>
    <s v="20"/>
    <x v="2"/>
    <s v="Yes"/>
    <x v="2"/>
    <n v="262.23277909738715"/>
    <n v="2633.2675056137609"/>
    <n v="348380.25168412819"/>
    <n v="789980.25168412819"/>
    <n v="441600"/>
  </r>
  <r>
    <x v="2"/>
    <x v="3"/>
    <n v="420000"/>
    <n v="1600"/>
    <n v="2024"/>
    <n v="5.3"/>
    <s v="18"/>
    <x v="1"/>
    <s v="Yes"/>
    <x v="2"/>
    <n v="262.5"/>
    <n v="2073.9809199060514"/>
    <n v="277794.27597181546"/>
    <n v="622194.27597181546"/>
    <n v="344400"/>
  </r>
  <r>
    <x v="1"/>
    <x v="3"/>
    <n v="420000"/>
    <n v="1600"/>
    <n v="2023"/>
    <n v="6.2"/>
    <s v="20"/>
    <x v="2"/>
    <s v="Yes"/>
    <x v="1"/>
    <n v="262.5"/>
    <n v="2206.1158430517344"/>
    <n v="325834.75291552034"/>
    <n v="661834.75291552034"/>
    <n v="336000"/>
  </r>
  <r>
    <x v="1"/>
    <x v="3"/>
    <n v="395000"/>
    <n v="1500"/>
    <n v="2024"/>
    <n v="5.4"/>
    <s v="20"/>
    <x v="2"/>
    <s v="Yes"/>
    <x v="1"/>
    <n v="263.33333333333331"/>
    <n v="1921.6905390099253"/>
    <n v="260507.16170297767"/>
    <n v="576507.16170297773"/>
    <n v="316000"/>
  </r>
  <r>
    <x v="4"/>
    <x v="3"/>
    <n v="545000"/>
    <n v="2050"/>
    <n v="2024"/>
    <n v="5.2"/>
    <s v="20"/>
    <x v="2"/>
    <s v="Yes"/>
    <x v="2"/>
    <n v="265.85365853658539"/>
    <n v="2599.8746205788038"/>
    <n v="343962.38617364102"/>
    <n v="779962.38617364108"/>
    <n v="436000"/>
  </r>
  <r>
    <x v="1"/>
    <x v="3"/>
    <n v="405000"/>
    <n v="1520"/>
    <n v="2023"/>
    <n v="6.2"/>
    <s v="20"/>
    <x v="2"/>
    <s v="Yes"/>
    <x v="2"/>
    <n v="266.44736842105266"/>
    <n v="2127.3259915141725"/>
    <n v="314197.79745425179"/>
    <n v="638197.79745425179"/>
    <n v="324000"/>
  </r>
  <r>
    <x v="1"/>
    <x v="3"/>
    <n v="400000"/>
    <n v="1500"/>
    <n v="2024"/>
    <n v="5.4"/>
    <s v="20"/>
    <x v="2"/>
    <s v="Yes"/>
    <x v="2"/>
    <n v="266.66666666666669"/>
    <n v="1946.0157357062535"/>
    <n v="263804.72071187611"/>
    <n v="583804.72071187617"/>
    <n v="320000"/>
  </r>
  <r>
    <x v="1"/>
    <x v="3"/>
    <n v="395000"/>
    <n v="1480"/>
    <n v="2023"/>
    <n v="6.2"/>
    <s v="20"/>
    <x v="2"/>
    <s v="Yes"/>
    <x v="1"/>
    <n v="266.89189189189187"/>
    <n v="2074.7994238224646"/>
    <n v="306439.82714673935"/>
    <n v="622439.82714673935"/>
    <n v="316000"/>
  </r>
  <r>
    <x v="1"/>
    <x v="3"/>
    <n v="390000"/>
    <n v="1450"/>
    <n v="2024"/>
    <n v="5.4"/>
    <s v="20"/>
    <x v="2"/>
    <s v="Yes"/>
    <x v="2"/>
    <n v="268.9655172413793"/>
    <n v="1897.3653423135972"/>
    <n v="257209.60269407916"/>
    <n v="569209.60269407916"/>
    <n v="312000"/>
  </r>
  <r>
    <x v="2"/>
    <x v="3"/>
    <n v="405000"/>
    <n v="1500"/>
    <n v="2023"/>
    <n v="6.3"/>
    <s v="18"/>
    <x v="1"/>
    <s v="Yes"/>
    <x v="2"/>
    <n v="270"/>
    <n v="2201.0374270942407"/>
    <n v="328211.22812827211"/>
    <n v="660311.22812827211"/>
    <n v="332100"/>
  </r>
  <r>
    <x v="4"/>
    <x v="3"/>
    <n v="540000"/>
    <n v="2000"/>
    <n v="2024"/>
    <n v="5.2"/>
    <s v="20"/>
    <x v="2"/>
    <s v="Yes"/>
    <x v="2"/>
    <n v="270"/>
    <n v="2576.0225598395486"/>
    <n v="340806.76795186452"/>
    <n v="772806.76795186452"/>
    <n v="432000"/>
  </r>
  <r>
    <x v="0"/>
    <x v="0"/>
    <n v="200000"/>
    <n v="740"/>
    <n v="2024"/>
    <n v="5.4"/>
    <s v="8"/>
    <x v="0"/>
    <s v="No"/>
    <x v="0"/>
    <n v="270.27027027027026"/>
    <n v="1118.9590480310958"/>
    <n v="151687.71440932879"/>
    <n v="335687.71440932876"/>
    <n v="184000"/>
  </r>
  <r>
    <x v="1"/>
    <x v="3"/>
    <n v="385000"/>
    <n v="1420"/>
    <n v="2023"/>
    <n v="6.2"/>
    <s v="20"/>
    <x v="2"/>
    <s v="Yes"/>
    <x v="2"/>
    <n v="271.12676056338029"/>
    <n v="2022.2728561307565"/>
    <n v="298681.85683922691"/>
    <n v="606681.85683922691"/>
    <n v="308000"/>
  </r>
  <r>
    <x v="1"/>
    <x v="3"/>
    <n v="380000"/>
    <n v="1400"/>
    <n v="2024"/>
    <n v="5.4"/>
    <s v="20"/>
    <x v="2"/>
    <s v="Yes"/>
    <x v="1"/>
    <n v="271.42857142857144"/>
    <n v="1848.7149489209407"/>
    <n v="250614.48467628227"/>
    <n v="554614.48467628227"/>
    <n v="304000"/>
  </r>
  <r>
    <x v="4"/>
    <x v="3"/>
    <n v="530000"/>
    <n v="1950"/>
    <n v="2024"/>
    <n v="5.2"/>
    <s v="20"/>
    <x v="2"/>
    <s v="Yes"/>
    <x v="2"/>
    <n v="271.79487179487177"/>
    <n v="2528.3184383610383"/>
    <n v="334495.53150831145"/>
    <n v="758495.5315083114"/>
    <n v="424000"/>
  </r>
  <r>
    <x v="2"/>
    <x v="3"/>
    <n v="398000"/>
    <n v="1460"/>
    <n v="2024"/>
    <n v="5.3"/>
    <s v="18"/>
    <x v="1"/>
    <s v="Yes"/>
    <x v="2"/>
    <n v="272.60273972602738"/>
    <n v="1965.3438241014489"/>
    <n v="263243.1472304347"/>
    <n v="589603.1472304347"/>
    <n v="326360"/>
  </r>
  <r>
    <x v="1"/>
    <x v="3"/>
    <n v="374000"/>
    <n v="1360"/>
    <n v="2024"/>
    <n v="5.4"/>
    <s v="20"/>
    <x v="2"/>
    <s v="Yes"/>
    <x v="2"/>
    <n v="275"/>
    <n v="1819.5247128853471"/>
    <n v="246657.41386560415"/>
    <n v="545857.41386560421"/>
    <n v="299200"/>
  </r>
  <r>
    <x v="4"/>
    <x v="3"/>
    <n v="525000"/>
    <n v="1900"/>
    <n v="2024"/>
    <n v="5.2"/>
    <s v="20"/>
    <x v="2"/>
    <s v="Yes"/>
    <x v="2"/>
    <n v="276.31578947368422"/>
    <n v="2504.4663776217835"/>
    <n v="331339.91328653501"/>
    <n v="751339.91328653507"/>
    <n v="420000"/>
  </r>
  <r>
    <x v="0"/>
    <x v="3"/>
    <n v="310000"/>
    <n v="1120"/>
    <n v="2023"/>
    <n v="6.6"/>
    <n v="25"/>
    <x v="2"/>
    <s v="Yes"/>
    <x v="2"/>
    <n v="276.78571428571428"/>
    <n v="1584.4156562735443"/>
    <n v="242824.6968820632"/>
    <n v="475324.69688206317"/>
    <n v="232500"/>
  </r>
  <r>
    <x v="6"/>
    <x v="3"/>
    <n v="410000"/>
    <n v="1480"/>
    <n v="2024"/>
    <n v="5.0999999999999996"/>
    <n v="20"/>
    <x v="2"/>
    <s v="Yes"/>
    <x v="2"/>
    <n v="277.02702702702703"/>
    <n v="1936.6139152337055"/>
    <n v="252984.17457011162"/>
    <n v="580984.17457011156"/>
    <n v="328000"/>
  </r>
  <r>
    <x v="2"/>
    <x v="3"/>
    <n v="405000"/>
    <n v="1460"/>
    <n v="2024"/>
    <n v="5.3"/>
    <s v="18"/>
    <x v="1"/>
    <s v="Yes"/>
    <x v="2"/>
    <n v="277.39726027397262"/>
    <n v="1999.9101727665497"/>
    <n v="267873.05182996497"/>
    <n v="599973.05182996497"/>
    <n v="332100"/>
  </r>
  <r>
    <x v="2"/>
    <x v="3"/>
    <n v="392000"/>
    <n v="1410"/>
    <n v="2023"/>
    <n v="6.4"/>
    <s v="18"/>
    <x v="1"/>
    <s v="Yes"/>
    <x v="2"/>
    <n v="278.01418439716315"/>
    <n v="2150.3432004169599"/>
    <n v="323662.96012508811"/>
    <n v="645102.96012508811"/>
    <n v="321440"/>
  </r>
  <r>
    <x v="1"/>
    <x v="3"/>
    <n v="370000"/>
    <n v="1330"/>
    <n v="2023"/>
    <n v="6.5"/>
    <s v="20"/>
    <x v="2"/>
    <s v="Yes"/>
    <x v="1"/>
    <n v="278.19548872180451"/>
    <n v="1998.6131975890132"/>
    <n v="303583.95927670406"/>
    <n v="599583.95927670412"/>
    <n v="296000"/>
  </r>
  <r>
    <x v="1"/>
    <x v="3"/>
    <n v="405000"/>
    <n v="1450"/>
    <n v="2024"/>
    <n v="5.4"/>
    <s v="20"/>
    <x v="2"/>
    <s v="Yes"/>
    <x v="2"/>
    <n v="279.31034482758622"/>
    <n v="1970.3409324025815"/>
    <n v="267102.27972077456"/>
    <n v="591102.27972077462"/>
    <n v="324000"/>
  </r>
  <r>
    <x v="0"/>
    <x v="3"/>
    <n v="365000"/>
    <n v="1300"/>
    <n v="2024"/>
    <n v="5.4"/>
    <s v="25"/>
    <x v="2"/>
    <s v="Yes"/>
    <x v="2"/>
    <n v="280.76923076923077"/>
    <n v="1664.7556489049591"/>
    <n v="225676.69467148773"/>
    <n v="499426.69467148773"/>
    <n v="273750"/>
  </r>
  <r>
    <x v="2"/>
    <x v="3"/>
    <n v="410000"/>
    <n v="1460"/>
    <n v="2024"/>
    <n v="5.3"/>
    <n v="18"/>
    <x v="1"/>
    <s v="Yes"/>
    <x v="2"/>
    <n v="280.82191780821915"/>
    <n v="2024.6004218130504"/>
    <n v="271180.12654391507"/>
    <n v="607380.12654391513"/>
    <n v="336200"/>
  </r>
  <r>
    <x v="1"/>
    <x v="3"/>
    <n v="368000"/>
    <n v="1310"/>
    <n v="2024"/>
    <n v="5.3"/>
    <s v="18"/>
    <x v="2"/>
    <s v="Yes"/>
    <x v="2"/>
    <n v="280.91603053435114"/>
    <n v="1817.2023298224453"/>
    <n v="243400.69894673361"/>
    <n v="545160.69894673361"/>
    <n v="301760"/>
  </r>
  <r>
    <x v="4"/>
    <x v="3"/>
    <n v="520000"/>
    <n v="1850"/>
    <n v="2024"/>
    <n v="5.2"/>
    <s v="20"/>
    <x v="2"/>
    <s v="Yes"/>
    <x v="2"/>
    <n v="281.08108108108109"/>
    <n v="2480.6143168825283"/>
    <n v="328184.29506475839"/>
    <n v="744184.29506475839"/>
    <n v="416000"/>
  </r>
  <r>
    <x v="1"/>
    <x v="3"/>
    <n v="400000"/>
    <n v="1420"/>
    <n v="2023"/>
    <n v="6.2"/>
    <s v="20"/>
    <x v="2"/>
    <s v="Yes"/>
    <x v="2"/>
    <n v="281.6901408450704"/>
    <n v="2101.0627076683186"/>
    <n v="310318.81230049557"/>
    <n v="630318.81230049557"/>
    <n v="320000"/>
  </r>
  <r>
    <x v="1"/>
    <x v="3"/>
    <n v="395000"/>
    <n v="1400"/>
    <n v="2024"/>
    <n v="5.4"/>
    <s v="20"/>
    <x v="2"/>
    <s v="Yes"/>
    <x v="1"/>
    <n v="282.14285714285717"/>
    <n v="1921.6905390099253"/>
    <n v="260507.16170297767"/>
    <n v="576507.16170297773"/>
    <n v="316000"/>
  </r>
  <r>
    <x v="6"/>
    <x v="3"/>
    <n v="610000"/>
    <n v="2150"/>
    <n v="2024"/>
    <n v="5.0999999999999996"/>
    <s v="20"/>
    <x v="2"/>
    <s v="Yes"/>
    <x v="2"/>
    <n v="283.72093023255815"/>
    <n v="2881.3036299818546"/>
    <n v="376391.08899455628"/>
    <n v="864391.08899455634"/>
    <n v="488000"/>
  </r>
  <r>
    <x v="1"/>
    <x v="0"/>
    <n v="210000"/>
    <n v="740"/>
    <n v="2023"/>
    <n v="6.6"/>
    <s v="5"/>
    <x v="0"/>
    <s v="No"/>
    <x v="0"/>
    <n v="283.7837837837838"/>
    <n v="1359.5308534476219"/>
    <n v="208359.25603428652"/>
    <n v="407859.25603428652"/>
    <n v="199500"/>
  </r>
  <r>
    <x v="6"/>
    <x v="3"/>
    <n v="615000"/>
    <n v="2160"/>
    <n v="2024"/>
    <n v="5.0999999999999996"/>
    <s v="20"/>
    <x v="2"/>
    <s v="Yes"/>
    <x v="2"/>
    <n v="284.72222222222223"/>
    <n v="2904.9208728505582"/>
    <n v="379476.26185516745"/>
    <n v="871476.26185516745"/>
    <n v="492000"/>
  </r>
  <r>
    <x v="6"/>
    <x v="3"/>
    <n v="600000"/>
    <n v="2100"/>
    <n v="2024"/>
    <n v="5.0999999999999996"/>
    <s v="20"/>
    <x v="2"/>
    <s v="Yes"/>
    <x v="2"/>
    <n v="285.71428571428572"/>
    <n v="2834.0691442444472"/>
    <n v="370220.74327333405"/>
    <n v="850220.74327333411"/>
    <n v="480000"/>
  </r>
  <r>
    <x v="4"/>
    <x v="3"/>
    <n v="515000"/>
    <n v="1800"/>
    <n v="2024"/>
    <n v="5.2"/>
    <s v="20"/>
    <x v="2"/>
    <s v="Yes"/>
    <x v="2"/>
    <n v="286.11111111111109"/>
    <n v="2456.7622561432736"/>
    <n v="325028.67684298189"/>
    <n v="737028.67684298195"/>
    <n v="412000"/>
  </r>
  <r>
    <x v="2"/>
    <x v="3"/>
    <n v="420000"/>
    <n v="1460"/>
    <n v="2024"/>
    <n v="5.3"/>
    <n v="18"/>
    <x v="1"/>
    <s v="Yes"/>
    <x v="2"/>
    <n v="287.67123287671234"/>
    <n v="2073.9809199060514"/>
    <n v="277794.27597181546"/>
    <n v="622194.27597181546"/>
    <n v="344400"/>
  </r>
  <r>
    <x v="6"/>
    <x v="3"/>
    <n v="590000"/>
    <n v="2050"/>
    <n v="2024"/>
    <n v="5.0999999999999996"/>
    <s v="20"/>
    <x v="2"/>
    <s v="Yes"/>
    <x v="2"/>
    <n v="287.80487804878049"/>
    <n v="2786.8346585070399"/>
    <n v="364050.39755211194"/>
    <n v="836050.39755211188"/>
    <n v="472000"/>
  </r>
  <r>
    <x v="5"/>
    <x v="3"/>
    <n v="650000"/>
    <n v="2250"/>
    <n v="2024"/>
    <n v="5.0999999999999996"/>
    <s v="20"/>
    <x v="2"/>
    <s v="Yes"/>
    <x v="2"/>
    <n v="288.88888888888891"/>
    <n v="3070.2415729314844"/>
    <n v="401072.47187944531"/>
    <n v="921072.47187944525"/>
    <n v="520000"/>
  </r>
  <r>
    <x v="5"/>
    <x v="3"/>
    <n v="655000"/>
    <n v="2260"/>
    <n v="2024"/>
    <n v="5.0999999999999996"/>
    <s v="20"/>
    <x v="2"/>
    <s v="Yes"/>
    <x v="2"/>
    <n v="289.82300884955754"/>
    <n v="3093.8588158001876"/>
    <n v="404157.6447400563"/>
    <n v="928157.64474005625"/>
    <n v="524000"/>
  </r>
  <r>
    <x v="5"/>
    <x v="3"/>
    <n v="640000"/>
    <n v="2200"/>
    <n v="2024"/>
    <n v="5.0999999999999996"/>
    <s v="20"/>
    <x v="2"/>
    <s v="Yes"/>
    <x v="2"/>
    <n v="290.90909090909093"/>
    <n v="3023.007087194077"/>
    <n v="394902.12615822308"/>
    <n v="906902.12615822302"/>
    <n v="512000"/>
  </r>
  <r>
    <x v="4"/>
    <x v="3"/>
    <n v="510000"/>
    <n v="1750"/>
    <n v="2024"/>
    <n v="5.2"/>
    <s v="20"/>
    <x v="2"/>
    <s v="Yes"/>
    <x v="2"/>
    <n v="291.42857142857144"/>
    <n v="2432.9101954040184"/>
    <n v="321873.05862120533"/>
    <n v="729873.05862120539"/>
    <n v="408000"/>
  </r>
  <r>
    <x v="5"/>
    <x v="3"/>
    <n v="630000"/>
    <n v="2150"/>
    <n v="2024"/>
    <n v="5.0999999999999996"/>
    <s v="20"/>
    <x v="2"/>
    <s v="Yes"/>
    <x v="2"/>
    <n v="293.02325581395348"/>
    <n v="2975.7726014566697"/>
    <n v="388731.78043700085"/>
    <n v="892731.78043700079"/>
    <n v="504000"/>
  </r>
  <r>
    <x v="3"/>
    <x v="0"/>
    <n v="218000"/>
    <n v="740"/>
    <n v="2023"/>
    <n v="6.5"/>
    <s v="8"/>
    <x v="0"/>
    <s v="No"/>
    <x v="0"/>
    <n v="294.59459459459458"/>
    <n v="1354.1954827988261"/>
    <n v="205698.64483964781"/>
    <n v="406258.64483964781"/>
    <n v="200560"/>
  </r>
  <r>
    <x v="6"/>
    <x v="3"/>
    <n v="575000"/>
    <n v="1950"/>
    <n v="2024"/>
    <n v="5.0999999999999996"/>
    <s v="20"/>
    <x v="2"/>
    <s v="Yes"/>
    <x v="2"/>
    <n v="294.87179487179486"/>
    <n v="2715.9829299009284"/>
    <n v="354794.87897027849"/>
    <n v="814794.87897027843"/>
    <n v="460000"/>
  </r>
  <r>
    <x v="1"/>
    <x v="3"/>
    <n v="415000"/>
    <n v="1400"/>
    <n v="2024"/>
    <n v="5.0999999999999996"/>
    <n v="20"/>
    <x v="2"/>
    <s v="Yes"/>
    <x v="1"/>
    <n v="296.42857142857144"/>
    <n v="1960.2311581024092"/>
    <n v="256069.34743072273"/>
    <n v="588069.34743072279"/>
    <n v="332000"/>
  </r>
  <r>
    <x v="0"/>
    <x v="3"/>
    <n v="350000"/>
    <n v="1180"/>
    <n v="2024"/>
    <n v="5.4"/>
    <s v="25"/>
    <x v="2"/>
    <s v="Yes"/>
    <x v="2"/>
    <n v="296.61016949152543"/>
    <n v="1596.341033196536"/>
    <n v="216402.30995896086"/>
    <n v="478902.30995896086"/>
    <n v="262500"/>
  </r>
  <r>
    <x v="1"/>
    <x v="0"/>
    <n v="220000"/>
    <n v="740"/>
    <n v="2023"/>
    <n v="6.6"/>
    <s v="5"/>
    <x v="0"/>
    <s v="No"/>
    <x v="0"/>
    <n v="297.29729729729729"/>
    <n v="1424.2704178975087"/>
    <n v="218281.12536925255"/>
    <n v="427281.12536925252"/>
    <n v="209000"/>
  </r>
  <r>
    <x v="6"/>
    <x v="3"/>
    <n v="570000"/>
    <n v="1900"/>
    <n v="2024"/>
    <n v="5.0999999999999996"/>
    <s v="20"/>
    <x v="2"/>
    <s v="Yes"/>
    <x v="2"/>
    <n v="300"/>
    <n v="2692.3656870322247"/>
    <n v="351709.70610966737"/>
    <n v="807709.70610966743"/>
    <n v="456000"/>
  </r>
  <r>
    <x v="5"/>
    <x v="3"/>
    <n v="615000"/>
    <n v="2050"/>
    <n v="2024"/>
    <n v="5.0999999999999996"/>
    <s v="20"/>
    <x v="2"/>
    <s v="Yes"/>
    <x v="2"/>
    <n v="300"/>
    <n v="2904.9208728505582"/>
    <n v="379476.26185516745"/>
    <n v="871476.26185516745"/>
    <n v="492000"/>
  </r>
  <r>
    <x v="4"/>
    <x v="3"/>
    <n v="500000"/>
    <n v="1650"/>
    <n v="2023"/>
    <n v="6.2"/>
    <s v="20"/>
    <x v="2"/>
    <s v="Yes"/>
    <x v="2"/>
    <n v="303.030303030303"/>
    <n v="2626.328384585398"/>
    <n v="387898.5153756194"/>
    <n v="787898.5153756194"/>
    <n v="400000"/>
  </r>
  <r>
    <x v="0"/>
    <x v="3"/>
    <n v="340000"/>
    <n v="1120"/>
    <n v="2023"/>
    <n v="6.6"/>
    <s v="25"/>
    <x v="2"/>
    <s v="Yes"/>
    <x v="2"/>
    <n v="303.57142857142856"/>
    <n v="1737.7462036548552"/>
    <n v="266323.86109645641"/>
    <n v="521323.86109645641"/>
    <n v="255000"/>
  </r>
  <r>
    <x v="7"/>
    <x v="3"/>
    <n v="670000"/>
    <n v="2200"/>
    <n v="2024"/>
    <n v="5.3"/>
    <s v="22"/>
    <x v="3"/>
    <s v="Yes"/>
    <x v="2"/>
    <n v="304.54545454545456"/>
    <n v="3147.1034516344444"/>
    <n v="421531.03549033328"/>
    <n v="944131.03549033334"/>
    <n v="522600"/>
  </r>
  <r>
    <x v="5"/>
    <x v="3"/>
    <n v="610000"/>
    <n v="2000"/>
    <n v="2024"/>
    <n v="5.0999999999999996"/>
    <s v="20"/>
    <x v="2"/>
    <s v="Yes"/>
    <x v="2"/>
    <n v="305"/>
    <n v="2881.3036299818546"/>
    <n v="376391.08899455628"/>
    <n v="864391.08899455634"/>
    <n v="488000"/>
  </r>
  <r>
    <x v="6"/>
    <x v="3"/>
    <n v="565000"/>
    <n v="1850"/>
    <n v="2024"/>
    <n v="5.0999999999999996"/>
    <s v="20"/>
    <x v="2"/>
    <s v="Yes"/>
    <x v="2"/>
    <n v="305.40540540540542"/>
    <n v="2668.7484441635211"/>
    <n v="348624.53324905626"/>
    <n v="800624.5332490562"/>
    <n v="452000"/>
  </r>
  <r>
    <x v="0"/>
    <x v="3"/>
    <n v="330000"/>
    <n v="1080"/>
    <n v="2024"/>
    <n v="5.4"/>
    <s v="25"/>
    <x v="2"/>
    <s v="Yes"/>
    <x v="2"/>
    <n v="305.55555555555554"/>
    <n v="1505.1215455853053"/>
    <n v="204036.46367559163"/>
    <n v="451536.46367559163"/>
    <n v="247500"/>
  </r>
  <r>
    <x v="6"/>
    <x v="3"/>
    <n v="540000"/>
    <n v="1750"/>
    <n v="2024"/>
    <n v="5.0999999999999996"/>
    <s v="20"/>
    <x v="2"/>
    <s v="Yes"/>
    <x v="2"/>
    <n v="308.57142857142856"/>
    <n v="2550.6622298200023"/>
    <n v="333198.66894600063"/>
    <n v="765198.66894600063"/>
    <n v="432000"/>
  </r>
  <r>
    <x v="7"/>
    <x v="3"/>
    <n v="665000"/>
    <n v="2150"/>
    <n v="2024"/>
    <n v="5.3"/>
    <s v="22"/>
    <x v="3"/>
    <s v="Yes"/>
    <x v="2"/>
    <n v="309.30232558139534"/>
    <n v="3123.6176049804562"/>
    <n v="418385.28149413684"/>
    <n v="937085.2814941369"/>
    <n v="518700"/>
  </r>
  <r>
    <x v="4"/>
    <x v="3"/>
    <n v="495000"/>
    <n v="1600"/>
    <n v="2023"/>
    <n v="6.2"/>
    <s v="20"/>
    <x v="2"/>
    <s v="Yes"/>
    <x v="2"/>
    <n v="309.375"/>
    <n v="2600.0651007395441"/>
    <n v="384019.53022186318"/>
    <n v="780019.53022186318"/>
    <n v="396000"/>
  </r>
  <r>
    <x v="4"/>
    <x v="3"/>
    <n v="495000"/>
    <n v="1600"/>
    <n v="2024"/>
    <n v="5.2"/>
    <s v="20"/>
    <x v="2"/>
    <s v="Yes"/>
    <x v="2"/>
    <n v="309.375"/>
    <n v="2361.3540131862528"/>
    <n v="312406.20395587577"/>
    <n v="708406.20395587571"/>
    <n v="396000"/>
  </r>
  <r>
    <x v="5"/>
    <x v="3"/>
    <n v="605000"/>
    <n v="1950"/>
    <n v="2024"/>
    <n v="5.0999999999999996"/>
    <s v="20"/>
    <x v="2"/>
    <s v="Yes"/>
    <x v="2"/>
    <n v="310.25641025641028"/>
    <n v="2857.6863871131504"/>
    <n v="373305.91613394511"/>
    <n v="857305.91613394511"/>
    <n v="484000"/>
  </r>
  <r>
    <x v="0"/>
    <x v="1"/>
    <n v="230000"/>
    <n v="740"/>
    <n v="2024"/>
    <n v="5.3"/>
    <s v="6"/>
    <x v="0"/>
    <s v="No"/>
    <x v="0"/>
    <n v="310.81081081081084"/>
    <n v="1301.9589863057151"/>
    <n v="174387.69589171454"/>
    <n v="390587.69589171454"/>
    <n v="216200"/>
  </r>
  <r>
    <x v="2"/>
    <x v="0"/>
    <n v="230000"/>
    <n v="740"/>
    <n v="2023"/>
    <n v="6.4"/>
    <s v="5"/>
    <x v="0"/>
    <s v="No"/>
    <x v="0"/>
    <n v="310.81081081081084"/>
    <n v="1461.7035505571982"/>
    <n v="220011.06516715951"/>
    <n v="438511.06516715954"/>
    <n v="218500"/>
  </r>
  <r>
    <x v="6"/>
    <x v="3"/>
    <n v="560000"/>
    <n v="1800"/>
    <n v="2024"/>
    <n v="5.0999999999999996"/>
    <s v="20"/>
    <x v="2"/>
    <s v="Yes"/>
    <x v="2"/>
    <n v="311.11111111111109"/>
    <n v="2645.1312012948174"/>
    <n v="345539.36038844514"/>
    <n v="793539.3603884452"/>
    <n v="448000"/>
  </r>
  <r>
    <x v="0"/>
    <x v="3"/>
    <n v="350000"/>
    <n v="1120"/>
    <n v="2023"/>
    <n v="6.6"/>
    <s v="25"/>
    <x v="2"/>
    <s v="Yes"/>
    <x v="2"/>
    <n v="312.5"/>
    <n v="1788.856386115292"/>
    <n v="274156.91583458742"/>
    <n v="536656.91583458742"/>
    <n v="262500"/>
  </r>
  <r>
    <x v="6"/>
    <x v="3"/>
    <n v="550000"/>
    <n v="1750"/>
    <n v="2024"/>
    <n v="5.0999999999999996"/>
    <s v="20"/>
    <x v="2"/>
    <s v="Yes"/>
    <x v="2"/>
    <n v="314.28571428571428"/>
    <n v="2597.8967155574096"/>
    <n v="339369.01466722286"/>
    <n v="779369.01466722286"/>
    <n v="440000"/>
  </r>
  <r>
    <x v="7"/>
    <x v="3"/>
    <n v="660000"/>
    <n v="2100"/>
    <n v="2024"/>
    <n v="5.3"/>
    <s v="22"/>
    <x v="3"/>
    <s v="Yes"/>
    <x v="2"/>
    <n v="314.28571428571428"/>
    <n v="3100.1317583264672"/>
    <n v="415239.52749794006"/>
    <n v="930039.52749794"/>
    <n v="514800"/>
  </r>
  <r>
    <x v="5"/>
    <x v="3"/>
    <n v="600000"/>
    <n v="1900"/>
    <n v="2024"/>
    <n v="5.0999999999999996"/>
    <s v="20"/>
    <x v="2"/>
    <s v="Yes"/>
    <x v="2"/>
    <n v="315.78947368421052"/>
    <n v="2834.0691442444472"/>
    <n v="370220.74327333405"/>
    <n v="850220.74327333411"/>
    <n v="480000"/>
  </r>
  <r>
    <x v="4"/>
    <x v="3"/>
    <n v="490000"/>
    <n v="1550"/>
    <n v="2024"/>
    <n v="5.2"/>
    <s v="20"/>
    <x v="2"/>
    <s v="Yes"/>
    <x v="2"/>
    <n v="316.12903225806451"/>
    <n v="2337.5019524469981"/>
    <n v="309250.58573409927"/>
    <n v="701250.58573409927"/>
    <n v="392000"/>
  </r>
  <r>
    <x v="4"/>
    <x v="3"/>
    <n v="445000"/>
    <n v="1400"/>
    <n v="2023"/>
    <n v="6.1"/>
    <s v="20"/>
    <x v="2"/>
    <s v="Yes"/>
    <x v="2"/>
    <n v="317.85714285714283"/>
    <n v="2315.5237199109083"/>
    <n v="338657.11597327248"/>
    <n v="694657.11597327248"/>
    <n v="356000"/>
  </r>
  <r>
    <x v="7"/>
    <x v="3"/>
    <n v="655000"/>
    <n v="2050"/>
    <n v="2024"/>
    <n v="5.3"/>
    <s v="22"/>
    <x v="3"/>
    <s v="Yes"/>
    <x v="2"/>
    <n v="319.51219512195121"/>
    <n v="3076.6459116724791"/>
    <n v="412093.77350174362"/>
    <n v="922993.77350174356"/>
    <n v="510900"/>
  </r>
  <r>
    <x v="7"/>
    <x v="3"/>
    <n v="640000"/>
    <n v="2000"/>
    <n v="2024"/>
    <n v="5.3"/>
    <s v="22"/>
    <x v="3"/>
    <s v="Yes"/>
    <x v="2"/>
    <n v="320"/>
    <n v="3006.1883717105138"/>
    <n v="402656.51151315408"/>
    <n v="901856.51151315402"/>
    <n v="499200"/>
  </r>
  <r>
    <x v="4"/>
    <x v="3"/>
    <n v="480000"/>
    <n v="1500"/>
    <n v="2024"/>
    <n v="5.2"/>
    <s v="20"/>
    <x v="2"/>
    <s v="Yes"/>
    <x v="2"/>
    <n v="320"/>
    <n v="2289.7978309684877"/>
    <n v="302939.34929054626"/>
    <n v="686939.34929054626"/>
    <n v="384000"/>
  </r>
  <r>
    <x v="4"/>
    <x v="3"/>
    <n v="475000"/>
    <n v="1480"/>
    <n v="2023"/>
    <n v="6.2"/>
    <s v="20"/>
    <x v="2"/>
    <s v="Yes"/>
    <x v="2"/>
    <n v="320.94594594594594"/>
    <n v="2495.0119653561283"/>
    <n v="368503.58960683853"/>
    <n v="748503.58960683853"/>
    <n v="380000"/>
  </r>
  <r>
    <x v="6"/>
    <x v="3"/>
    <n v="530000"/>
    <n v="1650"/>
    <n v="2023"/>
    <n v="6"/>
    <s v="20"/>
    <x v="2"/>
    <s v="Yes"/>
    <x v="2"/>
    <n v="321.21212121212119"/>
    <n v="2731.8379422985563"/>
    <n v="395551.38268956693"/>
    <n v="819551.38268956693"/>
    <n v="424000"/>
  </r>
  <r>
    <x v="7"/>
    <x v="3"/>
    <n v="630000"/>
    <n v="1950"/>
    <n v="2024"/>
    <n v="5.3"/>
    <s v="22"/>
    <x v="3"/>
    <s v="Yes"/>
    <x v="2"/>
    <n v="323.07692307692309"/>
    <n v="2959.2166784025371"/>
    <n v="396365.00352076109"/>
    <n v="887765.00352076115"/>
    <n v="491400"/>
  </r>
  <r>
    <x v="4"/>
    <x v="3"/>
    <n v="460000"/>
    <n v="1420"/>
    <n v="2023"/>
    <n v="6.1"/>
    <s v="20"/>
    <x v="2"/>
    <s v="Yes"/>
    <x v="2"/>
    <n v="323.94366197183098"/>
    <n v="2393.5750812562201"/>
    <n v="350072.52437686606"/>
    <n v="718072.52437686606"/>
    <n v="368000"/>
  </r>
  <r>
    <x v="4"/>
    <x v="3"/>
    <n v="470000"/>
    <n v="1450"/>
    <n v="2024"/>
    <n v="5.2"/>
    <s v="20"/>
    <x v="2"/>
    <s v="Yes"/>
    <x v="2"/>
    <n v="324.13793103448273"/>
    <n v="2242.0937094899778"/>
    <n v="296628.11284699314"/>
    <n v="672628.11284699314"/>
    <n v="376000"/>
  </r>
  <r>
    <x v="3"/>
    <x v="3"/>
    <n v="470000"/>
    <n v="1450"/>
    <n v="2024"/>
    <n v="5.3"/>
    <s v="22"/>
    <x v="2"/>
    <s v="Yes"/>
    <x v="2"/>
    <n v="324.13793103448273"/>
    <n v="2207.6695854749087"/>
    <n v="295700.87564247259"/>
    <n v="662300.87564247265"/>
    <n v="366600"/>
  </r>
  <r>
    <x v="2"/>
    <x v="0"/>
    <n v="240000"/>
    <n v="740"/>
    <n v="2024"/>
    <n v="5.4"/>
    <s v="5"/>
    <x v="0"/>
    <s v="No"/>
    <x v="0"/>
    <n v="324.32432432432432"/>
    <n v="1386.5362116907056"/>
    <n v="187960.8635072117"/>
    <n v="415960.86350721167"/>
    <n v="228000"/>
  </r>
  <r>
    <x v="0"/>
    <x v="1"/>
    <n v="240000"/>
    <n v="740"/>
    <n v="2023"/>
    <n v="6.6"/>
    <s v="6"/>
    <x v="0"/>
    <s v="No"/>
    <x v="0"/>
    <n v="324.32432432432432"/>
    <n v="1537.3942884099422"/>
    <n v="235618.28652298258"/>
    <n v="461218.28652298258"/>
    <n v="225600"/>
  </r>
  <r>
    <x v="0"/>
    <x v="1"/>
    <n v="240000"/>
    <n v="740"/>
    <n v="2024"/>
    <n v="5.3"/>
    <s v="6"/>
    <x v="0"/>
    <s v="No"/>
    <x v="0"/>
    <n v="324.32432432432432"/>
    <n v="1358.56589875379"/>
    <n v="181969.76962613699"/>
    <n v="407569.76962613699"/>
    <n v="225600"/>
  </r>
  <r>
    <x v="2"/>
    <x v="0"/>
    <n v="240000"/>
    <n v="740"/>
    <n v="2023"/>
    <n v="6.4"/>
    <s v="5"/>
    <x v="0"/>
    <s v="No"/>
    <x v="0"/>
    <n v="324.32432432432432"/>
    <n v="1525.2558788422934"/>
    <n v="229576.76365268818"/>
    <n v="457576.76365268818"/>
    <n v="228000"/>
  </r>
  <r>
    <x v="4"/>
    <x v="3"/>
    <n v="455000"/>
    <n v="1400"/>
    <n v="2023"/>
    <n v="6.2"/>
    <s v="20"/>
    <x v="2"/>
    <s v="Yes"/>
    <x v="2"/>
    <n v="325"/>
    <n v="2389.9588299727125"/>
    <n v="352987.64899181371"/>
    <n v="716987.64899181365"/>
    <n v="364000"/>
  </r>
  <r>
    <x v="4"/>
    <x v="3"/>
    <n v="455000"/>
    <n v="1400"/>
    <n v="2024"/>
    <n v="5.0999999999999996"/>
    <s v="20"/>
    <x v="2"/>
    <s v="Yes"/>
    <x v="2"/>
    <n v="325"/>
    <n v="2149.169101052039"/>
    <n v="280750.7303156117"/>
    <n v="644750.7303156117"/>
    <n v="364000"/>
  </r>
  <r>
    <x v="7"/>
    <x v="3"/>
    <n v="650000"/>
    <n v="2000"/>
    <n v="2024"/>
    <n v="5.3"/>
    <s v="22"/>
    <x v="3"/>
    <s v="Yes"/>
    <x v="2"/>
    <n v="325"/>
    <n v="3053.1600650184905"/>
    <n v="408948.01950554707"/>
    <n v="915948.01950554713"/>
    <n v="507000"/>
  </r>
  <r>
    <x v="5"/>
    <x v="3"/>
    <n v="570000"/>
    <n v="1750"/>
    <n v="2024"/>
    <n v="5.0999999999999996"/>
    <s v="22"/>
    <x v="2"/>
    <s v="Yes"/>
    <x v="1"/>
    <n v="325.71428571428572"/>
    <n v="2625.0565448564194"/>
    <n v="342916.96345692576"/>
    <n v="787516.9634569257"/>
    <n v="444600"/>
  </r>
  <r>
    <x v="5"/>
    <x v="3"/>
    <n v="580000"/>
    <n v="1780"/>
    <n v="2023"/>
    <n v="6.1"/>
    <s v="20"/>
    <x v="2"/>
    <s v="Yes"/>
    <x v="2"/>
    <n v="325.84269662921349"/>
    <n v="3017.9859720187123"/>
    <n v="441395.79160561366"/>
    <n v="905395.79160561366"/>
    <n v="464000"/>
  </r>
  <r>
    <x v="4"/>
    <x v="3"/>
    <n v="450000"/>
    <n v="1380"/>
    <n v="2024"/>
    <n v="5.2"/>
    <s v="20"/>
    <x v="2"/>
    <s v="Yes"/>
    <x v="2"/>
    <n v="326.08695652173913"/>
    <n v="2146.6854665329574"/>
    <n v="284005.63995988719"/>
    <n v="644005.63995988714"/>
    <n v="360000"/>
  </r>
  <r>
    <x v="7"/>
    <x v="3"/>
    <n v="620000"/>
    <n v="1900"/>
    <n v="2024"/>
    <n v="5.3"/>
    <s v="22"/>
    <x v="3"/>
    <s v="Yes"/>
    <x v="2"/>
    <n v="326.31578947368422"/>
    <n v="2912.2449850945604"/>
    <n v="390073.4955283681"/>
    <n v="873673.49552836805"/>
    <n v="483600"/>
  </r>
  <r>
    <x v="6"/>
    <x v="3"/>
    <n v="540000"/>
    <n v="1650"/>
    <n v="2024"/>
    <n v="5.0999999999999996"/>
    <s v="20"/>
    <x v="2"/>
    <s v="Yes"/>
    <x v="2"/>
    <n v="327.27272727272725"/>
    <n v="2550.6622298200023"/>
    <n v="333198.66894600063"/>
    <n v="765198.66894600063"/>
    <n v="432000"/>
  </r>
  <r>
    <x v="5"/>
    <x v="3"/>
    <n v="590000"/>
    <n v="1800"/>
    <n v="2024"/>
    <n v="5.0999999999999996"/>
    <s v="20"/>
    <x v="2"/>
    <s v="Yes"/>
    <x v="2"/>
    <n v="327.77777777777777"/>
    <n v="2786.8346585070399"/>
    <n v="364050.39755211194"/>
    <n v="836050.39755211188"/>
    <n v="472000"/>
  </r>
  <r>
    <x v="3"/>
    <x v="3"/>
    <n v="460000"/>
    <n v="1400"/>
    <n v="2023"/>
    <n v="6.2"/>
    <s v="22"/>
    <x v="2"/>
    <s v="Yes"/>
    <x v="2"/>
    <n v="328.57142857142856"/>
    <n v="2355.8165609731022"/>
    <n v="347944.96829193062"/>
    <n v="706744.96829193062"/>
    <n v="358800"/>
  </r>
  <r>
    <x v="6"/>
    <x v="3"/>
    <n v="520000"/>
    <n v="1580"/>
    <n v="2024"/>
    <n v="5.0999999999999996"/>
    <s v="20"/>
    <x v="2"/>
    <s v="Yes"/>
    <x v="2"/>
    <n v="329.11392405063293"/>
    <n v="2456.1932583451871"/>
    <n v="320857.97750355618"/>
    <n v="736857.97750355618"/>
    <n v="416000"/>
  </r>
  <r>
    <x v="5"/>
    <x v="3"/>
    <n v="560000"/>
    <n v="1700"/>
    <n v="2024"/>
    <n v="5.0999999999999996"/>
    <s v="20"/>
    <x v="2"/>
    <s v="Yes"/>
    <x v="2"/>
    <n v="329.41176470588238"/>
    <n v="2645.1312012948174"/>
    <n v="345539.36038844514"/>
    <n v="793539.3603884452"/>
    <n v="448000"/>
  </r>
  <r>
    <x v="4"/>
    <x v="3"/>
    <n v="435000"/>
    <n v="1320"/>
    <n v="2024"/>
    <n v="5.0999999999999996"/>
    <n v="10"/>
    <x v="2"/>
    <s v="Yes"/>
    <x v="2"/>
    <n v="329.54545454545456"/>
    <n v="2311.5376457743773"/>
    <n v="301961.29373231315"/>
    <n v="693461.29373231321"/>
    <n v="391500"/>
  </r>
  <r>
    <x v="4"/>
    <x v="3"/>
    <n v="435000"/>
    <n v="1320"/>
    <n v="2024"/>
    <n v="5.0999999999999996"/>
    <s v="20"/>
    <x v="2"/>
    <s v="Yes"/>
    <x v="2"/>
    <n v="329.54545454545456"/>
    <n v="2054.7001295772243"/>
    <n v="268410.03887316718"/>
    <n v="616410.03887316724"/>
    <n v="348000"/>
  </r>
  <r>
    <x v="4"/>
    <x v="3"/>
    <n v="442000"/>
    <n v="1340"/>
    <n v="2024"/>
    <n v="5.2"/>
    <s v="20"/>
    <x v="2"/>
    <s v="Yes"/>
    <x v="2"/>
    <n v="329.85074626865674"/>
    <n v="2108.5221693501489"/>
    <n v="278956.65080504469"/>
    <n v="632556.65080504469"/>
    <n v="353600"/>
  </r>
  <r>
    <x v="5"/>
    <x v="3"/>
    <n v="555000"/>
    <n v="1680"/>
    <n v="2024"/>
    <n v="5.0999999999999996"/>
    <s v="20"/>
    <x v="2"/>
    <s v="Yes"/>
    <x v="2"/>
    <n v="330.35714285714283"/>
    <n v="2621.5139584261137"/>
    <n v="342454.18752783403"/>
    <n v="786454.18752783397"/>
    <n v="444000"/>
  </r>
  <r>
    <x v="6"/>
    <x v="3"/>
    <n v="530000"/>
    <n v="1600"/>
    <n v="2024"/>
    <n v="5.0999999999999996"/>
    <s v="20"/>
    <x v="2"/>
    <s v="Yes"/>
    <x v="2"/>
    <n v="331.25"/>
    <n v="2503.4277440825945"/>
    <n v="327028.32322477829"/>
    <n v="751028.32322477829"/>
    <n v="424000"/>
  </r>
  <r>
    <x v="5"/>
    <x v="3"/>
    <n v="580000"/>
    <n v="1750"/>
    <n v="2024"/>
    <n v="5.0999999999999996"/>
    <s v="20"/>
    <x v="2"/>
    <s v="Yes"/>
    <x v="2"/>
    <n v="331.42857142857144"/>
    <n v="2739.6001727696325"/>
    <n v="357880.05183088972"/>
    <n v="821880.05183088966"/>
    <n v="464000"/>
  </r>
  <r>
    <x v="6"/>
    <x v="3"/>
    <n v="515000"/>
    <n v="1550"/>
    <n v="2023"/>
    <n v="6"/>
    <s v="20"/>
    <x v="2"/>
    <s v="Yes"/>
    <x v="2"/>
    <n v="332.25806451612902"/>
    <n v="2654.5217741202955"/>
    <n v="384356.53223608865"/>
    <n v="796356.53223608865"/>
    <n v="412000"/>
  </r>
  <r>
    <x v="5"/>
    <x v="3"/>
    <n v="550000"/>
    <n v="1650"/>
    <n v="2023"/>
    <n v="6.1"/>
    <s v="20"/>
    <x v="2"/>
    <s v="Yes"/>
    <x v="2"/>
    <n v="333.33333333333331"/>
    <n v="2861.8832493280888"/>
    <n v="418564.97479842661"/>
    <n v="858564.97479842661"/>
    <n v="440000"/>
  </r>
  <r>
    <x v="3"/>
    <x v="3"/>
    <n v="450000"/>
    <n v="1350"/>
    <n v="2023"/>
    <n v="6.2"/>
    <s v="22"/>
    <x v="2"/>
    <s v="Yes"/>
    <x v="2"/>
    <n v="333.33333333333331"/>
    <n v="2304.6031574736871"/>
    <n v="340380.94724210619"/>
    <n v="691380.94724210619"/>
    <n v="351000"/>
  </r>
  <r>
    <x v="4"/>
    <x v="3"/>
    <n v="460000"/>
    <n v="1380"/>
    <n v="2024"/>
    <n v="5.2"/>
    <s v="20"/>
    <x v="2"/>
    <s v="Yes"/>
    <x v="2"/>
    <n v="333.33333333333331"/>
    <n v="2194.3895880114674"/>
    <n v="290316.87640344008"/>
    <n v="658316.87640344002"/>
    <n v="368000"/>
  </r>
  <r>
    <x v="6"/>
    <x v="1"/>
    <n v="300000"/>
    <n v="900"/>
    <n v="2024"/>
    <n v="5.3"/>
    <s v="10"/>
    <x v="1"/>
    <s v="No"/>
    <x v="0"/>
    <n v="333.33333333333331"/>
    <n v="1625.9432298915037"/>
    <n v="217782.96896745113"/>
    <n v="487782.96896745113"/>
    <n v="270000"/>
  </r>
  <r>
    <x v="5"/>
    <x v="3"/>
    <n v="570000"/>
    <n v="1700"/>
    <n v="2024"/>
    <n v="5.0999999999999996"/>
    <s v="20"/>
    <x v="2"/>
    <s v="Yes"/>
    <x v="2"/>
    <n v="335.29411764705884"/>
    <n v="2692.3656870322247"/>
    <n v="351709.70610966737"/>
    <n v="807709.70610966743"/>
    <n v="456000"/>
  </r>
  <r>
    <x v="6"/>
    <x v="3"/>
    <n v="520000"/>
    <n v="1550"/>
    <n v="2024"/>
    <n v="5.0999999999999996"/>
    <s v="20"/>
    <x v="2"/>
    <s v="Yes"/>
    <x v="2"/>
    <n v="335.48387096774195"/>
    <n v="2456.1932583451871"/>
    <n v="320857.97750355618"/>
    <n v="736857.97750355618"/>
    <n v="416000"/>
  </r>
  <r>
    <x v="6"/>
    <x v="3"/>
    <n v="510000"/>
    <n v="1520"/>
    <n v="2024"/>
    <n v="5.0999999999999996"/>
    <s v="20"/>
    <x v="2"/>
    <s v="Yes"/>
    <x v="2"/>
    <n v="335.5263157894737"/>
    <n v="2408.9587726077798"/>
    <n v="314687.63178233395"/>
    <n v="722687.63178233395"/>
    <n v="408000"/>
  </r>
  <r>
    <x v="4"/>
    <x v="3"/>
    <n v="470000"/>
    <n v="1400"/>
    <n v="2023"/>
    <n v="6.2"/>
    <s v="20"/>
    <x v="2"/>
    <s v="Yes"/>
    <x v="2"/>
    <n v="335.71428571428572"/>
    <n v="2468.7486815102743"/>
    <n v="364624.60445308225"/>
    <n v="740624.6044530822"/>
    <n v="376000"/>
  </r>
  <r>
    <x v="4"/>
    <x v="3"/>
    <n v="470000"/>
    <n v="1400"/>
    <n v="2024"/>
    <n v="5.0999999999999996"/>
    <n v="20"/>
    <x v="2"/>
    <s v="Yes"/>
    <x v="2"/>
    <n v="335.71428571428572"/>
    <n v="2220.02082965815"/>
    <n v="290006.24889744504"/>
    <n v="666006.24889744504"/>
    <n v="376000"/>
  </r>
  <r>
    <x v="5"/>
    <x v="3"/>
    <n v="545000"/>
    <n v="1620"/>
    <n v="2024"/>
    <n v="5.2"/>
    <s v="22"/>
    <x v="2"/>
    <s v="Yes"/>
    <x v="1"/>
    <n v="336.41975308641975"/>
    <n v="2534.8777550643335"/>
    <n v="335363.32651929994"/>
    <n v="760463.3265193"/>
    <n v="425100"/>
  </r>
  <r>
    <x v="6"/>
    <x v="3"/>
    <n v="505000"/>
    <n v="1500"/>
    <n v="2023"/>
    <n v="6"/>
    <s v="20"/>
    <x v="2"/>
    <s v="Yes"/>
    <x v="2"/>
    <n v="336.66666666666669"/>
    <n v="2602.9776620014545"/>
    <n v="376893.29860043636"/>
    <n v="780893.29860043642"/>
    <n v="404000"/>
  </r>
  <r>
    <x v="3"/>
    <x v="3"/>
    <n v="445000"/>
    <n v="1320"/>
    <n v="2024"/>
    <n v="5.3"/>
    <s v="22"/>
    <x v="2"/>
    <s v="Yes"/>
    <x v="2"/>
    <n v="337.12121212121212"/>
    <n v="2090.2403522049667"/>
    <n v="279972.10566149"/>
    <n v="627072.10566149"/>
    <n v="347100"/>
  </r>
  <r>
    <x v="5"/>
    <x v="3"/>
    <n v="540000"/>
    <n v="1600"/>
    <n v="2023"/>
    <n v="6.1"/>
    <s v="20"/>
    <x v="2"/>
    <s v="Yes"/>
    <x v="2"/>
    <n v="337.5"/>
    <n v="2809.8490084312148"/>
    <n v="410954.70252936438"/>
    <n v="842954.70252936438"/>
    <n v="432000"/>
  </r>
  <r>
    <x v="6"/>
    <x v="3"/>
    <n v="500000"/>
    <n v="1480"/>
    <n v="2024"/>
    <n v="5.0999999999999996"/>
    <s v="20"/>
    <x v="2"/>
    <s v="Yes"/>
    <x v="2"/>
    <n v="337.83783783783781"/>
    <n v="2361.7242868703725"/>
    <n v="308517.28606111172"/>
    <n v="708517.28606111172"/>
    <n v="400000"/>
  </r>
  <r>
    <x v="3"/>
    <x v="3"/>
    <n v="440000"/>
    <n v="1300"/>
    <n v="2023"/>
    <n v="6.2"/>
    <s v="22"/>
    <x v="2"/>
    <s v="Yes"/>
    <x v="2"/>
    <n v="338.46153846153845"/>
    <n v="2253.3897539742716"/>
    <n v="332816.92619228142"/>
    <n v="676016.92619228142"/>
    <n v="343200"/>
  </r>
  <r>
    <x v="5"/>
    <x v="3"/>
    <n v="535000"/>
    <n v="1580"/>
    <n v="2024"/>
    <n v="5.0999999999999996"/>
    <s v="20"/>
    <x v="2"/>
    <s v="Yes"/>
    <x v="2"/>
    <n v="338.60759493670884"/>
    <n v="2527.0449869512986"/>
    <n v="330113.49608538963"/>
    <n v="758113.49608538963"/>
    <n v="428000"/>
  </r>
  <r>
    <x v="7"/>
    <x v="3"/>
    <n v="610000"/>
    <n v="1800"/>
    <n v="2023"/>
    <n v="6"/>
    <s v="22"/>
    <x v="3"/>
    <s v="Yes"/>
    <x v="2"/>
    <n v="338.88888888888891"/>
    <n v="3065.58606826805"/>
    <n v="443875.82048041502"/>
    <n v="919675.82048041502"/>
    <n v="475800"/>
  </r>
  <r>
    <x v="5"/>
    <x v="3"/>
    <n v="560000"/>
    <n v="1650"/>
    <n v="2024"/>
    <n v="5.0999999999999996"/>
    <s v="20"/>
    <x v="2"/>
    <s v="Yes"/>
    <x v="2"/>
    <n v="339.39393939393938"/>
    <n v="2645.1312012948174"/>
    <n v="345539.36038844514"/>
    <n v="793539.3603884452"/>
    <n v="448000"/>
  </r>
  <r>
    <x v="7"/>
    <x v="3"/>
    <n v="605000"/>
    <n v="1780"/>
    <n v="2024"/>
    <n v="5.3"/>
    <s v="22"/>
    <x v="3"/>
    <s v="Yes"/>
    <x v="2"/>
    <n v="339.88764044943821"/>
    <n v="2841.7874451325952"/>
    <n v="380636.23353977845"/>
    <n v="852536.23353977851"/>
    <n v="471900"/>
  </r>
  <r>
    <x v="6"/>
    <x v="3"/>
    <n v="510000"/>
    <n v="1500"/>
    <n v="2024"/>
    <n v="5.0999999999999996"/>
    <s v="20"/>
    <x v="0"/>
    <s v="Yes"/>
    <x v="2"/>
    <n v="340"/>
    <n v="2408.9587726077798"/>
    <n v="314687.63178233395"/>
    <n v="722687.63178233395"/>
    <n v="408000"/>
  </r>
  <r>
    <x v="7"/>
    <x v="3"/>
    <n v="630000"/>
    <n v="1850"/>
    <n v="2024"/>
    <n v="5.3"/>
    <s v="22"/>
    <x v="3"/>
    <s v="Yes"/>
    <x v="2"/>
    <n v="340.54054054054052"/>
    <n v="2959.2166784025371"/>
    <n v="396365.00352076109"/>
    <n v="887765.00352076115"/>
    <n v="491400"/>
  </r>
  <r>
    <x v="6"/>
    <x v="3"/>
    <n v="495000"/>
    <n v="1450"/>
    <n v="2023"/>
    <n v="6.2"/>
    <s v="20"/>
    <x v="2"/>
    <s v="Yes"/>
    <x v="2"/>
    <n v="341.37931034482756"/>
    <n v="2600.0651007395441"/>
    <n v="384019.53022186318"/>
    <n v="780019.53022186318"/>
    <n v="396000"/>
  </r>
  <r>
    <x v="5"/>
    <x v="3"/>
    <n v="530000"/>
    <n v="1550"/>
    <n v="2023"/>
    <n v="6.1"/>
    <s v="20"/>
    <x v="2"/>
    <s v="Yes"/>
    <x v="2"/>
    <n v="341.93548387096774"/>
    <n v="2757.8147675343403"/>
    <n v="403344.43026030209"/>
    <n v="827344.43026030203"/>
    <n v="424000"/>
  </r>
  <r>
    <x v="4"/>
    <x v="3"/>
    <n v="438000"/>
    <n v="1280"/>
    <n v="2023"/>
    <n v="6.2"/>
    <s v="20"/>
    <x v="2"/>
    <s v="Yes"/>
    <x v="2"/>
    <n v="342.1875"/>
    <n v="2300.6636648968088"/>
    <n v="339799.09946904256"/>
    <n v="690199.09946904262"/>
    <n v="350400"/>
  </r>
  <r>
    <x v="7"/>
    <x v="3"/>
    <n v="600000"/>
    <n v="1750"/>
    <n v="2024"/>
    <n v="5.3"/>
    <s v="22"/>
    <x v="3"/>
    <s v="Yes"/>
    <x v="2"/>
    <n v="342.85714285714283"/>
    <n v="2818.3015984786066"/>
    <n v="377490.4795435819"/>
    <n v="845490.47954358184"/>
    <n v="468000"/>
  </r>
  <r>
    <x v="4"/>
    <x v="3"/>
    <n v="480000"/>
    <n v="1400"/>
    <n v="2024"/>
    <n v="5.0999999999999996"/>
    <n v="20"/>
    <x v="2"/>
    <s v="Yes"/>
    <x v="2"/>
    <n v="342.85714285714283"/>
    <n v="2267.2553153955578"/>
    <n v="296176.59461866738"/>
    <n v="680176.59461866738"/>
    <n v="384000"/>
  </r>
  <r>
    <x v="5"/>
    <x v="3"/>
    <n v="525000"/>
    <n v="1530"/>
    <n v="2024"/>
    <n v="5.0999999999999996"/>
    <s v="22"/>
    <x v="2"/>
    <s v="Yes"/>
    <x v="1"/>
    <n v="343.13725490196077"/>
    <n v="2417.8152386835436"/>
    <n v="315844.57160506304"/>
    <n v="725344.57160506304"/>
    <n v="409500"/>
  </r>
  <r>
    <x v="5"/>
    <x v="3"/>
    <n v="512000"/>
    <n v="1490"/>
    <n v="2023"/>
    <n v="6.2"/>
    <s v="22"/>
    <x v="2"/>
    <s v="Yes"/>
    <x v="1"/>
    <n v="343.62416107382552"/>
    <n v="2622.1262591700615"/>
    <n v="387277.8777510185"/>
    <n v="786637.8777510185"/>
    <n v="399360"/>
  </r>
  <r>
    <x v="5"/>
    <x v="3"/>
    <n v="550000"/>
    <n v="1600"/>
    <n v="2024"/>
    <n v="5.0999999999999996"/>
    <s v="20"/>
    <x v="0"/>
    <s v="Yes"/>
    <x v="2"/>
    <n v="343.75"/>
    <n v="2597.8967155574096"/>
    <n v="339369.01466722286"/>
    <n v="779369.01466722286"/>
    <n v="440000"/>
  </r>
  <r>
    <x v="7"/>
    <x v="3"/>
    <n v="620000"/>
    <n v="1800"/>
    <n v="2024"/>
    <n v="5.3"/>
    <s v="22"/>
    <x v="3"/>
    <s v="Yes"/>
    <x v="2"/>
    <n v="344.44444444444446"/>
    <n v="2912.2449850945604"/>
    <n v="390073.4955283681"/>
    <n v="873673.49552836805"/>
    <n v="483600"/>
  </r>
  <r>
    <x v="6"/>
    <x v="3"/>
    <n v="510000"/>
    <n v="1480"/>
    <n v="2024"/>
    <n v="5.0999999999999996"/>
    <s v="20"/>
    <x v="2"/>
    <s v="Yes"/>
    <x v="2"/>
    <n v="344.59459459459458"/>
    <n v="2408.9587726077798"/>
    <n v="314687.63178233395"/>
    <n v="722687.63178233395"/>
    <n v="408000"/>
  </r>
  <r>
    <x v="3"/>
    <x v="3"/>
    <n v="435000"/>
    <n v="1260"/>
    <n v="2024"/>
    <n v="5.3"/>
    <s v="22"/>
    <x v="2"/>
    <s v="Yes"/>
    <x v="2"/>
    <n v="345.23809523809524"/>
    <n v="2043.2686588969898"/>
    <n v="273680.59766909684"/>
    <n v="612980.5976690969"/>
    <n v="339300"/>
  </r>
  <r>
    <x v="5"/>
    <x v="3"/>
    <n v="520000"/>
    <n v="1500"/>
    <n v="2024"/>
    <n v="5.0999999999999996"/>
    <s v="20"/>
    <x v="2"/>
    <s v="Yes"/>
    <x v="2"/>
    <n v="346.66666666666669"/>
    <n v="2456.1932583451871"/>
    <n v="320857.97750355618"/>
    <n v="736857.97750355618"/>
    <n v="416000"/>
  </r>
  <r>
    <x v="6"/>
    <x v="3"/>
    <n v="520000"/>
    <n v="1500"/>
    <n v="2023"/>
    <n v="6"/>
    <s v="20"/>
    <x v="2"/>
    <s v="Yes"/>
    <x v="2"/>
    <n v="346.66666666666669"/>
    <n v="2680.2938301797158"/>
    <n v="388088.14905391465"/>
    <n v="804088.14905391471"/>
    <n v="416000"/>
  </r>
  <r>
    <x v="3"/>
    <x v="3"/>
    <n v="430000"/>
    <n v="1240"/>
    <n v="2023"/>
    <n v="6.2"/>
    <s v="22"/>
    <x v="2"/>
    <s v="Yes"/>
    <x v="2"/>
    <n v="346.77419354838707"/>
    <n v="2202.1763504748565"/>
    <n v="325252.90514245693"/>
    <n v="660652.90514245699"/>
    <n v="335400"/>
  </r>
  <r>
    <x v="7"/>
    <x v="3"/>
    <n v="590000"/>
    <n v="1700"/>
    <n v="2024"/>
    <n v="5.3"/>
    <s v="22"/>
    <x v="3"/>
    <s v="Yes"/>
    <x v="2"/>
    <n v="347.05882352941177"/>
    <n v="2771.3299051706299"/>
    <n v="371198.97155118891"/>
    <n v="831398.97155118897"/>
    <n v="460200"/>
  </r>
  <r>
    <x v="5"/>
    <x v="1"/>
    <n v="330000"/>
    <n v="950"/>
    <n v="2024"/>
    <n v="5.3"/>
    <n v="10"/>
    <x v="1"/>
    <s v="No"/>
    <x v="0"/>
    <n v="347.36842105263156"/>
    <n v="1788.5375528806542"/>
    <n v="239561.26586419623"/>
    <n v="536561.26586419623"/>
    <n v="297000"/>
  </r>
  <r>
    <x v="6"/>
    <x v="3"/>
    <n v="490000"/>
    <n v="1410"/>
    <n v="2024"/>
    <n v="5.0999999999999996"/>
    <s v="20"/>
    <x v="2"/>
    <s v="Yes"/>
    <x v="2"/>
    <n v="347.51773049645391"/>
    <n v="2314.4898011329651"/>
    <n v="302346.94033988949"/>
    <n v="694346.94033988949"/>
    <n v="392000"/>
  </r>
  <r>
    <x v="5"/>
    <x v="3"/>
    <n v="550000"/>
    <n v="1580"/>
    <n v="2024"/>
    <n v="5.0999999999999996"/>
    <s v="20"/>
    <x v="2"/>
    <s v="Yes"/>
    <x v="2"/>
    <n v="348.1012658227848"/>
    <n v="2597.8967155574096"/>
    <n v="339369.01466722286"/>
    <n v="779369.01466722286"/>
    <n v="440000"/>
  </r>
  <r>
    <x v="7"/>
    <x v="3"/>
    <n v="585000"/>
    <n v="1680"/>
    <n v="2023"/>
    <n v="6"/>
    <s v="22"/>
    <x v="3"/>
    <s v="Yes"/>
    <x v="2"/>
    <n v="348.21428571428572"/>
    <n v="2939.9472949783753"/>
    <n v="425684.18849351257"/>
    <n v="881984.18849351257"/>
    <n v="456300"/>
  </r>
  <r>
    <x v="5"/>
    <x v="3"/>
    <n v="540000"/>
    <n v="1550"/>
    <n v="2023"/>
    <n v="6.1"/>
    <s v="20"/>
    <x v="2"/>
    <s v="Yes"/>
    <x v="2"/>
    <n v="348.38709677419354"/>
    <n v="2809.8490084312148"/>
    <n v="410954.70252936438"/>
    <n v="842954.70252936438"/>
    <n v="432000"/>
  </r>
  <r>
    <x v="7"/>
    <x v="3"/>
    <n v="610000"/>
    <n v="1750"/>
    <n v="2024"/>
    <n v="5.3"/>
    <s v="22"/>
    <x v="3"/>
    <s v="Yes"/>
    <x v="2"/>
    <n v="348.57142857142856"/>
    <n v="2865.2732917865833"/>
    <n v="383781.98753597494"/>
    <n v="859581.98753597494"/>
    <n v="475800"/>
  </r>
  <r>
    <x v="5"/>
    <x v="3"/>
    <n v="560000"/>
    <n v="1600"/>
    <n v="2023"/>
    <n v="6.1"/>
    <s v="20"/>
    <x v="2"/>
    <s v="Yes"/>
    <x v="2"/>
    <n v="350"/>
    <n v="2913.9174902249633"/>
    <n v="426175.24706748902"/>
    <n v="874175.24706748896"/>
    <n v="448000"/>
  </r>
  <r>
    <x v="2"/>
    <x v="2"/>
    <n v="315000"/>
    <n v="900"/>
    <n v="2024"/>
    <n v="5.4"/>
    <s v="14"/>
    <x v="1"/>
    <s v="No"/>
    <x v="1"/>
    <n v="350"/>
    <n v="1647.4239462588253"/>
    <n v="223327.18387764756"/>
    <n v="494227.18387764756"/>
    <n v="270900"/>
  </r>
  <r>
    <x v="3"/>
    <x v="3"/>
    <n v="410000"/>
    <n v="1170"/>
    <n v="2024"/>
    <n v="5.2"/>
    <s v="22"/>
    <x v="2"/>
    <s v="Yes"/>
    <x v="2"/>
    <n v="350.4273504273504"/>
    <n v="1906.9722561034437"/>
    <n v="252291.67683103302"/>
    <n v="572091.67683103308"/>
    <n v="319800"/>
  </r>
  <r>
    <x v="6"/>
    <x v="3"/>
    <n v="488000"/>
    <n v="1390"/>
    <n v="2023"/>
    <n v="6"/>
    <s v="20"/>
    <x v="2"/>
    <s v="Yes"/>
    <x v="2"/>
    <n v="351.07913669064749"/>
    <n v="2515.3526713994252"/>
    <n v="364205.80141982751"/>
    <n v="754605.80141982751"/>
    <n v="390400"/>
  </r>
  <r>
    <x v="7"/>
    <x v="3"/>
    <n v="590000"/>
    <n v="1680"/>
    <n v="2023"/>
    <n v="6"/>
    <s v="22"/>
    <x v="3"/>
    <s v="Yes"/>
    <x v="2"/>
    <n v="351.1904761904762"/>
    <n v="2965.0750496363103"/>
    <n v="429322.51489089313"/>
    <n v="889522.51489089313"/>
    <n v="460200"/>
  </r>
  <r>
    <x v="3"/>
    <x v="3"/>
    <n v="425000"/>
    <n v="1210"/>
    <n v="2024"/>
    <n v="5.3"/>
    <s v="22"/>
    <x v="2"/>
    <s v="Yes"/>
    <x v="2"/>
    <n v="351.23966942148758"/>
    <n v="1996.2969655890133"/>
    <n v="267389.08967670397"/>
    <n v="598889.08967670402"/>
    <n v="331500"/>
  </r>
  <r>
    <x v="1"/>
    <x v="1"/>
    <n v="260000"/>
    <n v="740"/>
    <n v="2023"/>
    <n v="6.5"/>
    <s v="10"/>
    <x v="0"/>
    <s v="No"/>
    <x v="0"/>
    <n v="351.35135135135135"/>
    <n v="1579.9847575534768"/>
    <n v="239995.42726604303"/>
    <n v="473995.42726604303"/>
    <n v="234000"/>
  </r>
  <r>
    <x v="3"/>
    <x v="0"/>
    <n v="260000"/>
    <n v="740"/>
    <n v="2024"/>
    <n v="5.4"/>
    <s v="5"/>
    <x v="0"/>
    <s v="No"/>
    <x v="0"/>
    <n v="351.35135135135135"/>
    <n v="1502.0808959982644"/>
    <n v="203624.26879947932"/>
    <n v="450624.26879947935"/>
    <n v="247000"/>
  </r>
  <r>
    <x v="4"/>
    <x v="0"/>
    <n v="260000"/>
    <n v="740"/>
    <n v="2023"/>
    <n v="5.4"/>
    <s v="7"/>
    <x v="0"/>
    <s v="No"/>
    <x v="0"/>
    <n v="351.35135135135135"/>
    <n v="1470.4581402930376"/>
    <n v="199337.4420879113"/>
    <n v="441137.4420879113"/>
    <n v="241799.99999999997"/>
  </r>
  <r>
    <x v="4"/>
    <x v="0"/>
    <n v="260000"/>
    <n v="740"/>
    <n v="2024"/>
    <n v="5.3"/>
    <s v="7"/>
    <x v="0"/>
    <s v="No"/>
    <x v="0"/>
    <n v="351.35135135135135"/>
    <n v="1456.12249254728"/>
    <n v="195036.74776418402"/>
    <n v="436836.74776418402"/>
    <n v="241799.99999999997"/>
  </r>
  <r>
    <x v="7"/>
    <x v="3"/>
    <n v="580000"/>
    <n v="1650"/>
    <n v="2024"/>
    <n v="5.3"/>
    <s v="22"/>
    <x v="3"/>
    <s v="Yes"/>
    <x v="2"/>
    <n v="351.5151515151515"/>
    <n v="2724.3582118626532"/>
    <n v="364907.46355879592"/>
    <n v="817307.46355879586"/>
    <n v="452400"/>
  </r>
  <r>
    <x v="6"/>
    <x v="3"/>
    <n v="510000"/>
    <n v="1450"/>
    <n v="2023"/>
    <n v="6.2"/>
    <s v="20"/>
    <x v="2"/>
    <s v="Yes"/>
    <x v="2"/>
    <n v="351.72413793103448"/>
    <n v="2678.8549522771059"/>
    <n v="395656.48568313173"/>
    <n v="803656.48568313173"/>
    <n v="408000"/>
  </r>
  <r>
    <x v="5"/>
    <x v="3"/>
    <n v="518000"/>
    <n v="1470"/>
    <n v="2024"/>
    <n v="5.2"/>
    <s v="20"/>
    <x v="2"/>
    <s v="Yes"/>
    <x v="2"/>
    <n v="352.38095238095241"/>
    <n v="2471.0734925868264"/>
    <n v="326922.0477760479"/>
    <n v="741322.04777604784"/>
    <n v="414400"/>
  </r>
  <r>
    <x v="3"/>
    <x v="3"/>
    <n v="420000"/>
    <n v="1190"/>
    <n v="2024"/>
    <n v="5.3"/>
    <s v="22"/>
    <x v="2"/>
    <s v="Yes"/>
    <x v="2"/>
    <n v="352.94117647058823"/>
    <n v="1972.8111189350248"/>
    <n v="264243.33568050747"/>
    <n v="591843.33568050747"/>
    <n v="327600"/>
  </r>
  <r>
    <x v="5"/>
    <x v="3"/>
    <n v="540000"/>
    <n v="1530"/>
    <n v="2024"/>
    <n v="5.0999999999999996"/>
    <s v="22"/>
    <x v="2"/>
    <s v="Yes"/>
    <x v="1"/>
    <n v="352.94117647058823"/>
    <n v="2486.8956740745025"/>
    <n v="324868.70222235069"/>
    <n v="746068.70222235075"/>
    <n v="421200"/>
  </r>
  <r>
    <x v="7"/>
    <x v="3"/>
    <n v="600000"/>
    <n v="1700"/>
    <n v="2024"/>
    <n v="5.3"/>
    <s v="22"/>
    <x v="3"/>
    <s v="Yes"/>
    <x v="2"/>
    <n v="352.94117647058823"/>
    <n v="2818.3015984786066"/>
    <n v="377490.4795435819"/>
    <n v="845490.47954358184"/>
    <n v="468000"/>
  </r>
  <r>
    <x v="3"/>
    <x v="3"/>
    <n v="440000"/>
    <n v="1240"/>
    <n v="2023"/>
    <n v="6.2"/>
    <s v="22"/>
    <x v="2"/>
    <s v="Yes"/>
    <x v="2"/>
    <n v="354.83870967741933"/>
    <n v="2253.3897539742716"/>
    <n v="332816.92619228142"/>
    <n v="676016.92619228142"/>
    <n v="343200"/>
  </r>
  <r>
    <x v="5"/>
    <x v="3"/>
    <n v="550000"/>
    <n v="1550"/>
    <n v="2024"/>
    <n v="5.0999999999999996"/>
    <n v="20"/>
    <x v="2"/>
    <s v="Yes"/>
    <x v="2"/>
    <n v="354.83870967741933"/>
    <n v="2597.8967155574096"/>
    <n v="339369.01466722286"/>
    <n v="779369.01466722286"/>
    <n v="440000"/>
  </r>
  <r>
    <x v="1"/>
    <x v="1"/>
    <n v="285000"/>
    <n v="800"/>
    <n v="2024"/>
    <n v="5.5"/>
    <n v="10"/>
    <x v="0"/>
    <s v="No"/>
    <x v="0"/>
    <n v="356.25"/>
    <n v="1575.1344177019712"/>
    <n v="216040.32531059135"/>
    <n v="472540.32531059138"/>
    <n v="256500"/>
  </r>
  <r>
    <x v="3"/>
    <x v="3"/>
    <n v="450000"/>
    <n v="1260"/>
    <n v="2024"/>
    <n v="5.3"/>
    <s v="22"/>
    <x v="2"/>
    <s v="Yes"/>
    <x v="2"/>
    <n v="357.14285714285717"/>
    <n v="2113.7261988589553"/>
    <n v="283117.85965768655"/>
    <n v="634117.85965768655"/>
    <n v="351000"/>
  </r>
  <r>
    <x v="5"/>
    <x v="3"/>
    <n v="508000"/>
    <n v="1420"/>
    <n v="2023"/>
    <n v="6.2"/>
    <s v="20"/>
    <x v="2"/>
    <s v="Yes"/>
    <x v="2"/>
    <n v="357.74647887323943"/>
    <n v="2668.3496387387645"/>
    <n v="394104.89162162936"/>
    <n v="800504.89162162936"/>
    <n v="406400"/>
  </r>
  <r>
    <x v="7"/>
    <x v="3"/>
    <n v="610000"/>
    <n v="1700"/>
    <n v="2024"/>
    <n v="5.3"/>
    <s v="22"/>
    <x v="3"/>
    <s v="Yes"/>
    <x v="2"/>
    <n v="358.8235294117647"/>
    <n v="2865.2732917865833"/>
    <n v="383781.98753597494"/>
    <n v="859581.98753597494"/>
    <n v="475800"/>
  </r>
  <r>
    <x v="7"/>
    <x v="3"/>
    <n v="575000"/>
    <n v="1600"/>
    <n v="2024"/>
    <n v="5.3"/>
    <s v="22"/>
    <x v="3"/>
    <s v="Yes"/>
    <x v="2"/>
    <n v="359.375"/>
    <n v="2700.8723652086651"/>
    <n v="361761.70956259943"/>
    <n v="810261.70956259943"/>
    <n v="448500"/>
  </r>
  <r>
    <x v="3"/>
    <x v="3"/>
    <n v="435000"/>
    <n v="1210"/>
    <n v="2024"/>
    <n v="5.3"/>
    <s v="22"/>
    <x v="2"/>
    <s v="Yes"/>
    <x v="2"/>
    <n v="359.50413223140498"/>
    <n v="2043.2686588969898"/>
    <n v="273680.59766909684"/>
    <n v="612980.5976690969"/>
    <n v="339300"/>
  </r>
  <r>
    <x v="5"/>
    <x v="3"/>
    <n v="540000"/>
    <n v="1500"/>
    <n v="2024"/>
    <n v="5.0999999999999996"/>
    <s v="20"/>
    <x v="2"/>
    <s v="Yes"/>
    <x v="2"/>
    <n v="360"/>
    <n v="2550.6622298200023"/>
    <n v="333198.66894600063"/>
    <n v="765198.66894600063"/>
    <n v="432000"/>
  </r>
  <r>
    <x v="7"/>
    <x v="3"/>
    <n v="570000"/>
    <n v="1580"/>
    <n v="2023"/>
    <n v="6.1"/>
    <s v="22"/>
    <x v="3"/>
    <s v="Yes"/>
    <x v="2"/>
    <n v="360.75949367088606"/>
    <n v="2891.8029378437918"/>
    <n v="422940.88135313755"/>
    <n v="867540.88135313755"/>
    <n v="444600"/>
  </r>
  <r>
    <x v="7"/>
    <x v="3"/>
    <n v="600000"/>
    <n v="1650"/>
    <n v="2024"/>
    <n v="5.3"/>
    <s v="22"/>
    <x v="3"/>
    <s v="Yes"/>
    <x v="2"/>
    <n v="363.63636363636363"/>
    <n v="2818.3015984786066"/>
    <n v="377490.4795435819"/>
    <n v="845490.47954358184"/>
    <n v="468000"/>
  </r>
  <r>
    <x v="3"/>
    <x v="3"/>
    <n v="412000"/>
    <n v="1130"/>
    <n v="2023"/>
    <n v="6.3"/>
    <s v="22"/>
    <x v="2"/>
    <s v="Yes"/>
    <x v="2"/>
    <n v="364.60176991150445"/>
    <n v="2129.8566322523493"/>
    <n v="317596.98967570462"/>
    <n v="638956.98967570462"/>
    <n v="321360"/>
  </r>
  <r>
    <x v="1"/>
    <x v="1"/>
    <n v="270000"/>
    <n v="740"/>
    <n v="2023"/>
    <n v="6.5"/>
    <s v="10"/>
    <x v="0"/>
    <s v="No"/>
    <x v="0"/>
    <n v="364.86486486486484"/>
    <n v="1640.7534020747644"/>
    <n v="249226.02062242929"/>
    <n v="492226.02062242932"/>
    <n v="243000"/>
  </r>
  <r>
    <x v="3"/>
    <x v="0"/>
    <n v="270000"/>
    <n v="740"/>
    <n v="2024"/>
    <n v="5.4"/>
    <s v="5"/>
    <x v="0"/>
    <s v="No"/>
    <x v="0"/>
    <n v="364.86486486486484"/>
    <n v="1559.8532381520438"/>
    <n v="211455.97144561316"/>
    <n v="467955.97144561319"/>
    <n v="256500"/>
  </r>
  <r>
    <x v="0"/>
    <x v="3"/>
    <n v="410000"/>
    <n v="1120"/>
    <n v="2024"/>
    <n v="5.4"/>
    <n v="25"/>
    <x v="2"/>
    <s v="Yes"/>
    <x v="2"/>
    <n v="366.07142857142856"/>
    <n v="1869.9994960302279"/>
    <n v="253499.84880906832"/>
    <n v="560999.84880906832"/>
    <n v="307500"/>
  </r>
  <r>
    <x v="6"/>
    <x v="3"/>
    <n v="480000"/>
    <n v="1300"/>
    <n v="2024"/>
    <n v="5.2"/>
    <s v="20"/>
    <x v="2"/>
    <s v="Yes"/>
    <x v="2"/>
    <n v="369.23076923076923"/>
    <n v="2289.7978309684877"/>
    <n v="302939.34929054626"/>
    <n v="686939.34929054626"/>
    <n v="384000"/>
  </r>
  <r>
    <x v="7"/>
    <x v="3"/>
    <n v="568000"/>
    <n v="1520"/>
    <n v="2024"/>
    <n v="5.3"/>
    <s v="22"/>
    <x v="3"/>
    <s v="Yes"/>
    <x v="2"/>
    <n v="373.68421052631578"/>
    <n v="2667.9921798930814"/>
    <n v="357357.65396792436"/>
    <n v="800397.65396792442"/>
    <n v="443040"/>
  </r>
  <r>
    <x v="1"/>
    <x v="1"/>
    <n v="282000"/>
    <n v="750"/>
    <n v="2024"/>
    <n v="5.5"/>
    <n v="10"/>
    <x v="0"/>
    <s v="No"/>
    <x v="0"/>
    <n v="376"/>
    <n v="1558.5540554103713"/>
    <n v="213766.2166231114"/>
    <n v="467566.2166231114"/>
    <n v="253800"/>
  </r>
  <r>
    <x v="8"/>
    <x v="3"/>
    <n v="920000"/>
    <n v="2350"/>
    <n v="2024"/>
    <n v="5.0999999999999996"/>
    <s v="20"/>
    <x v="3"/>
    <s v="Yes"/>
    <x v="2"/>
    <n v="391.48936170212767"/>
    <n v="4345.5726878414853"/>
    <n v="567671.80635244562"/>
    <n v="1303671.8063524456"/>
    <n v="736000"/>
  </r>
  <r>
    <x v="0"/>
    <x v="2"/>
    <n v="290000"/>
    <n v="740"/>
    <n v="2023"/>
    <n v="6.5"/>
    <s v="12"/>
    <x v="1"/>
    <s v="No"/>
    <x v="1"/>
    <n v="391.89189189189187"/>
    <n v="1723.1286757591763"/>
    <n v="261738.60272775288"/>
    <n v="516938.60272775288"/>
    <n v="255200"/>
  </r>
  <r>
    <x v="8"/>
    <x v="3"/>
    <n v="925000"/>
    <n v="2360"/>
    <n v="2024"/>
    <n v="5.0999999999999996"/>
    <s v="20"/>
    <x v="3"/>
    <s v="Yes"/>
    <x v="2"/>
    <n v="391.94915254237287"/>
    <n v="4369.1899307101894"/>
    <n v="570756.97921305685"/>
    <n v="1310756.9792130569"/>
    <n v="740000"/>
  </r>
  <r>
    <x v="8"/>
    <x v="3"/>
    <n v="910000"/>
    <n v="2300"/>
    <n v="2024"/>
    <n v="5.0999999999999996"/>
    <s v="20"/>
    <x v="3"/>
    <s v="Yes"/>
    <x v="2"/>
    <n v="395.6521739130435"/>
    <n v="4298.3382021040779"/>
    <n v="561501.4606312234"/>
    <n v="1289501.4606312234"/>
    <n v="728000"/>
  </r>
  <r>
    <x v="1"/>
    <x v="1"/>
    <n v="280000"/>
    <n v="700"/>
    <n v="2024"/>
    <n v="5.5"/>
    <n v="10"/>
    <x v="0"/>
    <s v="No"/>
    <x v="0"/>
    <n v="400"/>
    <n v="1547.5004805493052"/>
    <n v="212250.14416479153"/>
    <n v="464250.14416479156"/>
    <n v="252000"/>
  </r>
  <r>
    <x v="8"/>
    <x v="3"/>
    <n v="900000"/>
    <n v="2250"/>
    <n v="2024"/>
    <n v="5.0999999999999996"/>
    <s v="20"/>
    <x v="3"/>
    <s v="Yes"/>
    <x v="2"/>
    <n v="400"/>
    <n v="4251.1037163666706"/>
    <n v="555331.11491000117"/>
    <n v="1275331.1149100012"/>
    <n v="720000"/>
  </r>
  <r>
    <x v="8"/>
    <x v="3"/>
    <n v="890000"/>
    <n v="2200"/>
    <n v="2024"/>
    <n v="5.0999999999999996"/>
    <s v="20"/>
    <x v="3"/>
    <s v="Yes"/>
    <x v="2"/>
    <n v="404.54545454545456"/>
    <n v="4203.8692306292633"/>
    <n v="549160.76918877882"/>
    <n v="1261160.7691887789"/>
    <n v="712000"/>
  </r>
  <r>
    <x v="6"/>
    <x v="0"/>
    <n v="300000"/>
    <n v="740"/>
    <n v="2024"/>
    <n v="5.2"/>
    <s v="12"/>
    <x v="1"/>
    <s v="No"/>
    <x v="0"/>
    <n v="405.40540540540542"/>
    <n v="1574.2360087908353"/>
    <n v="208270.80263725057"/>
    <n v="472270.80263725057"/>
    <n v="264000"/>
  </r>
  <r>
    <x v="2"/>
    <x v="1"/>
    <n v="300000"/>
    <n v="740"/>
    <n v="2024"/>
    <n v="5.4"/>
    <s v="10"/>
    <x v="0"/>
    <s v="No"/>
    <x v="0"/>
    <n v="405.40540540540542"/>
    <n v="1641.9507770021514"/>
    <n v="222585.23310064548"/>
    <n v="492585.23310064548"/>
    <n v="270000"/>
  </r>
  <r>
    <x v="0"/>
    <x v="2"/>
    <n v="300000"/>
    <n v="740"/>
    <n v="2023"/>
    <n v="6.5"/>
    <s v="12"/>
    <x v="1"/>
    <s v="No"/>
    <x v="1"/>
    <n v="405.40540540540542"/>
    <n v="1782.5469059577686"/>
    <n v="270764.07178733061"/>
    <n v="534764.07178733055"/>
    <n v="264000"/>
  </r>
  <r>
    <x v="8"/>
    <x v="3"/>
    <n v="885000"/>
    <n v="2150"/>
    <n v="2024"/>
    <n v="5.0999999999999996"/>
    <s v="20"/>
    <x v="3"/>
    <s v="Yes"/>
    <x v="2"/>
    <n v="411.62790697674421"/>
    <n v="4180.25198776056"/>
    <n v="546075.59632816783"/>
    <n v="1254075.5963281677"/>
    <n v="708000"/>
  </r>
  <r>
    <x v="3"/>
    <x v="1"/>
    <n v="305000"/>
    <n v="740"/>
    <n v="2023"/>
    <n v="6.5"/>
    <s v="10"/>
    <x v="1"/>
    <s v="No"/>
    <x v="0"/>
    <n v="412.16216216216219"/>
    <n v="1853.4436578992709"/>
    <n v="281533.09736978123"/>
    <n v="556033.09736978123"/>
    <n v="274500"/>
  </r>
  <r>
    <x v="4"/>
    <x v="1"/>
    <n v="310000"/>
    <n v="740"/>
    <n v="2023"/>
    <n v="6.4"/>
    <s v="10"/>
    <x v="1"/>
    <s v="No"/>
    <x v="0"/>
    <n v="418.91891891891891"/>
    <n v="1866.4315359517541"/>
    <n v="280929.46078552632"/>
    <n v="559929.46078552632"/>
    <n v="279000"/>
  </r>
  <r>
    <x v="5"/>
    <x v="0"/>
    <n v="310000"/>
    <n v="740"/>
    <n v="2023"/>
    <n v="6"/>
    <s v="10"/>
    <x v="1"/>
    <s v="No"/>
    <x v="0"/>
    <n v="418.91891891891891"/>
    <n v="1797.6009101445688"/>
    <n v="260280.27304337075"/>
    <n v="539280.27304337081"/>
    <n v="279000"/>
  </r>
  <r>
    <x v="3"/>
    <x v="1"/>
    <n v="310000"/>
    <n v="740"/>
    <n v="2024"/>
    <n v="5.4"/>
    <s v="10"/>
    <x v="1"/>
    <s v="No"/>
    <x v="0"/>
    <n v="418.91891891891891"/>
    <n v="1696.6824695688897"/>
    <n v="230004.74087066698"/>
    <n v="509004.74087066698"/>
    <n v="279000"/>
  </r>
  <r>
    <x v="3"/>
    <x v="1"/>
    <n v="310000"/>
    <n v="740"/>
    <n v="2023"/>
    <n v="6.5"/>
    <s v="10"/>
    <x v="1"/>
    <s v="No"/>
    <x v="0"/>
    <n v="418.91891891891891"/>
    <n v="1883.8279801599144"/>
    <n v="286148.39404797443"/>
    <n v="565148.39404797438"/>
    <n v="279000"/>
  </r>
  <r>
    <x v="6"/>
    <x v="0"/>
    <n v="310000"/>
    <n v="740"/>
    <n v="2024"/>
    <n v="5.2"/>
    <s v="12"/>
    <x v="1"/>
    <s v="No"/>
    <x v="0"/>
    <n v="418.91891891891891"/>
    <n v="1626.7105424171966"/>
    <n v="215213.16272515891"/>
    <n v="488013.16272515891"/>
    <n v="272800"/>
  </r>
  <r>
    <x v="2"/>
    <x v="1"/>
    <n v="310000"/>
    <n v="740"/>
    <n v="2024"/>
    <n v="5.4"/>
    <s v="10"/>
    <x v="0"/>
    <s v="No"/>
    <x v="0"/>
    <n v="418.91891891891891"/>
    <n v="1696.6824695688897"/>
    <n v="230004.74087066698"/>
    <n v="509004.74087066698"/>
    <n v="279000"/>
  </r>
  <r>
    <x v="8"/>
    <x v="3"/>
    <n v="880000"/>
    <n v="2100"/>
    <n v="2024"/>
    <n v="5.0999999999999996"/>
    <s v="20"/>
    <x v="3"/>
    <s v="Yes"/>
    <x v="2"/>
    <n v="419.04761904761904"/>
    <n v="4156.6347448918559"/>
    <n v="542990.4234675566"/>
    <n v="1246990.4234675565"/>
    <n v="704000"/>
  </r>
  <r>
    <x v="8"/>
    <x v="3"/>
    <n v="875000"/>
    <n v="2050"/>
    <n v="2024"/>
    <n v="5.0999999999999996"/>
    <s v="20"/>
    <x v="3"/>
    <s v="Yes"/>
    <x v="2"/>
    <n v="426.82926829268291"/>
    <n v="4133.0175020231518"/>
    <n v="539905.25060694548"/>
    <n v="1239905.2506069455"/>
    <n v="700000"/>
  </r>
  <r>
    <x v="1"/>
    <x v="1"/>
    <n v="278000"/>
    <n v="650"/>
    <n v="2024"/>
    <n v="5.5"/>
    <n v="10"/>
    <x v="0"/>
    <s v="No"/>
    <x v="0"/>
    <n v="427.69230769230768"/>
    <n v="1536.4469056882385"/>
    <n v="210734.07170647156"/>
    <n v="460934.07170647156"/>
    <n v="250200"/>
  </r>
  <r>
    <x v="2"/>
    <x v="2"/>
    <n v="320000"/>
    <n v="740"/>
    <n v="2024"/>
    <n v="5.5"/>
    <s v="12"/>
    <x v="1"/>
    <s v="No"/>
    <x v="1"/>
    <n v="432.43243243243245"/>
    <n v="1729.2703782646201"/>
    <n v="237181.11347938603"/>
    <n v="518781.11347938603"/>
    <n v="281600"/>
  </r>
  <r>
    <x v="4"/>
    <x v="1"/>
    <n v="320000"/>
    <n v="740"/>
    <n v="2023"/>
    <n v="6.4"/>
    <s v="10"/>
    <x v="1"/>
    <s v="No"/>
    <x v="0"/>
    <n v="432.43243243243245"/>
    <n v="1926.6390048534236"/>
    <n v="289991.70145602722"/>
    <n v="577991.70145602722"/>
    <n v="288000"/>
  </r>
  <r>
    <x v="5"/>
    <x v="0"/>
    <n v="320000"/>
    <n v="740"/>
    <n v="2023"/>
    <n v="6"/>
    <s v="10"/>
    <x v="1"/>
    <s v="No"/>
    <x v="0"/>
    <n v="432.43243243243245"/>
    <n v="1855.5880362782648"/>
    <n v="268676.4108834794"/>
    <n v="556676.4108834794"/>
    <n v="288000"/>
  </r>
  <r>
    <x v="8"/>
    <x v="3"/>
    <n v="870000"/>
    <n v="2000"/>
    <n v="2024"/>
    <n v="5.0999999999999996"/>
    <s v="20"/>
    <x v="3"/>
    <s v="Yes"/>
    <x v="2"/>
    <n v="435"/>
    <n v="4109.4002591544486"/>
    <n v="536820.07774633437"/>
    <n v="1232820.0777463345"/>
    <n v="696000"/>
  </r>
  <r>
    <x v="1"/>
    <x v="2"/>
    <n v="330000"/>
    <n v="740"/>
    <n v="2024"/>
    <n v="5.5"/>
    <s v="12"/>
    <x v="1"/>
    <s v="No"/>
    <x v="1"/>
    <n v="445.94594594594594"/>
    <n v="1783.3100775853898"/>
    <n v="244593.02327561693"/>
    <n v="534993.02327561693"/>
    <n v="290400"/>
  </r>
  <r>
    <x v="2"/>
    <x v="2"/>
    <n v="330000"/>
    <n v="740"/>
    <n v="2024"/>
    <n v="5.5"/>
    <s v="12"/>
    <x v="1"/>
    <s v="No"/>
    <x v="1"/>
    <n v="445.94594594594594"/>
    <n v="1783.3100775853898"/>
    <n v="244593.02327561693"/>
    <n v="534993.02327561693"/>
    <n v="290400"/>
  </r>
  <r>
    <x v="8"/>
    <x v="3"/>
    <n v="890000"/>
    <n v="1950"/>
    <n v="2024"/>
    <n v="5"/>
    <s v="20"/>
    <x v="3"/>
    <s v="Yes"/>
    <x v="2"/>
    <n v="456.41025641025641"/>
    <n v="4162.2810955368113"/>
    <n v="536684.32866104343"/>
    <n v="1248684.3286610434"/>
    <n v="712000"/>
  </r>
  <r>
    <x v="1"/>
    <x v="1"/>
    <n v="275000"/>
    <n v="600"/>
    <n v="2024"/>
    <n v="5.5"/>
    <n v="10"/>
    <x v="0"/>
    <s v="No"/>
    <x v="0"/>
    <n v="458.33333333333331"/>
    <n v="1519.8665433966389"/>
    <n v="208459.96301899166"/>
    <n v="455959.96301899164"/>
    <n v="247500"/>
  </r>
  <r>
    <x v="8"/>
    <x v="3"/>
    <n v="850000"/>
    <n v="1850"/>
    <n v="2024"/>
    <n v="5.0999999999999996"/>
    <s v="20"/>
    <x v="3"/>
    <s v="Yes"/>
    <x v="2"/>
    <n v="459.45945945945948"/>
    <n v="4014.9312876796334"/>
    <n v="524479.38630388991"/>
    <n v="1204479.38630389"/>
    <n v="680000"/>
  </r>
  <r>
    <x v="8"/>
    <x v="3"/>
    <n v="880000"/>
    <n v="1900"/>
    <n v="2024"/>
    <n v="5"/>
    <s v="20"/>
    <x v="3"/>
    <s v="Yes"/>
    <x v="2"/>
    <n v="463.15789473684208"/>
    <n v="4115.5138922161732"/>
    <n v="530654.16766485199"/>
    <n v="1234654.167664852"/>
    <n v="704000"/>
  </r>
  <r>
    <x v="8"/>
    <x v="3"/>
    <n v="840000"/>
    <n v="1800"/>
    <n v="2024"/>
    <n v="5.0999999999999996"/>
    <s v="20"/>
    <x v="3"/>
    <s v="Yes"/>
    <x v="2"/>
    <n v="466.66666666666669"/>
    <n v="3967.6968019422261"/>
    <n v="518309.04058266769"/>
    <n v="1190309.0405826676"/>
    <n v="672000"/>
  </r>
  <r>
    <x v="8"/>
    <x v="3"/>
    <n v="870000"/>
    <n v="1850"/>
    <n v="2023"/>
    <n v="6"/>
    <s v="20"/>
    <x v="3"/>
    <s v="Yes"/>
    <x v="2"/>
    <n v="470.27027027027026"/>
    <n v="4484.3377543391398"/>
    <n v="649301.32630174188"/>
    <n v="1345301.3263017419"/>
    <n v="696000"/>
  </r>
  <r>
    <x v="8"/>
    <x v="3"/>
    <n v="860000"/>
    <n v="1820"/>
    <n v="2024"/>
    <n v="5"/>
    <s v="20"/>
    <x v="3"/>
    <s v="Yes"/>
    <x v="2"/>
    <n v="472.52747252747253"/>
    <n v="4021.9794855748964"/>
    <n v="518593.84567246889"/>
    <n v="1206593.8456724689"/>
    <n v="688000"/>
  </r>
  <r>
    <x v="8"/>
    <x v="3"/>
    <n v="830000"/>
    <n v="1750"/>
    <n v="2024"/>
    <n v="5.0999999999999996"/>
    <s v="20"/>
    <x v="3"/>
    <s v="Yes"/>
    <x v="2"/>
    <n v="474.28571428571428"/>
    <n v="3920.4623162048183"/>
    <n v="512138.69486144546"/>
    <n v="1176138.6948614456"/>
    <n v="664000"/>
  </r>
  <r>
    <x v="8"/>
    <x v="3"/>
    <n v="845000"/>
    <n v="1780"/>
    <n v="2024"/>
    <n v="5"/>
    <s v="20"/>
    <x v="3"/>
    <s v="Yes"/>
    <x v="2"/>
    <n v="474.71910112359552"/>
    <n v="3951.8286805939383"/>
    <n v="509548.6041781815"/>
    <n v="1185548.6041781814"/>
    <n v="676000"/>
  </r>
  <r>
    <x v="6"/>
    <x v="2"/>
    <n v="380000"/>
    <n v="800"/>
    <n v="2024"/>
    <n v="5.2"/>
    <s v="15"/>
    <x v="2"/>
    <s v="No"/>
    <x v="1"/>
    <n v="475"/>
    <n v="1926.0539046948477"/>
    <n v="254816.17140845419"/>
    <n v="577816.17140845419"/>
    <n v="323000"/>
  </r>
  <r>
    <x v="8"/>
    <x v="3"/>
    <n v="840000"/>
    <n v="1750"/>
    <n v="2024"/>
    <n v="5"/>
    <s v="20"/>
    <x v="3"/>
    <s v="Yes"/>
    <x v="2"/>
    <n v="480"/>
    <n v="3928.4450789336197"/>
    <n v="506533.52368008601"/>
    <n v="1178533.523680086"/>
    <n v="672000"/>
  </r>
  <r>
    <x v="8"/>
    <x v="3"/>
    <n v="820000"/>
    <n v="1700"/>
    <n v="2024"/>
    <n v="5.0999999999999996"/>
    <s v="20"/>
    <x v="3"/>
    <s v="Yes"/>
    <x v="2"/>
    <n v="482.35294117647061"/>
    <n v="3873.227830467411"/>
    <n v="505968.34914022323"/>
    <n v="1161968.3491402231"/>
    <n v="656000"/>
  </r>
  <r>
    <x v="8"/>
    <x v="3"/>
    <n v="830000"/>
    <n v="1720"/>
    <n v="2023"/>
    <n v="6"/>
    <s v="20"/>
    <x v="3"/>
    <s v="Yes"/>
    <x v="2"/>
    <n v="482.55813953488371"/>
    <n v="4278.1613058637768"/>
    <n v="619448.39175913297"/>
    <n v="1283448.391759133"/>
    <n v="664000"/>
  </r>
  <r>
    <x v="8"/>
    <x v="3"/>
    <n v="825000"/>
    <n v="1700"/>
    <n v="2024"/>
    <n v="5"/>
    <s v="20"/>
    <x v="3"/>
    <s v="Yes"/>
    <x v="2"/>
    <n v="485.29411764705884"/>
    <n v="3858.294273952662"/>
    <n v="497488.28218579851"/>
    <n v="1157488.2821857985"/>
    <n v="660000"/>
  </r>
  <r>
    <x v="4"/>
    <x v="2"/>
    <n v="360000"/>
    <n v="740"/>
    <n v="2024"/>
    <n v="5.3"/>
    <s v="18"/>
    <x v="2"/>
    <s v="No"/>
    <x v="1"/>
    <n v="486.48648648648651"/>
    <n v="1777.6979313480442"/>
    <n v="238109.37940441328"/>
    <n v="533309.37940441328"/>
    <n v="295200"/>
  </r>
  <r>
    <x v="6"/>
    <x v="1"/>
    <n v="360000"/>
    <n v="740"/>
    <n v="2024"/>
    <n v="5.3"/>
    <s v="10"/>
    <x v="1"/>
    <s v="No"/>
    <x v="0"/>
    <n v="486.48648648648651"/>
    <n v="1951.1318758698046"/>
    <n v="261339.56276094128"/>
    <n v="585339.56276094122"/>
    <n v="324000"/>
  </r>
  <r>
    <x v="3"/>
    <x v="2"/>
    <n v="360000"/>
    <n v="740"/>
    <n v="2024"/>
    <n v="5.4"/>
    <s v="14"/>
    <x v="1"/>
    <s v="No"/>
    <x v="1"/>
    <n v="486.48648648648651"/>
    <n v="1882.7702242958003"/>
    <n v="255231.06728874013"/>
    <n v="564831.06728874007"/>
    <n v="309600"/>
  </r>
  <r>
    <x v="8"/>
    <x v="3"/>
    <n v="820000"/>
    <n v="1680"/>
    <n v="2023"/>
    <n v="6.1"/>
    <s v="20"/>
    <x v="3"/>
    <s v="Yes"/>
    <x v="2"/>
    <n v="488.09523809523807"/>
    <n v="4266.8077535436969"/>
    <n v="624042.3260631091"/>
    <n v="1280042.3260631091"/>
    <n v="656000"/>
  </r>
  <r>
    <x v="8"/>
    <x v="3"/>
    <n v="810000"/>
    <n v="1650"/>
    <n v="2024"/>
    <n v="5.0999999999999996"/>
    <s v="20"/>
    <x v="3"/>
    <s v="Yes"/>
    <x v="2"/>
    <n v="490.90909090909093"/>
    <n v="3825.9933447300036"/>
    <n v="499798.00341900112"/>
    <n v="1147798.0034190011"/>
    <n v="648000"/>
  </r>
  <r>
    <x v="8"/>
    <x v="3"/>
    <n v="815000"/>
    <n v="1650"/>
    <n v="2024"/>
    <n v="5"/>
    <s v="20"/>
    <x v="3"/>
    <s v="Yes"/>
    <x v="2"/>
    <n v="493.93939393939394"/>
    <n v="3811.5270706320239"/>
    <n v="491458.12118960707"/>
    <n v="1143458.1211896071"/>
    <n v="652000"/>
  </r>
  <r>
    <x v="8"/>
    <x v="3"/>
    <n v="810000"/>
    <n v="1620"/>
    <n v="2023"/>
    <n v="6"/>
    <s v="20"/>
    <x v="3"/>
    <s v="Yes"/>
    <x v="2"/>
    <n v="500"/>
    <n v="4175.0730816260957"/>
    <n v="604521.92448782874"/>
    <n v="1252521.9244878287"/>
    <n v="648000"/>
  </r>
  <r>
    <x v="8"/>
    <x v="3"/>
    <n v="825000"/>
    <n v="1650"/>
    <n v="2024"/>
    <n v="5"/>
    <s v="20"/>
    <x v="3"/>
    <s v="Yes"/>
    <x v="2"/>
    <n v="500"/>
    <n v="3858.294273952662"/>
    <n v="497488.28218579851"/>
    <n v="1157488.2821857985"/>
    <n v="660000"/>
  </r>
  <r>
    <x v="8"/>
    <x v="3"/>
    <n v="840000"/>
    <n v="1680"/>
    <n v="2023"/>
    <n v="6.1"/>
    <s v="20"/>
    <x v="3"/>
    <s v="Yes"/>
    <x v="2"/>
    <n v="500"/>
    <n v="4370.876235337445"/>
    <n v="639262.87060123356"/>
    <n v="1311262.8706012336"/>
    <n v="672000"/>
  </r>
  <r>
    <x v="4"/>
    <x v="2"/>
    <n v="370000"/>
    <n v="740"/>
    <n v="2024"/>
    <n v="5.3"/>
    <s v="18"/>
    <x v="2"/>
    <s v="No"/>
    <x v="1"/>
    <n v="500"/>
    <n v="1827.0784294410455"/>
    <n v="244723.52883231355"/>
    <n v="548123.5288323136"/>
    <n v="303400"/>
  </r>
  <r>
    <x v="6"/>
    <x v="1"/>
    <n v="370000"/>
    <n v="740"/>
    <n v="2024"/>
    <n v="5.3"/>
    <s v="10"/>
    <x v="1"/>
    <s v="No"/>
    <x v="0"/>
    <n v="500"/>
    <n v="2005.3299835328546"/>
    <n v="268598.99505985627"/>
    <n v="601598.99505985621"/>
    <n v="333000"/>
  </r>
  <r>
    <x v="8"/>
    <x v="3"/>
    <n v="805000"/>
    <n v="1600"/>
    <n v="2024"/>
    <n v="5"/>
    <s v="20"/>
    <x v="3"/>
    <s v="Yes"/>
    <x v="2"/>
    <n v="503.125"/>
    <n v="3764.7598673113853"/>
    <n v="485427.96019341564"/>
    <n v="1129427.9601934156"/>
    <n v="644000"/>
  </r>
  <r>
    <x v="5"/>
    <x v="3"/>
    <n v="770000"/>
    <n v="1530"/>
    <n v="2024"/>
    <n v="5.0999999999999996"/>
    <n v="22"/>
    <x v="2"/>
    <s v="Yes"/>
    <x v="1"/>
    <n v="503.26797385620915"/>
    <n v="3546.1290167358643"/>
    <n v="463238.70502075914"/>
    <n v="1063838.7050207593"/>
    <n v="600600"/>
  </r>
  <r>
    <x v="8"/>
    <x v="3"/>
    <n v="830000"/>
    <n v="1620"/>
    <n v="2023"/>
    <n v="6"/>
    <s v="20"/>
    <x v="3"/>
    <s v="Yes"/>
    <x v="2"/>
    <n v="512.34567901234573"/>
    <n v="4278.1613058637768"/>
    <n v="619448.39175913297"/>
    <n v="1283448.391759133"/>
    <n v="664000"/>
  </r>
  <r>
    <x v="8"/>
    <x v="3"/>
    <n v="860000"/>
    <n v="1620"/>
    <n v="2024"/>
    <n v="5.0999999999999996"/>
    <n v="20"/>
    <x v="3"/>
    <s v="Yes"/>
    <x v="2"/>
    <n v="530.8641975308642"/>
    <n v="4062.1657734170408"/>
    <n v="530649.73202511214"/>
    <n v="1218649.732025112"/>
    <n v="688000"/>
  </r>
  <r>
    <x v="7"/>
    <x v="1"/>
    <n v="400000"/>
    <n v="740"/>
    <n v="2024"/>
    <n v="5.4"/>
    <s v="10"/>
    <x v="1"/>
    <s v="No"/>
    <x v="0"/>
    <n v="540.54054054054052"/>
    <n v="2189.2677026695351"/>
    <n v="296780.31080086058"/>
    <n v="656780.31080086064"/>
    <n v="360000"/>
  </r>
  <r>
    <x v="3"/>
    <x v="2"/>
    <n v="400000"/>
    <n v="740"/>
    <n v="2024"/>
    <n v="5.2"/>
    <s v="15"/>
    <x v="1"/>
    <s v="No"/>
    <x v="1"/>
    <n v="540.54054054054052"/>
    <n v="2027.4251628366819"/>
    <n v="268227.54885100445"/>
    <n v="608227.54885100445"/>
    <n v="340000"/>
  </r>
  <r>
    <x v="8"/>
    <x v="3"/>
    <n v="900000"/>
    <n v="1650"/>
    <n v="2024"/>
    <n v="5.0999999999999996"/>
    <n v="20"/>
    <x v="3"/>
    <s v="Yes"/>
    <x v="2"/>
    <n v="545.4545454545455"/>
    <n v="4251.1037163666706"/>
    <n v="555331.11491000117"/>
    <n v="1275331.1149100012"/>
    <n v="720000"/>
  </r>
  <r>
    <x v="8"/>
    <x v="0"/>
    <n v="470000"/>
    <n v="850"/>
    <n v="2024"/>
    <n v="5"/>
    <s v="12"/>
    <x v="1"/>
    <s v="No"/>
    <x v="0"/>
    <n v="552.94117647058829"/>
    <n v="2417.8644116770015"/>
    <n v="311759.32350310043"/>
    <n v="725359.32350310043"/>
    <n v="413600"/>
  </r>
  <r>
    <x v="6"/>
    <x v="2"/>
    <n v="410000"/>
    <n v="740"/>
    <n v="2024"/>
    <n v="5.2"/>
    <s v="15"/>
    <x v="2"/>
    <s v="No"/>
    <x v="1"/>
    <n v="554.05405405405406"/>
    <n v="2078.1107919075989"/>
    <n v="274933.23757227953"/>
    <n v="623433.23757227953"/>
    <n v="348500"/>
  </r>
  <r>
    <x v="7"/>
    <x v="1"/>
    <n v="410000"/>
    <n v="740"/>
    <n v="2024"/>
    <n v="5.4"/>
    <s v="10"/>
    <x v="1"/>
    <s v="No"/>
    <x v="0"/>
    <n v="554.05405405405406"/>
    <n v="2243.9993952362734"/>
    <n v="304199.81857088202"/>
    <n v="673199.81857088208"/>
    <n v="369000"/>
  </r>
  <r>
    <x v="1"/>
    <x v="3"/>
    <n v="420000"/>
    <n v="740"/>
    <n v="2024"/>
    <n v="5.4"/>
    <s v="20"/>
    <x v="2"/>
    <s v="Yes"/>
    <x v="1"/>
    <n v="567.56756756756761"/>
    <n v="2043.316522491566"/>
    <n v="276994.9567474699"/>
    <n v="612994.95674746996"/>
    <n v="336000"/>
  </r>
  <r>
    <x v="6"/>
    <x v="2"/>
    <n v="420000"/>
    <n v="740"/>
    <n v="2024"/>
    <n v="5.2"/>
    <s v="15"/>
    <x v="2"/>
    <s v="No"/>
    <x v="1"/>
    <n v="567.56756756756761"/>
    <n v="2128.7964209785159"/>
    <n v="281638.9262935546"/>
    <n v="638638.9262935546"/>
    <n v="357000"/>
  </r>
  <r>
    <x v="8"/>
    <x v="3"/>
    <n v="920000"/>
    <n v="1620"/>
    <n v="2024"/>
    <n v="5.0999999999999996"/>
    <n v="20"/>
    <x v="3"/>
    <s v="Yes"/>
    <x v="2"/>
    <n v="567.90123456790127"/>
    <n v="4345.5726878414853"/>
    <n v="567671.80635244562"/>
    <n v="1303671.8063524456"/>
    <n v="736000"/>
  </r>
  <r>
    <x v="8"/>
    <x v="3"/>
    <n v="950000"/>
    <n v="1650"/>
    <n v="2024"/>
    <n v="5.0999999999999996"/>
    <n v="20"/>
    <x v="3"/>
    <s v="Yes"/>
    <x v="2"/>
    <n v="575.75757575757575"/>
    <n v="4487.2761450537082"/>
    <n v="586182.84351611242"/>
    <n v="1346182.8435161123"/>
    <n v="760000"/>
  </r>
  <r>
    <x v="1"/>
    <x v="3"/>
    <n v="430000"/>
    <n v="740"/>
    <n v="2023"/>
    <n v="6.2"/>
    <s v="22"/>
    <x v="2"/>
    <s v="Yes"/>
    <x v="2"/>
    <n v="581.08108108108104"/>
    <n v="2202.1763504748565"/>
    <n v="325252.90514245693"/>
    <n v="660652.90514245699"/>
    <n v="335400"/>
  </r>
  <r>
    <x v="2"/>
    <x v="1"/>
    <n v="265000"/>
    <n v="450"/>
    <n v="2024"/>
    <n v="4.5"/>
    <s v="10"/>
    <x v="2"/>
    <s v="No"/>
    <x v="0"/>
    <n v="588.88888888888891"/>
    <n v="1325.6604599393438"/>
    <n v="159198.13798180319"/>
    <n v="397698.13798180316"/>
    <n v="238500"/>
  </r>
  <r>
    <x v="1"/>
    <x v="1"/>
    <n v="265000"/>
    <n v="450"/>
    <n v="2024"/>
    <n v="5.5"/>
    <n v="10"/>
    <x v="0"/>
    <s v="No"/>
    <x v="0"/>
    <n v="588.88888888888891"/>
    <n v="1464.5986690913066"/>
    <n v="200879.60072739198"/>
    <n v="439379.60072739201"/>
    <n v="238500"/>
  </r>
  <r>
    <x v="7"/>
    <x v="2"/>
    <n v="440000"/>
    <n v="740"/>
    <n v="2023"/>
    <n v="6.1"/>
    <s v="15"/>
    <x v="2"/>
    <s v="No"/>
    <x v="1"/>
    <n v="594.59459459459458"/>
    <n v="2432.6007619288757"/>
    <n v="355780.22857866273"/>
    <n v="729780.22857866273"/>
    <n v="374000"/>
  </r>
  <r>
    <x v="5"/>
    <x v="2"/>
    <n v="440000"/>
    <n v="740"/>
    <n v="2024"/>
    <n v="5.2"/>
    <s v="15"/>
    <x v="2"/>
    <s v="No"/>
    <x v="1"/>
    <n v="594.59459459459458"/>
    <n v="2230.1676791203499"/>
    <n v="295050.30373610486"/>
    <n v="669050.30373610486"/>
    <n v="374000"/>
  </r>
  <r>
    <x v="1"/>
    <x v="3"/>
    <n v="440000"/>
    <n v="740"/>
    <n v="2023"/>
    <n v="6.2"/>
    <s v="20"/>
    <x v="2"/>
    <s v="Yes"/>
    <x v="2"/>
    <n v="594.59459459459458"/>
    <n v="2311.1689784351502"/>
    <n v="341350.6935305451"/>
    <n v="693350.6935305451"/>
    <n v="352000"/>
  </r>
  <r>
    <x v="6"/>
    <x v="1"/>
    <n v="300000"/>
    <n v="500"/>
    <n v="2024"/>
    <n v="5.3"/>
    <s v="10"/>
    <x v="1"/>
    <s v="No"/>
    <x v="0"/>
    <n v="600"/>
    <n v="1625.9432298915037"/>
    <n v="217782.96896745113"/>
    <n v="487782.96896745113"/>
    <n v="270000"/>
  </r>
  <r>
    <x v="3"/>
    <x v="3"/>
    <n v="450000"/>
    <n v="740"/>
    <n v="2024"/>
    <n v="5.3"/>
    <s v="22"/>
    <x v="2"/>
    <s v="Yes"/>
    <x v="2"/>
    <n v="608.10810810810813"/>
    <n v="2113.7261988589553"/>
    <n v="283117.85965768655"/>
    <n v="634117.85965768655"/>
    <n v="351000"/>
  </r>
  <r>
    <x v="5"/>
    <x v="2"/>
    <n v="450000"/>
    <n v="740"/>
    <n v="2023"/>
    <n v="6.1"/>
    <s v="15"/>
    <x v="2"/>
    <s v="No"/>
    <x v="1"/>
    <n v="608.10810810810813"/>
    <n v="2487.8871428818047"/>
    <n v="363866.14286454138"/>
    <n v="746366.14286454138"/>
    <n v="382500"/>
  </r>
  <r>
    <x v="7"/>
    <x v="2"/>
    <n v="450000"/>
    <n v="740"/>
    <n v="2023"/>
    <n v="6.1"/>
    <s v="15"/>
    <x v="2"/>
    <s v="No"/>
    <x v="1"/>
    <n v="608.10810810810813"/>
    <n v="2487.8871428818047"/>
    <n v="363866.14286454138"/>
    <n v="746366.14286454138"/>
    <n v="382500"/>
  </r>
  <r>
    <x v="8"/>
    <x v="3"/>
    <n v="792000"/>
    <n v="1300"/>
    <n v="2024"/>
    <n v="5"/>
    <s v="20"/>
    <x v="3"/>
    <s v="Yes"/>
    <x v="2"/>
    <n v="609.23076923076928"/>
    <n v="3703.9625029945555"/>
    <n v="477588.75089836656"/>
    <n v="1111188.7508983666"/>
    <n v="633600"/>
  </r>
  <r>
    <x v="8"/>
    <x v="0"/>
    <n v="460000"/>
    <n v="750"/>
    <n v="2024"/>
    <n v="5"/>
    <s v="5"/>
    <x v="1"/>
    <s v="No"/>
    <x v="0"/>
    <n v="613.33333333333337"/>
    <n v="2554.6584813898685"/>
    <n v="329397.54441696056"/>
    <n v="766397.54441696056"/>
    <n v="437000"/>
  </r>
  <r>
    <x v="8"/>
    <x v="3"/>
    <n v="795000"/>
    <n v="1290"/>
    <n v="2024"/>
    <n v="5.0999999999999996"/>
    <s v="20"/>
    <x v="3"/>
    <s v="Yes"/>
    <x v="2"/>
    <n v="616.27906976744191"/>
    <n v="3755.1416161238922"/>
    <n v="490542.48483716766"/>
    <n v="1126542.4848371677"/>
    <n v="636000"/>
  </r>
  <r>
    <x v="5"/>
    <x v="2"/>
    <n v="460000"/>
    <n v="740"/>
    <n v="2024"/>
    <n v="5.2"/>
    <s v="15"/>
    <x v="2"/>
    <s v="No"/>
    <x v="1"/>
    <n v="621.62162162162167"/>
    <n v="2331.5389372621844"/>
    <n v="308461.68117865513"/>
    <n v="699461.68117865513"/>
    <n v="391000"/>
  </r>
  <r>
    <x v="3"/>
    <x v="3"/>
    <n v="460000"/>
    <n v="740"/>
    <n v="2024"/>
    <n v="5.3"/>
    <s v="22"/>
    <x v="2"/>
    <s v="Yes"/>
    <x v="2"/>
    <n v="621.62162162162167"/>
    <n v="2160.697892166932"/>
    <n v="289409.36765007948"/>
    <n v="648209.36765007954"/>
    <n v="358800"/>
  </r>
  <r>
    <x v="8"/>
    <x v="3"/>
    <n v="788000"/>
    <n v="1260"/>
    <n v="2023"/>
    <n v="6.2"/>
    <s v="20"/>
    <x v="3"/>
    <s v="Yes"/>
    <x v="2"/>
    <n v="625.39682539682542"/>
    <n v="4139.093534106587"/>
    <n v="611328.06023197598"/>
    <n v="1241728.060231976"/>
    <n v="630400"/>
  </r>
  <r>
    <x v="7"/>
    <x v="2"/>
    <n v="480000"/>
    <n v="740"/>
    <n v="2024"/>
    <n v="5.3"/>
    <s v="15"/>
    <x v="2"/>
    <s v="No"/>
    <x v="1"/>
    <n v="648.64864864864865"/>
    <n v="2456.9808807249387"/>
    <n v="329094.2642174816"/>
    <n v="737094.2642174816"/>
    <n v="408000"/>
  </r>
  <r>
    <x v="2"/>
    <x v="1"/>
    <n v="260000"/>
    <n v="400"/>
    <n v="2024"/>
    <n v="5.4"/>
    <n v="10"/>
    <x v="0"/>
    <s v="No"/>
    <x v="0"/>
    <n v="650"/>
    <n v="1423.0240067351979"/>
    <n v="192907.20202055937"/>
    <n v="426907.20202055934"/>
    <n v="234000"/>
  </r>
  <r>
    <x v="1"/>
    <x v="1"/>
    <n v="260000"/>
    <n v="400"/>
    <n v="2024"/>
    <n v="5.5"/>
    <n v="10"/>
    <x v="0"/>
    <s v="No"/>
    <x v="0"/>
    <n v="650"/>
    <n v="1436.9647319386402"/>
    <n v="197089.419581592"/>
    <n v="431089.41958159197"/>
    <n v="234000"/>
  </r>
  <r>
    <x v="8"/>
    <x v="3"/>
    <n v="785000"/>
    <n v="1200"/>
    <n v="2023"/>
    <n v="6.1"/>
    <s v="18"/>
    <x v="2"/>
    <s v="Yes"/>
    <x v="2"/>
    <n v="654.16666666666663"/>
    <n v="4186.8051081647518"/>
    <n v="612341.53244942543"/>
    <n v="1256041.5324494254"/>
    <n v="643700"/>
  </r>
  <r>
    <x v="4"/>
    <x v="3"/>
    <n v="490000"/>
    <n v="740"/>
    <n v="2024"/>
    <n v="5.2"/>
    <s v="22"/>
    <x v="2"/>
    <s v="Yes"/>
    <x v="2"/>
    <n v="662.16216216216219"/>
    <n v="2279.0644036358231"/>
    <n v="301519.32109074685"/>
    <n v="683719.3210907469"/>
    <n v="382200"/>
  </r>
  <r>
    <x v="7"/>
    <x v="2"/>
    <n v="490000"/>
    <n v="740"/>
    <n v="2024"/>
    <n v="5.3"/>
    <s v="15"/>
    <x v="2"/>
    <s v="No"/>
    <x v="1"/>
    <n v="662.16216216216219"/>
    <n v="2508.1679824067091"/>
    <n v="335950.39472201263"/>
    <n v="752450.39472201257"/>
    <n v="416500"/>
  </r>
  <r>
    <x v="8"/>
    <x v="0"/>
    <n v="500000"/>
    <n v="740"/>
    <n v="2023"/>
    <n v="6"/>
    <s v="10"/>
    <x v="1"/>
    <s v="No"/>
    <x v="0"/>
    <n v="675.67567567567562"/>
    <n v="2899.3563066847887"/>
    <n v="419806.89200543659"/>
    <n v="869806.89200543659"/>
    <n v="450000"/>
  </r>
  <r>
    <x v="4"/>
    <x v="3"/>
    <n v="500000"/>
    <n v="740"/>
    <n v="2024"/>
    <n v="5.2"/>
    <s v="20"/>
    <x v="2"/>
    <s v="Yes"/>
    <x v="2"/>
    <n v="675.67567567567562"/>
    <n v="2385.2060739255085"/>
    <n v="315561.82217765239"/>
    <n v="715561.82217765239"/>
    <n v="400000"/>
  </r>
  <r>
    <x v="8"/>
    <x v="0"/>
    <n v="520000"/>
    <n v="740"/>
    <n v="2023"/>
    <n v="6"/>
    <s v="10"/>
    <x v="1"/>
    <s v="No"/>
    <x v="0"/>
    <n v="702.70270270270271"/>
    <n v="3015.3305589521801"/>
    <n v="436599.16768565407"/>
    <n v="904599.16768565401"/>
    <n v="468000"/>
  </r>
  <r>
    <x v="1"/>
    <x v="1"/>
    <n v="255000"/>
    <n v="350"/>
    <n v="2024"/>
    <n v="5.5"/>
    <n v="10"/>
    <x v="0"/>
    <s v="No"/>
    <x v="0"/>
    <n v="728.57142857142856"/>
    <n v="1409.3307947859744"/>
    <n v="193299.2384357923"/>
    <n v="422799.23843579227"/>
    <n v="229500"/>
  </r>
  <r>
    <x v="8"/>
    <x v="1"/>
    <n v="600000"/>
    <n v="740"/>
    <n v="2024"/>
    <n v="5.0999999999999996"/>
    <s v="15"/>
    <x v="2"/>
    <s v="No"/>
    <x v="1"/>
    <n v="810.81081081081084"/>
    <n v="3011.198465759725"/>
    <n v="393359.53972791746"/>
    <n v="903359.53972791741"/>
    <n v="510000"/>
  </r>
  <r>
    <x v="8"/>
    <x v="1"/>
    <n v="600000"/>
    <n v="740"/>
    <n v="2023"/>
    <n v="6.1"/>
    <s v="15"/>
    <x v="2"/>
    <s v="No"/>
    <x v="1"/>
    <n v="810.81081081081084"/>
    <n v="3317.1828571757396"/>
    <n v="485154.8571527219"/>
    <n v="995154.85715272184"/>
    <n v="510000"/>
  </r>
  <r>
    <x v="8"/>
    <x v="1"/>
    <n v="610000"/>
    <n v="740"/>
    <n v="2024"/>
    <n v="5.0999999999999996"/>
    <s v="15"/>
    <x v="2"/>
    <s v="No"/>
    <x v="1"/>
    <n v="824.32432432432438"/>
    <n v="3061.3851068557206"/>
    <n v="399915.5320567161"/>
    <n v="918415.53205671604"/>
    <n v="518500"/>
  </r>
  <r>
    <x v="7"/>
    <x v="3"/>
    <n v="620000"/>
    <n v="740"/>
    <n v="2024"/>
    <n v="5.3"/>
    <s v="22"/>
    <x v="3"/>
    <s v="Yes"/>
    <x v="2"/>
    <n v="837.83783783783781"/>
    <n v="2912.2449850945604"/>
    <n v="390073.4955283681"/>
    <n v="873673.49552836805"/>
    <n v="483600"/>
  </r>
  <r>
    <x v="7"/>
    <x v="3"/>
    <n v="620000"/>
    <n v="740"/>
    <n v="2023"/>
    <n v="6"/>
    <s v="22"/>
    <x v="3"/>
    <s v="Yes"/>
    <x v="2"/>
    <n v="837.83783783783781"/>
    <n v="3115.8415775839194"/>
    <n v="451152.47327517584"/>
    <n v="934752.47327517578"/>
    <n v="483600"/>
  </r>
  <r>
    <x v="7"/>
    <x v="3"/>
    <n v="630000"/>
    <n v="740"/>
    <n v="2024"/>
    <n v="5.3"/>
    <s v="22"/>
    <x v="3"/>
    <s v="Yes"/>
    <x v="2"/>
    <n v="851.35135135135135"/>
    <n v="2959.2166784025371"/>
    <n v="396365.00352076109"/>
    <n v="887765.00352076115"/>
    <n v="491400"/>
  </r>
  <r>
    <x v="7"/>
    <x v="0"/>
    <n v="315000"/>
    <n v="350"/>
    <n v="2024"/>
    <n v="5.2"/>
    <n v="12"/>
    <x v="1"/>
    <s v="No"/>
    <x v="0"/>
    <n v="900"/>
    <n v="1652.9478092303773"/>
    <n v="218684.34276911308"/>
    <n v="495884.34276911308"/>
    <n v="277200"/>
  </r>
  <r>
    <x v="5"/>
    <x v="3"/>
    <n v="700000"/>
    <n v="740"/>
    <n v="2024"/>
    <n v="5.0999999999999996"/>
    <s v="22"/>
    <x v="2"/>
    <s v="Yes"/>
    <x v="1"/>
    <n v="945.94594594594594"/>
    <n v="3223.7536515780585"/>
    <n v="421126.09547341755"/>
    <n v="967126.09547341755"/>
    <n v="546000"/>
  </r>
  <r>
    <x v="1"/>
    <x v="1"/>
    <n v="245000"/>
    <n v="250"/>
    <n v="2024"/>
    <n v="5.5"/>
    <n v="10"/>
    <x v="0"/>
    <s v="No"/>
    <x v="0"/>
    <n v="980"/>
    <n v="1354.0629204806419"/>
    <n v="185718.87614419256"/>
    <n v="406218.87614419253"/>
    <n v="220500"/>
  </r>
  <r>
    <x v="7"/>
    <x v="3"/>
    <n v="590000"/>
    <n v="600"/>
    <n v="2024"/>
    <n v="5.3"/>
    <s v="22"/>
    <x v="3"/>
    <s v="Yes"/>
    <x v="2"/>
    <n v="983.33333333333337"/>
    <n v="2771.3299051706299"/>
    <n v="371198.97155118891"/>
    <n v="831398.97155118897"/>
    <n v="460200"/>
  </r>
  <r>
    <x v="6"/>
    <x v="3"/>
    <n v="500000"/>
    <n v="450"/>
    <n v="2024"/>
    <n v="5.0999999999999996"/>
    <s v="20"/>
    <x v="2"/>
    <s v="Yes"/>
    <x v="2"/>
    <n v="1111.1111111111111"/>
    <n v="2361.7242868703725"/>
    <n v="308517.28606111172"/>
    <n v="708517.28606111172"/>
    <n v="400000"/>
  </r>
  <r>
    <x v="4"/>
    <x v="3"/>
    <n v="460000"/>
    <n v="400"/>
    <n v="2024"/>
    <n v="5.2"/>
    <s v="20"/>
    <x v="2"/>
    <s v="Yes"/>
    <x v="2"/>
    <n v="1150"/>
    <n v="2194.3895880114674"/>
    <n v="290316.87640344008"/>
    <n v="658316.87640344002"/>
    <n v="368000"/>
  </r>
  <r>
    <x v="3"/>
    <x v="0"/>
    <n v="230000"/>
    <n v="150"/>
    <n v="2024"/>
    <n v="5.4"/>
    <n v="8"/>
    <x v="0"/>
    <s v="No"/>
    <x v="0"/>
    <n v="1533.3333333333333"/>
    <n v="1286.8029052357601"/>
    <n v="174440.87157072802"/>
    <n v="386040.87157072802"/>
    <n v="211600"/>
  </r>
  <r>
    <x v="8"/>
    <x v="1"/>
    <n v="575000"/>
    <n v="300"/>
    <n v="2024"/>
    <n v="5.0999999999999996"/>
    <n v="15"/>
    <x v="2"/>
    <s v="No"/>
    <x v="1"/>
    <n v="1916.6666666666667"/>
    <n v="2885.7318630197365"/>
    <n v="376969.55890592095"/>
    <n v="865719.55890592095"/>
    <n v="488750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99">
  <r>
    <x v="0"/>
    <x v="0"/>
    <n v="175000"/>
    <n v="2200"/>
    <x v="0"/>
    <n v="6.4"/>
    <s v="5"/>
    <x v="0"/>
    <s v="No"/>
    <x v="0"/>
    <n v="79.545454545454547"/>
    <n v="1112.1657449891725"/>
    <n v="167399.7234967518"/>
    <n v="333649.7234967518"/>
    <n v="166250"/>
    <n v="880.30377142857139"/>
  </r>
  <r>
    <x v="1"/>
    <x v="0"/>
    <n v="190000"/>
    <n v="2380"/>
    <x v="1"/>
    <n v="5.5"/>
    <s v="5"/>
    <x v="0"/>
    <s v="No"/>
    <x v="0"/>
    <n v="79.831932773109244"/>
    <n v="1108.4279235680538"/>
    <n v="152028.37707041611"/>
    <n v="332528.37707041611"/>
    <n v="180500"/>
    <n v="952.3037578947368"/>
  </r>
  <r>
    <x v="0"/>
    <x v="0"/>
    <n v="225000"/>
    <n v="2800"/>
    <x v="1"/>
    <n v="5.4"/>
    <s v="8"/>
    <x v="0"/>
    <s v="No"/>
    <x v="0"/>
    <n v="80.357142857142861"/>
    <n v="1258.8289290349828"/>
    <n v="170648.67871049483"/>
    <n v="377648.67871049483"/>
    <n v="207000"/>
    <n v="1120.3037333333332"/>
  </r>
  <r>
    <x v="0"/>
    <x v="0"/>
    <n v="230000"/>
    <n v="2850"/>
    <x v="1"/>
    <n v="5.4"/>
    <s v="8"/>
    <x v="0"/>
    <s v="No"/>
    <x v="0"/>
    <n v="80.701754385964918"/>
    <n v="1286.8029052357601"/>
    <n v="174440.87157072802"/>
    <n v="386040.87157072802"/>
    <n v="211600"/>
    <n v="1140.3037173913042"/>
  </r>
  <r>
    <x v="1"/>
    <x v="0"/>
    <n v="194000"/>
    <n v="2400"/>
    <x v="1"/>
    <n v="5.4"/>
    <s v="5"/>
    <x v="0"/>
    <s v="No"/>
    <x v="0"/>
    <n v="80.833333333333329"/>
    <n v="1120.7834377833203"/>
    <n v="151935.03133499614"/>
    <n v="336235.03133499611"/>
    <n v="184300"/>
    <n v="960.30371134020618"/>
  </r>
  <r>
    <x v="0"/>
    <x v="0"/>
    <n v="235000"/>
    <n v="2900"/>
    <x v="1"/>
    <n v="5.4"/>
    <s v="8"/>
    <x v="0"/>
    <s v="No"/>
    <x v="0"/>
    <n v="81.034482758620683"/>
    <n v="1314.7768814365375"/>
    <n v="178233.06443096124"/>
    <n v="394433.06443096127"/>
    <n v="216200"/>
    <n v="1160.3037021276596"/>
  </r>
  <r>
    <x v="0"/>
    <x v="0"/>
    <n v="236000"/>
    <n v="2910"/>
    <x v="1"/>
    <n v="5.4"/>
    <s v="8"/>
    <x v="0"/>
    <s v="No"/>
    <x v="0"/>
    <n v="81.099656357388312"/>
    <n v="1320.3716766766929"/>
    <n v="178991.50300300785"/>
    <n v="396111.50300300785"/>
    <n v="217120"/>
    <n v="1164.3036991525423"/>
  </r>
  <r>
    <x v="0"/>
    <x v="0"/>
    <n v="220000"/>
    <n v="2700"/>
    <x v="1"/>
    <n v="5.4"/>
    <s v="8"/>
    <x v="0"/>
    <s v="No"/>
    <x v="0"/>
    <n v="81.481481481481481"/>
    <n v="1230.8549528342053"/>
    <n v="166856.48585026161"/>
    <n v="369256.48585026164"/>
    <n v="202400"/>
    <n v="1080.3036818181818"/>
  </r>
  <r>
    <x v="1"/>
    <x v="0"/>
    <n v="200000"/>
    <n v="2450"/>
    <x v="1"/>
    <n v="5.4"/>
    <s v="5"/>
    <x v="0"/>
    <s v="No"/>
    <x v="0"/>
    <n v="81.632653061224488"/>
    <n v="1155.446843075588"/>
    <n v="156634.05292267646"/>
    <n v="346634.05292267643"/>
    <n v="190000"/>
    <n v="980.303675"/>
  </r>
  <r>
    <x v="1"/>
    <x v="0"/>
    <n v="198000"/>
    <n v="2420"/>
    <x v="0"/>
    <n v="6.6"/>
    <s v="5"/>
    <x v="0"/>
    <s v="No"/>
    <x v="0"/>
    <n v="81.818181818181813"/>
    <n v="1281.8433761077576"/>
    <n v="196453.01283232722"/>
    <n v="384553.01283232722"/>
    <n v="188100"/>
    <n v="968.30366666666657"/>
  </r>
  <r>
    <x v="0"/>
    <x v="0"/>
    <n v="180000"/>
    <n v="2200"/>
    <x v="0"/>
    <n v="6.4"/>
    <s v="5"/>
    <x v="0"/>
    <s v="No"/>
    <x v="0"/>
    <n v="81.818181818181813"/>
    <n v="1143.9419091317204"/>
    <n v="172182.57273951615"/>
    <n v="343182.57273951615"/>
    <n v="171000"/>
    <n v="880.30366666666657"/>
  </r>
  <r>
    <x v="1"/>
    <x v="0"/>
    <n v="188000"/>
    <n v="2290"/>
    <x v="0"/>
    <n v="6.5"/>
    <s v="5"/>
    <x v="0"/>
    <s v="No"/>
    <x v="0"/>
    <n v="82.096069868995627"/>
    <n v="1205.9199901668844"/>
    <n v="183175.99705006531"/>
    <n v="361775.99705006531"/>
    <n v="178600"/>
    <n v="916.30365425531909"/>
  </r>
  <r>
    <x v="0"/>
    <x v="0"/>
    <n v="170000"/>
    <n v="2070"/>
    <x v="1"/>
    <n v="5.4"/>
    <s v="8"/>
    <x v="0"/>
    <s v="No"/>
    <x v="0"/>
    <n v="82.125603864734302"/>
    <n v="951.11519082643133"/>
    <n v="128934.55724792942"/>
    <n v="285334.55724792939"/>
    <n v="156400"/>
    <n v="828.30365294117644"/>
  </r>
  <r>
    <x v="0"/>
    <x v="0"/>
    <n v="218000"/>
    <n v="2650"/>
    <x v="1"/>
    <n v="5.4"/>
    <s v="8"/>
    <x v="0"/>
    <s v="No"/>
    <x v="0"/>
    <n v="82.264150943396231"/>
    <n v="1219.6653623538944"/>
    <n v="165339.60870616831"/>
    <n v="365899.60870616831"/>
    <n v="200560"/>
    <n v="1060.3036467889908"/>
  </r>
  <r>
    <x v="0"/>
    <x v="0"/>
    <n v="172000"/>
    <n v="2090"/>
    <x v="1"/>
    <n v="5.3"/>
    <s v="8"/>
    <x v="0"/>
    <s v="No"/>
    <x v="0"/>
    <n v="82.296650717703344"/>
    <n v="952.9231729556725"/>
    <n v="127636.95188670175"/>
    <n v="285876.95188670175"/>
    <n v="158240"/>
    <n v="836.30364534883711"/>
  </r>
  <r>
    <x v="1"/>
    <x v="0"/>
    <n v="205000"/>
    <n v="2480"/>
    <x v="0"/>
    <n v="6.5"/>
    <s v="5"/>
    <x v="0"/>
    <s v="No"/>
    <x v="0"/>
    <n v="82.661290322580641"/>
    <n v="1314.9659467245281"/>
    <n v="199739.78401735844"/>
    <n v="394489.78401735844"/>
    <n v="194750"/>
    <n v="992.30362926829264"/>
  </r>
  <r>
    <x v="0"/>
    <x v="0"/>
    <n v="215000"/>
    <n v="2600"/>
    <x v="1"/>
    <n v="5.4"/>
    <s v="8"/>
    <x v="0"/>
    <s v="No"/>
    <x v="0"/>
    <n v="82.692307692307693"/>
    <n v="1202.8809766334277"/>
    <n v="163064.29299002836"/>
    <n v="360864.29299002839"/>
    <n v="197800"/>
    <n v="1040.3036279069768"/>
  </r>
  <r>
    <x v="0"/>
    <x v="0"/>
    <n v="212000"/>
    <n v="2550"/>
    <x v="1"/>
    <n v="5.4"/>
    <s v="8"/>
    <x v="0"/>
    <s v="No"/>
    <x v="0"/>
    <n v="83.137254901960787"/>
    <n v="1186.0965909129616"/>
    <n v="160788.97727388848"/>
    <n v="355828.97727388848"/>
    <n v="195040"/>
    <n v="1020.303608490566"/>
  </r>
  <r>
    <x v="0"/>
    <x v="0"/>
    <n v="178000"/>
    <n v="2140"/>
    <x v="1"/>
    <n v="5.4"/>
    <s v="8"/>
    <x v="0"/>
    <s v="No"/>
    <x v="0"/>
    <n v="83.177570093457945"/>
    <n v="995.87355274767526"/>
    <n v="135002.06582430258"/>
    <n v="298762.06582430261"/>
    <n v="163760"/>
    <n v="856.30360674157293"/>
  </r>
  <r>
    <x v="2"/>
    <x v="0"/>
    <n v="205000"/>
    <n v="2460"/>
    <x v="1"/>
    <n v="5.4"/>
    <s v="5"/>
    <x v="0"/>
    <s v="No"/>
    <x v="0"/>
    <n v="83.333333333333329"/>
    <n v="1184.3330141524777"/>
    <n v="160549.9042457433"/>
    <n v="355299.9042457433"/>
    <n v="194750"/>
    <n v="984.30359999999996"/>
  </r>
  <r>
    <x v="0"/>
    <x v="0"/>
    <n v="180000"/>
    <n v="2160"/>
    <x v="0"/>
    <n v="6.4"/>
    <s v="8"/>
    <x v="0"/>
    <s v="No"/>
    <x v="0"/>
    <n v="83.333333333333329"/>
    <n v="1107.8174277907185"/>
    <n v="166745.22833721561"/>
    <n v="332345.22833721561"/>
    <n v="165600"/>
    <n v="864.30359999999996"/>
  </r>
  <r>
    <x v="0"/>
    <x v="0"/>
    <n v="190000"/>
    <n v="2280"/>
    <x v="1"/>
    <n v="5.4"/>
    <s v="8"/>
    <x v="0"/>
    <s v="No"/>
    <x v="0"/>
    <n v="83.333333333333329"/>
    <n v="1063.0110956295409"/>
    <n v="144103.3286888623"/>
    <n v="318903.32868886227"/>
    <n v="174800"/>
    <n v="912.30359999999996"/>
  </r>
  <r>
    <x v="0"/>
    <x v="0"/>
    <n v="182000"/>
    <n v="2180"/>
    <x v="1"/>
    <n v="5.4"/>
    <s v="8"/>
    <x v="0"/>
    <s v="No"/>
    <x v="0"/>
    <n v="83.486238532110093"/>
    <n v="1018.2527337082971"/>
    <n v="138035.82011248913"/>
    <n v="305475.82011248916"/>
    <n v="167440"/>
    <n v="872.30359340659334"/>
  </r>
  <r>
    <x v="0"/>
    <x v="0"/>
    <n v="188000"/>
    <n v="2250"/>
    <x v="1"/>
    <n v="5.4"/>
    <s v="8"/>
    <x v="0"/>
    <s v="No"/>
    <x v="0"/>
    <n v="83.555555555555557"/>
    <n v="1051.82150514923"/>
    <n v="142586.45154476902"/>
    <n v="315546.45154476899"/>
    <n v="172960"/>
    <n v="900.30359042553187"/>
  </r>
  <r>
    <x v="0"/>
    <x v="0"/>
    <n v="180000"/>
    <n v="2150"/>
    <x v="1"/>
    <n v="5.4"/>
    <n v="8"/>
    <x v="0"/>
    <s v="No"/>
    <x v="0"/>
    <n v="83.720930232558146"/>
    <n v="1007.0631432279862"/>
    <n v="136518.94296839586"/>
    <n v="302118.94296839589"/>
    <n v="165600"/>
    <n v="860.30358333333334"/>
  </r>
  <r>
    <x v="0"/>
    <x v="0"/>
    <n v="166000"/>
    <n v="1980"/>
    <x v="0"/>
    <n v="6.4"/>
    <s v="8"/>
    <x v="0"/>
    <s v="No"/>
    <x v="0"/>
    <n v="83.838383838383834"/>
    <n v="1021.6538500736627"/>
    <n v="153776.15502209886"/>
    <n v="306496.15502209886"/>
    <n v="152720"/>
    <n v="792.30357831325296"/>
  </r>
  <r>
    <x v="1"/>
    <x v="0"/>
    <n v="210000"/>
    <n v="2500"/>
    <x v="1"/>
    <n v="5.4"/>
    <s v="5"/>
    <x v="0"/>
    <s v="No"/>
    <x v="0"/>
    <n v="84"/>
    <n v="1213.2191852293674"/>
    <n v="164465.75556881024"/>
    <n v="363965.75556881027"/>
    <n v="199500"/>
    <n v="1000.3035714285713"/>
  </r>
  <r>
    <x v="0"/>
    <x v="0"/>
    <n v="210000"/>
    <n v="2500"/>
    <x v="1"/>
    <n v="5.4"/>
    <s v="8"/>
    <x v="0"/>
    <s v="No"/>
    <x v="0"/>
    <n v="84"/>
    <n v="1174.9070004326504"/>
    <n v="159272.10012979517"/>
    <n v="352472.10012979514"/>
    <n v="193200"/>
    <n v="1000.3035714285713"/>
  </r>
  <r>
    <x v="0"/>
    <x v="0"/>
    <n v="185000"/>
    <n v="2200"/>
    <x v="0"/>
    <n v="6.4"/>
    <s v="5"/>
    <x v="0"/>
    <s v="No"/>
    <x v="0"/>
    <n v="84.090909090909093"/>
    <n v="1175.7180732742681"/>
    <n v="176965.42198228047"/>
    <n v="352715.42198228044"/>
    <n v="175750"/>
    <n v="880.30356756756748"/>
  </r>
  <r>
    <x v="0"/>
    <x v="0"/>
    <n v="185000"/>
    <n v="2200"/>
    <x v="1"/>
    <n v="5.4"/>
    <s v="8"/>
    <x v="0"/>
    <s v="No"/>
    <x v="0"/>
    <n v="84.090909090909093"/>
    <n v="1035.0371194287636"/>
    <n v="140311.13582862908"/>
    <n v="310511.13582862908"/>
    <n v="170200"/>
    <n v="880.30356756756748"/>
  </r>
  <r>
    <x v="0"/>
    <x v="0"/>
    <n v="190000"/>
    <n v="2250"/>
    <x v="1"/>
    <n v="5.4"/>
    <s v="8"/>
    <x v="0"/>
    <s v="No"/>
    <x v="0"/>
    <n v="84.444444444444443"/>
    <n v="1063.0110956295409"/>
    <n v="144103.3286888623"/>
    <n v="318903.32868886227"/>
    <n v="174800"/>
    <n v="900.3035526315789"/>
  </r>
  <r>
    <x v="2"/>
    <x v="0"/>
    <n v="210000"/>
    <n v="2480"/>
    <x v="1"/>
    <n v="5.4"/>
    <s v="5"/>
    <x v="0"/>
    <s v="No"/>
    <x v="0"/>
    <n v="84.677419354838705"/>
    <n v="1213.2191852293674"/>
    <n v="164465.75556881024"/>
    <n v="363965.75556881027"/>
    <n v="199500"/>
    <n v="992.30354285714282"/>
  </r>
  <r>
    <x v="1"/>
    <x v="0"/>
    <n v="205000"/>
    <n v="2420"/>
    <x v="0"/>
    <n v="6.6"/>
    <s v="5"/>
    <x v="0"/>
    <s v="No"/>
    <x v="0"/>
    <n v="84.710743801652896"/>
    <n v="1327.1610712226784"/>
    <n v="203398.32136680343"/>
    <n v="398148.32136680343"/>
    <n v="194750"/>
    <n v="968.3035414634146"/>
  </r>
  <r>
    <x v="0"/>
    <x v="0"/>
    <n v="195000"/>
    <n v="2300"/>
    <x v="0"/>
    <n v="6.4"/>
    <s v="8"/>
    <x v="0"/>
    <s v="No"/>
    <x v="0"/>
    <n v="84.782608695652172"/>
    <n v="1200.1355467732785"/>
    <n v="180640.66403198353"/>
    <n v="360040.66403198353"/>
    <n v="179400"/>
    <n v="920.30353846153844"/>
  </r>
  <r>
    <x v="0"/>
    <x v="0"/>
    <n v="195000"/>
    <n v="2300"/>
    <x v="1"/>
    <n v="5.4"/>
    <s v="8"/>
    <x v="0"/>
    <s v="No"/>
    <x v="0"/>
    <n v="84.782608695652172"/>
    <n v="1090.9850718303185"/>
    <n v="147895.52154909552"/>
    <n v="327295.52154909552"/>
    <n v="179400"/>
    <n v="920.30353846153844"/>
  </r>
  <r>
    <x v="2"/>
    <x v="0"/>
    <n v="212000"/>
    <n v="2500"/>
    <x v="0"/>
    <n v="6.4"/>
    <s v="5"/>
    <x v="0"/>
    <s v="No"/>
    <x v="0"/>
    <n v="84.8"/>
    <n v="1347.3093596440262"/>
    <n v="202792.80789320791"/>
    <n v="404192.80789320788"/>
    <n v="201400"/>
    <n v="1000.303537735849"/>
  </r>
  <r>
    <x v="0"/>
    <x v="0"/>
    <n v="200000"/>
    <n v="2350"/>
    <x v="0"/>
    <n v="6.4"/>
    <s v="5"/>
    <x v="0"/>
    <s v="No"/>
    <x v="0"/>
    <n v="85.106382978723403"/>
    <n v="1271.0465657019113"/>
    <n v="191313.96971057344"/>
    <n v="381313.96971057344"/>
    <n v="190000"/>
    <n v="940.30352499999992"/>
  </r>
  <r>
    <x v="0"/>
    <x v="0"/>
    <n v="200000"/>
    <n v="2350"/>
    <x v="1"/>
    <n v="5.4"/>
    <s v="8"/>
    <x v="0"/>
    <s v="No"/>
    <x v="0"/>
    <n v="85.106382978723403"/>
    <n v="1118.9590480310958"/>
    <n v="151687.71440932879"/>
    <n v="335687.71440932876"/>
    <n v="184000"/>
    <n v="940.30352499999992"/>
  </r>
  <r>
    <x v="2"/>
    <x v="0"/>
    <n v="207000"/>
    <n v="2430"/>
    <x v="0"/>
    <n v="6.4"/>
    <s v="5"/>
    <x v="0"/>
    <s v="No"/>
    <x v="0"/>
    <n v="85.18518518518519"/>
    <n v="1315.5331955014783"/>
    <n v="198009.95865044359"/>
    <n v="394659.95865044359"/>
    <n v="196650"/>
    <n v="972.30352173913036"/>
  </r>
  <r>
    <x v="2"/>
    <x v="0"/>
    <n v="215000"/>
    <n v="2520"/>
    <x v="1"/>
    <n v="5.4"/>
    <s v="5"/>
    <x v="0"/>
    <s v="No"/>
    <x v="0"/>
    <n v="85.317460317460316"/>
    <n v="1242.1053563062569"/>
    <n v="168381.60689187711"/>
    <n v="372631.60689187713"/>
    <n v="204250"/>
    <n v="1008.3035162790698"/>
  </r>
  <r>
    <x v="1"/>
    <x v="0"/>
    <n v="215000"/>
    <n v="2520"/>
    <x v="0"/>
    <n v="6.5"/>
    <s v="5"/>
    <x v="0"/>
    <s v="No"/>
    <x v="0"/>
    <n v="85.317460317460316"/>
    <n v="1379.1106270525538"/>
    <n v="209483.18811576618"/>
    <n v="413733.18811576616"/>
    <n v="204250"/>
    <n v="1008.3035162790698"/>
  </r>
  <r>
    <x v="0"/>
    <x v="0"/>
    <n v="205000"/>
    <n v="2400"/>
    <x v="1"/>
    <n v="5.4"/>
    <s v="8"/>
    <x v="0"/>
    <s v="No"/>
    <x v="0"/>
    <n v="85.416666666666671"/>
    <n v="1146.9330242318731"/>
    <n v="155479.90726956195"/>
    <n v="344079.90726956195"/>
    <n v="188600"/>
    <n v="960.30351219512193"/>
  </r>
  <r>
    <x v="2"/>
    <x v="0"/>
    <n v="218000"/>
    <n v="2550"/>
    <x v="0"/>
    <n v="6.4"/>
    <s v="5"/>
    <x v="0"/>
    <s v="No"/>
    <x v="0"/>
    <n v="85.490196078431367"/>
    <n v="1385.4407566150835"/>
    <n v="208532.2269845251"/>
    <n v="415632.2269845251"/>
    <n v="207100"/>
    <n v="1020.3035091743119"/>
  </r>
  <r>
    <x v="0"/>
    <x v="0"/>
    <n v="185000"/>
    <n v="2160"/>
    <x v="0"/>
    <n v="6.4"/>
    <s v="8"/>
    <x v="0"/>
    <s v="No"/>
    <x v="0"/>
    <n v="85.648148148148152"/>
    <n v="1138.5901341182387"/>
    <n v="171377.04023547159"/>
    <n v="341577.04023547156"/>
    <n v="170200"/>
    <n v="864.30350270270264"/>
  </r>
  <r>
    <x v="0"/>
    <x v="0"/>
    <n v="210000"/>
    <n v="2450"/>
    <x v="1"/>
    <n v="5.4"/>
    <s v="8"/>
    <x v="0"/>
    <s v="No"/>
    <x v="0"/>
    <n v="85.714285714285708"/>
    <n v="1174.9070004326504"/>
    <n v="159272.10012979517"/>
    <n v="352472.10012979514"/>
    <n v="193200"/>
    <n v="980.30349999999999"/>
  </r>
  <r>
    <x v="1"/>
    <x v="0"/>
    <n v="210000"/>
    <n v="2450"/>
    <x v="1"/>
    <n v="5.4"/>
    <s v="5"/>
    <x v="0"/>
    <s v="No"/>
    <x v="0"/>
    <n v="85.714285714285708"/>
    <n v="1213.2191852293674"/>
    <n v="164465.75556881024"/>
    <n v="363965.75556881027"/>
    <n v="199500"/>
    <n v="980.30349999999999"/>
  </r>
  <r>
    <x v="1"/>
    <x v="0"/>
    <n v="220000"/>
    <n v="2550"/>
    <x v="1"/>
    <n v="5.4"/>
    <s v="5"/>
    <x v="0"/>
    <s v="No"/>
    <x v="0"/>
    <n v="86.274509803921575"/>
    <n v="1270.9915273831468"/>
    <n v="172297.45821494405"/>
    <n v="381297.45821494405"/>
    <n v="209000"/>
    <n v="1020.3034772727273"/>
  </r>
  <r>
    <x v="0"/>
    <x v="0"/>
    <n v="185000"/>
    <n v="2140"/>
    <x v="1"/>
    <n v="5.4"/>
    <s v="8"/>
    <x v="0"/>
    <s v="No"/>
    <x v="0"/>
    <n v="86.44859813084112"/>
    <n v="1035.0371194287636"/>
    <n v="140311.13582862908"/>
    <n v="310511.13582862908"/>
    <n v="170200"/>
    <n v="856.30347027027028"/>
  </r>
  <r>
    <x v="2"/>
    <x v="0"/>
    <n v="225000"/>
    <n v="2600"/>
    <x v="1"/>
    <n v="5.4"/>
    <s v="5"/>
    <x v="0"/>
    <s v="No"/>
    <x v="0"/>
    <n v="86.538461538461533"/>
    <n v="1299.8776984600365"/>
    <n v="176213.30953801097"/>
    <n v="389963.30953801097"/>
    <n v="213750"/>
    <n v="1040.3034666666665"/>
  </r>
  <r>
    <x v="2"/>
    <x v="0"/>
    <n v="230000"/>
    <n v="2650"/>
    <x v="0"/>
    <n v="6.4"/>
    <s v="5"/>
    <x v="0"/>
    <s v="No"/>
    <x v="0"/>
    <n v="86.79245283018868"/>
    <n v="1461.7035505571982"/>
    <n v="220011.06516715951"/>
    <n v="438511.06516715954"/>
    <n v="218500"/>
    <n v="1060.303456521739"/>
  </r>
  <r>
    <x v="1"/>
    <x v="0"/>
    <n v="230000"/>
    <n v="2650"/>
    <x v="1"/>
    <n v="5.4"/>
    <s v="5"/>
    <x v="0"/>
    <s v="No"/>
    <x v="0"/>
    <n v="86.79245283018868"/>
    <n v="1328.7638695369262"/>
    <n v="180129.16086107795"/>
    <n v="398629.16086107795"/>
    <n v="218500"/>
    <n v="1060.303456521739"/>
  </r>
  <r>
    <x v="1"/>
    <x v="0"/>
    <n v="235000"/>
    <n v="2700"/>
    <x v="0"/>
    <n v="6.5"/>
    <s v="5"/>
    <x v="0"/>
    <s v="No"/>
    <x v="0"/>
    <n v="87.037037037037038"/>
    <n v="1507.3999877086053"/>
    <n v="228969.99631258161"/>
    <n v="452219.99631258158"/>
    <n v="223250"/>
    <n v="1080.3034468085107"/>
  </r>
  <r>
    <x v="2"/>
    <x v="0"/>
    <n v="218000"/>
    <n v="2500"/>
    <x v="0"/>
    <n v="6.4"/>
    <s v="5"/>
    <x v="0"/>
    <s v="No"/>
    <x v="0"/>
    <n v="87.2"/>
    <n v="1385.4407566150835"/>
    <n v="208532.2269845251"/>
    <n v="415632.2269845251"/>
    <n v="207100"/>
    <n v="1000.3034403669724"/>
  </r>
  <r>
    <x v="2"/>
    <x v="0"/>
    <n v="220000"/>
    <n v="2520"/>
    <x v="1"/>
    <n v="5.4"/>
    <s v="5"/>
    <x v="0"/>
    <s v="No"/>
    <x v="0"/>
    <n v="87.301587301587304"/>
    <n v="1270.9915273831468"/>
    <n v="172297.45821494405"/>
    <n v="381297.45821494405"/>
    <n v="209000"/>
    <n v="1008.3034363636364"/>
  </r>
  <r>
    <x v="2"/>
    <x v="0"/>
    <n v="235000"/>
    <n v="2680"/>
    <x v="1"/>
    <n v="5.4"/>
    <s v="5"/>
    <x v="0"/>
    <s v="No"/>
    <x v="0"/>
    <n v="87.68656716417911"/>
    <n v="1357.6500406138157"/>
    <n v="184045.01218414475"/>
    <n v="407295.01218414475"/>
    <n v="223250"/>
    <n v="1072.3034212765956"/>
  </r>
  <r>
    <x v="2"/>
    <x v="0"/>
    <n v="225000"/>
    <n v="2550"/>
    <x v="0"/>
    <n v="6.4"/>
    <s v="5"/>
    <x v="0"/>
    <s v="No"/>
    <x v="0"/>
    <n v="88.235294117647058"/>
    <n v="1429.9273864146505"/>
    <n v="215228.21592439522"/>
    <n v="428978.21592439525"/>
    <n v="213750"/>
    <n v="1020.3034"/>
  </r>
  <r>
    <x v="1"/>
    <x v="0"/>
    <n v="220000"/>
    <n v="2480"/>
    <x v="0"/>
    <n v="6.5"/>
    <s v="5"/>
    <x v="0"/>
    <s v="No"/>
    <x v="0"/>
    <n v="88.709677419354833"/>
    <n v="1411.1829672165668"/>
    <n v="214354.89016496998"/>
    <n v="423354.89016496995"/>
    <n v="209000"/>
    <n v="992.30338181818172"/>
  </r>
  <r>
    <x v="2"/>
    <x v="0"/>
    <n v="245000"/>
    <n v="2750"/>
    <x v="1"/>
    <n v="5.4"/>
    <s v="5"/>
    <x v="0"/>
    <s v="No"/>
    <x v="0"/>
    <n v="89.090909090909093"/>
    <n v="1415.4223827675953"/>
    <n v="191876.71483027862"/>
    <n v="424626.71483027865"/>
    <n v="232750"/>
    <n v="1100.3033673469388"/>
  </r>
  <r>
    <x v="2"/>
    <x v="0"/>
    <n v="250000"/>
    <n v="2800"/>
    <x v="0"/>
    <n v="6.4"/>
    <s v="5"/>
    <x v="0"/>
    <s v="No"/>
    <x v="0"/>
    <n v="89.285714285714292"/>
    <n v="1588.8082071273891"/>
    <n v="239142.46213821683"/>
    <n v="476642.46213821683"/>
    <n v="237500"/>
    <n v="1120.3033599999999"/>
  </r>
  <r>
    <x v="0"/>
    <x v="0"/>
    <n v="168000"/>
    <n v="1880"/>
    <x v="1"/>
    <n v="5.3"/>
    <s v="5"/>
    <x v="0"/>
    <s v="No"/>
    <x v="0"/>
    <n v="89.361702127659569"/>
    <n v="961.11310922475559"/>
    <n v="128733.93276742662"/>
    <n v="288333.9327674266"/>
    <n v="159600"/>
    <n v="752.30335714285707"/>
  </r>
  <r>
    <x v="0"/>
    <x v="0"/>
    <n v="195000"/>
    <n v="2180"/>
    <x v="1"/>
    <n v="5.4"/>
    <s v="8"/>
    <x v="0"/>
    <s v="No"/>
    <x v="0"/>
    <n v="89.449541284403665"/>
    <n v="1090.9850718303185"/>
    <n v="147895.52154909552"/>
    <n v="327295.52154909552"/>
    <n v="179400"/>
    <n v="872.30335384615375"/>
  </r>
  <r>
    <x v="2"/>
    <x v="0"/>
    <n v="255000"/>
    <n v="2850"/>
    <x v="0"/>
    <n v="6.4"/>
    <s v="5"/>
    <x v="0"/>
    <s v="No"/>
    <x v="0"/>
    <n v="89.473684210526315"/>
    <n v="1620.584371269937"/>
    <n v="243925.31138098118"/>
    <n v="486175.31138098118"/>
    <n v="242250"/>
    <n v="1140.3033529411764"/>
  </r>
  <r>
    <x v="3"/>
    <x v="0"/>
    <n v="270000"/>
    <n v="2750"/>
    <x v="1"/>
    <n v="5.4"/>
    <s v="8"/>
    <x v="0"/>
    <s v="No"/>
    <x v="0"/>
    <n v="98.181818181818187"/>
    <n v="1510.5947148419793"/>
    <n v="204778.41445259377"/>
    <n v="453178.41445259377"/>
    <n v="248400"/>
    <n v="1100.3030555555556"/>
  </r>
  <r>
    <x v="3"/>
    <x v="0"/>
    <n v="275000"/>
    <n v="2800"/>
    <x v="1"/>
    <n v="5.4"/>
    <s v="8"/>
    <x v="0"/>
    <s v="No"/>
    <x v="0"/>
    <n v="98.214285714285708"/>
    <n v="1538.5686910427567"/>
    <n v="208570.60731282708"/>
    <n v="461570.60731282708"/>
    <n v="253000"/>
    <n v="1120.3030545454544"/>
  </r>
  <r>
    <x v="3"/>
    <x v="0"/>
    <n v="280000"/>
    <n v="2850"/>
    <x v="1"/>
    <n v="5.4"/>
    <s v="8"/>
    <x v="0"/>
    <s v="No"/>
    <x v="0"/>
    <n v="98.245614035087726"/>
    <n v="1566.542667243534"/>
    <n v="212362.80017306024"/>
    <n v="469962.80017306027"/>
    <n v="257600"/>
    <n v="1140.3030535714286"/>
  </r>
  <r>
    <x v="3"/>
    <x v="0"/>
    <n v="282000"/>
    <n v="2860"/>
    <x v="1"/>
    <n v="5.4"/>
    <s v="8"/>
    <x v="0"/>
    <s v="No"/>
    <x v="0"/>
    <n v="98.6013986013986"/>
    <n v="1577.7322577238449"/>
    <n v="213879.67731715352"/>
    <n v="473319.67731715355"/>
    <n v="259440"/>
    <n v="1144.3030425531915"/>
  </r>
  <r>
    <x v="3"/>
    <x v="0"/>
    <n v="225000"/>
    <n v="2250"/>
    <x v="1"/>
    <n v="5.3"/>
    <s v="8"/>
    <x v="0"/>
    <s v="No"/>
    <x v="0"/>
    <n v="100"/>
    <n v="1246.5564762501529"/>
    <n v="166966.94287504588"/>
    <n v="373966.94287504588"/>
    <n v="207000"/>
    <n v="900.303"/>
  </r>
  <r>
    <x v="3"/>
    <x v="0"/>
    <n v="265000"/>
    <n v="2650"/>
    <x v="1"/>
    <n v="5.4"/>
    <s v="8"/>
    <x v="0"/>
    <s v="No"/>
    <x v="0"/>
    <n v="100"/>
    <n v="1482.6207386412018"/>
    <n v="200986.22159236055"/>
    <n v="444786.22159236053"/>
    <n v="243800"/>
    <n v="1060.3029999999999"/>
  </r>
  <r>
    <x v="4"/>
    <x v="0"/>
    <n v="280000"/>
    <n v="2800"/>
    <x v="1"/>
    <n v="5.3"/>
    <s v="7"/>
    <x v="0"/>
    <s v="No"/>
    <x v="0"/>
    <n v="100"/>
    <n v="1568.1319150509171"/>
    <n v="210039.5745152751"/>
    <n v="470439.57451527508"/>
    <n v="260399.99999999997"/>
    <n v="1120.3029999999999"/>
  </r>
  <r>
    <x v="3"/>
    <x v="0"/>
    <n v="262000"/>
    <n v="2600"/>
    <x v="1"/>
    <n v="5.4"/>
    <s v="8"/>
    <x v="0"/>
    <s v="No"/>
    <x v="0"/>
    <n v="100.76923076923077"/>
    <n v="1465.8363529207354"/>
    <n v="198710.90587622064"/>
    <n v="439750.90587622067"/>
    <n v="241040"/>
    <n v="1040.3029770992366"/>
  </r>
  <r>
    <x v="4"/>
    <x v="0"/>
    <n v="278000"/>
    <n v="2750"/>
    <x v="1"/>
    <n v="5.3"/>
    <s v="7"/>
    <x v="0"/>
    <s v="No"/>
    <x v="0"/>
    <n v="101.09090909090909"/>
    <n v="1556.9309728005533"/>
    <n v="208539.29184016594"/>
    <n v="467079.29184016591"/>
    <n v="258539.99999999997"/>
    <n v="1100.3029676258993"/>
  </r>
  <r>
    <x v="2"/>
    <x v="1"/>
    <n v="300000"/>
    <n v="2950"/>
    <x v="1"/>
    <n v="5.4"/>
    <s v="10"/>
    <x v="0"/>
    <s v="No"/>
    <x v="0"/>
    <n v="101.69491525423729"/>
    <n v="1641.9507770021514"/>
    <n v="222585.23310064548"/>
    <n v="492585.23310064548"/>
    <n v="270000"/>
    <n v="1180.30295"/>
  </r>
  <r>
    <x v="1"/>
    <x v="1"/>
    <n v="300000"/>
    <n v="2950"/>
    <x v="1"/>
    <n v="5.5"/>
    <s v="10"/>
    <x v="0"/>
    <s v="No"/>
    <x v="0"/>
    <n v="101.69491525423729"/>
    <n v="1658.0362291599697"/>
    <n v="227410.86874799087"/>
    <n v="497410.86874799087"/>
    <n v="270000"/>
    <n v="1180.30295"/>
  </r>
  <r>
    <x v="4"/>
    <x v="0"/>
    <n v="300000"/>
    <n v="2950"/>
    <x v="1"/>
    <n v="5.3"/>
    <s v="7"/>
    <x v="0"/>
    <s v="No"/>
    <x v="0"/>
    <n v="101.69491525423729"/>
    <n v="1680.141337554554"/>
    <n v="225042.40126636619"/>
    <n v="504042.40126636619"/>
    <n v="279000"/>
    <n v="1180.30295"/>
  </r>
  <r>
    <x v="1"/>
    <x v="1"/>
    <n v="295000"/>
    <n v="2900"/>
    <x v="1"/>
    <n v="5.5"/>
    <s v="10"/>
    <x v="0"/>
    <s v="No"/>
    <x v="0"/>
    <n v="101.72413793103448"/>
    <n v="1630.4022920073035"/>
    <n v="223620.687602191"/>
    <n v="489120.687602191"/>
    <n v="265500"/>
    <n v="1160.3029491525424"/>
  </r>
  <r>
    <x v="4"/>
    <x v="0"/>
    <n v="295000"/>
    <n v="2900"/>
    <x v="1"/>
    <n v="5.3"/>
    <s v="7"/>
    <x v="0"/>
    <s v="No"/>
    <x v="0"/>
    <n v="101.72413793103448"/>
    <n v="1652.1389819286449"/>
    <n v="221291.69457859342"/>
    <n v="495641.69457859342"/>
    <n v="274350"/>
    <n v="1160.3029491525424"/>
  </r>
  <r>
    <x v="1"/>
    <x v="1"/>
    <n v="290000"/>
    <n v="2850"/>
    <x v="1"/>
    <n v="5.5"/>
    <s v="10"/>
    <x v="0"/>
    <s v="No"/>
    <x v="0"/>
    <n v="101.75438596491227"/>
    <n v="1602.7683548546374"/>
    <n v="219830.50645639119"/>
    <n v="480830.50645639119"/>
    <n v="261000"/>
    <n v="1140.302948275862"/>
  </r>
  <r>
    <x v="4"/>
    <x v="0"/>
    <n v="290000"/>
    <n v="2850"/>
    <x v="1"/>
    <n v="5.3"/>
    <s v="7"/>
    <x v="0"/>
    <s v="No"/>
    <x v="0"/>
    <n v="101.75438596491227"/>
    <n v="1624.1366263027357"/>
    <n v="217540.98789082072"/>
    <n v="487240.98789082072"/>
    <n v="269700"/>
    <n v="1140.302948275862"/>
  </r>
  <r>
    <x v="4"/>
    <x v="0"/>
    <n v="275000"/>
    <n v="2700"/>
    <x v="1"/>
    <n v="5.3"/>
    <s v="7"/>
    <x v="0"/>
    <s v="No"/>
    <x v="0"/>
    <n v="101.85185185185185"/>
    <n v="1540.1295594250075"/>
    <n v="206288.86782750228"/>
    <n v="462038.86782750225"/>
    <n v="255749.99999999997"/>
    <n v="1080.3029454545454"/>
  </r>
  <r>
    <x v="4"/>
    <x v="0"/>
    <n v="302000"/>
    <n v="2965"/>
    <x v="1"/>
    <n v="5.3"/>
    <s v="7"/>
    <x v="0"/>
    <s v="No"/>
    <x v="0"/>
    <n v="101.85497470489038"/>
    <n v="1691.3422798049178"/>
    <n v="226542.68394147535"/>
    <n v="507402.68394147535"/>
    <n v="280860"/>
    <n v="1186.3029453642384"/>
  </r>
  <r>
    <x v="3"/>
    <x v="0"/>
    <n v="260000"/>
    <n v="2550"/>
    <x v="1"/>
    <n v="5.4"/>
    <s v="8"/>
    <x v="0"/>
    <s v="No"/>
    <x v="0"/>
    <n v="101.96078431372548"/>
    <n v="1454.6467624404245"/>
    <n v="197194.02873212736"/>
    <n v="436394.02873212739"/>
    <n v="239200"/>
    <n v="1020.3029423076922"/>
  </r>
  <r>
    <x v="1"/>
    <x v="1"/>
    <n v="302000"/>
    <n v="2960"/>
    <x v="1"/>
    <n v="5.5"/>
    <s v="10"/>
    <x v="0"/>
    <s v="No"/>
    <x v="0"/>
    <n v="102.02702702702703"/>
    <n v="1669.0898040210361"/>
    <n v="228926.94120631082"/>
    <n v="500726.94120631082"/>
    <n v="271800"/>
    <n v="1184.302940397351"/>
  </r>
  <r>
    <x v="3"/>
    <x v="0"/>
    <n v="240000"/>
    <n v="2350"/>
    <x v="1"/>
    <n v="5.4"/>
    <s v="8"/>
    <x v="0"/>
    <s v="No"/>
    <x v="0"/>
    <n v="102.12765957446808"/>
    <n v="1342.7508576373148"/>
    <n v="182025.25729119443"/>
    <n v="402825.2572911944"/>
    <n v="220800"/>
    <n v="940.30293749999998"/>
  </r>
  <r>
    <x v="3"/>
    <x v="0"/>
    <n v="235000"/>
    <n v="2300"/>
    <x v="0"/>
    <n v="6.5"/>
    <s v="8"/>
    <x v="0"/>
    <s v="No"/>
    <x v="0"/>
    <n v="102.17391304347827"/>
    <n v="1459.7978828335968"/>
    <n v="221739.36485007903"/>
    <n v="437939.36485007906"/>
    <n v="216200"/>
    <n v="920.30293617021277"/>
  </r>
  <r>
    <x v="3"/>
    <x v="0"/>
    <n v="230000"/>
    <n v="2250"/>
    <x v="0"/>
    <n v="6.5"/>
    <s v="8"/>
    <x v="0"/>
    <s v="No"/>
    <x v="0"/>
    <n v="102.22222222222223"/>
    <n v="1428.7383534116054"/>
    <n v="217021.5060234816"/>
    <n v="428621.5060234816"/>
    <n v="211600"/>
    <n v="900.30293478260865"/>
  </r>
  <r>
    <x v="4"/>
    <x v="0"/>
    <n v="272000"/>
    <n v="2650"/>
    <x v="1"/>
    <n v="5.3"/>
    <s v="7"/>
    <x v="0"/>
    <s v="No"/>
    <x v="0"/>
    <n v="102.64150943396227"/>
    <n v="1523.328146049462"/>
    <n v="204038.44381483863"/>
    <n v="456998.4438148386"/>
    <n v="252959.99999999997"/>
    <n v="1060.3029227941176"/>
  </r>
  <r>
    <x v="2"/>
    <x v="1"/>
    <n v="298000"/>
    <n v="2900"/>
    <x v="1"/>
    <n v="5.4"/>
    <s v="10"/>
    <x v="0"/>
    <s v="No"/>
    <x v="0"/>
    <n v="102.75862068965517"/>
    <n v="1631.0044384888035"/>
    <n v="221101.33154664107"/>
    <n v="489301.33154664107"/>
    <n v="268200"/>
    <n v="1160.3029194630872"/>
  </r>
  <r>
    <x v="3"/>
    <x v="0"/>
    <n v="232000"/>
    <n v="2250"/>
    <x v="1"/>
    <n v="5.3"/>
    <s v="8"/>
    <x v="0"/>
    <s v="No"/>
    <x v="0"/>
    <n v="103.11111111111111"/>
    <n v="1285.3382332890467"/>
    <n v="172161.46998671402"/>
    <n v="385601.46998671402"/>
    <n v="213440"/>
    <n v="900.30290948275854"/>
  </r>
  <r>
    <x v="3"/>
    <x v="0"/>
    <n v="258000"/>
    <n v="2500"/>
    <x v="1"/>
    <n v="5.4"/>
    <s v="8"/>
    <x v="0"/>
    <s v="No"/>
    <x v="0"/>
    <n v="103.2"/>
    <n v="1443.4571719601136"/>
    <n v="195677.15158803409"/>
    <n v="433037.15158803412"/>
    <n v="237360"/>
    <n v="1000.3029069767441"/>
  </r>
  <r>
    <x v="3"/>
    <x v="0"/>
    <n v="225000"/>
    <n v="2180"/>
    <x v="1"/>
    <n v="5.4"/>
    <s v="5"/>
    <x v="0"/>
    <s v="No"/>
    <x v="0"/>
    <n v="103.21100917431193"/>
    <n v="1299.8776984600365"/>
    <n v="176213.30953801097"/>
    <n v="389963.30953801097"/>
    <n v="213750"/>
    <n v="872.30290666666667"/>
  </r>
  <r>
    <x v="2"/>
    <x v="1"/>
    <n v="320000"/>
    <n v="3100"/>
    <x v="1"/>
    <n v="5.4"/>
    <s v="10"/>
    <x v="0"/>
    <s v="No"/>
    <x v="0"/>
    <n v="103.2258064516129"/>
    <n v="1751.4141621356282"/>
    <n v="237424.24864068849"/>
    <n v="525424.24864068849"/>
    <n v="288000"/>
    <n v="1240.30290625"/>
  </r>
  <r>
    <x v="2"/>
    <x v="1"/>
    <n v="315000"/>
    <n v="3050"/>
    <x v="1"/>
    <n v="5.4"/>
    <s v="10"/>
    <x v="0"/>
    <s v="No"/>
    <x v="0"/>
    <n v="103.27868852459017"/>
    <n v="1724.0483158522588"/>
    <n v="233714.4947556777"/>
    <n v="517214.4947556777"/>
    <n v="283500"/>
    <n v="1220.3029047619048"/>
  </r>
  <r>
    <x v="2"/>
    <x v="1"/>
    <n v="310000"/>
    <n v="3000"/>
    <x v="1"/>
    <n v="5.4"/>
    <s v="10"/>
    <x v="0"/>
    <s v="No"/>
    <x v="0"/>
    <n v="103.33333333333333"/>
    <n v="1696.6824695688897"/>
    <n v="230004.74087066698"/>
    <n v="509004.74087066698"/>
    <n v="279000"/>
    <n v="1200.3029032258064"/>
  </r>
  <r>
    <x v="2"/>
    <x v="1"/>
    <n v="295000"/>
    <n v="2850"/>
    <x v="1"/>
    <n v="5.4"/>
    <s v="10"/>
    <x v="0"/>
    <s v="No"/>
    <x v="0"/>
    <n v="103.50877192982456"/>
    <n v="1614.5849307187821"/>
    <n v="218875.4792156347"/>
    <n v="484375.4792156347"/>
    <n v="265500"/>
    <n v="1140.3028983050847"/>
  </r>
  <r>
    <x v="2"/>
    <x v="1"/>
    <n v="322000"/>
    <n v="3110"/>
    <x v="1"/>
    <n v="5.4"/>
    <s v="10"/>
    <x v="0"/>
    <s v="No"/>
    <x v="0"/>
    <n v="103.53697749196141"/>
    <n v="1762.3605006489756"/>
    <n v="238908.15019469272"/>
    <n v="528708.15019469266"/>
    <n v="289800"/>
    <n v="1244.302897515528"/>
  </r>
  <r>
    <x v="0"/>
    <x v="1"/>
    <n v="280000"/>
    <n v="2700"/>
    <x v="1"/>
    <n v="5.4"/>
    <s v="6"/>
    <x v="0"/>
    <s v="No"/>
    <x v="0"/>
    <n v="103.70370370370371"/>
    <n v="1600.5979426183935"/>
    <n v="216979.38278551813"/>
    <n v="480179.38278551813"/>
    <n v="263200"/>
    <n v="1080.3028928571428"/>
  </r>
  <r>
    <x v="3"/>
    <x v="0"/>
    <n v="220000"/>
    <n v="2120"/>
    <x v="0"/>
    <n v="6.6"/>
    <s v="8"/>
    <x v="0"/>
    <s v="No"/>
    <x v="0"/>
    <n v="103.77358490566037"/>
    <n v="1379.2934573323241"/>
    <n v="211388.03719969722"/>
    <n v="413788.03719969722"/>
    <n v="202400"/>
    <n v="848.30289090909082"/>
  </r>
  <r>
    <x v="0"/>
    <x v="1"/>
    <n v="275000"/>
    <n v="2650"/>
    <x v="1"/>
    <n v="5.4"/>
    <s v="6"/>
    <x v="0"/>
    <s v="No"/>
    <x v="0"/>
    <n v="103.77358490566037"/>
    <n v="1572.0158365002078"/>
    <n v="213104.75095006239"/>
    <n v="471604.75095006236"/>
    <n v="258499.99999999997"/>
    <n v="1060.3028909090908"/>
  </r>
  <r>
    <x v="4"/>
    <x v="0"/>
    <n v="270000"/>
    <n v="2600"/>
    <x v="1"/>
    <n v="5.3"/>
    <s v="7"/>
    <x v="0"/>
    <s v="No"/>
    <x v="0"/>
    <n v="103.84615384615384"/>
    <n v="1512.1272037990984"/>
    <n v="202538.16113972955"/>
    <n v="453638.16113972955"/>
    <n v="251099.99999999997"/>
    <n v="1040.3028888888889"/>
  </r>
  <r>
    <x v="0"/>
    <x v="1"/>
    <n v="270000"/>
    <n v="2600"/>
    <x v="1"/>
    <n v="5.4"/>
    <s v="6"/>
    <x v="0"/>
    <s v="No"/>
    <x v="0"/>
    <n v="103.84615384615384"/>
    <n v="1543.4337303820223"/>
    <n v="209230.1191146067"/>
    <n v="463030.1191146067"/>
    <n v="253800"/>
    <n v="1040.3028888888889"/>
  </r>
  <r>
    <x v="3"/>
    <x v="0"/>
    <n v="260000"/>
    <n v="2500"/>
    <x v="1"/>
    <n v="5.4"/>
    <s v="8"/>
    <x v="0"/>
    <s v="No"/>
    <x v="0"/>
    <n v="104"/>
    <n v="1454.6467624404245"/>
    <n v="197194.02873212736"/>
    <n v="436394.02873212739"/>
    <n v="239200"/>
    <n v="1000.3028846153845"/>
  </r>
  <r>
    <x v="4"/>
    <x v="0"/>
    <n v="232000"/>
    <n v="2230"/>
    <x v="1"/>
    <n v="5.3"/>
    <s v="7"/>
    <x v="0"/>
    <s v="No"/>
    <x v="0"/>
    <n v="104.03587443946188"/>
    <n v="1299.3093010421885"/>
    <n v="174032.79031265652"/>
    <n v="389792.79031265655"/>
    <n v="215760"/>
    <n v="892.30288362068961"/>
  </r>
  <r>
    <x v="0"/>
    <x v="1"/>
    <n v="282000"/>
    <n v="2710"/>
    <x v="1"/>
    <n v="5.4"/>
    <s v="6"/>
    <x v="0"/>
    <s v="No"/>
    <x v="0"/>
    <n v="104.0590405904059"/>
    <n v="1612.0307850656677"/>
    <n v="218529.23551970033"/>
    <n v="483609.23551970033"/>
    <n v="265080"/>
    <n v="1084.3028829787233"/>
  </r>
  <r>
    <x v="3"/>
    <x v="0"/>
    <n v="255000"/>
    <n v="2450"/>
    <x v="1"/>
    <n v="5.4"/>
    <s v="8"/>
    <x v="0"/>
    <s v="No"/>
    <x v="0"/>
    <n v="104.08163265306122"/>
    <n v="1426.6727862396469"/>
    <n v="193401.83587189415"/>
    <n v="428001.83587189415"/>
    <n v="234600"/>
    <n v="980.30288235294108"/>
  </r>
  <r>
    <x v="3"/>
    <x v="0"/>
    <n v="250000"/>
    <n v="2400"/>
    <x v="0"/>
    <n v="6.5"/>
    <s v="8"/>
    <x v="0"/>
    <s v="No"/>
    <x v="0"/>
    <n v="104.16666666666667"/>
    <n v="1552.976471099571"/>
    <n v="235892.94132987133"/>
    <n v="465892.9413298713"/>
    <n v="230000"/>
    <n v="960.30287999999996"/>
  </r>
  <r>
    <x v="4"/>
    <x v="0"/>
    <n v="223000"/>
    <n v="2140"/>
    <x v="1"/>
    <n v="5.4"/>
    <s v="7"/>
    <x v="0"/>
    <s v="No"/>
    <x v="0"/>
    <n v="104.20560747663552"/>
    <n v="1261.2006357128748"/>
    <n v="170970.19071386242"/>
    <n v="378360.19071386242"/>
    <n v="207390"/>
    <n v="856.3028789237668"/>
  </r>
  <r>
    <x v="2"/>
    <x v="1"/>
    <n v="292000"/>
    <n v="2800"/>
    <x v="1"/>
    <n v="5.4"/>
    <s v="10"/>
    <x v="0"/>
    <s v="No"/>
    <x v="0"/>
    <n v="104.28571428571429"/>
    <n v="1598.1654229487606"/>
    <n v="216649.62688462815"/>
    <n v="479449.62688462815"/>
    <n v="262800"/>
    <n v="1120.3028767123287"/>
  </r>
  <r>
    <x v="4"/>
    <x v="0"/>
    <n v="235000"/>
    <n v="2250"/>
    <x v="0"/>
    <n v="6.3"/>
    <s v="7"/>
    <x v="0"/>
    <s v="No"/>
    <x v="0"/>
    <n v="104.44444444444444"/>
    <n v="1448.4695263217291"/>
    <n v="215990.85789651869"/>
    <n v="434540.85789651866"/>
    <n v="218549.99999999997"/>
    <n v="900.30287234042544"/>
  </r>
  <r>
    <x v="3"/>
    <x v="0"/>
    <n v="230000"/>
    <n v="2200"/>
    <x v="0"/>
    <n v="6.5"/>
    <s v="8"/>
    <x v="0"/>
    <s v="No"/>
    <x v="0"/>
    <n v="104.54545454545455"/>
    <n v="1428.7383534116054"/>
    <n v="217021.5060234816"/>
    <n v="428621.5060234816"/>
    <n v="211600"/>
    <n v="880.30286956521729"/>
  </r>
  <r>
    <x v="4"/>
    <x v="0"/>
    <n v="240000"/>
    <n v="2280"/>
    <x v="1"/>
    <n v="5.3"/>
    <s v="7"/>
    <x v="0"/>
    <s v="No"/>
    <x v="0"/>
    <n v="105.26315789473684"/>
    <n v="1344.1130700436431"/>
    <n v="180033.92101309294"/>
    <n v="403233.92101309291"/>
    <n v="223199.99999999997"/>
    <n v="912.30284999999992"/>
  </r>
  <r>
    <x v="3"/>
    <x v="0"/>
    <n v="214000"/>
    <n v="2030"/>
    <x v="1"/>
    <n v="5.4"/>
    <s v="5"/>
    <x v="0"/>
    <s v="No"/>
    <x v="0"/>
    <n v="105.41871921182266"/>
    <n v="1236.3281220908791"/>
    <n v="167598.43662726379"/>
    <n v="370898.43662726379"/>
    <n v="203300"/>
    <n v="812.30284579439251"/>
  </r>
  <r>
    <x v="2"/>
    <x v="1"/>
    <n v="290000"/>
    <n v="2750"/>
    <x v="1"/>
    <n v="5.4"/>
    <s v="10"/>
    <x v="0"/>
    <s v="No"/>
    <x v="0"/>
    <n v="105.45454545454545"/>
    <n v="1587.2190844354129"/>
    <n v="215165.72533062389"/>
    <n v="476165.72533062391"/>
    <n v="261000"/>
    <n v="1100.3028448275861"/>
  </r>
  <r>
    <x v="4"/>
    <x v="0"/>
    <n v="230000"/>
    <n v="2180"/>
    <x v="0"/>
    <n v="6.2"/>
    <s v="7"/>
    <x v="0"/>
    <s v="No"/>
    <x v="0"/>
    <n v="105.50458715596331"/>
    <n v="1404.4291036570417"/>
    <n v="207428.73109711247"/>
    <n v="421328.73109711247"/>
    <n v="213900"/>
    <n v="872.3028434782608"/>
  </r>
  <r>
    <x v="4"/>
    <x v="0"/>
    <n v="270000"/>
    <n v="2550"/>
    <x v="1"/>
    <n v="5.3"/>
    <s v="7"/>
    <x v="0"/>
    <s v="No"/>
    <x v="0"/>
    <n v="105.88235294117646"/>
    <n v="1512.1272037990984"/>
    <n v="202538.16113972955"/>
    <n v="453638.16113972955"/>
    <n v="251099.99999999997"/>
    <n v="1020.3028333333333"/>
  </r>
  <r>
    <x v="4"/>
    <x v="0"/>
    <n v="270000"/>
    <n v="2550"/>
    <x v="0"/>
    <n v="6.3"/>
    <s v="7"/>
    <x v="0"/>
    <s v="No"/>
    <x v="0"/>
    <n v="105.88235294117646"/>
    <n v="1664.1990302419867"/>
    <n v="248159.70907259596"/>
    <n v="499259.70907259593"/>
    <n v="251099.99999999997"/>
    <n v="1020.3028333333333"/>
  </r>
  <r>
    <x v="4"/>
    <x v="0"/>
    <n v="260000"/>
    <n v="2450"/>
    <x v="1"/>
    <n v="5.3"/>
    <s v="7"/>
    <x v="0"/>
    <s v="No"/>
    <x v="0"/>
    <n v="106.12244897959184"/>
    <n v="1456.12249254728"/>
    <n v="195036.74776418402"/>
    <n v="436836.74776418402"/>
    <n v="241799.99999999997"/>
    <n v="980.30282692307685"/>
  </r>
  <r>
    <x v="4"/>
    <x v="0"/>
    <n v="255000"/>
    <n v="2400"/>
    <x v="1"/>
    <n v="5.3"/>
    <s v="7"/>
    <x v="0"/>
    <s v="No"/>
    <x v="0"/>
    <n v="106.25"/>
    <n v="1428.1201369213709"/>
    <n v="191286.04107641126"/>
    <n v="428436.04107641126"/>
    <n v="237149.99999999997"/>
    <n v="960.30282352941174"/>
  </r>
  <r>
    <x v="4"/>
    <x v="0"/>
    <n v="250000"/>
    <n v="2350"/>
    <x v="1"/>
    <n v="5.3"/>
    <s v="7"/>
    <x v="0"/>
    <s v="No"/>
    <x v="0"/>
    <n v="106.38297872340425"/>
    <n v="1400.1177812954613"/>
    <n v="187535.33438863841"/>
    <n v="420035.33438863838"/>
    <n v="232499.99999999997"/>
    <n v="940.30282"/>
  </r>
  <r>
    <x v="4"/>
    <x v="0"/>
    <n v="245000"/>
    <n v="2300"/>
    <x v="1"/>
    <n v="5.3"/>
    <s v="7"/>
    <x v="0"/>
    <s v="No"/>
    <x v="0"/>
    <n v="106.52173913043478"/>
    <n v="1372.1154256695522"/>
    <n v="183784.62770086571"/>
    <n v="411634.62770086568"/>
    <n v="227849.99999999997"/>
    <n v="920.30281632653055"/>
  </r>
  <r>
    <x v="3"/>
    <x v="0"/>
    <n v="245000"/>
    <n v="2300"/>
    <x v="1"/>
    <n v="5.4"/>
    <s v="8"/>
    <x v="0"/>
    <s v="No"/>
    <x v="0"/>
    <n v="106.52173913043478"/>
    <n v="1370.7248338380923"/>
    <n v="185817.45015142774"/>
    <n v="411217.45015142777"/>
    <n v="225400"/>
    <n v="920.30281632653055"/>
  </r>
  <r>
    <x v="4"/>
    <x v="0"/>
    <n v="240000"/>
    <n v="2250"/>
    <x v="0"/>
    <n v="6.3"/>
    <s v="7"/>
    <x v="0"/>
    <s v="No"/>
    <x v="0"/>
    <n v="106.66666666666667"/>
    <n v="1479.288026881766"/>
    <n v="220586.40806452971"/>
    <n v="443786.40806452965"/>
    <n v="223199.99999999997"/>
    <n v="900.30281249999996"/>
  </r>
  <r>
    <x v="4"/>
    <x v="0"/>
    <n v="240000"/>
    <n v="2250"/>
    <x v="1"/>
    <n v="5.3"/>
    <s v="7"/>
    <x v="0"/>
    <s v="No"/>
    <x v="0"/>
    <n v="106.66666666666667"/>
    <n v="1344.1130700436431"/>
    <n v="180033.92101309294"/>
    <n v="403233.92101309291"/>
    <n v="223199.99999999997"/>
    <n v="900.30281249999996"/>
  </r>
  <r>
    <x v="3"/>
    <x v="0"/>
    <n v="240000"/>
    <n v="2250"/>
    <x v="1"/>
    <n v="5.4"/>
    <s v="8"/>
    <x v="0"/>
    <s v="No"/>
    <x v="0"/>
    <n v="106.66666666666667"/>
    <n v="1342.7508576373148"/>
    <n v="182025.25729119443"/>
    <n v="402825.2572911944"/>
    <n v="220800"/>
    <n v="900.30281249999996"/>
  </r>
  <r>
    <x v="3"/>
    <x v="0"/>
    <n v="235000"/>
    <n v="2200"/>
    <x v="1"/>
    <n v="5.4"/>
    <s v="8"/>
    <x v="0"/>
    <s v="No"/>
    <x v="0"/>
    <n v="106.81818181818181"/>
    <n v="1314.7768814365375"/>
    <n v="178233.06443096124"/>
    <n v="394433.06443096127"/>
    <n v="216200"/>
    <n v="880.30280851063822"/>
  </r>
  <r>
    <x v="3"/>
    <x v="0"/>
    <n v="225000"/>
    <n v="2100"/>
    <x v="1"/>
    <n v="5.4"/>
    <s v=" 8 "/>
    <x v="0"/>
    <s v="No"/>
    <x v="0"/>
    <n v="107.14285714285714"/>
    <n v="1258.8289290349828"/>
    <n v="170648.67871049483"/>
    <n v="377648.67871049483"/>
    <n v="207000"/>
    <n v="840.30279999999993"/>
  </r>
  <r>
    <x v="4"/>
    <x v="0"/>
    <n v="250000"/>
    <n v="2330"/>
    <x v="1"/>
    <n v="5.3"/>
    <s v="7"/>
    <x v="0"/>
    <s v="No"/>
    <x v="0"/>
    <n v="107.29613733905579"/>
    <n v="1400.1177812954613"/>
    <n v="187535.33438863841"/>
    <n v="420035.33438863838"/>
    <n v="232499.99999999997"/>
    <n v="932.30279599999994"/>
  </r>
  <r>
    <x v="4"/>
    <x v="0"/>
    <n v="240000"/>
    <n v="2230"/>
    <x v="1"/>
    <n v="5.3"/>
    <s v="7"/>
    <x v="0"/>
    <s v="No"/>
    <x v="0"/>
    <n v="107.62331838565022"/>
    <n v="1344.1130700436431"/>
    <n v="180033.92101309294"/>
    <n v="403233.92101309291"/>
    <n v="223199.99999999997"/>
    <n v="892.30278749999991"/>
  </r>
  <r>
    <x v="2"/>
    <x v="1"/>
    <n v="280000"/>
    <n v="2600"/>
    <x v="1"/>
    <n v="5.4"/>
    <s v="10"/>
    <x v="0"/>
    <s v="No"/>
    <x v="0"/>
    <n v="107.69230769230769"/>
    <n v="1532.4873918686746"/>
    <n v="207746.21756060244"/>
    <n v="459746.21756060247"/>
    <n v="252000"/>
    <n v="1040.3027857142856"/>
  </r>
  <r>
    <x v="3"/>
    <x v="0"/>
    <n v="235000"/>
    <n v="2180"/>
    <x v="1"/>
    <n v="5.4"/>
    <s v="5"/>
    <x v="0"/>
    <s v="No"/>
    <x v="0"/>
    <n v="107.79816513761467"/>
    <n v="1357.6500406138157"/>
    <n v="184045.01218414475"/>
    <n v="407295.01218414475"/>
    <n v="223250"/>
    <n v="872.30278297872337"/>
  </r>
  <r>
    <x v="2"/>
    <x v="1"/>
    <n v="275000"/>
    <n v="2550"/>
    <x v="1"/>
    <n v="5.4"/>
    <s v="10"/>
    <x v="0"/>
    <s v="No"/>
    <x v="0"/>
    <n v="107.84313725490196"/>
    <n v="1505.1215455853053"/>
    <n v="204036.46367559163"/>
    <n v="451536.46367559163"/>
    <n v="247500"/>
    <n v="1020.3027818181818"/>
  </r>
  <r>
    <x v="2"/>
    <x v="1"/>
    <n v="270000"/>
    <n v="2500"/>
    <x v="1"/>
    <n v="5.4"/>
    <s v="10"/>
    <x v="0"/>
    <s v="No"/>
    <x v="0"/>
    <n v="108"/>
    <n v="1477.7556993019364"/>
    <n v="200326.70979058091"/>
    <n v="443326.70979058091"/>
    <n v="243000"/>
    <n v="1000.3027777777777"/>
  </r>
  <r>
    <x v="4"/>
    <x v="0"/>
    <n v="255000"/>
    <n v="2360"/>
    <x v="0"/>
    <n v="6.3"/>
    <s v="7"/>
    <x v="0"/>
    <s v="No"/>
    <x v="0"/>
    <n v="108.05084745762711"/>
    <n v="1571.7435285618762"/>
    <n v="234373.05856856285"/>
    <n v="471523.05856856285"/>
    <n v="237149.99999999997"/>
    <n v="944.30277647058824"/>
  </r>
  <r>
    <x v="4"/>
    <x v="0"/>
    <n v="228000"/>
    <n v="2100"/>
    <x v="0"/>
    <n v="6.6"/>
    <s v="7"/>
    <x v="0"/>
    <s v="No"/>
    <x v="0"/>
    <n v="108.57142857142857"/>
    <n v="1444.9870785214723"/>
    <n v="221456.12355644163"/>
    <n v="433496.12355644163"/>
    <n v="212040"/>
    <n v="840.30276315789467"/>
  </r>
  <r>
    <x v="1"/>
    <x v="1"/>
    <n v="250000"/>
    <n v="2300"/>
    <x v="1"/>
    <n v="5.5"/>
    <s v="10"/>
    <x v="0"/>
    <s v="No"/>
    <x v="0"/>
    <n v="108.69565217391305"/>
    <n v="1381.6968576333079"/>
    <n v="189509.05728999234"/>
    <n v="414509.05728999234"/>
    <n v="225000"/>
    <n v="920.30275999999992"/>
  </r>
  <r>
    <x v="3"/>
    <x v="0"/>
    <n v="240000"/>
    <n v="2200"/>
    <x v="0"/>
    <n v="6.5"/>
    <s v="8"/>
    <x v="0"/>
    <s v="No"/>
    <x v="0"/>
    <n v="109.09090909090909"/>
    <n v="1490.8574122555883"/>
    <n v="226457.22367667648"/>
    <n v="447257.22367667651"/>
    <n v="220800"/>
    <n v="880.30274999999995"/>
  </r>
  <r>
    <x v="4"/>
    <x v="0"/>
    <n v="250000"/>
    <n v="2280"/>
    <x v="1"/>
    <n v="5.3"/>
    <s v="7"/>
    <x v="0"/>
    <s v="No"/>
    <x v="0"/>
    <n v="109.64912280701755"/>
    <n v="1400.1177812954613"/>
    <n v="187535.33438863841"/>
    <n v="420035.33438863838"/>
    <n v="232499.99999999997"/>
    <n v="912.30273599999998"/>
  </r>
  <r>
    <x v="0"/>
    <x v="1"/>
    <n v="258000"/>
    <n v="2350"/>
    <x v="1"/>
    <n v="5.4"/>
    <s v="6"/>
    <x v="0"/>
    <s v="No"/>
    <x v="0"/>
    <n v="109.78723404255319"/>
    <n v="1474.8366756983769"/>
    <n v="199931.00270951306"/>
    <n v="442451.00270951306"/>
    <n v="242520"/>
    <n v="940.3027325581395"/>
  </r>
  <r>
    <x v="2"/>
    <x v="1"/>
    <n v="260000"/>
    <n v="2360"/>
    <x v="1"/>
    <n v="5.4"/>
    <s v="10"/>
    <x v="0"/>
    <s v="No"/>
    <x v="0"/>
    <n v="110.16949152542372"/>
    <n v="1423.0240067351979"/>
    <n v="192907.20202055937"/>
    <n v="426907.20202055934"/>
    <n v="234000"/>
    <n v="944.30272307692303"/>
  </r>
  <r>
    <x v="1"/>
    <x v="1"/>
    <n v="270000"/>
    <n v="2450"/>
    <x v="0"/>
    <n v="6.5"/>
    <s v="10"/>
    <x v="0"/>
    <s v="No"/>
    <x v="0"/>
    <n v="110.20408163265306"/>
    <n v="1640.7534020747644"/>
    <n v="249226.02062242929"/>
    <n v="492226.02062242932"/>
    <n v="243000"/>
    <n v="980.3027222222222"/>
  </r>
  <r>
    <x v="1"/>
    <x v="1"/>
    <n v="255000"/>
    <n v="2300"/>
    <x v="1"/>
    <n v="5.5"/>
    <s v="10"/>
    <x v="0"/>
    <s v="No"/>
    <x v="0"/>
    <n v="110.8695652173913"/>
    <n v="1409.3307947859744"/>
    <n v="193299.2384357923"/>
    <n v="422799.23843579227"/>
    <n v="229500"/>
    <n v="920.30270588235294"/>
  </r>
  <r>
    <x v="0"/>
    <x v="1"/>
    <n v="255000"/>
    <n v="2300"/>
    <x v="1"/>
    <n v="5.4"/>
    <s v="6"/>
    <x v="0"/>
    <s v="No"/>
    <x v="0"/>
    <n v="110.8695652173913"/>
    <n v="1457.6874120274654"/>
    <n v="197606.22360823964"/>
    <n v="437306.22360823967"/>
    <n v="239700"/>
    <n v="920.30270588235294"/>
  </r>
  <r>
    <x v="0"/>
    <x v="1"/>
    <n v="252000"/>
    <n v="2250"/>
    <x v="1"/>
    <n v="5.4"/>
    <s v="6"/>
    <x v="0"/>
    <s v="No"/>
    <x v="0"/>
    <n v="112"/>
    <n v="1440.5381483565541"/>
    <n v="195281.44450696625"/>
    <n v="432161.44450696628"/>
    <n v="236880"/>
    <n v="900.30267857142849"/>
  </r>
  <r>
    <x v="5"/>
    <x v="0"/>
    <n v="279000"/>
    <n v="2490"/>
    <x v="0"/>
    <n v="6"/>
    <s v="10"/>
    <x v="1"/>
    <s v="No"/>
    <x v="0"/>
    <n v="112.04819277108433"/>
    <n v="1617.8408191301121"/>
    <n v="234252.24573903362"/>
    <n v="485352.24573903362"/>
    <n v="251100"/>
    <n v="996.6026774193549"/>
  </r>
  <r>
    <x v="4"/>
    <x v="0"/>
    <n v="250000"/>
    <n v="2230"/>
    <x v="1"/>
    <n v="5.3"/>
    <n v="7"/>
    <x v="0"/>
    <s v="No"/>
    <x v="0"/>
    <n v="112.10762331838565"/>
    <n v="1400.1177812954613"/>
    <n v="187535.33438863841"/>
    <n v="420035.33438863838"/>
    <n v="232499.99999999997"/>
    <n v="892.30267599999991"/>
  </r>
  <r>
    <x v="1"/>
    <x v="1"/>
    <n v="240000"/>
    <n v="2140"/>
    <x v="1"/>
    <n v="5.5"/>
    <s v="10"/>
    <x v="0"/>
    <s v="No"/>
    <x v="0"/>
    <n v="112.14953271028037"/>
    <n v="1326.4289833279756"/>
    <n v="181928.69499839263"/>
    <n v="397928.6949983926"/>
    <n v="216000"/>
    <n v="856.30267499999991"/>
  </r>
  <r>
    <x v="5"/>
    <x v="0"/>
    <n v="276000"/>
    <n v="2460"/>
    <x v="1"/>
    <n v="5.0999999999999996"/>
    <s v="10"/>
    <x v="1"/>
    <s v="No"/>
    <x v="0"/>
    <n v="112.19512195121951"/>
    <n v="1466.6307821465014"/>
    <n v="191589.23464395039"/>
    <n v="439989.23464395036"/>
    <n v="248400"/>
    <n v="984.60267391304353"/>
  </r>
  <r>
    <x v="2"/>
    <x v="1"/>
    <n v="248000"/>
    <n v="2210"/>
    <x v="1"/>
    <n v="5.5"/>
    <s v="8"/>
    <x v="0"/>
    <s v="No"/>
    <x v="0"/>
    <n v="112.21719457013575"/>
    <n v="1401.1020223894025"/>
    <n v="192170.60671682074"/>
    <n v="420330.60671682074"/>
    <n v="228160"/>
    <n v="884.30267338709677"/>
  </r>
  <r>
    <x v="6"/>
    <x v="0"/>
    <n v="255000"/>
    <n v="2270"/>
    <x v="1"/>
    <n v="5.2"/>
    <s v="12"/>
    <x v="1"/>
    <s v="No"/>
    <x v="0"/>
    <n v="112.33480176211454"/>
    <n v="1338.10060747221"/>
    <n v="177030.18224166296"/>
    <n v="401430.18224166299"/>
    <n v="224400"/>
    <n v="908.60267058823536"/>
  </r>
  <r>
    <x v="5"/>
    <x v="0"/>
    <n v="273000"/>
    <n v="2430"/>
    <x v="1"/>
    <n v="5.0999999999999996"/>
    <s v="10"/>
    <x v="1"/>
    <s v="No"/>
    <x v="0"/>
    <n v="112.34567901234568"/>
    <n v="1450.6891432101263"/>
    <n v="189506.74296303792"/>
    <n v="435206.74296303792"/>
    <n v="245700"/>
    <n v="972.60267032967033"/>
  </r>
  <r>
    <x v="5"/>
    <x v="0"/>
    <n v="282000"/>
    <n v="2510"/>
    <x v="1"/>
    <n v="5.2"/>
    <s v="10"/>
    <x v="1"/>
    <s v="No"/>
    <x v="0"/>
    <n v="112.35059760956176"/>
    <n v="1513.4132539057348"/>
    <n v="200223.97617172039"/>
    <n v="454023.97617172042"/>
    <n v="253800"/>
    <n v="1004.6026702127659"/>
  </r>
  <r>
    <x v="5"/>
    <x v="0"/>
    <n v="285000"/>
    <n v="2530"/>
    <x v="0"/>
    <n v="6"/>
    <s v="10"/>
    <x v="1"/>
    <s v="No"/>
    <x v="0"/>
    <n v="112.64822134387352"/>
    <n v="1652.6330948103296"/>
    <n v="239289.92844309885"/>
    <n v="495789.92844309885"/>
    <n v="256500"/>
    <n v="1012.6026631578948"/>
  </r>
  <r>
    <x v="1"/>
    <x v="1"/>
    <n v="248000"/>
    <n v="2200"/>
    <x v="0"/>
    <n v="6.5"/>
    <s v="10"/>
    <x v="0"/>
    <s v="No"/>
    <x v="0"/>
    <n v="112.72727272727273"/>
    <n v="1507.0623841279319"/>
    <n v="228918.71523837955"/>
    <n v="452118.71523837955"/>
    <n v="223200"/>
    <n v="880.30266129032259"/>
  </r>
  <r>
    <x v="2"/>
    <x v="1"/>
    <n v="254000"/>
    <n v="2240"/>
    <x v="0"/>
    <n v="6.3"/>
    <s v="10"/>
    <x v="0"/>
    <s v="No"/>
    <x v="0"/>
    <n v="113.39285714285714"/>
    <n v="1515.077253338583"/>
    <n v="225923.17600157487"/>
    <n v="454523.17600157484"/>
    <n v="228600"/>
    <n v="896.30264566929134"/>
  </r>
  <r>
    <x v="0"/>
    <x v="1"/>
    <n v="250000"/>
    <n v="2200"/>
    <x v="1"/>
    <n v="5.4"/>
    <s v="6"/>
    <x v="0"/>
    <s v="No"/>
    <x v="0"/>
    <n v="113.63636363636364"/>
    <n v="1429.1053059092797"/>
    <n v="193731.59177278393"/>
    <n v="428731.5917727839"/>
    <n v="235000"/>
    <n v="880.30264"/>
  </r>
  <r>
    <x v="5"/>
    <x v="0"/>
    <n v="290000"/>
    <n v="2550"/>
    <x v="1"/>
    <n v="5.2"/>
    <s v="10"/>
    <x v="1"/>
    <s v="No"/>
    <x v="0"/>
    <n v="113.72549019607843"/>
    <n v="1556.346963236394"/>
    <n v="205904.08897091818"/>
    <n v="466904.08897091821"/>
    <n v="261000"/>
    <n v="1020.6026379310345"/>
  </r>
  <r>
    <x v="2"/>
    <x v="1"/>
    <n v="265000"/>
    <n v="2330"/>
    <x v="0"/>
    <n v="6.3"/>
    <s v="10"/>
    <x v="0"/>
    <s v="No"/>
    <x v="0"/>
    <n v="113.73390557939913"/>
    <n v="1580.6908351760806"/>
    <n v="235707.25055282415"/>
    <n v="474207.25055282412"/>
    <n v="238500"/>
    <n v="932.30263773584898"/>
  </r>
  <r>
    <x v="2"/>
    <x v="1"/>
    <n v="262000"/>
    <n v="2300"/>
    <x v="1"/>
    <n v="5.4"/>
    <s v="10"/>
    <x v="0"/>
    <s v="No"/>
    <x v="0"/>
    <n v="113.91304347826087"/>
    <n v="1433.9703452485455"/>
    <n v="194391.10357456363"/>
    <n v="430191.10357456363"/>
    <n v="235800"/>
    <n v="920.3026335877862"/>
  </r>
  <r>
    <x v="5"/>
    <x v="0"/>
    <n v="295000"/>
    <n v="2580"/>
    <x v="1"/>
    <n v="5.2"/>
    <s v="10"/>
    <x v="1"/>
    <s v="No"/>
    <x v="0"/>
    <n v="114.34108527131782"/>
    <n v="1583.180531568056"/>
    <n v="209454.15947041666"/>
    <n v="474954.15947041666"/>
    <n v="265500"/>
    <n v="1032.6026237288136"/>
  </r>
  <r>
    <x v="2"/>
    <x v="1"/>
    <n v="270000"/>
    <n v="2360"/>
    <x v="1"/>
    <n v="5.4"/>
    <s v="10"/>
    <x v="0"/>
    <s v="No"/>
    <x v="0"/>
    <n v="114.40677966101696"/>
    <n v="1477.7556993019364"/>
    <n v="200326.70979058091"/>
    <n v="443326.70979058091"/>
    <n v="243000"/>
    <n v="944.30262222222223"/>
  </r>
  <r>
    <x v="5"/>
    <x v="0"/>
    <n v="300000"/>
    <n v="2600"/>
    <x v="1"/>
    <n v="5.2"/>
    <s v="10"/>
    <x v="1"/>
    <s v="No"/>
    <x v="0"/>
    <n v="115.38461538461539"/>
    <n v="1610.0140998997181"/>
    <n v="213004.22996991529"/>
    <n v="483004.22996991529"/>
    <n v="270000"/>
    <n v="1040.6025999999999"/>
  </r>
  <r>
    <x v="5"/>
    <x v="0"/>
    <n v="290000"/>
    <n v="2510"/>
    <x v="1"/>
    <n v="5.2"/>
    <s v="10"/>
    <x v="1"/>
    <s v="No"/>
    <x v="0"/>
    <n v="115.53784860557769"/>
    <n v="1556.346963236394"/>
    <n v="205904.08897091818"/>
    <n v="466904.08897091821"/>
    <n v="261000"/>
    <n v="1004.6025965517241"/>
  </r>
  <r>
    <x v="2"/>
    <x v="1"/>
    <n v="275000"/>
    <n v="2380"/>
    <x v="0"/>
    <n v="6.3"/>
    <s v="10"/>
    <x v="0"/>
    <s v="No"/>
    <x v="0"/>
    <n v="115.54621848739495"/>
    <n v="1640.3395459374422"/>
    <n v="244601.86378123253"/>
    <n v="492101.8637812325"/>
    <n v="247500"/>
    <n v="952.30259636363633"/>
  </r>
  <r>
    <x v="6"/>
    <x v="0"/>
    <n v="295000"/>
    <n v="2550"/>
    <x v="1"/>
    <n v="5.2"/>
    <s v="12"/>
    <x v="1"/>
    <s v="No"/>
    <x v="0"/>
    <n v="115.68627450980392"/>
    <n v="1547.9987419776546"/>
    <n v="204799.62259329637"/>
    <n v="464399.62259329634"/>
    <n v="259600"/>
    <n v="1020.602593220339"/>
  </r>
  <r>
    <x v="0"/>
    <x v="1"/>
    <n v="220000"/>
    <n v="1900"/>
    <x v="0"/>
    <n v="6.6"/>
    <s v="6"/>
    <x v="0"/>
    <s v="No"/>
    <x v="0"/>
    <n v="115.78947368421052"/>
    <n v="1409.2780977091138"/>
    <n v="215983.42931273405"/>
    <n v="422783.42931273405"/>
    <n v="206800"/>
    <n v="760.3025909090909"/>
  </r>
  <r>
    <x v="6"/>
    <x v="0"/>
    <n v="270000"/>
    <n v="2330"/>
    <x v="1"/>
    <n v="5.2"/>
    <s v="12"/>
    <x v="1"/>
    <s v="No"/>
    <x v="0"/>
    <n v="115.87982832618026"/>
    <n v="1416.8124079117517"/>
    <n v="187443.72237352544"/>
    <n v="425043.72237352544"/>
    <n v="237600"/>
    <n v="932.60258888888893"/>
  </r>
  <r>
    <x v="1"/>
    <x v="1"/>
    <n v="255000"/>
    <n v="2200"/>
    <x v="0"/>
    <n v="6.5"/>
    <s v="10"/>
    <x v="0"/>
    <s v="No"/>
    <x v="0"/>
    <n v="115.90909090909091"/>
    <n v="1549.600435292833"/>
    <n v="235380.13058784988"/>
    <n v="464880.13058784988"/>
    <n v="229500"/>
    <n v="880.30258823529402"/>
  </r>
  <r>
    <x v="0"/>
    <x v="1"/>
    <n v="218000"/>
    <n v="1880"/>
    <x v="1"/>
    <n v="5.3"/>
    <s v="6"/>
    <x v="0"/>
    <s v="No"/>
    <x v="0"/>
    <n v="115.95744680851064"/>
    <n v="1234.0306913680258"/>
    <n v="165289.20741040778"/>
    <n v="370209.20741040778"/>
    <n v="204920"/>
    <n v="752.30258715596324"/>
  </r>
  <r>
    <x v="5"/>
    <x v="0"/>
    <n v="325000"/>
    <n v="2800"/>
    <x v="1"/>
    <n v="5.2"/>
    <s v="10"/>
    <x v="1"/>
    <s v="No"/>
    <x v="0"/>
    <n v="116.07142857142857"/>
    <n v="1744.181941558028"/>
    <n v="230754.58246740827"/>
    <n v="523254.58246740827"/>
    <n v="292500"/>
    <n v="1120.6025846153846"/>
  </r>
  <r>
    <x v="0"/>
    <x v="1"/>
    <n v="214000"/>
    <n v="1840"/>
    <x v="0"/>
    <n v="6.5"/>
    <s v="6"/>
    <x v="0"/>
    <s v="No"/>
    <x v="0"/>
    <n v="116.30434782608695"/>
    <n v="1358.2467257669118"/>
    <n v="206314.01773007354"/>
    <n v="407474.01773007354"/>
    <n v="201160"/>
    <n v="736.30257943925233"/>
  </r>
  <r>
    <x v="5"/>
    <x v="0"/>
    <n v="320000"/>
    <n v="2750"/>
    <x v="0"/>
    <n v="6"/>
    <s v="10"/>
    <x v="1"/>
    <s v="No"/>
    <x v="0"/>
    <n v="116.36363636363636"/>
    <n v="1855.5880362782648"/>
    <n v="268676.4108834794"/>
    <n v="556676.4108834794"/>
    <n v="288000"/>
    <n v="1100.6025781249998"/>
  </r>
  <r>
    <x v="5"/>
    <x v="0"/>
    <n v="305000"/>
    <n v="2620"/>
    <x v="0"/>
    <n v="6"/>
    <s v="10"/>
    <x v="1"/>
    <s v="No"/>
    <x v="0"/>
    <n v="116.41221374045801"/>
    <n v="1768.607347077721"/>
    <n v="256082.20412331633"/>
    <n v="530582.20412331633"/>
    <n v="274500"/>
    <n v="1048.6025770491801"/>
  </r>
  <r>
    <x v="0"/>
    <x v="1"/>
    <n v="212000"/>
    <n v="1820"/>
    <x v="0"/>
    <n v="6.7"/>
    <s v="6"/>
    <x v="0"/>
    <s v="No"/>
    <x v="0"/>
    <n v="116.48351648351648"/>
    <n v="1370.5631109891049"/>
    <n v="211888.93329673144"/>
    <n v="411168.93329673144"/>
    <n v="199280"/>
    <n v="728.30257547169811"/>
  </r>
  <r>
    <x v="0"/>
    <x v="1"/>
    <n v="225000"/>
    <n v="1930"/>
    <x v="1"/>
    <n v="5.3"/>
    <s v="6"/>
    <x v="0"/>
    <s v="No"/>
    <x v="0"/>
    <n v="116.58031088082902"/>
    <n v="1273.6555300816781"/>
    <n v="170596.65902450343"/>
    <n v="382096.65902450343"/>
    <n v="211500"/>
    <n v="772.30257333333327"/>
  </r>
  <r>
    <x v="5"/>
    <x v="0"/>
    <n v="295000"/>
    <n v="2530"/>
    <x v="0"/>
    <n v="6"/>
    <s v="10"/>
    <x v="1"/>
    <s v="No"/>
    <x v="0"/>
    <n v="116.60079051383399"/>
    <n v="1710.6202209440253"/>
    <n v="247686.06628320756"/>
    <n v="513186.06628320756"/>
    <n v="265500"/>
    <n v="1012.602572881356"/>
  </r>
  <r>
    <x v="6"/>
    <x v="0"/>
    <n v="280000"/>
    <n v="2400"/>
    <x v="1"/>
    <n v="5.2"/>
    <s v="12"/>
    <x v="1"/>
    <s v="No"/>
    <x v="0"/>
    <n v="116.66666666666667"/>
    <n v="1469.2869415381131"/>
    <n v="194386.08246143383"/>
    <n v="440786.08246143383"/>
    <n v="246400"/>
    <n v="960.60257142857142"/>
  </r>
  <r>
    <x v="2"/>
    <x v="1"/>
    <n v="280000"/>
    <n v="2400"/>
    <x v="1"/>
    <n v="5.4"/>
    <s v="10"/>
    <x v="0"/>
    <s v="No"/>
    <x v="0"/>
    <n v="116.66666666666667"/>
    <n v="1532.4873918686746"/>
    <n v="207746.21756060244"/>
    <n v="459746.21756060247"/>
    <n v="252000"/>
    <n v="960.30257142857135"/>
  </r>
  <r>
    <x v="5"/>
    <x v="0"/>
    <n v="315000"/>
    <n v="2700"/>
    <x v="1"/>
    <n v="5.2"/>
    <s v="10"/>
    <x v="1"/>
    <s v="No"/>
    <x v="0"/>
    <n v="116.66666666666667"/>
    <n v="1690.514804894704"/>
    <n v="223654.44146841107"/>
    <n v="507154.44146841107"/>
    <n v="283500"/>
    <n v="1080.6025714285713"/>
  </r>
  <r>
    <x v="2"/>
    <x v="1"/>
    <n v="290000"/>
    <n v="2480"/>
    <x v="0"/>
    <n v="6.3"/>
    <s v="10"/>
    <x v="0"/>
    <s v="No"/>
    <x v="0"/>
    <n v="116.93548387096774"/>
    <n v="1729.8126120794846"/>
    <n v="257943.78362384532"/>
    <n v="518943.78362384532"/>
    <n v="261000"/>
    <n v="992.30256551724131"/>
  </r>
  <r>
    <x v="0"/>
    <x v="1"/>
    <n v="240000"/>
    <n v="2050"/>
    <x v="1"/>
    <n v="5.4"/>
    <s v="6"/>
    <x v="0"/>
    <s v="No"/>
    <x v="0"/>
    <n v="117.07317073170732"/>
    <n v="1371.9410936729087"/>
    <n v="185982.32810187261"/>
    <n v="411582.32810187258"/>
    <n v="225600"/>
    <n v="820.30256249999991"/>
  </r>
  <r>
    <x v="2"/>
    <x v="1"/>
    <n v="270000"/>
    <n v="2300"/>
    <x v="1"/>
    <n v="5.4"/>
    <s v="10"/>
    <x v="0"/>
    <s v="No"/>
    <x v="0"/>
    <n v="117.39130434782609"/>
    <n v="1477.7556993019364"/>
    <n v="200326.70979058091"/>
    <n v="443326.70979058091"/>
    <n v="243000"/>
    <n v="920.3025555555555"/>
  </r>
  <r>
    <x v="0"/>
    <x v="1"/>
    <n v="235000"/>
    <n v="2000"/>
    <x v="1"/>
    <n v="5.4"/>
    <s v="6"/>
    <x v="0"/>
    <s v="No"/>
    <x v="0"/>
    <n v="117.5"/>
    <n v="1343.3589875547232"/>
    <n v="182107.69626641696"/>
    <n v="403007.69626641693"/>
    <n v="220900"/>
    <n v="800.30255319148932"/>
  </r>
  <r>
    <x v="2"/>
    <x v="1"/>
    <n v="300000"/>
    <n v="2550"/>
    <x v="1"/>
    <n v="5.4"/>
    <s v="10"/>
    <x v="0"/>
    <s v="No"/>
    <x v="0"/>
    <n v="117.64705882352941"/>
    <n v="1641.9507770021514"/>
    <n v="222585.23310064548"/>
    <n v="492585.23310064548"/>
    <n v="270000"/>
    <n v="1020.30255"/>
  </r>
  <r>
    <x v="5"/>
    <x v="0"/>
    <n v="300000"/>
    <n v="2550"/>
    <x v="1"/>
    <n v="5.2"/>
    <s v="10"/>
    <x v="1"/>
    <s v="No"/>
    <x v="0"/>
    <n v="117.64705882352941"/>
    <n v="1610.0140998997181"/>
    <n v="213004.22996991529"/>
    <n v="483004.22996991529"/>
    <n v="270000"/>
    <n v="1020.6025500000001"/>
  </r>
  <r>
    <x v="0"/>
    <x v="1"/>
    <n v="230000"/>
    <n v="1950"/>
    <x v="0"/>
    <n v="6.5"/>
    <s v="6"/>
    <x v="0"/>
    <s v="No"/>
    <x v="0"/>
    <n v="117.94871794871794"/>
    <n v="1459.7978828335968"/>
    <n v="221739.36485007903"/>
    <n v="437939.36485007906"/>
    <n v="216200"/>
    <n v="780.30254347826087"/>
  </r>
  <r>
    <x v="0"/>
    <x v="1"/>
    <n v="230000"/>
    <n v="1950"/>
    <x v="1"/>
    <n v="5.4"/>
    <s v="6"/>
    <x v="0"/>
    <s v="No"/>
    <x v="0"/>
    <n v="117.94871794871794"/>
    <n v="1314.7768814365375"/>
    <n v="178233.06443096124"/>
    <n v="394433.06443096127"/>
    <n v="216200"/>
    <n v="780.30254347826087"/>
  </r>
  <r>
    <x v="2"/>
    <x v="1"/>
    <n v="275000"/>
    <n v="2330"/>
    <x v="0"/>
    <n v="6.3"/>
    <s v="10"/>
    <x v="0"/>
    <s v="No"/>
    <x v="0"/>
    <n v="118.02575107296137"/>
    <n v="1640.3395459374422"/>
    <n v="244601.86378123253"/>
    <n v="492101.8637812325"/>
    <n v="247500"/>
    <n v="932.30254181818179"/>
  </r>
  <r>
    <x v="0"/>
    <x v="1"/>
    <n v="208000"/>
    <n v="1760"/>
    <x v="1"/>
    <n v="5.3"/>
    <s v="6"/>
    <x v="0"/>
    <s v="No"/>
    <x v="0"/>
    <n v="118.18181818181819"/>
    <n v="1177.4237789199512"/>
    <n v="157707.13367598536"/>
    <n v="353227.13367598539"/>
    <n v="195520"/>
    <n v="704.30253846153846"/>
  </r>
  <r>
    <x v="0"/>
    <x v="1"/>
    <n v="235000"/>
    <n v="1980"/>
    <x v="1"/>
    <n v="5.3"/>
    <s v="6"/>
    <x v="0"/>
    <s v="No"/>
    <x v="0"/>
    <n v="118.68686868686869"/>
    <n v="1330.2624425297527"/>
    <n v="178178.73275892579"/>
    <n v="399078.73275892576"/>
    <n v="220900"/>
    <n v="792.30252765957437"/>
  </r>
  <r>
    <x v="0"/>
    <x v="1"/>
    <n v="220000"/>
    <n v="1850"/>
    <x v="1"/>
    <n v="5.4"/>
    <s v="6"/>
    <x v="0"/>
    <s v="No"/>
    <x v="0"/>
    <n v="118.91891891891892"/>
    <n v="1257.6126692001665"/>
    <n v="170483.80076004995"/>
    <n v="377283.80076004995"/>
    <n v="206800"/>
    <n v="740.30252272727273"/>
  </r>
  <r>
    <x v="0"/>
    <x v="1"/>
    <n v="250000"/>
    <n v="2100"/>
    <x v="1"/>
    <n v="5.3"/>
    <s v="6"/>
    <x v="0"/>
    <s v="No"/>
    <x v="0"/>
    <n v="119.04761904761905"/>
    <n v="1415.1728112018645"/>
    <n v="189551.84336055935"/>
    <n v="424551.84336055932"/>
    <n v="235000"/>
    <n v="840.30251999999996"/>
  </r>
  <r>
    <x v="0"/>
    <x v="1"/>
    <n v="225000"/>
    <n v="1880"/>
    <x v="1"/>
    <n v="5.3"/>
    <s v="6"/>
    <x v="0"/>
    <s v="No"/>
    <x v="0"/>
    <n v="119.68085106382979"/>
    <n v="1273.6555300816781"/>
    <n v="170596.65902450343"/>
    <n v="382096.65902450343"/>
    <n v="211500"/>
    <n v="752.30250666666666"/>
  </r>
  <r>
    <x v="0"/>
    <x v="1"/>
    <n v="240000"/>
    <n v="2000"/>
    <x v="0"/>
    <n v="6.6"/>
    <s v="6"/>
    <x v="0"/>
    <s v="No"/>
    <x v="0"/>
    <n v="120"/>
    <n v="1537.3942884099422"/>
    <n v="235618.28652298258"/>
    <n v="461218.28652298258"/>
    <n v="225600"/>
    <n v="800.30250000000001"/>
  </r>
  <r>
    <x v="6"/>
    <x v="0"/>
    <n v="280000"/>
    <n v="2330"/>
    <x v="1"/>
    <n v="5.2"/>
    <s v="12"/>
    <x v="1"/>
    <s v="No"/>
    <x v="0"/>
    <n v="120.17167381974249"/>
    <n v="1469.2869415381131"/>
    <n v="194386.08246143383"/>
    <n v="440786.08246143383"/>
    <n v="246400"/>
    <n v="932.6024964285715"/>
  </r>
  <r>
    <x v="0"/>
    <x v="1"/>
    <n v="260000"/>
    <n v="2150"/>
    <x v="0"/>
    <n v="6.6"/>
    <s v="6"/>
    <x v="0"/>
    <s v="No"/>
    <x v="0"/>
    <n v="120.93023255813954"/>
    <n v="1665.5104791107708"/>
    <n v="255253.14373323118"/>
    <n v="499653.14373323118"/>
    <n v="244400"/>
    <n v="860.30248076923067"/>
  </r>
  <r>
    <x v="0"/>
    <x v="1"/>
    <n v="230000"/>
    <n v="1900"/>
    <x v="0"/>
    <n v="6.6"/>
    <s v="6"/>
    <x v="0"/>
    <s v="No"/>
    <x v="0"/>
    <n v="121.05263157894737"/>
    <n v="1473.3361930595279"/>
    <n v="225800.85791785832"/>
    <n v="442000.85791785829"/>
    <n v="216200"/>
    <n v="760.30247826086952"/>
  </r>
  <r>
    <x v="0"/>
    <x v="1"/>
    <n v="270000"/>
    <n v="2200"/>
    <x v="0"/>
    <n v="6.6"/>
    <s v="6"/>
    <x v="0"/>
    <s v="No"/>
    <x v="0"/>
    <n v="122.72727272727273"/>
    <n v="1729.5685744611851"/>
    <n v="265070.57233835547"/>
    <n v="518870.57233835547"/>
    <n v="253800"/>
    <n v="880.3024444444444"/>
  </r>
  <r>
    <x v="7"/>
    <x v="0"/>
    <n v="350000"/>
    <n v="2850"/>
    <x v="1"/>
    <n v="5.2"/>
    <s v="12"/>
    <x v="1"/>
    <s v="No"/>
    <x v="0"/>
    <n v="122.80701754385964"/>
    <n v="1836.6086769226413"/>
    <n v="242982.60307679232"/>
    <n v="550982.60307679232"/>
    <n v="308000"/>
    <n v="1140.6024428571427"/>
  </r>
  <r>
    <x v="7"/>
    <x v="0"/>
    <n v="370000"/>
    <n v="3000"/>
    <x v="1"/>
    <n v="5.2"/>
    <s v="12"/>
    <x v="1"/>
    <s v="No"/>
    <x v="0"/>
    <n v="123.33333333333333"/>
    <n v="1941.5577441753637"/>
    <n v="256867.323252609"/>
    <n v="582467.323252609"/>
    <n v="325600"/>
    <n v="1200.6024324324324"/>
  </r>
  <r>
    <x v="5"/>
    <x v="0"/>
    <n v="310000"/>
    <n v="2510"/>
    <x v="1"/>
    <n v="5.3"/>
    <n v="10"/>
    <x v="1"/>
    <s v="No"/>
    <x v="0"/>
    <n v="123.50597609561753"/>
    <n v="1680.141337554554"/>
    <n v="225042.40126636619"/>
    <n v="504042.40126636619"/>
    <n v="279000"/>
    <n v="1004.6024290322581"/>
  </r>
  <r>
    <x v="7"/>
    <x v="0"/>
    <n v="372000"/>
    <n v="3010"/>
    <x v="1"/>
    <n v="5.2"/>
    <s v="12"/>
    <x v="1"/>
    <s v="No"/>
    <x v="0"/>
    <n v="123.58803986710963"/>
    <n v="1952.0526509006359"/>
    <n v="258255.79527019063"/>
    <n v="585615.79527019057"/>
    <n v="327360"/>
    <n v="1204.6024274193549"/>
  </r>
  <r>
    <x v="7"/>
    <x v="0"/>
    <n v="365000"/>
    <n v="2950"/>
    <x v="1"/>
    <n v="5.2"/>
    <s v="12"/>
    <x v="1"/>
    <s v="No"/>
    <x v="0"/>
    <n v="123.72881355932203"/>
    <n v="1915.3204773621831"/>
    <n v="253396.14320865489"/>
    <n v="574596.14320865483"/>
    <n v="321200"/>
    <n v="1180.6024246575341"/>
  </r>
  <r>
    <x v="7"/>
    <x v="0"/>
    <n v="360000"/>
    <n v="2900"/>
    <x v="1"/>
    <n v="5.2"/>
    <s v="12"/>
    <x v="1"/>
    <s v="No"/>
    <x v="0"/>
    <n v="124.13793103448276"/>
    <n v="1889.0832105490024"/>
    <n v="249924.9631647006"/>
    <n v="566724.96316470066"/>
    <n v="316800"/>
    <n v="1160.6024166666666"/>
  </r>
  <r>
    <x v="7"/>
    <x v="0"/>
    <n v="348000"/>
    <n v="2800"/>
    <x v="1"/>
    <n v="5.2"/>
    <s v="12"/>
    <x v="1"/>
    <s v="No"/>
    <x v="0"/>
    <n v="124.28571428571429"/>
    <n v="1826.1137701973689"/>
    <n v="241594.13105921069"/>
    <n v="547834.13105921075"/>
    <n v="306240"/>
    <n v="1120.6024137931033"/>
  </r>
  <r>
    <x v="0"/>
    <x v="1"/>
    <n v="240000"/>
    <n v="1930"/>
    <x v="1"/>
    <n v="5.3"/>
    <s v="6"/>
    <x v="0"/>
    <s v="No"/>
    <x v="0"/>
    <n v="124.35233160621762"/>
    <n v="1358.56589875379"/>
    <n v="181969.76962613699"/>
    <n v="407569.76962613699"/>
    <n v="225600"/>
    <n v="772.30241249999995"/>
  </r>
  <r>
    <x v="7"/>
    <x v="0"/>
    <n v="345000"/>
    <n v="2750"/>
    <x v="1"/>
    <n v="5.2"/>
    <s v="12"/>
    <x v="1"/>
    <s v="No"/>
    <x v="0"/>
    <n v="125.45454545454545"/>
    <n v="1810.3714101094608"/>
    <n v="239511.42303283815"/>
    <n v="543111.42303283815"/>
    <n v="303600"/>
    <n v="1100.6023913043477"/>
  </r>
  <r>
    <x v="2"/>
    <x v="1"/>
    <n v="252000"/>
    <n v="1990"/>
    <x v="0"/>
    <n v="6.3"/>
    <s v="10"/>
    <x v="0"/>
    <s v="No"/>
    <x v="0"/>
    <n v="126.63316582914572"/>
    <n v="1503.1475111863108"/>
    <n v="224144.25335589319"/>
    <n v="450944.25335589319"/>
    <n v="226800"/>
    <n v="796.30236904761898"/>
  </r>
  <r>
    <x v="7"/>
    <x v="0"/>
    <n v="343000"/>
    <n v="2700"/>
    <x v="1"/>
    <n v="5.2"/>
    <s v="12"/>
    <x v="1"/>
    <s v="No"/>
    <x v="0"/>
    <n v="127.03703703703704"/>
    <n v="1799.8765033841883"/>
    <n v="238122.95101525652"/>
    <n v="539962.95101525658"/>
    <n v="301840"/>
    <n v="1080.602361516035"/>
  </r>
  <r>
    <x v="7"/>
    <x v="0"/>
    <n v="340000"/>
    <n v="2650"/>
    <x v="1"/>
    <n v="5.2"/>
    <s v="12"/>
    <x v="1"/>
    <s v="No"/>
    <x v="0"/>
    <n v="128.30188679245282"/>
    <n v="1784.1341432962802"/>
    <n v="236040.24298888387"/>
    <n v="535240.24298888387"/>
    <n v="299200"/>
    <n v="1060.6023382352939"/>
  </r>
  <r>
    <x v="7"/>
    <x v="0"/>
    <n v="310000"/>
    <n v="2400"/>
    <x v="0"/>
    <n v="6"/>
    <s v="12"/>
    <x v="1"/>
    <s v="No"/>
    <x v="0"/>
    <n v="129.16666666666666"/>
    <n v="1757.6542232524673"/>
    <n v="254496.2669757402"/>
    <n v="527296.2669757402"/>
    <n v="272800"/>
    <n v="960.60232258064514"/>
  </r>
  <r>
    <x v="5"/>
    <x v="0"/>
    <n v="330000"/>
    <n v="2510"/>
    <x v="1"/>
    <n v="5.3"/>
    <n v="10"/>
    <x v="1"/>
    <s v="No"/>
    <x v="0"/>
    <n v="131.47410358565736"/>
    <n v="1788.5375528806542"/>
    <n v="239561.26586419623"/>
    <n v="536561.26586419623"/>
    <n v="297000"/>
    <n v="1004.6022818181818"/>
  </r>
  <r>
    <x v="7"/>
    <x v="0"/>
    <n v="310000"/>
    <n v="2350"/>
    <x v="1"/>
    <n v="5.2"/>
    <s v="12"/>
    <x v="1"/>
    <s v="No"/>
    <x v="0"/>
    <n v="131.91489361702128"/>
    <n v="1626.7105424171966"/>
    <n v="215213.16272515891"/>
    <n v="488013.16272515891"/>
    <n v="272800"/>
    <n v="940.6022741935484"/>
  </r>
  <r>
    <x v="7"/>
    <x v="0"/>
    <n v="330000"/>
    <n v="2500"/>
    <x v="1"/>
    <n v="5.2"/>
    <s v="12"/>
    <x v="1"/>
    <s v="No"/>
    <x v="0"/>
    <n v="132"/>
    <n v="1731.6596096699188"/>
    <n v="229097.88290097559"/>
    <n v="519497.88290097559"/>
    <n v="290400"/>
    <n v="1000.6022727272727"/>
  </r>
  <r>
    <x v="7"/>
    <x v="0"/>
    <n v="320000"/>
    <n v="2420"/>
    <x v="1"/>
    <n v="5.2"/>
    <s v="12"/>
    <x v="1"/>
    <s v="No"/>
    <x v="0"/>
    <n v="132.23140495867767"/>
    <n v="1679.1850760435575"/>
    <n v="222155.52281306719"/>
    <n v="503755.52281306719"/>
    <n v="281600"/>
    <n v="968.60226875000001"/>
  </r>
  <r>
    <x v="7"/>
    <x v="0"/>
    <n v="315000"/>
    <n v="2380"/>
    <x v="0"/>
    <n v="6"/>
    <s v="12"/>
    <x v="1"/>
    <s v="No"/>
    <x v="0"/>
    <n v="132.35294117647058"/>
    <n v="1786.0034849178296"/>
    <n v="258601.04547534889"/>
    <n v="535801.04547534883"/>
    <n v="277200"/>
    <n v="952.60226666666665"/>
  </r>
  <r>
    <x v="7"/>
    <x v="0"/>
    <n v="318000"/>
    <n v="2400"/>
    <x v="0"/>
    <n v="6"/>
    <s v="12"/>
    <x v="1"/>
    <s v="No"/>
    <x v="0"/>
    <n v="132.5"/>
    <n v="1803.0130419170473"/>
    <n v="261063.91257511417"/>
    <n v="540903.91257511417"/>
    <n v="279840"/>
    <n v="960.60226415094337"/>
  </r>
  <r>
    <x v="7"/>
    <x v="0"/>
    <n v="325000"/>
    <n v="2450"/>
    <x v="0"/>
    <n v="6"/>
    <s v="12"/>
    <x v="1"/>
    <s v="No"/>
    <x v="0"/>
    <n v="132.65306122448979"/>
    <n v="1842.7020082485544"/>
    <n v="266810.60247456632"/>
    <n v="552810.60247456632"/>
    <n v="286000"/>
    <n v="980.60226153846156"/>
  </r>
  <r>
    <x v="7"/>
    <x v="0"/>
    <n v="325000"/>
    <n v="2450"/>
    <x v="1"/>
    <n v="5.2"/>
    <s v="12"/>
    <x v="1"/>
    <s v="No"/>
    <x v="0"/>
    <n v="132.65306122448979"/>
    <n v="1705.4223428567382"/>
    <n v="225626.70285702136"/>
    <n v="511626.70285702136"/>
    <n v="286000"/>
    <n v="980.60226153846156"/>
  </r>
  <r>
    <x v="7"/>
    <x v="0"/>
    <n v="292000"/>
    <n v="2190"/>
    <x v="0"/>
    <n v="6"/>
    <s v="12"/>
    <x v="1"/>
    <s v="No"/>
    <x v="0"/>
    <n v="133.33333333333334"/>
    <n v="1655.596881257163"/>
    <n v="239719.06437714887"/>
    <n v="496679.06437714887"/>
    <n v="256960"/>
    <n v="876.60225000000003"/>
  </r>
  <r>
    <x v="7"/>
    <x v="0"/>
    <n v="300000"/>
    <n v="2250"/>
    <x v="1"/>
    <n v="5.2"/>
    <s v="12"/>
    <x v="1"/>
    <s v="No"/>
    <x v="0"/>
    <n v="133.33333333333334"/>
    <n v="1574.2360087908353"/>
    <n v="208270.80263725057"/>
    <n v="472270.80263725057"/>
    <n v="264000"/>
    <n v="900.60225000000003"/>
  </r>
  <r>
    <x v="7"/>
    <x v="0"/>
    <n v="340000"/>
    <n v="2550"/>
    <x v="0"/>
    <n v="6"/>
    <s v="12"/>
    <x v="1"/>
    <s v="No"/>
    <x v="0"/>
    <n v="133.33333333333334"/>
    <n v="1927.7497932446418"/>
    <n v="279124.93797339255"/>
    <n v="578324.93797339255"/>
    <n v="299200"/>
    <n v="1020.60225"/>
  </r>
  <r>
    <x v="7"/>
    <x v="0"/>
    <n v="320000"/>
    <n v="2400"/>
    <x v="1"/>
    <n v="5.2"/>
    <s v="12"/>
    <x v="1"/>
    <s v="No"/>
    <x v="0"/>
    <n v="133.33333333333334"/>
    <n v="1679.1850760435575"/>
    <n v="222155.52281306719"/>
    <n v="503755.52281306719"/>
    <n v="281600"/>
    <n v="960.60225000000003"/>
  </r>
  <r>
    <x v="7"/>
    <x v="0"/>
    <n v="310000"/>
    <n v="2300"/>
    <x v="1"/>
    <n v="5.2"/>
    <s v="12"/>
    <x v="1"/>
    <s v="No"/>
    <x v="0"/>
    <n v="134.78260869565219"/>
    <n v="1626.7105424171966"/>
    <n v="215213.16272515891"/>
    <n v="488013.16272515891"/>
    <n v="272800"/>
    <n v="920.60222580645166"/>
  </r>
  <r>
    <x v="7"/>
    <x v="0"/>
    <n v="320000"/>
    <n v="2350"/>
    <x v="1"/>
    <n v="5.2"/>
    <s v="12"/>
    <x v="1"/>
    <s v="No"/>
    <x v="0"/>
    <n v="136.17021276595744"/>
    <n v="1679.1850760435575"/>
    <n v="222155.52281306719"/>
    <n v="503755.52281306719"/>
    <n v="281600"/>
    <n v="940.60220312500007"/>
  </r>
  <r>
    <x v="7"/>
    <x v="0"/>
    <n v="325000"/>
    <n v="2380"/>
    <x v="0"/>
    <n v="6"/>
    <s v="12"/>
    <x v="1"/>
    <s v="No"/>
    <x v="0"/>
    <n v="136.55462184873949"/>
    <n v="1842.7020082485544"/>
    <n v="266810.60247456632"/>
    <n v="552810.60247456632"/>
    <n v="286000"/>
    <n v="952.60219692307692"/>
  </r>
  <r>
    <x v="2"/>
    <x v="2"/>
    <n v="365000"/>
    <n v="2550"/>
    <x v="1"/>
    <n v="5.4"/>
    <s v="14"/>
    <x v="1"/>
    <s v="No"/>
    <x v="1"/>
    <n v="143.13725490196077"/>
    <n v="1908.9198107443531"/>
    <n v="258775.94322330604"/>
    <n v="572675.94322330598"/>
    <n v="313900"/>
    <n v="1020.602095890411"/>
  </r>
  <r>
    <x v="4"/>
    <x v="1"/>
    <n v="330000"/>
    <n v="2300"/>
    <x v="1"/>
    <n v="5.5"/>
    <s v="10"/>
    <x v="1"/>
    <s v="No"/>
    <x v="0"/>
    <n v="143.47826086956522"/>
    <n v="1823.8398520759667"/>
    <n v="250151.95562279003"/>
    <n v="547151.95562279003"/>
    <n v="297000"/>
    <n v="920.60209090909098"/>
  </r>
  <r>
    <x v="2"/>
    <x v="2"/>
    <n v="360000"/>
    <n v="2500"/>
    <x v="1"/>
    <n v="5.4"/>
    <s v="14"/>
    <x v="1"/>
    <s v="No"/>
    <x v="1"/>
    <n v="144"/>
    <n v="1882.7702242958003"/>
    <n v="255231.06728874013"/>
    <n v="564831.06728874007"/>
    <n v="309600"/>
    <n v="1000.6020833333333"/>
  </r>
  <r>
    <x v="2"/>
    <x v="2"/>
    <n v="368000"/>
    <n v="2555"/>
    <x v="1"/>
    <n v="5.4"/>
    <s v="14"/>
    <x v="1"/>
    <s v="No"/>
    <x v="1"/>
    <n v="144.03131115459882"/>
    <n v="1924.6095626134845"/>
    <n v="260902.86878404539"/>
    <n v="577382.86878404533"/>
    <n v="316480"/>
    <n v="1022.6020828804348"/>
  </r>
  <r>
    <x v="4"/>
    <x v="1"/>
    <n v="340000"/>
    <n v="2350"/>
    <x v="0"/>
    <n v="6.4"/>
    <s v="10"/>
    <x v="1"/>
    <s v="No"/>
    <x v="0"/>
    <n v="144.68085106382978"/>
    <n v="2047.0539426567625"/>
    <n v="308116.18279702892"/>
    <n v="614116.18279702892"/>
    <n v="306000"/>
    <n v="940.60207352941177"/>
  </r>
  <r>
    <x v="2"/>
    <x v="2"/>
    <n v="355000"/>
    <n v="2450"/>
    <x v="1"/>
    <n v="5.4"/>
    <s v="14"/>
    <x v="1"/>
    <s v="No"/>
    <x v="1"/>
    <n v="144.89795918367346"/>
    <n v="1856.6206378472473"/>
    <n v="251686.19135417423"/>
    <n v="556986.19135417417"/>
    <n v="305300"/>
    <n v="980.60207042253523"/>
  </r>
  <r>
    <x v="3"/>
    <x v="1"/>
    <n v="320000"/>
    <n v="2200"/>
    <x v="1"/>
    <n v="5.4"/>
    <s v="10"/>
    <x v="1"/>
    <s v="No"/>
    <x v="0"/>
    <n v="145.45454545454547"/>
    <n v="1751.4141621356282"/>
    <n v="237424.24864068849"/>
    <n v="525424.24864068849"/>
    <n v="288000"/>
    <n v="880.60206249999999"/>
  </r>
  <r>
    <x v="3"/>
    <x v="1"/>
    <n v="335000"/>
    <n v="2300"/>
    <x v="1"/>
    <n v="5.4"/>
    <s v="10"/>
    <x v="1"/>
    <s v="No"/>
    <x v="0"/>
    <n v="145.65217391304347"/>
    <n v="1833.5117009857358"/>
    <n v="248553.51029572077"/>
    <n v="550053.51029572077"/>
    <n v="301500"/>
    <n v="920.60205970149252"/>
  </r>
  <r>
    <x v="3"/>
    <x v="1"/>
    <n v="300000"/>
    <n v="2050"/>
    <x v="1"/>
    <n v="5.4"/>
    <s v="10"/>
    <x v="1"/>
    <s v="No"/>
    <x v="0"/>
    <n v="146.34146341463415"/>
    <n v="1641.9507770021514"/>
    <n v="222585.23310064548"/>
    <n v="492585.23310064548"/>
    <n v="270000"/>
    <n v="820.60205000000008"/>
  </r>
  <r>
    <x v="3"/>
    <x v="1"/>
    <n v="290000"/>
    <n v="1980"/>
    <x v="1"/>
    <n v="5.4"/>
    <s v="10"/>
    <x v="1"/>
    <s v="No"/>
    <x v="0"/>
    <n v="146.46464646464648"/>
    <n v="1587.2190844354129"/>
    <n v="215165.72533062389"/>
    <n v="476165.72533062391"/>
    <n v="261000"/>
    <n v="792.6020482758621"/>
  </r>
  <r>
    <x v="3"/>
    <x v="1"/>
    <n v="305000"/>
    <n v="2080"/>
    <x v="0"/>
    <n v="6.6"/>
    <s v="10"/>
    <x v="1"/>
    <s v="No"/>
    <x v="0"/>
    <n v="146.63461538461539"/>
    <n v="1870.632678051991"/>
    <n v="286689.80341559718"/>
    <n v="561189.80341559718"/>
    <n v="274500"/>
    <n v="832.60204590163937"/>
  </r>
  <r>
    <x v="3"/>
    <x v="1"/>
    <n v="330000"/>
    <n v="2250"/>
    <x v="0"/>
    <n v="6.6"/>
    <s v="10"/>
    <x v="1"/>
    <s v="No"/>
    <x v="0"/>
    <n v="146.66666666666666"/>
    <n v="2023.9632254333019"/>
    <n v="310188.96762999042"/>
    <n v="607188.96762999042"/>
    <n v="297000"/>
    <n v="900.60204545454553"/>
  </r>
  <r>
    <x v="2"/>
    <x v="2"/>
    <n v="352000"/>
    <n v="2400"/>
    <x v="1"/>
    <n v="5.4"/>
    <s v="14"/>
    <x v="1"/>
    <s v="No"/>
    <x v="1"/>
    <n v="146.66666666666666"/>
    <n v="1840.9308859781156"/>
    <n v="249559.26579343475"/>
    <n v="552279.26579343481"/>
    <n v="302720"/>
    <n v="960.60204545454553"/>
  </r>
  <r>
    <x v="3"/>
    <x v="1"/>
    <n v="285000"/>
    <n v="1940"/>
    <x v="0"/>
    <n v="6.5"/>
    <s v="10"/>
    <x v="1"/>
    <s v="No"/>
    <x v="0"/>
    <n v="146.90721649484536"/>
    <n v="1731.9063688566957"/>
    <n v="263071.9106570087"/>
    <n v="519571.9106570087"/>
    <n v="256500"/>
    <n v="776.60204210526319"/>
  </r>
  <r>
    <x v="5"/>
    <x v="1"/>
    <n v="390000"/>
    <n v="2650"/>
    <x v="1"/>
    <n v="5.3"/>
    <s v="10"/>
    <x v="1"/>
    <s v="No"/>
    <x v="0"/>
    <n v="147.16981132075472"/>
    <n v="2113.7261988589553"/>
    <n v="283117.85965768655"/>
    <n v="634117.85965768655"/>
    <n v="351000"/>
    <n v="1060.6020384615383"/>
  </r>
  <r>
    <x v="3"/>
    <x v="1"/>
    <n v="280000"/>
    <n v="1900"/>
    <x v="1"/>
    <n v="5.4"/>
    <s v="10"/>
    <x v="1"/>
    <s v="No"/>
    <x v="0"/>
    <n v="147.36842105263159"/>
    <n v="1532.4873918686746"/>
    <n v="207746.21756060244"/>
    <n v="459746.21756060247"/>
    <n v="252000"/>
    <n v="760.60203571428576"/>
  </r>
  <r>
    <x v="5"/>
    <x v="1"/>
    <n v="392000"/>
    <n v="2660"/>
    <x v="1"/>
    <n v="5.3"/>
    <s v="10"/>
    <x v="1"/>
    <s v="No"/>
    <x v="0"/>
    <n v="147.36842105263159"/>
    <n v="2124.565820391565"/>
    <n v="284569.74611746945"/>
    <n v="637369.74611746939"/>
    <n v="352800"/>
    <n v="1064.6020357142856"/>
  </r>
  <r>
    <x v="4"/>
    <x v="1"/>
    <n v="295000"/>
    <n v="2000"/>
    <x v="0"/>
    <n v="6.4"/>
    <s v="10"/>
    <x v="1"/>
    <s v="No"/>
    <x v="0"/>
    <n v="147.5"/>
    <n v="1776.1203325992499"/>
    <n v="267336.09977977496"/>
    <n v="532836.0997797749"/>
    <n v="265500"/>
    <n v="800.60203389830508"/>
  </r>
  <r>
    <x v="3"/>
    <x v="1"/>
    <n v="295000"/>
    <n v="2000"/>
    <x v="0"/>
    <n v="6.6"/>
    <s v="10"/>
    <x v="1"/>
    <s v="No"/>
    <x v="0"/>
    <n v="147.5"/>
    <n v="1809.3004590994667"/>
    <n v="277290.13772983989"/>
    <n v="542790.13772983989"/>
    <n v="265500"/>
    <n v="800.60203389830508"/>
  </r>
  <r>
    <x v="4"/>
    <x v="1"/>
    <n v="310000"/>
    <n v="2100"/>
    <x v="1"/>
    <n v="5.5"/>
    <s v="10"/>
    <x v="1"/>
    <s v="No"/>
    <x v="0"/>
    <n v="147.61904761904762"/>
    <n v="1713.304103465302"/>
    <n v="234991.23103959055"/>
    <n v="513991.23103959055"/>
    <n v="279000"/>
    <n v="840.60203225806458"/>
  </r>
  <r>
    <x v="3"/>
    <x v="1"/>
    <n v="310000"/>
    <n v="2100"/>
    <x v="1"/>
    <n v="5.4"/>
    <s v="10"/>
    <x v="1"/>
    <s v="No"/>
    <x v="0"/>
    <n v="147.61904761904762"/>
    <n v="1696.6824695688897"/>
    <n v="230004.74087066698"/>
    <n v="509004.74087066698"/>
    <n v="279000"/>
    <n v="840.60203225806458"/>
  </r>
  <r>
    <x v="4"/>
    <x v="1"/>
    <n v="285000"/>
    <n v="1930"/>
    <x v="0"/>
    <n v="6.4"/>
    <s v="10"/>
    <x v="1"/>
    <s v="No"/>
    <x v="0"/>
    <n v="147.66839378238342"/>
    <n v="1715.9128636975804"/>
    <n v="258273.85910927417"/>
    <n v="514773.85910927417"/>
    <n v="256500"/>
    <n v="772.60203157894739"/>
  </r>
  <r>
    <x v="4"/>
    <x v="1"/>
    <n v="300000"/>
    <n v="2030"/>
    <x v="1"/>
    <n v="5.5"/>
    <s v="10"/>
    <x v="1"/>
    <s v="No"/>
    <x v="0"/>
    <n v="147.78325123152709"/>
    <n v="1658.0362291599697"/>
    <n v="227410.86874799087"/>
    <n v="497410.86874799087"/>
    <n v="270000"/>
    <n v="812.60203000000001"/>
  </r>
  <r>
    <x v="5"/>
    <x v="1"/>
    <n v="370000"/>
    <n v="2500"/>
    <x v="1"/>
    <n v="5.3"/>
    <s v="10"/>
    <x v="1"/>
    <s v="No"/>
    <x v="0"/>
    <n v="148"/>
    <n v="2005.3299835328546"/>
    <n v="268598.99505985627"/>
    <n v="601598.99505985621"/>
    <n v="333000"/>
    <n v="1000.602027027027"/>
  </r>
  <r>
    <x v="5"/>
    <x v="1"/>
    <n v="385000"/>
    <n v="2600"/>
    <x v="1"/>
    <n v="5.3"/>
    <s v="10"/>
    <x v="1"/>
    <s v="No"/>
    <x v="0"/>
    <n v="148.07692307692307"/>
    <n v="2086.6271450274298"/>
    <n v="279488.14350822894"/>
    <n v="625988.14350822894"/>
    <n v="346500"/>
    <n v="1040.602025974026"/>
  </r>
  <r>
    <x v="4"/>
    <x v="1"/>
    <n v="292000"/>
    <n v="1970"/>
    <x v="0"/>
    <n v="6.4"/>
    <s v="10"/>
    <x v="1"/>
    <s v="No"/>
    <x v="0"/>
    <n v="148.2233502538071"/>
    <n v="1758.058091928749"/>
    <n v="264617.4275786248"/>
    <n v="527417.4275786248"/>
    <n v="262800"/>
    <n v="788.60202397260275"/>
  </r>
  <r>
    <x v="4"/>
    <x v="1"/>
    <n v="315000"/>
    <n v="2120"/>
    <x v="0"/>
    <n v="6.4"/>
    <s v="10"/>
    <x v="1"/>
    <s v="No"/>
    <x v="0"/>
    <n v="148.58490566037736"/>
    <n v="1896.5352704025888"/>
    <n v="285460.58112077671"/>
    <n v="568960.58112077671"/>
    <n v="283500"/>
    <n v="848.60201904761902"/>
  </r>
  <r>
    <x v="4"/>
    <x v="1"/>
    <n v="305000"/>
    <n v="2050"/>
    <x v="0"/>
    <n v="6.4"/>
    <s v="10"/>
    <x v="1"/>
    <s v="No"/>
    <x v="0"/>
    <n v="148.78048780487805"/>
    <n v="1836.3278015009191"/>
    <n v="276398.34045027598"/>
    <n v="550898.34045027592"/>
    <n v="274500"/>
    <n v="820.60201639344268"/>
  </r>
  <r>
    <x v="2"/>
    <x v="2"/>
    <n v="350000"/>
    <n v="2350"/>
    <x v="1"/>
    <n v="5.4"/>
    <s v="14"/>
    <x v="1"/>
    <s v="No"/>
    <x v="1"/>
    <n v="148.93617021276594"/>
    <n v="1830.4710513986947"/>
    <n v="248141.31541960838"/>
    <n v="549141.31541960838"/>
    <n v="301000"/>
    <n v="940.60201428571429"/>
  </r>
  <r>
    <x v="5"/>
    <x v="1"/>
    <n v="380000"/>
    <n v="2550"/>
    <x v="1"/>
    <n v="5.3"/>
    <s v="10"/>
    <x v="1"/>
    <s v="No"/>
    <x v="0"/>
    <n v="149.01960784313727"/>
    <n v="2059.5280911959048"/>
    <n v="275858.42735877144"/>
    <n v="617858.42735877144"/>
    <n v="342000"/>
    <n v="1020.6020131578947"/>
  </r>
  <r>
    <x v="3"/>
    <x v="1"/>
    <n v="278000"/>
    <n v="1860"/>
    <x v="1"/>
    <n v="5.6"/>
    <s v="10"/>
    <x v="1"/>
    <s v="No"/>
    <x v="0"/>
    <n v="149.46236559139786"/>
    <n v="1551.4244706212367"/>
    <n v="215227.34118637102"/>
    <n v="465427.34118637105"/>
    <n v="250200"/>
    <n v="744.60200719424461"/>
  </r>
  <r>
    <x v="4"/>
    <x v="1"/>
    <n v="320000"/>
    <n v="2140"/>
    <x v="1"/>
    <n v="5.5"/>
    <s v="10"/>
    <x v="1"/>
    <s v="No"/>
    <x v="0"/>
    <n v="149.53271028037383"/>
    <n v="1768.5719777706342"/>
    <n v="242571.59333119029"/>
    <n v="530571.59333119029"/>
    <n v="288000"/>
    <n v="856.60200625000004"/>
  </r>
  <r>
    <x v="4"/>
    <x v="1"/>
    <n v="300000"/>
    <n v="2000"/>
    <x v="0"/>
    <n v="6.4"/>
    <s v="10"/>
    <x v="1"/>
    <s v="No"/>
    <x v="0"/>
    <n v="150"/>
    <n v="1806.2240670500846"/>
    <n v="271867.22011502553"/>
    <n v="541867.22011502553"/>
    <n v="270000"/>
    <n v="800.60199999999998"/>
  </r>
  <r>
    <x v="8"/>
    <x v="0"/>
    <n v="510000"/>
    <n v="3400"/>
    <x v="1"/>
    <n v="5"/>
    <s v="12"/>
    <x v="1"/>
    <s v="No"/>
    <x v="0"/>
    <n v="150"/>
    <n v="2623.6401062878099"/>
    <n v="338292.03188634297"/>
    <n v="787092.03188634291"/>
    <n v="448800"/>
    <n v="1360.6019999999999"/>
  </r>
  <r>
    <x v="5"/>
    <x v="1"/>
    <n v="368000"/>
    <n v="2450"/>
    <x v="1"/>
    <n v="5.3"/>
    <s v="10"/>
    <x v="1"/>
    <s v="No"/>
    <x v="0"/>
    <n v="150.20408163265307"/>
    <n v="1994.4903620002449"/>
    <n v="267147.10860007349"/>
    <n v="598347.10860007349"/>
    <n v="331200"/>
    <n v="980.60199728260875"/>
  </r>
  <r>
    <x v="8"/>
    <x v="0"/>
    <n v="505000"/>
    <n v="3350"/>
    <x v="1"/>
    <n v="5"/>
    <s v="12"/>
    <x v="1"/>
    <s v="No"/>
    <x v="0"/>
    <n v="150.74626865671641"/>
    <n v="2597.9181444614592"/>
    <n v="334975.4433384377"/>
    <n v="779375.4433384377"/>
    <n v="444400"/>
    <n v="1340.6019900990098"/>
  </r>
  <r>
    <x v="4"/>
    <x v="1"/>
    <n v="284000"/>
    <n v="1880"/>
    <x v="1"/>
    <n v="5.5"/>
    <s v="10"/>
    <x v="1"/>
    <s v="No"/>
    <x v="0"/>
    <n v="151.06382978723406"/>
    <n v="1569.607630271438"/>
    <n v="215282.28908143137"/>
    <n v="470882.28908143134"/>
    <n v="255600"/>
    <n v="752.60198591549295"/>
  </r>
  <r>
    <x v="8"/>
    <x v="0"/>
    <n v="515000"/>
    <n v="3405"/>
    <x v="1"/>
    <n v="5"/>
    <s v="12"/>
    <x v="1"/>
    <s v="No"/>
    <x v="0"/>
    <n v="151.24816446402349"/>
    <n v="2649.3620681141615"/>
    <n v="341608.62043424841"/>
    <n v="794808.62043424835"/>
    <n v="453200"/>
    <n v="1362.6019834951455"/>
  </r>
  <r>
    <x v="2"/>
    <x v="2"/>
    <n v="348000"/>
    <n v="2300"/>
    <x v="1"/>
    <n v="5.4"/>
    <s v="14"/>
    <x v="1"/>
    <s v="No"/>
    <x v="1"/>
    <n v="151.30434782608697"/>
    <n v="1820.0112168192736"/>
    <n v="246723.36504578212"/>
    <n v="546003.36504578218"/>
    <n v="299280"/>
    <n v="920.60198275862069"/>
  </r>
  <r>
    <x v="3"/>
    <x v="1"/>
    <n v="300000"/>
    <n v="1980"/>
    <x v="1"/>
    <n v="5.4"/>
    <s v="10"/>
    <x v="1"/>
    <s v="No"/>
    <x v="0"/>
    <n v="151.5151515151515"/>
    <n v="1641.9507770021514"/>
    <n v="222585.23310064548"/>
    <n v="492585.23310064548"/>
    <n v="270000"/>
    <n v="792.60198000000003"/>
  </r>
  <r>
    <x v="8"/>
    <x v="0"/>
    <n v="500000"/>
    <n v="3300"/>
    <x v="1"/>
    <n v="5"/>
    <s v="12"/>
    <x v="1"/>
    <s v="No"/>
    <x v="0"/>
    <n v="151.5151515151515"/>
    <n v="2572.196182635108"/>
    <n v="331658.85479053244"/>
    <n v="771658.8547905325"/>
    <n v="440000"/>
    <n v="1320.6019799999999"/>
  </r>
  <r>
    <x v="3"/>
    <x v="1"/>
    <n v="272000"/>
    <n v="1790"/>
    <x v="0"/>
    <n v="6.5"/>
    <s v="10"/>
    <x v="1"/>
    <s v="No"/>
    <x v="0"/>
    <n v="151.95530726256985"/>
    <n v="1652.907130979022"/>
    <n v="251072.13929370657"/>
    <n v="495872.13929370657"/>
    <n v="244800"/>
    <n v="716.60197426470586"/>
  </r>
  <r>
    <x v="3"/>
    <x v="1"/>
    <n v="295000"/>
    <n v="1940"/>
    <x v="0"/>
    <n v="6.5"/>
    <s v="10"/>
    <x v="1"/>
    <s v="No"/>
    <x v="0"/>
    <n v="152.06185567010309"/>
    <n v="1792.6750133779833"/>
    <n v="272302.50401339494"/>
    <n v="537802.50401339494"/>
    <n v="265500"/>
    <n v="776.60197288135601"/>
  </r>
  <r>
    <x v="5"/>
    <x v="1"/>
    <n v="365000"/>
    <n v="2400"/>
    <x v="1"/>
    <n v="5.3"/>
    <s v="10"/>
    <x v="1"/>
    <s v="No"/>
    <x v="0"/>
    <n v="152.08333333333334"/>
    <n v="1978.2309297013298"/>
    <n v="264969.27891039889"/>
    <n v="593469.27891039895"/>
    <n v="328500"/>
    <n v="960.60197260273969"/>
  </r>
  <r>
    <x v="8"/>
    <x v="0"/>
    <n v="495000"/>
    <n v="3250"/>
    <x v="1"/>
    <n v="5"/>
    <s v="12"/>
    <x v="1"/>
    <s v="No"/>
    <x v="0"/>
    <n v="152.30769230769232"/>
    <n v="2546.4742208087569"/>
    <n v="328342.26624262705"/>
    <n v="763942.26624262705"/>
    <n v="435600"/>
    <n v="1300.6019696969697"/>
  </r>
  <r>
    <x v="4"/>
    <x v="1"/>
    <n v="310000"/>
    <n v="2030"/>
    <x v="1"/>
    <n v="5.5"/>
    <s v="10"/>
    <x v="1"/>
    <s v="No"/>
    <x v="0"/>
    <n v="152.70935960591132"/>
    <n v="1713.304103465302"/>
    <n v="234991.23103959055"/>
    <n v="513991.23103959055"/>
    <n v="279000"/>
    <n v="812.6019645161291"/>
  </r>
  <r>
    <x v="2"/>
    <x v="2"/>
    <n v="345000"/>
    <n v="2250"/>
    <x v="1"/>
    <n v="5.4"/>
    <s v="14"/>
    <x v="1"/>
    <s v="No"/>
    <x v="1"/>
    <n v="153.33333333333334"/>
    <n v="1804.3214649501419"/>
    <n v="244596.43948504259"/>
    <n v="541296.43948504259"/>
    <n v="296700"/>
    <n v="900.60195652173911"/>
  </r>
  <r>
    <x v="7"/>
    <x v="1"/>
    <n v="362000"/>
    <n v="2360"/>
    <x v="1"/>
    <n v="5.4"/>
    <s v="10"/>
    <x v="1"/>
    <s v="No"/>
    <x v="0"/>
    <n v="153.38983050847457"/>
    <n v="1981.2872709159292"/>
    <n v="268586.18127477879"/>
    <n v="594386.18127477879"/>
    <n v="325800"/>
    <n v="944.60195580110496"/>
  </r>
  <r>
    <x v="8"/>
    <x v="0"/>
    <n v="492000"/>
    <n v="3200"/>
    <x v="1"/>
    <n v="5"/>
    <s v="12"/>
    <x v="1"/>
    <s v="No"/>
    <x v="0"/>
    <n v="153.75"/>
    <n v="2531.0410437129462"/>
    <n v="326352.31311388384"/>
    <n v="759312.31311388384"/>
    <n v="432960"/>
    <n v="1280.6019512195121"/>
  </r>
  <r>
    <x v="7"/>
    <x v="1"/>
    <n v="400000"/>
    <n v="2600"/>
    <x v="0"/>
    <n v="6.1"/>
    <s v="10"/>
    <x v="1"/>
    <s v="No"/>
    <x v="0"/>
    <n v="153.84615384615384"/>
    <n v="2341.5408403593456"/>
    <n v="342462.25210780377"/>
    <n v="702462.25210780371"/>
    <n v="360000"/>
    <n v="1040.60195"/>
  </r>
  <r>
    <x v="5"/>
    <x v="1"/>
    <n v="362000"/>
    <n v="2350"/>
    <x v="1"/>
    <n v="5.3"/>
    <s v="10"/>
    <x v="1"/>
    <s v="No"/>
    <x v="0"/>
    <n v="154.04255319148936"/>
    <n v="1961.9714974024148"/>
    <n v="262791.44922072435"/>
    <n v="588591.4492207244"/>
    <n v="325800"/>
    <n v="940.60194751381221"/>
  </r>
  <r>
    <x v="7"/>
    <x v="1"/>
    <n v="370000"/>
    <n v="2400"/>
    <x v="1"/>
    <n v="5.4"/>
    <s v="10"/>
    <x v="1"/>
    <s v="No"/>
    <x v="0"/>
    <n v="154.16666666666666"/>
    <n v="2025.07262496932"/>
    <n v="274521.78749079606"/>
    <n v="607521.78749079606"/>
    <n v="333000"/>
    <n v="960.601945945946"/>
  </r>
  <r>
    <x v="2"/>
    <x v="2"/>
    <n v="340000"/>
    <n v="2200"/>
    <x v="1"/>
    <n v="5.4"/>
    <s v="14"/>
    <x v="1"/>
    <s v="No"/>
    <x v="1"/>
    <n v="154.54545454545453"/>
    <n v="1778.1718785015889"/>
    <n v="241051.56355047668"/>
    <n v="533451.56355047668"/>
    <n v="292400"/>
    <n v="880.60194117647063"/>
  </r>
  <r>
    <x v="3"/>
    <x v="1"/>
    <n v="310000"/>
    <n v="2000"/>
    <x v="0"/>
    <n v="6.6"/>
    <s v="10"/>
    <x v="1"/>
    <s v="No"/>
    <x v="0"/>
    <n v="155"/>
    <n v="1901.2987875282531"/>
    <n v="291389.63625847583"/>
    <n v="570389.63625847583"/>
    <n v="279000"/>
    <n v="800.60193548387099"/>
  </r>
  <r>
    <x v="7"/>
    <x v="1"/>
    <n v="380000"/>
    <n v="2450"/>
    <x v="0"/>
    <n v="6.1"/>
    <s v="10"/>
    <x v="1"/>
    <s v="No"/>
    <x v="0"/>
    <n v="155.10204081632654"/>
    <n v="2224.4637983413782"/>
    <n v="325339.13950241345"/>
    <n v="667339.13950241345"/>
    <n v="342000"/>
    <n v="980.60193421052634"/>
  </r>
  <r>
    <x v="2"/>
    <x v="2"/>
    <n v="308000"/>
    <n v="1980"/>
    <x v="1"/>
    <n v="5.5"/>
    <s v="12"/>
    <x v="1"/>
    <s v="No"/>
    <x v="1"/>
    <n v="155.55555555555554"/>
    <n v="1664.4227390796968"/>
    <n v="228286.82172390906"/>
    <n v="499326.82172390906"/>
    <n v="271040"/>
    <n v="792.60192857142863"/>
  </r>
  <r>
    <x v="2"/>
    <x v="2"/>
    <n v="350000"/>
    <n v="2250"/>
    <x v="1"/>
    <n v="5.4"/>
    <s v="12"/>
    <x v="1"/>
    <s v="No"/>
    <x v="1"/>
    <n v="155.55555555555554"/>
    <n v="1873.040145617269"/>
    <n v="253912.04368518078"/>
    <n v="561912.04368518083"/>
    <n v="308000"/>
    <n v="900.60192857142863"/>
  </r>
  <r>
    <x v="8"/>
    <x v="0"/>
    <n v="490000"/>
    <n v="3150"/>
    <x v="1"/>
    <n v="5"/>
    <s v="12"/>
    <x v="1"/>
    <s v="No"/>
    <x v="0"/>
    <n v="155.55555555555554"/>
    <n v="2520.7522589824061"/>
    <n v="325025.67769472179"/>
    <n v="756225.67769472185"/>
    <n v="431200"/>
    <n v="1260.6019285714285"/>
  </r>
  <r>
    <x v="3"/>
    <x v="2"/>
    <n v="405000"/>
    <n v="2600"/>
    <x v="1"/>
    <n v="5.3"/>
    <s v="18"/>
    <x v="2"/>
    <s v="No"/>
    <x v="1"/>
    <n v="155.76923076923077"/>
    <n v="1999.9101727665497"/>
    <n v="267873.05182996497"/>
    <n v="599973.05182996497"/>
    <n v="332100"/>
    <n v="1040.901925925926"/>
  </r>
  <r>
    <x v="4"/>
    <x v="1"/>
    <n v="320000"/>
    <n v="2050"/>
    <x v="0"/>
    <n v="6.4"/>
    <s v="10"/>
    <x v="1"/>
    <s v="No"/>
    <x v="0"/>
    <n v="156.09756097560975"/>
    <n v="1926.6390048534236"/>
    <n v="289991.70145602722"/>
    <n v="577991.70145602722"/>
    <n v="288000"/>
    <n v="820.60192187500002"/>
  </r>
  <r>
    <x v="3"/>
    <x v="2"/>
    <n v="408000"/>
    <n v="2610"/>
    <x v="1"/>
    <n v="5.3"/>
    <s v="18"/>
    <x v="2"/>
    <s v="No"/>
    <x v="1"/>
    <n v="156.32183908045977"/>
    <n v="2014.7243221944502"/>
    <n v="269857.29665833502"/>
    <n v="604417.29665833502"/>
    <n v="334560"/>
    <n v="1044.9019191176471"/>
  </r>
  <r>
    <x v="2"/>
    <x v="2"/>
    <n v="360000"/>
    <n v="2300"/>
    <x v="1"/>
    <n v="5.4"/>
    <s v="14"/>
    <x v="1"/>
    <s v="No"/>
    <x v="1"/>
    <n v="156.52173913043478"/>
    <n v="1882.7702242958003"/>
    <n v="255231.06728874013"/>
    <n v="564831.06728874007"/>
    <n v="309600"/>
    <n v="920.60191666666674"/>
  </r>
  <r>
    <x v="5"/>
    <x v="1"/>
    <n v="360000"/>
    <n v="2300"/>
    <x v="1"/>
    <n v="5.3"/>
    <s v="10"/>
    <x v="1"/>
    <s v="No"/>
    <x v="0"/>
    <n v="156.52173913043478"/>
    <n v="1951.1318758698046"/>
    <n v="261339.56276094128"/>
    <n v="585339.56276094122"/>
    <n v="324000"/>
    <n v="920.60191666666674"/>
  </r>
  <r>
    <x v="3"/>
    <x v="2"/>
    <n v="400000"/>
    <n v="2550"/>
    <x v="1"/>
    <n v="5.3"/>
    <s v="18"/>
    <x v="2"/>
    <s v="No"/>
    <x v="1"/>
    <n v="156.86274509803923"/>
    <n v="1975.2199237200491"/>
    <n v="264565.97711601469"/>
    <n v="592565.97711601469"/>
    <n v="328000"/>
    <n v="1020.9019125"/>
  </r>
  <r>
    <x v="2"/>
    <x v="2"/>
    <n v="330000"/>
    <n v="2100"/>
    <x v="1"/>
    <n v="5.4"/>
    <s v="12"/>
    <x v="1"/>
    <s v="No"/>
    <x v="1"/>
    <n v="157.14285714285714"/>
    <n v="1766.0092801534252"/>
    <n v="239402.78404602758"/>
    <n v="529802.78404602758"/>
    <n v="290400"/>
    <n v="840.60190909090909"/>
  </r>
  <r>
    <x v="8"/>
    <x v="0"/>
    <n v="488000"/>
    <n v="3100"/>
    <x v="1"/>
    <n v="5"/>
    <s v="12"/>
    <x v="1"/>
    <s v="No"/>
    <x v="0"/>
    <n v="157.41935483870967"/>
    <n v="2510.4634742518656"/>
    <n v="323699.04227555968"/>
    <n v="753139.04227555962"/>
    <n v="429440"/>
    <n v="1240.6019057377048"/>
  </r>
  <r>
    <x v="6"/>
    <x v="1"/>
    <n v="370000"/>
    <n v="2350"/>
    <x v="1"/>
    <n v="5.3"/>
    <s v="10"/>
    <x v="1"/>
    <s v="No"/>
    <x v="0"/>
    <n v="157.44680851063831"/>
    <n v="2005.3299835328546"/>
    <n v="268598.99505985627"/>
    <n v="601598.99505985621"/>
    <n v="333000"/>
    <n v="940.60190540540543"/>
  </r>
  <r>
    <x v="2"/>
    <x v="2"/>
    <n v="315000"/>
    <n v="2000"/>
    <x v="0"/>
    <n v="6.3"/>
    <s v="14"/>
    <x v="1"/>
    <s v="No"/>
    <x v="1"/>
    <n v="157.5"/>
    <n v="1795.4261939169821"/>
    <n v="267727.85817509459"/>
    <n v="538627.85817509459"/>
    <n v="270900"/>
    <n v="800.60190476190473"/>
  </r>
  <r>
    <x v="2"/>
    <x v="2"/>
    <n v="320000"/>
    <n v="2030"/>
    <x v="1"/>
    <n v="5.4"/>
    <s v="14"/>
    <x v="1"/>
    <s v="No"/>
    <x v="1"/>
    <n v="157.63546798029557"/>
    <n v="1673.573532707378"/>
    <n v="226872.05981221341"/>
    <n v="502072.05981221341"/>
    <n v="275200"/>
    <n v="812.60190312500004"/>
  </r>
  <r>
    <x v="2"/>
    <x v="2"/>
    <n v="300000"/>
    <n v="1900"/>
    <x v="0"/>
    <n v="6.3"/>
    <s v="12"/>
    <x v="1"/>
    <s v="No"/>
    <x v="1"/>
    <n v="157.89473684210526"/>
    <n v="1749.6955156666049"/>
    <n v="260908.65469998133"/>
    <n v="524908.65469998133"/>
    <n v="264000"/>
    <n v="760.6019"/>
  </r>
  <r>
    <x v="3"/>
    <x v="2"/>
    <n v="395000"/>
    <n v="2500"/>
    <x v="1"/>
    <n v="5.3"/>
    <s v="18"/>
    <x v="2"/>
    <s v="No"/>
    <x v="1"/>
    <n v="158"/>
    <n v="1950.5296746735487"/>
    <n v="261258.90240206465"/>
    <n v="585158.90240206465"/>
    <n v="323900"/>
    <n v="1000.9018987341772"/>
  </r>
  <r>
    <x v="2"/>
    <x v="2"/>
    <n v="335000"/>
    <n v="2120"/>
    <x v="0"/>
    <n v="6.3"/>
    <s v="14"/>
    <x v="1"/>
    <s v="No"/>
    <x v="1"/>
    <n v="158.01886792452831"/>
    <n v="1909.4215078164732"/>
    <n v="284726.45234494179"/>
    <n v="572826.45234494179"/>
    <n v="288100"/>
    <n v="848.60189850746269"/>
  </r>
  <r>
    <x v="2"/>
    <x v="2"/>
    <n v="340000"/>
    <n v="2150"/>
    <x v="1"/>
    <n v="5.4"/>
    <s v="14"/>
    <x v="1"/>
    <s v="No"/>
    <x v="1"/>
    <n v="158.13953488372093"/>
    <n v="1778.1718785015889"/>
    <n v="241051.56355047668"/>
    <n v="533451.56355047668"/>
    <n v="292400"/>
    <n v="860.60189705882351"/>
  </r>
  <r>
    <x v="7"/>
    <x v="1"/>
    <n v="380000"/>
    <n v="2400"/>
    <x v="1"/>
    <n v="5.4"/>
    <s v="10"/>
    <x v="1"/>
    <s v="No"/>
    <x v="0"/>
    <n v="158.33333333333334"/>
    <n v="2079.8043175360585"/>
    <n v="281941.29526081757"/>
    <n v="623941.29526081751"/>
    <n v="342000"/>
    <n v="960.60189473684215"/>
  </r>
  <r>
    <x v="6"/>
    <x v="1"/>
    <n v="365000"/>
    <n v="2300"/>
    <x v="1"/>
    <n v="5.3"/>
    <s v="10"/>
    <x v="1"/>
    <s v="No"/>
    <x v="0"/>
    <n v="158.69565217391303"/>
    <n v="1978.2309297013298"/>
    <n v="264969.27891039889"/>
    <n v="593469.27891039895"/>
    <n v="328500"/>
    <n v="920.60189041095896"/>
  </r>
  <r>
    <x v="2"/>
    <x v="2"/>
    <n v="310000"/>
    <n v="1950"/>
    <x v="0"/>
    <n v="6.3"/>
    <s v="14"/>
    <x v="1"/>
    <s v="No"/>
    <x v="1"/>
    <n v="158.97435897435898"/>
    <n v="1766.9273654421092"/>
    <n v="263478.20963263267"/>
    <n v="530078.20963263267"/>
    <n v="266600"/>
    <n v="780.60188709677425"/>
  </r>
  <r>
    <x v="8"/>
    <x v="0"/>
    <n v="485000"/>
    <n v="3050"/>
    <x v="1"/>
    <n v="5"/>
    <s v="12"/>
    <x v="1"/>
    <s v="No"/>
    <x v="0"/>
    <n v="159.01639344262296"/>
    <n v="2495.0302971560545"/>
    <n v="321709.08914681646"/>
    <n v="748509.0891468164"/>
    <n v="426800"/>
    <n v="1220.6018865979381"/>
  </r>
  <r>
    <x v="1"/>
    <x v="2"/>
    <n v="315000"/>
    <n v="1980"/>
    <x v="0"/>
    <n v="6.2"/>
    <s v="15"/>
    <x v="1"/>
    <s v="No"/>
    <x v="1"/>
    <n v="159.09090909090909"/>
    <n v="1757.9985624318508"/>
    <n v="259649.56872955529"/>
    <n v="527399.56872955523"/>
    <n v="267750"/>
    <n v="792.60188571428569"/>
  </r>
  <r>
    <x v="1"/>
    <x v="2"/>
    <n v="350000"/>
    <n v="2200"/>
    <x v="1"/>
    <n v="5.5"/>
    <s v="12"/>
    <x v="1"/>
    <s v="No"/>
    <x v="1"/>
    <n v="159.09090909090909"/>
    <n v="1891.3894762269285"/>
    <n v="259416.84286807862"/>
    <n v="567416.84286807862"/>
    <n v="308000"/>
    <n v="880.60188571428569"/>
  </r>
  <r>
    <x v="2"/>
    <x v="2"/>
    <n v="315000"/>
    <n v="1980"/>
    <x v="1"/>
    <n v="5.5"/>
    <s v="12"/>
    <x v="1"/>
    <s v="No"/>
    <x v="1"/>
    <n v="159.09090909090909"/>
    <n v="1702.2505286042356"/>
    <n v="233475.15858127066"/>
    <n v="510675.15858127066"/>
    <n v="277200"/>
    <n v="792.60188571428569"/>
  </r>
  <r>
    <x v="2"/>
    <x v="2"/>
    <n v="298000"/>
    <n v="1870"/>
    <x v="1"/>
    <n v="5.4"/>
    <s v="14"/>
    <x v="1"/>
    <s v="No"/>
    <x v="1"/>
    <n v="159.35828877005346"/>
    <n v="1558.5153523337456"/>
    <n v="211274.60570012368"/>
    <n v="467554.60570012371"/>
    <n v="256280"/>
    <n v="748.60188255033563"/>
  </r>
  <r>
    <x v="6"/>
    <x v="1"/>
    <n v="360000"/>
    <n v="2250"/>
    <x v="1"/>
    <n v="5.3"/>
    <n v="10"/>
    <x v="1"/>
    <s v="No"/>
    <x v="0"/>
    <n v="160"/>
    <n v="1951.1318758698046"/>
    <n v="261339.56276094128"/>
    <n v="585339.56276094122"/>
    <n v="324000"/>
    <n v="900.60187500000006"/>
  </r>
  <r>
    <x v="6"/>
    <x v="1"/>
    <n v="322000"/>
    <n v="2010"/>
    <x v="1"/>
    <n v="5.3"/>
    <s v="10"/>
    <x v="1"/>
    <s v="No"/>
    <x v="0"/>
    <n v="160.19900497512438"/>
    <n v="1745.1790667502141"/>
    <n v="233753.72002506419"/>
    <n v="523553.72002506419"/>
    <n v="289800"/>
    <n v="804.60187267080744"/>
  </r>
  <r>
    <x v="1"/>
    <x v="2"/>
    <n v="345000"/>
    <n v="2150"/>
    <x v="1"/>
    <n v="5.5"/>
    <s v="12"/>
    <x v="1"/>
    <s v="No"/>
    <x v="1"/>
    <n v="160.46511627906978"/>
    <n v="1864.3696265665435"/>
    <n v="255710.88796996302"/>
    <n v="559310.88796996302"/>
    <n v="303600"/>
    <n v="860.60186956521738"/>
  </r>
  <r>
    <x v="6"/>
    <x v="1"/>
    <n v="326000"/>
    <n v="2030"/>
    <x v="0"/>
    <n v="6.1"/>
    <s v="10"/>
    <x v="1"/>
    <s v="No"/>
    <x v="0"/>
    <n v="160.59113300492612"/>
    <n v="1908.3557848928667"/>
    <n v="279106.73546786001"/>
    <n v="572506.73546786001"/>
    <n v="293400"/>
    <n v="812.60186809815957"/>
  </r>
  <r>
    <x v="6"/>
    <x v="1"/>
    <n v="330000"/>
    <n v="2050"/>
    <x v="1"/>
    <n v="5.3"/>
    <n v="10"/>
    <x v="1"/>
    <s v="No"/>
    <x v="0"/>
    <n v="160.97560975609755"/>
    <n v="1788.5375528806542"/>
    <n v="239561.26586419623"/>
    <n v="536561.26586419623"/>
    <n v="297000"/>
    <n v="820.60186363636365"/>
  </r>
  <r>
    <x v="1"/>
    <x v="2"/>
    <n v="330000"/>
    <n v="2050"/>
    <x v="1"/>
    <n v="5.5"/>
    <s v="12"/>
    <x v="1"/>
    <s v="No"/>
    <x v="1"/>
    <n v="160.97560975609755"/>
    <n v="1783.3100775853898"/>
    <n v="244593.02327561693"/>
    <n v="534993.02327561693"/>
    <n v="290400"/>
    <n v="820.60186363636365"/>
  </r>
  <r>
    <x v="2"/>
    <x v="2"/>
    <n v="330000"/>
    <n v="2050"/>
    <x v="1"/>
    <n v="5.4"/>
    <s v="14"/>
    <x v="1"/>
    <s v="No"/>
    <x v="1"/>
    <n v="160.97560975609755"/>
    <n v="1725.8727056044836"/>
    <n v="233961.81168134516"/>
    <n v="517761.81168134516"/>
    <n v="283800"/>
    <n v="820.60186363636365"/>
  </r>
  <r>
    <x v="6"/>
    <x v="1"/>
    <n v="335000"/>
    <n v="2080"/>
    <x v="1"/>
    <n v="5.3"/>
    <s v="10"/>
    <x v="1"/>
    <s v="No"/>
    <x v="0"/>
    <n v="161.05769230769232"/>
    <n v="1815.6366067121794"/>
    <n v="243190.98201365385"/>
    <n v="544690.98201365385"/>
    <n v="301500"/>
    <n v="832.60186268656719"/>
  </r>
  <r>
    <x v="1"/>
    <x v="2"/>
    <n v="300000"/>
    <n v="1860"/>
    <x v="1"/>
    <n v="5.5"/>
    <s v="12"/>
    <x v="1"/>
    <s v="No"/>
    <x v="1"/>
    <n v="161.29032258064515"/>
    <n v="1621.1909796230816"/>
    <n v="222357.29388692445"/>
    <n v="486357.29388692445"/>
    <n v="264000"/>
    <n v="744.60185999999999"/>
  </r>
  <r>
    <x v="1"/>
    <x v="2"/>
    <n v="320000"/>
    <n v="1980"/>
    <x v="0"/>
    <n v="6.2"/>
    <s v="15"/>
    <x v="1"/>
    <s v="No"/>
    <x v="1"/>
    <n v="161.61616161616161"/>
    <n v="1785.9033015180707"/>
    <n v="263770.99045542127"/>
    <n v="535770.99045542127"/>
    <n v="272000"/>
    <n v="792.60185624999997"/>
  </r>
  <r>
    <x v="6"/>
    <x v="1"/>
    <n v="340000"/>
    <n v="2100"/>
    <x v="0"/>
    <n v="6.1"/>
    <s v="10"/>
    <x v="1"/>
    <s v="No"/>
    <x v="0"/>
    <n v="161.9047619047619"/>
    <n v="1990.3097143054438"/>
    <n v="291092.91429163318"/>
    <n v="597092.91429163318"/>
    <n v="306000"/>
    <n v="840.6018529411765"/>
  </r>
  <r>
    <x v="1"/>
    <x v="2"/>
    <n v="340000"/>
    <n v="2100"/>
    <x v="1"/>
    <n v="5.4"/>
    <s v="15"/>
    <x v="1"/>
    <s v="No"/>
    <x v="1"/>
    <n v="161.9047619047619"/>
    <n v="1757.4954613097102"/>
    <n v="238248.63839291304"/>
    <n v="527248.63839291304"/>
    <n v="289000"/>
    <n v="840.6018529411765"/>
  </r>
  <r>
    <x v="1"/>
    <x v="2"/>
    <n v="312000"/>
    <n v="1920"/>
    <x v="1"/>
    <n v="5.5"/>
    <s v="12"/>
    <x v="1"/>
    <s v="No"/>
    <x v="1"/>
    <n v="162.5"/>
    <n v="1686.0386188080047"/>
    <n v="231251.58564240142"/>
    <n v="505811.58564240142"/>
    <n v="274560"/>
    <n v="768.60184615384617"/>
  </r>
  <r>
    <x v="1"/>
    <x v="2"/>
    <n v="325000"/>
    <n v="2000"/>
    <x v="1"/>
    <n v="5.5"/>
    <s v="12"/>
    <x v="1"/>
    <s v="No"/>
    <x v="1"/>
    <n v="162.5"/>
    <n v="1756.290227925005"/>
    <n v="240887.06837750139"/>
    <n v="526887.06837750133"/>
    <n v="286000"/>
    <n v="800.60184615384617"/>
  </r>
  <r>
    <x v="2"/>
    <x v="2"/>
    <n v="325000"/>
    <n v="2000"/>
    <x v="1"/>
    <n v="5.4"/>
    <s v="14"/>
    <x v="1"/>
    <s v="No"/>
    <x v="1"/>
    <n v="162.5"/>
    <n v="1699.7231191559306"/>
    <n v="230416.93574677926"/>
    <n v="509916.93574677926"/>
    <n v="279500"/>
    <n v="800.60184615384617"/>
  </r>
  <r>
    <x v="6"/>
    <x v="1"/>
    <n v="345000"/>
    <n v="2120"/>
    <x v="1"/>
    <n v="5.3"/>
    <n v="10"/>
    <x v="1"/>
    <s v="No"/>
    <x v="0"/>
    <n v="162.73584905660377"/>
    <n v="1869.8347143752296"/>
    <n v="250450.41431256878"/>
    <n v="560950.41431256873"/>
    <n v="310500"/>
    <n v="848.60184347826089"/>
  </r>
  <r>
    <x v="6"/>
    <x v="1"/>
    <n v="350000"/>
    <n v="2150"/>
    <x v="0"/>
    <n v="6.1"/>
    <s v="10"/>
    <x v="1"/>
    <s v="No"/>
    <x v="0"/>
    <n v="162.7906976744186"/>
    <n v="2048.8482353144273"/>
    <n v="299654.47059432813"/>
    <n v="614654.47059432813"/>
    <n v="315000"/>
    <n v="860.60184285714286"/>
  </r>
  <r>
    <x v="5"/>
    <x v="1"/>
    <n v="350000"/>
    <n v="2150"/>
    <x v="1"/>
    <n v="5.3"/>
    <s v="10"/>
    <x v="1"/>
    <s v="No"/>
    <x v="0"/>
    <n v="162.7906976744186"/>
    <n v="1896.9337682067544"/>
    <n v="254080.13046202634"/>
    <n v="569080.13046202634"/>
    <n v="315000"/>
    <n v="860.60184285714286"/>
  </r>
  <r>
    <x v="6"/>
    <x v="1"/>
    <n v="355000"/>
    <n v="2180"/>
    <x v="1"/>
    <n v="5.3"/>
    <s v="10"/>
    <x v="1"/>
    <s v="No"/>
    <x v="0"/>
    <n v="162.8440366972477"/>
    <n v="1924.0328220382796"/>
    <n v="257709.84661148378"/>
    <n v="577209.84661148372"/>
    <n v="319500"/>
    <n v="872.60184225352111"/>
  </r>
  <r>
    <x v="1"/>
    <x v="2"/>
    <n v="318000"/>
    <n v="1950"/>
    <x v="1"/>
    <n v="5.5"/>
    <s v="12"/>
    <x v="1"/>
    <s v="No"/>
    <x v="1"/>
    <n v="163.07692307692307"/>
    <n v="1718.4624384004665"/>
    <n v="235698.73152013996"/>
    <n v="515538.73152013996"/>
    <n v="279840"/>
    <n v="780.60183962264148"/>
  </r>
  <r>
    <x v="1"/>
    <x v="2"/>
    <n v="298000"/>
    <n v="1820"/>
    <x v="0"/>
    <n v="6.3"/>
    <s v="12"/>
    <x v="1"/>
    <s v="No"/>
    <x v="1"/>
    <n v="163.73626373626374"/>
    <n v="1738.0308788954944"/>
    <n v="259169.2636686482"/>
    <n v="521409.2636686482"/>
    <n v="262240"/>
    <n v="728.60183221476507"/>
  </r>
  <r>
    <x v="8"/>
    <x v="0"/>
    <n v="475000"/>
    <n v="2900"/>
    <x v="1"/>
    <n v="5"/>
    <s v="12"/>
    <x v="1"/>
    <s v="No"/>
    <x v="0"/>
    <n v="163.79310344827587"/>
    <n v="2443.5863735033522"/>
    <n v="315075.9120510057"/>
    <n v="733075.91205100575"/>
    <n v="418000"/>
    <n v="1160.6018315789472"/>
  </r>
  <r>
    <x v="3"/>
    <x v="2"/>
    <n v="385000"/>
    <n v="2350"/>
    <x v="1"/>
    <n v="5.3"/>
    <s v="18"/>
    <x v="2"/>
    <s v="No"/>
    <x v="1"/>
    <n v="163.82978723404256"/>
    <n v="1901.1491765805472"/>
    <n v="254644.75297416421"/>
    <n v="570344.75297416421"/>
    <n v="315700"/>
    <n v="940.90183116883111"/>
  </r>
  <r>
    <x v="2"/>
    <x v="2"/>
    <n v="320000"/>
    <n v="1950"/>
    <x v="1"/>
    <n v="5.4"/>
    <s v="14"/>
    <x v="1"/>
    <s v="No"/>
    <x v="1"/>
    <n v="164.10256410256412"/>
    <n v="1673.573532707378"/>
    <n v="226872.05981221341"/>
    <n v="502072.05981221341"/>
    <n v="275200"/>
    <n v="780.601828125"/>
  </r>
  <r>
    <x v="1"/>
    <x v="2"/>
    <n v="325000"/>
    <n v="1980"/>
    <x v="0"/>
    <n v="6.2"/>
    <s v="15"/>
    <x v="1"/>
    <s v="No"/>
    <x v="1"/>
    <n v="164.14141414141415"/>
    <n v="1813.8080406042907"/>
    <n v="267892.41218128713"/>
    <n v="544142.41218128707"/>
    <n v="276250"/>
    <n v="792.60182769230767"/>
  </r>
  <r>
    <x v="5"/>
    <x v="1"/>
    <n v="345000"/>
    <n v="2100"/>
    <x v="1"/>
    <n v="5.3"/>
    <s v="10"/>
    <x v="1"/>
    <s v="No"/>
    <x v="0"/>
    <n v="164.28571428571428"/>
    <n v="1869.8347143752296"/>
    <n v="250450.41431256878"/>
    <n v="560950.41431256873"/>
    <n v="310500"/>
    <n v="840.60182608695652"/>
  </r>
  <r>
    <x v="2"/>
    <x v="2"/>
    <n v="305000"/>
    <n v="1850"/>
    <x v="1"/>
    <n v="5.4"/>
    <n v="14"/>
    <x v="1"/>
    <s v="No"/>
    <x v="0"/>
    <n v="164.86486486486487"/>
    <n v="1595.1247733617197"/>
    <n v="216237.43200851599"/>
    <n v="478537.43200851599"/>
    <n v="262300"/>
    <n v="740.60181967213111"/>
  </r>
  <r>
    <x v="2"/>
    <x v="2"/>
    <n v="330000"/>
    <n v="2000"/>
    <x v="0"/>
    <n v="6.3"/>
    <s v="14"/>
    <x v="1"/>
    <s v="No"/>
    <x v="1"/>
    <n v="165"/>
    <n v="1880.9226793416003"/>
    <n v="280476.80380247999"/>
    <n v="564276.80380247999"/>
    <n v="283800"/>
    <n v="800.6018181818182"/>
  </r>
  <r>
    <x v="0"/>
    <x v="2"/>
    <n v="278000"/>
    <n v="1680"/>
    <x v="1"/>
    <n v="5.4"/>
    <s v="12"/>
    <x v="1"/>
    <s v="No"/>
    <x v="1"/>
    <n v="165.47619047619048"/>
    <n v="1487.7290299474309"/>
    <n v="201678.70898422934"/>
    <n v="446318.70898422936"/>
    <n v="244640"/>
    <n v="672.60181294964036"/>
  </r>
  <r>
    <x v="1"/>
    <x v="2"/>
    <n v="305000"/>
    <n v="1840"/>
    <x v="1"/>
    <n v="5.2"/>
    <s v="15"/>
    <x v="1"/>
    <s v="No"/>
    <x v="1"/>
    <n v="165.7608695652174"/>
    <n v="1545.9116866629702"/>
    <n v="204523.50599889091"/>
    <n v="463773.50599889091"/>
    <n v="259250"/>
    <n v="736.60180983606563"/>
  </r>
  <r>
    <x v="6"/>
    <x v="1"/>
    <n v="340000"/>
    <n v="2050"/>
    <x v="1"/>
    <n v="5.3"/>
    <n v="10"/>
    <x v="1"/>
    <s v="No"/>
    <x v="0"/>
    <n v="165.85365853658536"/>
    <n v="1842.7356605437044"/>
    <n v="246820.69816311129"/>
    <n v="552820.69816311123"/>
    <n v="306000"/>
    <n v="820.60180882352938"/>
  </r>
  <r>
    <x v="5"/>
    <x v="1"/>
    <n v="340000"/>
    <n v="2050"/>
    <x v="1"/>
    <n v="5.3"/>
    <s v="10"/>
    <x v="1"/>
    <s v="No"/>
    <x v="0"/>
    <n v="165.85365853658536"/>
    <n v="1842.7356605437044"/>
    <n v="246820.69816311129"/>
    <n v="552820.69816311123"/>
    <n v="306000"/>
    <n v="820.60180882352938"/>
  </r>
  <r>
    <x v="6"/>
    <x v="1"/>
    <n v="345000"/>
    <n v="2080"/>
    <x v="1"/>
    <n v="5.3"/>
    <s v="10"/>
    <x v="1"/>
    <s v="No"/>
    <x v="0"/>
    <n v="165.86538461538461"/>
    <n v="1869.8347143752296"/>
    <n v="250450.41431256878"/>
    <n v="560950.41431256873"/>
    <n v="310500"/>
    <n v="832.60180869565215"/>
  </r>
  <r>
    <x v="8"/>
    <x v="0"/>
    <n v="465000"/>
    <n v="2800"/>
    <x v="1"/>
    <n v="5"/>
    <s v="12"/>
    <x v="0"/>
    <s v="No"/>
    <x v="0"/>
    <n v="166.07142857142858"/>
    <n v="2392.1424498506508"/>
    <n v="308442.73495519522"/>
    <n v="717642.73495519522"/>
    <n v="409200"/>
    <n v="1120.3018064516129"/>
  </r>
  <r>
    <x v="3"/>
    <x v="2"/>
    <n v="382000"/>
    <n v="2300"/>
    <x v="1"/>
    <n v="5.3"/>
    <s v="18"/>
    <x v="2"/>
    <s v="No"/>
    <x v="1"/>
    <n v="166.08695652173913"/>
    <n v="1886.3350271526472"/>
    <n v="252660.5081457941"/>
    <n v="565900.50814579404"/>
    <n v="313240"/>
    <n v="920.90180628272253"/>
  </r>
  <r>
    <x v="0"/>
    <x v="2"/>
    <n v="270000"/>
    <n v="1620"/>
    <x v="1"/>
    <n v="5.4"/>
    <s v="12"/>
    <x v="1"/>
    <s v="No"/>
    <x v="1"/>
    <n v="166.66666666666666"/>
    <n v="1444.916683761893"/>
    <n v="195875.00512856792"/>
    <n v="433475.00512856792"/>
    <n v="237600"/>
    <n v="648.60180000000003"/>
  </r>
  <r>
    <x v="8"/>
    <x v="0"/>
    <n v="450000"/>
    <n v="2700"/>
    <x v="0"/>
    <n v="6"/>
    <s v="10"/>
    <x v="1"/>
    <s v="No"/>
    <x v="0"/>
    <n v="166.66666666666666"/>
    <n v="2609.4206760163097"/>
    <n v="377826.20280489296"/>
    <n v="782826.20280489302"/>
    <n v="405000"/>
    <n v="1080.6017999999999"/>
  </r>
  <r>
    <x v="0"/>
    <x v="2"/>
    <n v="275000"/>
    <n v="1650"/>
    <x v="0"/>
    <n v="6.5"/>
    <s v="12"/>
    <x v="1"/>
    <s v="No"/>
    <x v="1"/>
    <n v="166.66666666666666"/>
    <n v="1634.0013304612878"/>
    <n v="248200.39913838636"/>
    <n v="490200.39913838636"/>
    <n v="242000"/>
    <n v="660.60180000000003"/>
  </r>
  <r>
    <x v="0"/>
    <x v="2"/>
    <n v="300000"/>
    <n v="1800"/>
    <x v="0"/>
    <n v="6.5"/>
    <s v="12"/>
    <x v="1"/>
    <s v="No"/>
    <x v="1"/>
    <n v="166.66666666666666"/>
    <n v="1782.5469059577686"/>
    <n v="270764.07178733061"/>
    <n v="534764.07178733055"/>
    <n v="264000"/>
    <n v="720.60180000000003"/>
  </r>
  <r>
    <x v="1"/>
    <x v="2"/>
    <n v="320000"/>
    <n v="1920"/>
    <x v="1"/>
    <n v="5.5"/>
    <s v="12"/>
    <x v="1"/>
    <s v="No"/>
    <x v="1"/>
    <n v="166.66666666666666"/>
    <n v="1729.2703782646201"/>
    <n v="237181.11347938603"/>
    <n v="518781.11347938603"/>
    <n v="281600"/>
    <n v="768.60180000000003"/>
  </r>
  <r>
    <x v="6"/>
    <x v="1"/>
    <n v="350000"/>
    <n v="2100"/>
    <x v="0"/>
    <n v="6.1"/>
    <s v="10"/>
    <x v="1"/>
    <s v="No"/>
    <x v="0"/>
    <n v="166.66666666666666"/>
    <n v="2048.8482353144273"/>
    <n v="299654.47059432813"/>
    <n v="614654.47059432813"/>
    <n v="315000"/>
    <n v="840.60180000000003"/>
  </r>
  <r>
    <x v="1"/>
    <x v="2"/>
    <n v="325000"/>
    <n v="1950"/>
    <x v="1"/>
    <n v="5.5"/>
    <s v="12"/>
    <x v="1"/>
    <s v="No"/>
    <x v="1"/>
    <n v="166.66666666666666"/>
    <n v="1756.290227925005"/>
    <n v="240887.06837750139"/>
    <n v="526887.06837750133"/>
    <n v="286000"/>
    <n v="780.60180000000003"/>
  </r>
  <r>
    <x v="8"/>
    <x v="0"/>
    <n v="432000"/>
    <n v="2590"/>
    <x v="0"/>
    <n v="6.1"/>
    <s v="10"/>
    <x v="1"/>
    <s v="No"/>
    <x v="0"/>
    <n v="166.79536679536679"/>
    <n v="2528.8641075880932"/>
    <n v="369859.23227642808"/>
    <n v="758659.23227642803"/>
    <n v="388800"/>
    <n v="1036.601798611111"/>
  </r>
  <r>
    <x v="8"/>
    <x v="0"/>
    <n v="460000"/>
    <n v="2750"/>
    <x v="1"/>
    <n v="5"/>
    <s v="12"/>
    <x v="1"/>
    <s v="No"/>
    <x v="0"/>
    <n v="167.27272727272728"/>
    <n v="2366.4204880242992"/>
    <n v="305126.14640728984"/>
    <n v="709926.1464072899"/>
    <n v="404800"/>
    <n v="1100.6017934782608"/>
  </r>
  <r>
    <x v="8"/>
    <x v="0"/>
    <n v="455000"/>
    <n v="2720"/>
    <x v="1"/>
    <n v="5"/>
    <s v="10"/>
    <x v="1"/>
    <s v="No"/>
    <x v="0"/>
    <n v="167.27941176470588"/>
    <n v="2393.8962199751745"/>
    <n v="308668.86599255237"/>
    <n v="718168.86599255237"/>
    <n v="409500"/>
    <n v="1088.6017934065933"/>
  </r>
  <r>
    <x v="2"/>
    <x v="2"/>
    <n v="340000"/>
    <n v="2030"/>
    <x v="1"/>
    <n v="5.4"/>
    <s v="14"/>
    <x v="1"/>
    <s v="No"/>
    <x v="1"/>
    <n v="167.48768472906403"/>
    <n v="1778.1718785015889"/>
    <n v="241051.56355047668"/>
    <n v="533451.56355047668"/>
    <n v="292400"/>
    <n v="812.60179117647056"/>
  </r>
  <r>
    <x v="5"/>
    <x v="1"/>
    <n v="335000"/>
    <n v="2000"/>
    <x v="1"/>
    <n v="5.3"/>
    <s v="10"/>
    <x v="1"/>
    <s v="No"/>
    <x v="0"/>
    <n v="167.5"/>
    <n v="1815.6366067121794"/>
    <n v="243190.98201365385"/>
    <n v="544690.98201365385"/>
    <n v="301500"/>
    <n v="800.60179104477618"/>
  </r>
  <r>
    <x v="0"/>
    <x v="2"/>
    <n v="310000"/>
    <n v="1850"/>
    <x v="0"/>
    <n v="6.5"/>
    <s v="12"/>
    <x v="1"/>
    <s v="No"/>
    <x v="1"/>
    <n v="167.56756756756758"/>
    <n v="1841.965136156361"/>
    <n v="279789.54084690835"/>
    <n v="552589.54084690835"/>
    <n v="272800"/>
    <n v="740.60179032258065"/>
  </r>
  <r>
    <x v="0"/>
    <x v="2"/>
    <n v="285000"/>
    <n v="1700"/>
    <x v="1"/>
    <n v="5.4"/>
    <s v="12"/>
    <x v="1"/>
    <s v="No"/>
    <x v="1"/>
    <n v="167.64705882352942"/>
    <n v="1525.1898328597761"/>
    <n v="206756.94985793286"/>
    <n v="457556.94985793286"/>
    <n v="250800"/>
    <n v="680.60178947368422"/>
  </r>
  <r>
    <x v="8"/>
    <x v="0"/>
    <n v="470000"/>
    <n v="2800"/>
    <x v="1"/>
    <n v="5"/>
    <s v="10"/>
    <x v="1"/>
    <s v="No"/>
    <x v="0"/>
    <n v="167.85714285714286"/>
    <n v="2472.8158755787517"/>
    <n v="318844.76267362549"/>
    <n v="741844.76267362549"/>
    <n v="423000"/>
    <n v="1120.6017872340424"/>
  </r>
  <r>
    <x v="8"/>
    <x v="0"/>
    <n v="450000"/>
    <n v="2680"/>
    <x v="1"/>
    <n v="5"/>
    <s v="12"/>
    <x v="1"/>
    <s v="No"/>
    <x v="0"/>
    <n v="167.91044776119404"/>
    <n v="2314.9765643715969"/>
    <n v="298492.96931147907"/>
    <n v="694492.96931147901"/>
    <n v="396000"/>
    <n v="1072.6017866666666"/>
  </r>
  <r>
    <x v="8"/>
    <x v="0"/>
    <n v="475000"/>
    <n v="2820"/>
    <x v="0"/>
    <n v="6"/>
    <s v="10"/>
    <x v="1"/>
    <s v="No"/>
    <x v="0"/>
    <n v="168.43971631205673"/>
    <n v="2754.3884913505494"/>
    <n v="398816.54740516481"/>
    <n v="826316.54740516481"/>
    <n v="427500"/>
    <n v="1128.6017810526314"/>
  </r>
  <r>
    <x v="8"/>
    <x v="0"/>
    <n v="438000"/>
    <n v="2600"/>
    <x v="1"/>
    <n v="5"/>
    <s v="12"/>
    <x v="1"/>
    <s v="No"/>
    <x v="0"/>
    <n v="168.46153846153845"/>
    <n v="2253.2438559883544"/>
    <n v="290533.15679650637"/>
    <n v="675973.15679650637"/>
    <n v="385440"/>
    <n v="1040.6017808219178"/>
  </r>
  <r>
    <x v="8"/>
    <x v="0"/>
    <n v="455000"/>
    <n v="2700"/>
    <x v="1"/>
    <n v="5"/>
    <n v="12"/>
    <x v="1"/>
    <s v="No"/>
    <x v="1"/>
    <n v="168.5185185185185"/>
    <n v="2340.6985261979485"/>
    <n v="301809.55785938457"/>
    <n v="702209.55785938457"/>
    <n v="400400"/>
    <n v="1080.60178021978"/>
  </r>
  <r>
    <x v="0"/>
    <x v="2"/>
    <n v="268000"/>
    <n v="1590"/>
    <x v="0"/>
    <n v="6.6"/>
    <s v="12"/>
    <x v="1"/>
    <s v="No"/>
    <x v="1"/>
    <n v="168.55345911949686"/>
    <n v="1607.1767241959255"/>
    <n v="246313.01725877757"/>
    <n v="482153.01725877757"/>
    <n v="235840"/>
    <n v="636.60177985074631"/>
  </r>
  <r>
    <x v="0"/>
    <x v="2"/>
    <n v="290000"/>
    <n v="1720"/>
    <x v="0"/>
    <n v="6.5"/>
    <s v="12"/>
    <x v="1"/>
    <s v="No"/>
    <x v="1"/>
    <n v="168.6046511627907"/>
    <n v="1723.1286757591763"/>
    <n v="261738.60272775288"/>
    <n v="516938.60272775288"/>
    <n v="255200"/>
    <n v="688.6017793103448"/>
  </r>
  <r>
    <x v="3"/>
    <x v="2"/>
    <n v="380000"/>
    <n v="2250"/>
    <x v="1"/>
    <n v="5.3"/>
    <s v="18"/>
    <x v="2"/>
    <s v="No"/>
    <x v="1"/>
    <n v="168.88888888888889"/>
    <n v="1876.4589275340466"/>
    <n v="251337.67826021393"/>
    <n v="562937.67826021393"/>
    <n v="311600"/>
    <n v="900.90177631578945"/>
  </r>
  <r>
    <x v="8"/>
    <x v="0"/>
    <n v="490000"/>
    <n v="2900"/>
    <x v="1"/>
    <n v="5"/>
    <s v="12"/>
    <x v="1"/>
    <s v="No"/>
    <x v="0"/>
    <n v="168.9655172413793"/>
    <n v="2520.7522589824061"/>
    <n v="325025.67769472179"/>
    <n v="756225.67769472185"/>
    <n v="431200"/>
    <n v="1160.6017755102039"/>
  </r>
  <r>
    <x v="8"/>
    <x v="0"/>
    <n v="500000"/>
    <n v="2950"/>
    <x v="1"/>
    <n v="5"/>
    <s v="10"/>
    <x v="1"/>
    <s v="No"/>
    <x v="0"/>
    <n v="169.4915254237288"/>
    <n v="2630.6551867859062"/>
    <n v="339196.55603577185"/>
    <n v="789196.55603577185"/>
    <n v="450000"/>
    <n v="1180.60177"/>
  </r>
  <r>
    <x v="0"/>
    <x v="2"/>
    <n v="285000"/>
    <n v="1680"/>
    <x v="1"/>
    <n v="5.4"/>
    <s v="12"/>
    <x v="1"/>
    <s v="No"/>
    <x v="1"/>
    <n v="169.64285714285714"/>
    <n v="1525.1898328597761"/>
    <n v="206756.94985793286"/>
    <n v="457556.94985793286"/>
    <n v="250800"/>
    <n v="672.60176842105261"/>
  </r>
  <r>
    <x v="8"/>
    <x v="0"/>
    <n v="436000"/>
    <n v="2570"/>
    <x v="1"/>
    <n v="5.0999999999999996"/>
    <s v="10"/>
    <x v="1"/>
    <s v="No"/>
    <x v="0"/>
    <n v="169.64980544747081"/>
    <n v="2316.8515254198355"/>
    <n v="302655.45762595063"/>
    <n v="695055.45762595069"/>
    <n v="392400"/>
    <n v="1028.6017683486239"/>
  </r>
  <r>
    <x v="0"/>
    <x v="2"/>
    <n v="280000"/>
    <n v="1650"/>
    <x v="0"/>
    <n v="6.5"/>
    <s v="12"/>
    <x v="1"/>
    <s v="No"/>
    <x v="1"/>
    <n v="169.69696969696969"/>
    <n v="1663.710445560584"/>
    <n v="252713.1336681752"/>
    <n v="499113.1336681752"/>
    <n v="246400"/>
    <n v="660.60176785714293"/>
  </r>
  <r>
    <x v="8"/>
    <x v="0"/>
    <n v="510000"/>
    <n v="3000"/>
    <x v="0"/>
    <n v="6"/>
    <s v="10"/>
    <x v="1"/>
    <s v="No"/>
    <x v="0"/>
    <n v="170"/>
    <n v="2957.3434328184844"/>
    <n v="428203.02984554536"/>
    <n v="887203.0298455453"/>
    <n v="459000"/>
    <n v="1200.6017647058823"/>
  </r>
  <r>
    <x v="8"/>
    <x v="0"/>
    <n v="460000"/>
    <n v="2700"/>
    <x v="0"/>
    <n v="6"/>
    <s v="10"/>
    <x v="1"/>
    <s v="No"/>
    <x v="0"/>
    <n v="170.37037037037038"/>
    <n v="2667.4078021500059"/>
    <n v="386222.34064500174"/>
    <n v="800222.34064500174"/>
    <n v="414000"/>
    <n v="1080.6017608695652"/>
  </r>
  <r>
    <x v="3"/>
    <x v="2"/>
    <n v="378000"/>
    <n v="2200"/>
    <x v="1"/>
    <n v="5.3"/>
    <s v="18"/>
    <x v="2"/>
    <s v="No"/>
    <x v="1"/>
    <n v="171.81818181818181"/>
    <n v="1866.5828279154464"/>
    <n v="250014.84837463393"/>
    <n v="559974.84837463393"/>
    <n v="309960"/>
    <n v="880.90174603174603"/>
  </r>
  <r>
    <x v="8"/>
    <x v="0"/>
    <n v="470000"/>
    <n v="2720"/>
    <x v="1"/>
    <n v="5"/>
    <s v="10"/>
    <x v="1"/>
    <s v="No"/>
    <x v="0"/>
    <n v="172.79411764705881"/>
    <n v="2472.8158755787517"/>
    <n v="318844.76267362549"/>
    <n v="741844.76267362549"/>
    <n v="423000"/>
    <n v="1088.6017361702127"/>
  </r>
  <r>
    <x v="3"/>
    <x v="2"/>
    <n v="375000"/>
    <n v="2150"/>
    <x v="1"/>
    <n v="5.3"/>
    <s v="18"/>
    <x v="2"/>
    <s v="No"/>
    <x v="1"/>
    <n v="174.41860465116278"/>
    <n v="1851.7686784875461"/>
    <n v="248030.60354626388"/>
    <n v="555530.60354626388"/>
    <n v="307500"/>
    <n v="860.90171999999995"/>
  </r>
  <r>
    <x v="8"/>
    <x v="0"/>
    <n v="470000"/>
    <n v="2680"/>
    <x v="1"/>
    <n v="5"/>
    <s v="12"/>
    <x v="1"/>
    <s v="No"/>
    <x v="0"/>
    <n v="175.37313432835822"/>
    <n v="2417.8644116770015"/>
    <n v="311759.32350310043"/>
    <n v="725359.32350310043"/>
    <n v="413600"/>
    <n v="1072.6017106382978"/>
  </r>
  <r>
    <x v="6"/>
    <x v="2"/>
    <n v="430000"/>
    <n v="2450"/>
    <x v="1"/>
    <n v="5.2"/>
    <s v="15"/>
    <x v="2"/>
    <s v="No"/>
    <x v="1"/>
    <n v="175.51020408163265"/>
    <n v="2179.4820500494329"/>
    <n v="288344.61501482979"/>
    <n v="653844.61501482979"/>
    <n v="365500"/>
    <n v="980.90170930232557"/>
  </r>
  <r>
    <x v="6"/>
    <x v="2"/>
    <n v="432000"/>
    <n v="2460"/>
    <x v="1"/>
    <n v="5.2"/>
    <s v="15"/>
    <x v="2"/>
    <s v="No"/>
    <x v="1"/>
    <n v="175.60975609756099"/>
    <n v="2189.6191758636164"/>
    <n v="289685.7527590848"/>
    <n v="656885.7527590848"/>
    <n v="367200"/>
    <n v="984.90170833333332"/>
  </r>
  <r>
    <x v="6"/>
    <x v="2"/>
    <n v="425000"/>
    <n v="2400"/>
    <x v="1"/>
    <n v="5.2"/>
    <s v="15"/>
    <x v="2"/>
    <s v="No"/>
    <x v="1"/>
    <n v="177.08333333333334"/>
    <n v="2154.1392355139747"/>
    <n v="284991.77065419231"/>
    <n v="646241.77065419231"/>
    <n v="361250"/>
    <n v="960.90169411764703"/>
  </r>
  <r>
    <x v="3"/>
    <x v="0"/>
    <n v="400000"/>
    <n v="2250"/>
    <x v="1"/>
    <n v="5.4"/>
    <s v="8"/>
    <x v="0"/>
    <s v="No"/>
    <x v="0"/>
    <n v="177.77777777777777"/>
    <n v="2237.9180960621916"/>
    <n v="303375.42881865759"/>
    <n v="671375.42881865753"/>
    <n v="368000"/>
    <n v="900.30168749999996"/>
  </r>
  <r>
    <x v="6"/>
    <x v="2"/>
    <n v="420000"/>
    <n v="2350"/>
    <x v="1"/>
    <n v="5.2"/>
    <s v="15"/>
    <x v="2"/>
    <s v="No"/>
    <x v="1"/>
    <n v="178.72340425531914"/>
    <n v="2128.7964209785159"/>
    <n v="281638.9262935546"/>
    <n v="638638.9262935546"/>
    <n v="357000"/>
    <n v="940.90167857142853"/>
  </r>
  <r>
    <x v="0"/>
    <x v="0"/>
    <n v="394000"/>
    <n v="2200"/>
    <x v="0"/>
    <n v="6.4"/>
    <n v="5"/>
    <x v="0"/>
    <s v="No"/>
    <x v="0"/>
    <n v="179.09090909090909"/>
    <n v="2503.9617344327653"/>
    <n v="376888.52032982971"/>
    <n v="751188.52032982977"/>
    <n v="374300"/>
    <n v="880.30167512690355"/>
  </r>
  <r>
    <x v="6"/>
    <x v="2"/>
    <n v="415000"/>
    <n v="2300"/>
    <x v="1"/>
    <n v="5.2"/>
    <s v="15"/>
    <x v="2"/>
    <s v="No"/>
    <x v="1"/>
    <n v="180.43478260869566"/>
    <n v="2103.4536064430577"/>
    <n v="278286.08193291718"/>
    <n v="631036.08193291724"/>
    <n v="352750"/>
    <n v="920.90166265060236"/>
  </r>
  <r>
    <x v="6"/>
    <x v="1"/>
    <n v="318000"/>
    <n v="1760"/>
    <x v="0"/>
    <n v="6.4"/>
    <s v="21"/>
    <x v="1"/>
    <s v="No"/>
    <x v="0"/>
    <n v="180.68181818181819"/>
    <n v="1680.5911486086011"/>
    <n v="252957.34458258038"/>
    <n v="504177.34458258038"/>
    <n v="251220"/>
    <n v="704.60166037735848"/>
  </r>
  <r>
    <x v="6"/>
    <x v="1"/>
    <n v="318000"/>
    <n v="1760"/>
    <x v="0"/>
    <n v="6.4"/>
    <n v="10"/>
    <x v="1"/>
    <s v="No"/>
    <x v="0"/>
    <n v="180.68181818181819"/>
    <n v="1914.5975110730897"/>
    <n v="288179.25332192698"/>
    <n v="574379.25332192704"/>
    <n v="286200"/>
    <n v="704.60166037735848"/>
  </r>
  <r>
    <x v="7"/>
    <x v="2"/>
    <n v="510000"/>
    <n v="2800"/>
    <x v="1"/>
    <n v="5.3"/>
    <s v="15"/>
    <x v="2"/>
    <s v="No"/>
    <x v="1"/>
    <n v="182.14285714285714"/>
    <n v="2610.5421857702481"/>
    <n v="349662.65573107434"/>
    <n v="783162.65573107428"/>
    <n v="433500"/>
    <n v="1120.9016470588235"/>
  </r>
  <r>
    <x v="7"/>
    <x v="2"/>
    <n v="512000"/>
    <n v="2810"/>
    <x v="1"/>
    <n v="5.3"/>
    <s v="15"/>
    <x v="2"/>
    <s v="No"/>
    <x v="1"/>
    <n v="182.20640569395019"/>
    <n v="2620.7796061066019"/>
    <n v="351033.88183198049"/>
    <n v="786233.88183198054"/>
    <n v="435200"/>
    <n v="1124.9016464843751"/>
  </r>
  <r>
    <x v="3"/>
    <x v="2"/>
    <n v="365000"/>
    <n v="2000"/>
    <x v="1"/>
    <n v="5.3"/>
    <s v="18"/>
    <x v="2"/>
    <s v="No"/>
    <x v="1"/>
    <n v="182.5"/>
    <n v="1802.3881803945449"/>
    <n v="241416.45411836344"/>
    <n v="540716.45411836344"/>
    <n v="299300"/>
    <n v="800.90164383561637"/>
  </r>
  <r>
    <x v="8"/>
    <x v="0"/>
    <n v="490000"/>
    <n v="2680"/>
    <x v="1"/>
    <n v="5"/>
    <n v="12"/>
    <x v="1"/>
    <s v="No"/>
    <x v="0"/>
    <n v="182.83582089552237"/>
    <n v="2520.7522589824061"/>
    <n v="325025.67769472179"/>
    <n v="756225.67769472185"/>
    <n v="431200"/>
    <n v="1072.6016408163264"/>
  </r>
  <r>
    <x v="6"/>
    <x v="2"/>
    <n v="412000"/>
    <n v="2250"/>
    <x v="1"/>
    <n v="5.2"/>
    <s v="15"/>
    <x v="2"/>
    <s v="No"/>
    <x v="1"/>
    <n v="183.11111111111111"/>
    <n v="2088.2479177217824"/>
    <n v="276274.37531653454"/>
    <n v="626474.37531653454"/>
    <n v="350200"/>
    <n v="900.90163834951454"/>
  </r>
  <r>
    <x v="7"/>
    <x v="2"/>
    <n v="505000"/>
    <n v="2750"/>
    <x v="1"/>
    <n v="5.3"/>
    <s v="15"/>
    <x v="2"/>
    <s v="No"/>
    <x v="1"/>
    <n v="183.63636363636363"/>
    <n v="2584.9486349293634"/>
    <n v="346234.59047880897"/>
    <n v="775484.59047880897"/>
    <n v="429250"/>
    <n v="1100.9016336633665"/>
  </r>
  <r>
    <x v="3"/>
    <x v="2"/>
    <n v="360000"/>
    <n v="1950"/>
    <x v="1"/>
    <n v="5.3"/>
    <s v="18"/>
    <x v="2"/>
    <s v="No"/>
    <x v="1"/>
    <n v="184.61538461538461"/>
    <n v="1777.6979313480442"/>
    <n v="238109.37940441328"/>
    <n v="533309.37940441328"/>
    <n v="295200"/>
    <n v="780.90162499999997"/>
  </r>
  <r>
    <x v="8"/>
    <x v="0"/>
    <n v="495000"/>
    <n v="2680"/>
    <x v="1"/>
    <n v="5"/>
    <n v="12"/>
    <x v="1"/>
    <s v="No"/>
    <x v="0"/>
    <n v="184.70149253731344"/>
    <n v="2546.4742208087569"/>
    <n v="328342.26624262705"/>
    <n v="763942.26624262705"/>
    <n v="435600"/>
    <n v="1072.6016242424241"/>
  </r>
  <r>
    <x v="7"/>
    <x v="2"/>
    <n v="500000"/>
    <n v="2700"/>
    <x v="1"/>
    <n v="5.3"/>
    <s v="15"/>
    <x v="2"/>
    <s v="No"/>
    <x v="1"/>
    <n v="185.18518518518519"/>
    <n v="2559.3550840884786"/>
    <n v="342806.52522654348"/>
    <n v="767806.52522654342"/>
    <n v="425000"/>
    <n v="1080.9016200000001"/>
  </r>
  <r>
    <x v="7"/>
    <x v="2"/>
    <n v="482000"/>
    <n v="2600"/>
    <x v="1"/>
    <n v="5.3"/>
    <s v="15"/>
    <x v="2"/>
    <s v="No"/>
    <x v="1"/>
    <n v="185.38461538461539"/>
    <n v="2467.2183010612935"/>
    <n v="330465.49031838792"/>
    <n v="740165.49031838798"/>
    <n v="409700"/>
    <n v="1040.9016182572616"/>
  </r>
  <r>
    <x v="6"/>
    <x v="2"/>
    <n v="410000"/>
    <n v="2200"/>
    <x v="1"/>
    <n v="5.2"/>
    <s v="15"/>
    <x v="2"/>
    <s v="No"/>
    <x v="1"/>
    <n v="186.36363636363637"/>
    <n v="2078.1107919075989"/>
    <n v="274933.23757227953"/>
    <n v="623433.23757227953"/>
    <n v="348500"/>
    <n v="880.90160975609751"/>
  </r>
  <r>
    <x v="3"/>
    <x v="0"/>
    <n v="420000"/>
    <n v="2250"/>
    <x v="1"/>
    <n v="5.4"/>
    <s v="8"/>
    <x v="0"/>
    <s v="No"/>
    <x v="0"/>
    <n v="186.66666666666666"/>
    <n v="2349.8140008653008"/>
    <n v="318544.20025959035"/>
    <n v="704944.20025959029"/>
    <n v="386400"/>
    <n v="900.30160714285705"/>
  </r>
  <r>
    <x v="3"/>
    <x v="2"/>
    <n v="355000"/>
    <n v="1900"/>
    <x v="1"/>
    <n v="5.3"/>
    <s v="18"/>
    <x v="2"/>
    <s v="No"/>
    <x v="1"/>
    <n v="186.84210526315789"/>
    <n v="1753.0076823015438"/>
    <n v="234802.30469046306"/>
    <n v="525902.304690463"/>
    <n v="291100"/>
    <n v="760.90160563380277"/>
  </r>
  <r>
    <x v="7"/>
    <x v="2"/>
    <n v="480000"/>
    <n v="2550"/>
    <x v="1"/>
    <n v="5.3"/>
    <s v="15"/>
    <x v="2"/>
    <s v="No"/>
    <x v="1"/>
    <n v="188.23529411764707"/>
    <n v="2456.9808807249387"/>
    <n v="329094.2642174816"/>
    <n v="737094.2642174816"/>
    <n v="408000"/>
    <n v="1020.90159375"/>
  </r>
  <r>
    <x v="3"/>
    <x v="2"/>
    <n v="350000"/>
    <n v="1850"/>
    <x v="1"/>
    <n v="5.3"/>
    <s v="18"/>
    <x v="0"/>
    <s v="No"/>
    <x v="1"/>
    <n v="189.18918918918919"/>
    <n v="1728.3174332550429"/>
    <n v="231495.22997651284"/>
    <n v="518495.22997651284"/>
    <n v="287000"/>
    <n v="740.30158571428569"/>
  </r>
  <r>
    <x v="6"/>
    <x v="2"/>
    <n v="408000"/>
    <n v="2150"/>
    <x v="1"/>
    <n v="5.2"/>
    <s v="15"/>
    <x v="2"/>
    <s v="No"/>
    <x v="1"/>
    <n v="189.76744186046511"/>
    <n v="2067.9736660934154"/>
    <n v="273592.09982802451"/>
    <n v="620392.09982802451"/>
    <n v="346800"/>
    <n v="860.90158088235296"/>
  </r>
  <r>
    <x v="7"/>
    <x v="2"/>
    <n v="478000"/>
    <n v="2500"/>
    <x v="1"/>
    <n v="5.3"/>
    <s v="15"/>
    <x v="2"/>
    <s v="No"/>
    <x v="1"/>
    <n v="191.2"/>
    <n v="2446.7434603885854"/>
    <n v="327723.03811657557"/>
    <n v="734023.03811657557"/>
    <n v="406300"/>
    <n v="1000.9015690376568"/>
  </r>
  <r>
    <x v="3"/>
    <x v="2"/>
    <n v="345000"/>
    <n v="1800"/>
    <x v="1"/>
    <n v="5.3"/>
    <n v="18"/>
    <x v="2"/>
    <s v="No"/>
    <x v="1"/>
    <n v="191.66666666666666"/>
    <n v="1703.6271842085423"/>
    <n v="228188.15526256268"/>
    <n v="511088.15526256268"/>
    <n v="282900"/>
    <n v="720.90156521739129"/>
  </r>
  <r>
    <x v="6"/>
    <x v="2"/>
    <n v="405000"/>
    <n v="2100"/>
    <x v="1"/>
    <n v="5.2"/>
    <s v="15"/>
    <x v="2"/>
    <s v="No"/>
    <x v="1"/>
    <n v="192.85714285714286"/>
    <n v="2052.7679773721406"/>
    <n v="271580.39321164205"/>
    <n v="615830.39321164205"/>
    <n v="344250"/>
    <n v="840.90155555555555"/>
  </r>
  <r>
    <x v="7"/>
    <x v="2"/>
    <n v="475000"/>
    <n v="2450"/>
    <x v="1"/>
    <n v="5.3"/>
    <s v="15"/>
    <x v="2"/>
    <s v="No"/>
    <x v="1"/>
    <n v="193.87755102040816"/>
    <n v="2431.387329884054"/>
    <n v="325666.19896521617"/>
    <n v="729416.19896521617"/>
    <n v="403750"/>
    <n v="980.90154736842101"/>
  </r>
  <r>
    <x v="3"/>
    <x v="2"/>
    <n v="360000"/>
    <n v="1850"/>
    <x v="1"/>
    <n v="5.4"/>
    <s v="14"/>
    <x v="1"/>
    <s v="No"/>
    <x v="1"/>
    <n v="194.59459459459458"/>
    <n v="1882.7702242958003"/>
    <n v="255231.06728874013"/>
    <n v="564831.06728874007"/>
    <n v="309600"/>
    <n v="740.60154166666666"/>
  </r>
  <r>
    <x v="4"/>
    <x v="2"/>
    <n v="370000"/>
    <n v="1900"/>
    <x v="0"/>
    <n v="6.1"/>
    <s v="18"/>
    <x v="2"/>
    <s v="No"/>
    <x v="1"/>
    <n v="194.73684210526315"/>
    <n v="1973.3985860139599"/>
    <n v="288619.57580418792"/>
    <n v="592019.57580418792"/>
    <n v="303400"/>
    <n v="760.90154054054051"/>
  </r>
  <r>
    <x v="4"/>
    <x v="2"/>
    <n v="355000"/>
    <n v="1780"/>
    <x v="0"/>
    <n v="6.1"/>
    <s v="18"/>
    <x v="2"/>
    <s v="No"/>
    <x v="1"/>
    <n v="199.43820224719101"/>
    <n v="1893.3959406350152"/>
    <n v="276918.7821905046"/>
    <n v="568018.7821905046"/>
    <n v="291100"/>
    <n v="712.90150422535214"/>
  </r>
  <r>
    <x v="3"/>
    <x v="2"/>
    <n v="340000"/>
    <n v="1700"/>
    <x v="0"/>
    <n v="6.1"/>
    <s v="14"/>
    <x v="1"/>
    <s v="No"/>
    <x v="1"/>
    <n v="200"/>
    <n v="1901.8515047807573"/>
    <n v="278155.45143422717"/>
    <n v="570555.45143422717"/>
    <n v="292400"/>
    <n v="680.60149999999999"/>
  </r>
  <r>
    <x v="7"/>
    <x v="2"/>
    <n v="470000"/>
    <n v="2350"/>
    <x v="0"/>
    <n v="6"/>
    <s v="15"/>
    <x v="2"/>
    <s v="No"/>
    <x v="1"/>
    <n v="200"/>
    <n v="2573.9840989346067"/>
    <n v="372695.22968038201"/>
    <n v="772195.22968038195"/>
    <n v="399500"/>
    <n v="940.90149999999994"/>
  </r>
  <r>
    <x v="6"/>
    <x v="2"/>
    <n v="420000"/>
    <n v="2100"/>
    <x v="1"/>
    <n v="5.2"/>
    <s v="15"/>
    <x v="2"/>
    <s v="No"/>
    <x v="1"/>
    <n v="200"/>
    <n v="2128.7964209785159"/>
    <n v="281638.9262935546"/>
    <n v="638638.9262935546"/>
    <n v="357000"/>
    <n v="840.90149999999994"/>
  </r>
  <r>
    <x v="7"/>
    <x v="2"/>
    <n v="480000"/>
    <n v="2400"/>
    <x v="1"/>
    <n v="5.3"/>
    <s v="15"/>
    <x v="2"/>
    <s v="No"/>
    <x v="1"/>
    <n v="200"/>
    <n v="2456.9808807249387"/>
    <n v="329094.2642174816"/>
    <n v="737094.2642174816"/>
    <n v="408000"/>
    <n v="960.90149999999994"/>
  </r>
  <r>
    <x v="6"/>
    <x v="2"/>
    <n v="430000"/>
    <n v="2150"/>
    <x v="1"/>
    <n v="5.2"/>
    <s v="15"/>
    <x v="2"/>
    <s v="No"/>
    <x v="1"/>
    <n v="200"/>
    <n v="2179.4820500494329"/>
    <n v="288344.61501482979"/>
    <n v="653844.61501482979"/>
    <n v="365500"/>
    <n v="860.90149999999994"/>
  </r>
  <r>
    <x v="7"/>
    <x v="2"/>
    <n v="490000"/>
    <n v="2450"/>
    <x v="1"/>
    <n v="5.3"/>
    <s v="15"/>
    <x v="2"/>
    <s v="No"/>
    <x v="1"/>
    <n v="200"/>
    <n v="2508.1679824067091"/>
    <n v="335950.39472201263"/>
    <n v="752450.39472201257"/>
    <n v="416500"/>
    <n v="980.90149999999994"/>
  </r>
  <r>
    <x v="6"/>
    <x v="3"/>
    <n v="290000"/>
    <n v="1450"/>
    <x v="1"/>
    <n v="5.0999999999999996"/>
    <n v="20"/>
    <x v="2"/>
    <s v="Yes"/>
    <x v="2"/>
    <n v="200"/>
    <n v="1369.8000863848163"/>
    <n v="178940.02591544486"/>
    <n v="410940.02591544483"/>
    <n v="232000"/>
    <n v="580.90149999999994"/>
  </r>
  <r>
    <x v="7"/>
    <x v="2"/>
    <n v="460000"/>
    <n v="2280"/>
    <x v="1"/>
    <n v="5.3"/>
    <s v="15"/>
    <x v="2"/>
    <s v="No"/>
    <x v="1"/>
    <n v="201.75438596491227"/>
    <n v="2354.6066773613998"/>
    <n v="315382.00320841989"/>
    <n v="706382.00320841989"/>
    <n v="391000"/>
    <n v="912.90148695652169"/>
  </r>
  <r>
    <x v="7"/>
    <x v="2"/>
    <n v="440000"/>
    <n v="2180"/>
    <x v="0"/>
    <n v="6"/>
    <s v="15"/>
    <x v="2"/>
    <s v="No"/>
    <x v="1"/>
    <n v="201.83486238532109"/>
    <n v="2409.6872415558018"/>
    <n v="348906.17246674059"/>
    <n v="722906.17246674059"/>
    <n v="374000"/>
    <n v="872.90148636363631"/>
  </r>
  <r>
    <x v="6"/>
    <x v="2"/>
    <n v="400000"/>
    <n v="1980"/>
    <x v="1"/>
    <n v="5.2"/>
    <s v="15"/>
    <x v="2"/>
    <s v="No"/>
    <x v="1"/>
    <n v="202.02020202020202"/>
    <n v="2027.4251628366819"/>
    <n v="268227.54885100445"/>
    <n v="608227.54885100445"/>
    <n v="340000"/>
    <n v="792.90148499999998"/>
  </r>
  <r>
    <x v="5"/>
    <x v="2"/>
    <n v="465000"/>
    <n v="2300"/>
    <x v="1"/>
    <n v="5.2"/>
    <s v="15"/>
    <x v="2"/>
    <s v="No"/>
    <x v="1"/>
    <n v="202.17391304347825"/>
    <n v="2356.8817517976427"/>
    <n v="311814.52553929272"/>
    <n v="707064.52553929272"/>
    <n v="395250"/>
    <n v="920.9014838709677"/>
  </r>
  <r>
    <x v="7"/>
    <x v="2"/>
    <n v="465000"/>
    <n v="2300"/>
    <x v="1"/>
    <n v="5.3"/>
    <s v="15"/>
    <x v="2"/>
    <s v="No"/>
    <x v="1"/>
    <n v="202.17391304347825"/>
    <n v="2380.2002282022845"/>
    <n v="318810.06846068532"/>
    <n v="714060.06846068532"/>
    <n v="395250"/>
    <n v="920.9014838709677"/>
  </r>
  <r>
    <x v="7"/>
    <x v="2"/>
    <n v="455000"/>
    <n v="2250"/>
    <x v="0"/>
    <n v="6"/>
    <s v="15"/>
    <x v="2"/>
    <s v="No"/>
    <x v="1"/>
    <n v="202.22222222222223"/>
    <n v="2491.8356702452043"/>
    <n v="360800.70107356133"/>
    <n v="747550.70107356133"/>
    <n v="386750"/>
    <n v="900.90148351648349"/>
  </r>
  <r>
    <x v="4"/>
    <x v="2"/>
    <n v="338000"/>
    <n v="1670"/>
    <x v="1"/>
    <n v="5.3"/>
    <s v="18"/>
    <x v="2"/>
    <s v="No"/>
    <x v="1"/>
    <n v="202.39520958083833"/>
    <n v="1669.0608355434415"/>
    <n v="223558.25066303246"/>
    <n v="500718.25066303246"/>
    <n v="277160"/>
    <n v="668.90148224852067"/>
  </r>
  <r>
    <x v="6"/>
    <x v="2"/>
    <n v="405000"/>
    <n v="2000"/>
    <x v="0"/>
    <n v="6.1"/>
    <s v="15"/>
    <x v="2"/>
    <s v="No"/>
    <x v="1"/>
    <n v="202.5"/>
    <n v="2239.0984285936242"/>
    <n v="327479.52857808722"/>
    <n v="671729.52857808722"/>
    <n v="344250"/>
    <n v="800.90148148148148"/>
  </r>
  <r>
    <x v="6"/>
    <x v="2"/>
    <n v="395000"/>
    <n v="1950"/>
    <x v="1"/>
    <n v="5.2"/>
    <s v="15"/>
    <x v="2"/>
    <s v="No"/>
    <x v="1"/>
    <n v="202.56410256410257"/>
    <n v="2002.0823483012234"/>
    <n v="264874.70449036692"/>
    <n v="600624.70449036686"/>
    <n v="335750"/>
    <n v="780.90148101265822"/>
  </r>
  <r>
    <x v="4"/>
    <x v="2"/>
    <n v="345000"/>
    <n v="1700"/>
    <x v="1"/>
    <n v="5.3"/>
    <s v="18"/>
    <x v="2"/>
    <s v="No"/>
    <x v="1"/>
    <n v="202.94117647058823"/>
    <n v="1703.6271842085423"/>
    <n v="228188.15526256268"/>
    <n v="511088.15526256268"/>
    <n v="282900"/>
    <n v="680.90147826086957"/>
  </r>
  <r>
    <x v="3"/>
    <x v="2"/>
    <n v="330000"/>
    <n v="1620"/>
    <x v="1"/>
    <n v="5.4"/>
    <s v="14"/>
    <x v="1"/>
    <s v="No"/>
    <x v="1"/>
    <n v="203.7037037037037"/>
    <n v="1725.8727056044836"/>
    <n v="233961.81168134516"/>
    <n v="517761.81168134516"/>
    <n v="283800"/>
    <n v="648.60147272727272"/>
  </r>
  <r>
    <x v="7"/>
    <x v="2"/>
    <n v="438000"/>
    <n v="2150"/>
    <x v="1"/>
    <n v="5.3"/>
    <s v="15"/>
    <x v="2"/>
    <s v="No"/>
    <x v="1"/>
    <n v="203.72093023255815"/>
    <n v="2241.995053661507"/>
    <n v="300298.51609845203"/>
    <n v="672598.51609845203"/>
    <n v="372300"/>
    <n v="860.90147260273966"/>
  </r>
  <r>
    <x v="7"/>
    <x v="2"/>
    <n v="432000"/>
    <n v="2120"/>
    <x v="0"/>
    <n v="6.1"/>
    <s v="15"/>
    <x v="2"/>
    <s v="No"/>
    <x v="1"/>
    <n v="203.77358490566039"/>
    <n v="2388.3716571665327"/>
    <n v="349311.49714995979"/>
    <n v="716511.49714995979"/>
    <n v="367200"/>
    <n v="848.9014722222222"/>
  </r>
  <r>
    <x v="3"/>
    <x v="2"/>
    <n v="322000"/>
    <n v="1580"/>
    <x v="1"/>
    <n v="5.4"/>
    <s v="14"/>
    <x v="1"/>
    <s v="No"/>
    <x v="1"/>
    <n v="203.79746835443038"/>
    <n v="1684.0333672867991"/>
    <n v="228290.01018603978"/>
    <n v="505210.01018603978"/>
    <n v="276920"/>
    <n v="632.60147204968951"/>
  </r>
  <r>
    <x v="5"/>
    <x v="2"/>
    <n v="470000"/>
    <n v="2300"/>
    <x v="1"/>
    <n v="5.2"/>
    <s v="15"/>
    <x v="2"/>
    <s v="No"/>
    <x v="1"/>
    <n v="204.34782608695653"/>
    <n v="2382.2245663331014"/>
    <n v="315167.36989993032"/>
    <n v="714667.36989993032"/>
    <n v="399500"/>
    <n v="920.90146808510633"/>
  </r>
  <r>
    <x v="7"/>
    <x v="2"/>
    <n v="460000"/>
    <n v="2250"/>
    <x v="1"/>
    <n v="5.3"/>
    <s v="15"/>
    <x v="2"/>
    <s v="No"/>
    <x v="1"/>
    <n v="204.44444444444446"/>
    <n v="2354.6066773613998"/>
    <n v="315382.00320841989"/>
    <n v="706382.00320841989"/>
    <n v="391000"/>
    <n v="900.90146739130432"/>
  </r>
  <r>
    <x v="7"/>
    <x v="2"/>
    <n v="450000"/>
    <n v="2200"/>
    <x v="1"/>
    <n v="5.3"/>
    <s v="15"/>
    <x v="2"/>
    <s v="No"/>
    <x v="1"/>
    <n v="204.54545454545453"/>
    <n v="2303.4195756796303"/>
    <n v="308525.87270388898"/>
    <n v="691025.87270388892"/>
    <n v="382500"/>
    <n v="880.90146666666669"/>
  </r>
  <r>
    <x v="6"/>
    <x v="2"/>
    <n v="385000"/>
    <n v="1880"/>
    <x v="0"/>
    <n v="6.1"/>
    <s v="15"/>
    <x v="2"/>
    <s v="No"/>
    <x v="1"/>
    <n v="204.78723404255319"/>
    <n v="2128.5256666877663"/>
    <n v="311307.70000632992"/>
    <n v="638557.70000632992"/>
    <n v="327250"/>
    <n v="752.90146493506495"/>
  </r>
  <r>
    <x v="6"/>
    <x v="2"/>
    <n v="390000"/>
    <n v="1900"/>
    <x v="1"/>
    <n v="5.2"/>
    <s v="15"/>
    <x v="2"/>
    <s v="No"/>
    <x v="1"/>
    <n v="205.26315789473685"/>
    <n v="1976.7395337657649"/>
    <n v="261521.86012972938"/>
    <n v="593021.86012972938"/>
    <n v="331500"/>
    <n v="760.90146153846149"/>
  </r>
  <r>
    <x v="6"/>
    <x v="2"/>
    <n v="380000"/>
    <n v="1850"/>
    <x v="1"/>
    <n v="5.2"/>
    <s v="15"/>
    <x v="2"/>
    <s v="No"/>
    <x v="1"/>
    <n v="205.40540540540542"/>
    <n v="1926.0539046948477"/>
    <n v="254816.17140845419"/>
    <n v="577816.17140845419"/>
    <n v="323000"/>
    <n v="740.90146052631576"/>
  </r>
  <r>
    <x v="5"/>
    <x v="2"/>
    <n v="455000"/>
    <n v="2200"/>
    <x v="1"/>
    <n v="5.2"/>
    <s v="15"/>
    <x v="2"/>
    <s v="No"/>
    <x v="1"/>
    <n v="206.81818181818181"/>
    <n v="2306.1961227267257"/>
    <n v="305108.83681801753"/>
    <n v="691858.83681801753"/>
    <n v="386750"/>
    <n v="880.90145054945049"/>
  </r>
  <r>
    <x v="7"/>
    <x v="2"/>
    <n v="455000"/>
    <n v="2200"/>
    <x v="1"/>
    <n v="5.3"/>
    <s v="15"/>
    <x v="2"/>
    <s v="No"/>
    <x v="1"/>
    <n v="206.81818181818181"/>
    <n v="2329.013126520515"/>
    <n v="311953.93795615446"/>
    <n v="698703.93795615446"/>
    <n v="386750"/>
    <n v="880.90145054945049"/>
  </r>
  <r>
    <x v="7"/>
    <x v="2"/>
    <n v="440000"/>
    <n v="2120"/>
    <x v="0"/>
    <n v="6.1"/>
    <s v="15"/>
    <x v="2"/>
    <s v="No"/>
    <x v="1"/>
    <n v="207.54716981132074"/>
    <n v="2432.6007619288757"/>
    <n v="355780.22857866273"/>
    <n v="729780.22857866273"/>
    <n v="374000"/>
    <n v="848.90144545454541"/>
  </r>
  <r>
    <x v="7"/>
    <x v="2"/>
    <n v="430000"/>
    <n v="2070"/>
    <x v="1"/>
    <n v="5.3"/>
    <s v="15"/>
    <x v="2"/>
    <s v="No"/>
    <x v="1"/>
    <n v="207.72946859903382"/>
    <n v="2201.0453723160913"/>
    <n v="294813.61169482738"/>
    <n v="660313.61169482744"/>
    <n v="365500"/>
    <n v="828.90144418604643"/>
  </r>
  <r>
    <x v="6"/>
    <x v="2"/>
    <n v="374000"/>
    <n v="1800"/>
    <x v="1"/>
    <n v="5.2"/>
    <s v="15"/>
    <x v="2"/>
    <s v="No"/>
    <x v="1"/>
    <n v="207.77777777777777"/>
    <n v="1895.6425272522977"/>
    <n v="250792.75817568914"/>
    <n v="568692.75817568914"/>
    <n v="317900"/>
    <n v="720.90144385026736"/>
  </r>
  <r>
    <x v="6"/>
    <x v="2"/>
    <n v="385000"/>
    <n v="1850"/>
    <x v="1"/>
    <n v="5.2"/>
    <s v="15"/>
    <x v="2"/>
    <s v="No"/>
    <x v="1"/>
    <n v="208.1081081081081"/>
    <n v="1951.3967192303064"/>
    <n v="258169.01576909178"/>
    <n v="585419.01576909178"/>
    <n v="327250"/>
    <n v="740.90144155844155"/>
  </r>
  <r>
    <x v="7"/>
    <x v="2"/>
    <n v="455000"/>
    <n v="2180"/>
    <x v="0"/>
    <n v="6"/>
    <s v="15"/>
    <x v="2"/>
    <s v="No"/>
    <x v="1"/>
    <n v="208.71559633027522"/>
    <n v="2491.8356702452043"/>
    <n v="360800.70107356133"/>
    <n v="747550.70107356133"/>
    <n v="386750"/>
    <n v="872.90143736263735"/>
  </r>
  <r>
    <x v="7"/>
    <x v="2"/>
    <n v="428000"/>
    <n v="2050"/>
    <x v="1"/>
    <n v="5.3"/>
    <s v="15"/>
    <x v="2"/>
    <s v="No"/>
    <x v="1"/>
    <n v="208.78048780487805"/>
    <n v="2190.8079519797375"/>
    <n v="293442.38559392124"/>
    <n v="657242.38559392118"/>
    <n v="363800"/>
    <n v="820.90143691588787"/>
  </r>
  <r>
    <x v="4"/>
    <x v="2"/>
    <n v="355000"/>
    <n v="1700"/>
    <x v="1"/>
    <n v="5.3"/>
    <s v="18"/>
    <x v="2"/>
    <s v="No"/>
    <x v="1"/>
    <n v="208.8235294117647"/>
    <n v="1753.0076823015438"/>
    <n v="234802.30469046306"/>
    <n v="525902.304690463"/>
    <n v="291100"/>
    <n v="680.90143661971831"/>
  </r>
  <r>
    <x v="6"/>
    <x v="2"/>
    <n v="372000"/>
    <n v="1780"/>
    <x v="1"/>
    <n v="5.3"/>
    <s v="15"/>
    <x v="2"/>
    <s v="No"/>
    <x v="1"/>
    <n v="208.98876404494382"/>
    <n v="1904.1601825618277"/>
    <n v="255048.05476854835"/>
    <n v="571248.05476854835"/>
    <n v="316200"/>
    <n v="712.90143548387096"/>
  </r>
  <r>
    <x v="1"/>
    <x v="3"/>
    <n v="462000"/>
    <n v="2210"/>
    <x v="1"/>
    <n v="5.4"/>
    <s v="20"/>
    <x v="2"/>
    <s v="Yes"/>
    <x v="1"/>
    <n v="209.0497737556561"/>
    <n v="2247.6481747407229"/>
    <n v="304694.45242221688"/>
    <n v="674294.45242221688"/>
    <n v="369600"/>
    <n v="884.90143506493507"/>
  </r>
  <r>
    <x v="1"/>
    <x v="3"/>
    <n v="460000"/>
    <n v="2200"/>
    <x v="1"/>
    <n v="5.4"/>
    <s v="20"/>
    <x v="2"/>
    <s v="Yes"/>
    <x v="1"/>
    <n v="209.09090909090909"/>
    <n v="2237.9180960621916"/>
    <n v="303375.42881865759"/>
    <n v="671375.42881865753"/>
    <n v="368000"/>
    <n v="880.9014347826087"/>
  </r>
  <r>
    <x v="5"/>
    <x v="2"/>
    <n v="435000"/>
    <n v="2080"/>
    <x v="1"/>
    <n v="5.2"/>
    <s v="15"/>
    <x v="2"/>
    <s v="No"/>
    <x v="1"/>
    <n v="209.13461538461539"/>
    <n v="2204.8248645848917"/>
    <n v="291697.45937546744"/>
    <n v="661447.45937546738"/>
    <n v="369750"/>
    <n v="832.90143448275865"/>
  </r>
  <r>
    <x v="7"/>
    <x v="2"/>
    <n v="450000"/>
    <n v="2150"/>
    <x v="1"/>
    <n v="5.3"/>
    <s v="15"/>
    <x v="2"/>
    <s v="No"/>
    <x v="1"/>
    <n v="209.30232558139534"/>
    <n v="2303.4195756796303"/>
    <n v="308525.87270388898"/>
    <n v="691025.87270388892"/>
    <n v="382500"/>
    <n v="860.90143333333333"/>
  </r>
  <r>
    <x v="7"/>
    <x v="2"/>
    <n v="450000"/>
    <n v="2150"/>
    <x v="1"/>
    <n v="5.3"/>
    <s v="15"/>
    <x v="0"/>
    <s v="No"/>
    <x v="1"/>
    <n v="209.30232558139534"/>
    <n v="2303.4195756796303"/>
    <n v="308525.87270388898"/>
    <n v="691025.87270388892"/>
    <n v="382500"/>
    <n v="860.30143333333331"/>
  </r>
  <r>
    <x v="5"/>
    <x v="2"/>
    <n v="440000"/>
    <n v="2100"/>
    <x v="1"/>
    <n v="5.2"/>
    <s v="15"/>
    <x v="2"/>
    <s v="No"/>
    <x v="1"/>
    <n v="209.52380952380952"/>
    <n v="2230.1676791203499"/>
    <n v="295050.30373610486"/>
    <n v="669050.30373610486"/>
    <n v="374000"/>
    <n v="840.90143181818178"/>
  </r>
  <r>
    <x v="5"/>
    <x v="2"/>
    <n v="415000"/>
    <n v="1980"/>
    <x v="0"/>
    <n v="6.1"/>
    <s v="15"/>
    <x v="2"/>
    <s v="No"/>
    <x v="1"/>
    <n v="209.59595959595958"/>
    <n v="2294.3848095465532"/>
    <n v="335565.44286396599"/>
    <n v="688315.44286396599"/>
    <n v="352750"/>
    <n v="792.90143132530113"/>
  </r>
  <r>
    <x v="5"/>
    <x v="2"/>
    <n v="430000"/>
    <n v="2050"/>
    <x v="1"/>
    <n v="5.2"/>
    <s v="15"/>
    <x v="2"/>
    <s v="No"/>
    <x v="1"/>
    <n v="209.7560975609756"/>
    <n v="2179.4820500494329"/>
    <n v="288344.61501482979"/>
    <n v="653844.61501482979"/>
    <n v="365500"/>
    <n v="820.90143023255814"/>
  </r>
  <r>
    <x v="5"/>
    <x v="2"/>
    <n v="420000"/>
    <n v="2000"/>
    <x v="1"/>
    <n v="5.2"/>
    <s v="15"/>
    <x v="2"/>
    <s v="No"/>
    <x v="1"/>
    <n v="210"/>
    <n v="2128.7964209785159"/>
    <n v="281638.9262935546"/>
    <n v="638638.9262935546"/>
    <n v="357000"/>
    <n v="800.9014285714286"/>
  </r>
  <r>
    <x v="5"/>
    <x v="2"/>
    <n v="410000"/>
    <n v="1950"/>
    <x v="1"/>
    <n v="5.2"/>
    <s v="15"/>
    <x v="2"/>
    <s v="No"/>
    <x v="1"/>
    <n v="210.25641025641025"/>
    <n v="2078.1107919075989"/>
    <n v="274933.23757227953"/>
    <n v="623433.23757227953"/>
    <n v="348500"/>
    <n v="780.9014268292683"/>
  </r>
  <r>
    <x v="6"/>
    <x v="2"/>
    <n v="390000"/>
    <n v="1850"/>
    <x v="1"/>
    <n v="5.2"/>
    <s v="15"/>
    <x v="2"/>
    <s v="No"/>
    <x v="1"/>
    <n v="210.81081081081081"/>
    <n v="1976.7395337657649"/>
    <n v="261521.86012972938"/>
    <n v="593021.86012972938"/>
    <n v="331500"/>
    <n v="740.90142307692304"/>
  </r>
  <r>
    <x v="1"/>
    <x v="3"/>
    <n v="455000"/>
    <n v="2150"/>
    <x v="1"/>
    <n v="5.4"/>
    <s v="20"/>
    <x v="2"/>
    <s v="Yes"/>
    <x v="1"/>
    <n v="211.62790697674419"/>
    <n v="2213.5928993658636"/>
    <n v="300077.86980975908"/>
    <n v="664077.86980975908"/>
    <n v="364000"/>
    <n v="860.90141758241759"/>
  </r>
  <r>
    <x v="5"/>
    <x v="2"/>
    <n v="400000"/>
    <n v="1890"/>
    <x v="1"/>
    <n v="5.3"/>
    <s v="15"/>
    <x v="2"/>
    <s v="No"/>
    <x v="1"/>
    <n v="211.64021164021165"/>
    <n v="2047.4840672707828"/>
    <n v="274245.22018123488"/>
    <n v="614245.22018123488"/>
    <n v="340000"/>
    <n v="756.90141749999998"/>
  </r>
  <r>
    <x v="7"/>
    <x v="2"/>
    <n v="445000"/>
    <n v="2100"/>
    <x v="1"/>
    <n v="5.3"/>
    <s v="15"/>
    <x v="2"/>
    <s v="No"/>
    <x v="1"/>
    <n v="211.9047619047619"/>
    <n v="2277.8260248387455"/>
    <n v="305097.80745162355"/>
    <n v="683347.80745162349"/>
    <n v="378250"/>
    <n v="840.90141573033702"/>
  </r>
  <r>
    <x v="5"/>
    <x v="2"/>
    <n v="405000"/>
    <n v="1910"/>
    <x v="1"/>
    <n v="5.3"/>
    <s v="15"/>
    <x v="2"/>
    <s v="No"/>
    <x v="1"/>
    <n v="212.04188481675394"/>
    <n v="2073.0776181116676"/>
    <n v="277673.28543350031"/>
    <n v="621923.28543350031"/>
    <n v="344250"/>
    <n v="764.90141481481476"/>
  </r>
  <r>
    <x v="1"/>
    <x v="3"/>
    <n v="435000"/>
    <n v="2050"/>
    <x v="1"/>
    <n v="5.4"/>
    <s v="20"/>
    <x v="2"/>
    <s v="Yes"/>
    <x v="1"/>
    <n v="212.19512195121951"/>
    <n v="2116.2921125805506"/>
    <n v="286887.63377416524"/>
    <n v="634887.6337741653"/>
    <n v="348000"/>
    <n v="820.90141379310342"/>
  </r>
  <r>
    <x v="6"/>
    <x v="2"/>
    <n v="368000"/>
    <n v="1730"/>
    <x v="0"/>
    <n v="6.1"/>
    <s v="15"/>
    <x v="2"/>
    <s v="No"/>
    <x v="1"/>
    <n v="212.71676300578034"/>
    <n v="2034.538819067787"/>
    <n v="297561.64572033612"/>
    <n v="610361.64572033612"/>
    <n v="312800"/>
    <n v="692.90141032608699"/>
  </r>
  <r>
    <x v="6"/>
    <x v="2"/>
    <n v="400000"/>
    <n v="1880"/>
    <x v="0"/>
    <n v="6.1"/>
    <s v="15"/>
    <x v="2"/>
    <s v="No"/>
    <x v="1"/>
    <n v="212.7659574468085"/>
    <n v="2211.4552381171598"/>
    <n v="323436.57143514795"/>
    <n v="663436.5714351479"/>
    <n v="340000"/>
    <n v="752.90140999999994"/>
  </r>
  <r>
    <x v="5"/>
    <x v="3"/>
    <n v="330000"/>
    <n v="1550"/>
    <x v="1"/>
    <n v="5.0999999999999996"/>
    <n v="20"/>
    <x v="2"/>
    <s v="Yes"/>
    <x v="2"/>
    <n v="212.90322580645162"/>
    <n v="1558.7380293344459"/>
    <n v="203621.40880033374"/>
    <n v="467621.40880033374"/>
    <n v="264000"/>
    <n v="620.90140909090906"/>
  </r>
  <r>
    <x v="3"/>
    <x v="2"/>
    <n v="345000"/>
    <n v="1620"/>
    <x v="1"/>
    <n v="5.4"/>
    <s v="14"/>
    <x v="1"/>
    <s v="No"/>
    <x v="1"/>
    <n v="212.96296296296296"/>
    <n v="1804.3214649501419"/>
    <n v="244596.43948504259"/>
    <n v="541296.43948504259"/>
    <n v="296700"/>
    <n v="648.60140869565225"/>
  </r>
  <r>
    <x v="6"/>
    <x v="2"/>
    <n v="405000"/>
    <n v="1900"/>
    <x v="1"/>
    <n v="5.2"/>
    <s v="15"/>
    <x v="2"/>
    <s v="No"/>
    <x v="1"/>
    <n v="213.15789473684211"/>
    <n v="2052.7679773721406"/>
    <n v="271580.39321164205"/>
    <n v="615830.39321164205"/>
    <n v="344250"/>
    <n v="760.90140740740742"/>
  </r>
  <r>
    <x v="7"/>
    <x v="2"/>
    <n v="423000"/>
    <n v="1980"/>
    <x v="0"/>
    <n v="6"/>
    <s v="12"/>
    <x v="2"/>
    <s v="No"/>
    <x v="1"/>
    <n v="213.63636363636363"/>
    <n v="2398.3475368896575"/>
    <n v="347264.26106689719"/>
    <n v="719504.26106689719"/>
    <n v="372240"/>
    <n v="792.90140425531911"/>
  </r>
  <r>
    <x v="6"/>
    <x v="2"/>
    <n v="375000"/>
    <n v="1750"/>
    <x v="1"/>
    <n v="5.2"/>
    <s v="15"/>
    <x v="2"/>
    <s v="No"/>
    <x v="1"/>
    <n v="214.28571428571428"/>
    <n v="1900.7110901593892"/>
    <n v="251463.32704781677"/>
    <n v="570213.32704781671"/>
    <n v="318750"/>
    <n v="700.90139999999997"/>
  </r>
  <r>
    <x v="1"/>
    <x v="3"/>
    <n v="450000"/>
    <n v="2100"/>
    <x v="1"/>
    <n v="5.4"/>
    <s v="20"/>
    <x v="2"/>
    <s v="Yes"/>
    <x v="1"/>
    <n v="214.28571428571428"/>
    <n v="2189.2677026695351"/>
    <n v="296780.31080086058"/>
    <n v="656780.31080086064"/>
    <n v="360000"/>
    <n v="840.90139999999997"/>
  </r>
  <r>
    <x v="5"/>
    <x v="2"/>
    <n v="420000"/>
    <n v="1950"/>
    <x v="1"/>
    <n v="5.2"/>
    <s v="15"/>
    <x v="2"/>
    <s v="No"/>
    <x v="1"/>
    <n v="215.38461538461539"/>
    <n v="2128.7964209785159"/>
    <n v="281638.9262935546"/>
    <n v="638638.9262935546"/>
    <n v="357000"/>
    <n v="780.90139285714281"/>
  </r>
  <r>
    <x v="1"/>
    <x v="3"/>
    <n v="432000"/>
    <n v="2000"/>
    <x v="1"/>
    <n v="5.4"/>
    <s v="20"/>
    <x v="2"/>
    <s v="Yes"/>
    <x v="1"/>
    <n v="216"/>
    <n v="2101.6969945627538"/>
    <n v="284909.09836882621"/>
    <n v="630509.09836882621"/>
    <n v="345600"/>
    <n v="800.90138888888885"/>
  </r>
  <r>
    <x v="5"/>
    <x v="2"/>
    <n v="430000"/>
    <n v="1980"/>
    <x v="0"/>
    <n v="6.1"/>
    <s v="15"/>
    <x v="2"/>
    <s v="No"/>
    <x v="1"/>
    <n v="217.17171717171718"/>
    <n v="2377.3143809759467"/>
    <n v="347694.31429278402"/>
    <n v="713194.31429278408"/>
    <n v="365500"/>
    <n v="792.90138139534884"/>
  </r>
  <r>
    <x v="5"/>
    <x v="2"/>
    <n v="398000"/>
    <n v="1830"/>
    <x v="0"/>
    <n v="6.1"/>
    <s v="15"/>
    <x v="2"/>
    <s v="No"/>
    <x v="1"/>
    <n v="217.4863387978142"/>
    <n v="2200.3979619265738"/>
    <n v="321819.38857797207"/>
    <n v="660119.38857797207"/>
    <n v="338300"/>
    <n v="732.90137939698491"/>
  </r>
  <r>
    <x v="3"/>
    <x v="2"/>
    <n v="355000"/>
    <n v="1620"/>
    <x v="1"/>
    <n v="5.4"/>
    <n v="14"/>
    <x v="1"/>
    <s v="No"/>
    <x v="1"/>
    <n v="219.1358024691358"/>
    <n v="1856.6206378472473"/>
    <n v="251686.19135417423"/>
    <n v="556986.19135417417"/>
    <n v="305300"/>
    <n v="648.60136901408453"/>
  </r>
  <r>
    <x v="8"/>
    <x v="1"/>
    <n v="670000"/>
    <n v="3050"/>
    <x v="1"/>
    <n v="5.0999999999999996"/>
    <s v="15"/>
    <x v="2"/>
    <s v="No"/>
    <x v="1"/>
    <n v="219.67213114754099"/>
    <n v="3362.5049534316927"/>
    <n v="439251.48602950783"/>
    <n v="1008751.4860295078"/>
    <n v="569500"/>
    <n v="1220.9013656716418"/>
  </r>
  <r>
    <x v="5"/>
    <x v="2"/>
    <n v="440000"/>
    <n v="2000"/>
    <x v="1"/>
    <n v="5.2"/>
    <s v="15"/>
    <x v="2"/>
    <s v="No"/>
    <x v="1"/>
    <n v="220"/>
    <n v="2230.1676791203499"/>
    <n v="295050.30373610486"/>
    <n v="669050.30373610486"/>
    <n v="374000"/>
    <n v="800.90136363636361"/>
  </r>
  <r>
    <x v="8"/>
    <x v="1"/>
    <n v="660000"/>
    <n v="3000"/>
    <x v="1"/>
    <n v="5.0999999999999996"/>
    <s v="15"/>
    <x v="2"/>
    <s v="No"/>
    <x v="1"/>
    <n v="220"/>
    <n v="3312.3183123356976"/>
    <n v="432695.49370070931"/>
    <n v="993695.49370070931"/>
    <n v="561000"/>
    <n v="1200.9013636363638"/>
  </r>
  <r>
    <x v="8"/>
    <x v="1"/>
    <n v="650000"/>
    <n v="2950"/>
    <x v="1"/>
    <n v="5.0999999999999996"/>
    <s v="15"/>
    <x v="2"/>
    <s v="No"/>
    <x v="1"/>
    <n v="220.33898305084745"/>
    <n v="3262.131671239702"/>
    <n v="426139.50137191045"/>
    <n v="978639.50137191045"/>
    <n v="552500"/>
    <n v="1180.9013615384617"/>
  </r>
  <r>
    <x v="1"/>
    <x v="3"/>
    <n v="430000"/>
    <n v="1950"/>
    <x v="1"/>
    <n v="5.4"/>
    <s v="20"/>
    <x v="2"/>
    <s v="Yes"/>
    <x v="1"/>
    <n v="220.51282051282053"/>
    <n v="2091.9669158842225"/>
    <n v="283590.07476526673"/>
    <n v="627590.07476526673"/>
    <n v="344000"/>
    <n v="780.90136046511623"/>
  </r>
  <r>
    <x v="8"/>
    <x v="1"/>
    <n v="675000"/>
    <n v="3060"/>
    <x v="1"/>
    <n v="5.0999999999999996"/>
    <s v="15"/>
    <x v="2"/>
    <s v="No"/>
    <x v="1"/>
    <n v="220.58823529411765"/>
    <n v="3387.5982739796905"/>
    <n v="442529.48219390714"/>
    <n v="1016279.4821939071"/>
    <n v="573750"/>
    <n v="1224.9013600000001"/>
  </r>
  <r>
    <x v="1"/>
    <x v="3"/>
    <n v="428000"/>
    <n v="1900"/>
    <x v="1"/>
    <n v="5.4"/>
    <s v="20"/>
    <x v="2"/>
    <s v="Yes"/>
    <x v="1"/>
    <n v="225.26315789473685"/>
    <n v="2082.2368372056912"/>
    <n v="282271.05116170744"/>
    <n v="624671.05116170738"/>
    <n v="342400"/>
    <n v="760.9013317757009"/>
  </r>
  <r>
    <x v="6"/>
    <x v="3"/>
    <n v="330000"/>
    <n v="1450"/>
    <x v="1"/>
    <n v="5.0999999999999996"/>
    <n v="20"/>
    <x v="2"/>
    <s v="Yes"/>
    <x v="2"/>
    <n v="227.58620689655172"/>
    <n v="1558.7380293344459"/>
    <n v="203621.40880033374"/>
    <n v="467621.40880033374"/>
    <n v="264000"/>
    <n v="580.90131818181817"/>
  </r>
  <r>
    <x v="1"/>
    <x v="3"/>
    <n v="425000"/>
    <n v="1850"/>
    <x v="1"/>
    <n v="5.4"/>
    <s v="20"/>
    <x v="2"/>
    <s v="Yes"/>
    <x v="1"/>
    <n v="229.72972972972974"/>
    <n v="2067.6417191878941"/>
    <n v="280292.51575636823"/>
    <n v="620292.51575636817"/>
    <n v="340000"/>
    <n v="740.90130588235297"/>
  </r>
  <r>
    <x v="8"/>
    <x v="1"/>
    <n v="640000"/>
    <n v="2750"/>
    <x v="1"/>
    <n v="5.0999999999999996"/>
    <s v="15"/>
    <x v="2"/>
    <s v="No"/>
    <x v="1"/>
    <n v="232.72727272727272"/>
    <n v="3211.9450301437064"/>
    <n v="419583.50904311193"/>
    <n v="963583.50904311193"/>
    <n v="544000"/>
    <n v="1100.9012890625002"/>
  </r>
  <r>
    <x v="8"/>
    <x v="1"/>
    <n v="620000"/>
    <n v="2650"/>
    <x v="1"/>
    <n v="5.0999999999999996"/>
    <s v="15"/>
    <x v="2"/>
    <s v="No"/>
    <x v="1"/>
    <n v="233.96226415094338"/>
    <n v="3111.5717479517161"/>
    <n v="406471.52438551467"/>
    <n v="933471.52438551467"/>
    <n v="527000"/>
    <n v="1060.9012822580646"/>
  </r>
  <r>
    <x v="8"/>
    <x v="1"/>
    <n v="610000"/>
    <n v="2600"/>
    <x v="1"/>
    <n v="5.0999999999999996"/>
    <s v="15"/>
    <x v="2"/>
    <s v="No"/>
    <x v="1"/>
    <n v="234.61538461538461"/>
    <n v="3061.3851068557206"/>
    <n v="399915.5320567161"/>
    <n v="918415.53205671604"/>
    <n v="518500"/>
    <n v="1040.9012786885246"/>
  </r>
  <r>
    <x v="8"/>
    <x v="1"/>
    <n v="635000"/>
    <n v="2700"/>
    <x v="1"/>
    <n v="5.0999999999999996"/>
    <s v="15"/>
    <x v="2"/>
    <s v="No"/>
    <x v="1"/>
    <n v="235.18518518518519"/>
    <n v="3186.8517095957091"/>
    <n v="416305.51287871273"/>
    <n v="956055.51287871273"/>
    <n v="539750"/>
    <n v="1080.9012755905512"/>
  </r>
  <r>
    <x v="8"/>
    <x v="1"/>
    <n v="600000"/>
    <n v="2550"/>
    <x v="0"/>
    <n v="6.1"/>
    <s v="15"/>
    <x v="2"/>
    <s v="No"/>
    <x v="1"/>
    <n v="235.29411764705881"/>
    <n v="3317.1828571757396"/>
    <n v="485154.8571527219"/>
    <n v="995154.85715272184"/>
    <n v="510000"/>
    <n v="1020.9012749999999"/>
  </r>
  <r>
    <x v="8"/>
    <x v="1"/>
    <n v="630000"/>
    <n v="2650"/>
    <x v="1"/>
    <n v="5.0999999999999996"/>
    <s v="15"/>
    <x v="2"/>
    <s v="No"/>
    <x v="1"/>
    <n v="237.73584905660377"/>
    <n v="3161.7583890477113"/>
    <n v="413027.51671431342"/>
    <n v="948527.51671431342"/>
    <n v="535500"/>
    <n v="1060.9012619047619"/>
  </r>
  <r>
    <x v="8"/>
    <x v="1"/>
    <n v="585000"/>
    <n v="2460"/>
    <x v="0"/>
    <n v="6.1"/>
    <s v="15"/>
    <x v="2"/>
    <s v="No"/>
    <x v="1"/>
    <n v="237.80487804878049"/>
    <n v="3234.2532857463461"/>
    <n v="473025.98572390387"/>
    <n v="970275.98572390387"/>
    <n v="497250"/>
    <n v="984.90126153846154"/>
  </r>
  <r>
    <x v="8"/>
    <x v="1"/>
    <n v="580000"/>
    <n v="2430"/>
    <x v="1"/>
    <n v="5.0999999999999996"/>
    <s v="15"/>
    <x v="2"/>
    <s v="No"/>
    <x v="1"/>
    <n v="238.68312757201647"/>
    <n v="2910.8251835677343"/>
    <n v="380247.5550703202"/>
    <n v="873247.55507032014"/>
    <n v="493000"/>
    <n v="972.90125689655167"/>
  </r>
  <r>
    <x v="8"/>
    <x v="1"/>
    <n v="575000"/>
    <n v="2400"/>
    <x v="0"/>
    <n v="6"/>
    <s v="15"/>
    <x v="2"/>
    <s v="No"/>
    <x v="1"/>
    <n v="239.58333333333334"/>
    <n v="3149.0230997604231"/>
    <n v="455956.92992812698"/>
    <n v="944706.92992812698"/>
    <n v="488750"/>
    <n v="960.90125217391301"/>
  </r>
  <r>
    <x v="8"/>
    <x v="1"/>
    <n v="625000"/>
    <n v="2600"/>
    <x v="1"/>
    <n v="5.0999999999999996"/>
    <s v="15"/>
    <x v="2"/>
    <s v="No"/>
    <x v="1"/>
    <n v="240.38461538461539"/>
    <n v="3136.6650684997135"/>
    <n v="409749.52054991398"/>
    <n v="940999.52054991398"/>
    <n v="531250"/>
    <n v="1040.9012480000001"/>
  </r>
  <r>
    <x v="8"/>
    <x v="1"/>
    <n v="570000"/>
    <n v="2350"/>
    <x v="1"/>
    <n v="5.0999999999999996"/>
    <s v="15"/>
    <x v="2"/>
    <s v="No"/>
    <x v="1"/>
    <n v="242.55319148936169"/>
    <n v="2860.6385424717387"/>
    <n v="373691.56274152157"/>
    <n v="858191.56274152151"/>
    <n v="484500"/>
    <n v="940.90123684210528"/>
  </r>
  <r>
    <x v="8"/>
    <x v="1"/>
    <n v="560000"/>
    <n v="2300"/>
    <x v="1"/>
    <n v="5.0999999999999996"/>
    <s v="15"/>
    <x v="2"/>
    <s v="No"/>
    <x v="1"/>
    <n v="243.47826086956522"/>
    <n v="2810.4519013757431"/>
    <n v="367135.57041272288"/>
    <n v="843135.57041272288"/>
    <n v="476000"/>
    <n v="920.90123214285711"/>
  </r>
  <r>
    <x v="8"/>
    <x v="1"/>
    <n v="565000"/>
    <n v="2320"/>
    <x v="0"/>
    <n v="6.1"/>
    <s v="15"/>
    <x v="2"/>
    <s v="No"/>
    <x v="1"/>
    <n v="243.5344827586207"/>
    <n v="3123.6805238404881"/>
    <n v="456854.15715214645"/>
    <n v="937104.15715214645"/>
    <n v="480250"/>
    <n v="928.90123185840707"/>
  </r>
  <r>
    <x v="1"/>
    <x v="3"/>
    <n v="415000"/>
    <n v="1700"/>
    <x v="1"/>
    <n v="5.4"/>
    <s v="20"/>
    <x v="2"/>
    <s v="Yes"/>
    <x v="1"/>
    <n v="244.11764705882354"/>
    <n v="2018.9913257952378"/>
    <n v="273697.39773857145"/>
    <n v="605697.39773857151"/>
    <n v="332000"/>
    <n v="680.90122891566261"/>
  </r>
  <r>
    <x v="8"/>
    <x v="1"/>
    <n v="605000"/>
    <n v="2450"/>
    <x v="1"/>
    <n v="5.0999999999999996"/>
    <s v="15"/>
    <x v="2"/>
    <s v="No"/>
    <x v="1"/>
    <n v="246.9387755102041"/>
    <n v="3036.2917863077228"/>
    <n v="396637.53589231684"/>
    <n v="910887.53589231684"/>
    <n v="514250"/>
    <n v="980.90121487603301"/>
  </r>
  <r>
    <x v="8"/>
    <x v="1"/>
    <n v="575000"/>
    <n v="2320"/>
    <x v="0"/>
    <n v="6.1"/>
    <s v="15"/>
    <x v="2"/>
    <s v="No"/>
    <x v="1"/>
    <n v="247.84482758620689"/>
    <n v="3178.9669047934176"/>
    <n v="464940.07143802533"/>
    <n v="953690.07143802533"/>
    <n v="488750"/>
    <n v="928.90121043478257"/>
  </r>
  <r>
    <x v="8"/>
    <x v="1"/>
    <n v="595000"/>
    <n v="2400"/>
    <x v="1"/>
    <n v="5.0999999999999996"/>
    <s v="15"/>
    <x v="2"/>
    <s v="No"/>
    <x v="1"/>
    <n v="247.91666666666666"/>
    <n v="2986.1051452117272"/>
    <n v="390081.54356351821"/>
    <n v="895831.54356351821"/>
    <n v="505750"/>
    <n v="960.90121008403355"/>
  </r>
  <r>
    <x v="7"/>
    <x v="0"/>
    <n v="298000"/>
    <n v="1200"/>
    <x v="1"/>
    <n v="5.4"/>
    <s v="12"/>
    <x v="1"/>
    <s v="No"/>
    <x v="0"/>
    <n v="248.33333333333334"/>
    <n v="1594.7598954112746"/>
    <n v="216187.96862338245"/>
    <n v="478427.96862338245"/>
    <n v="262240"/>
    <n v="480.60120805369132"/>
  </r>
  <r>
    <x v="1"/>
    <x v="3"/>
    <n v="410000"/>
    <n v="1650"/>
    <x v="1"/>
    <n v="5.4"/>
    <s v="20"/>
    <x v="2"/>
    <s v="Yes"/>
    <x v="1"/>
    <n v="248.4848484848485"/>
    <n v="1994.6661290989098"/>
    <n v="270399.83872967301"/>
    <n v="598399.83872967307"/>
    <n v="328000"/>
    <n v="660.90120731707316"/>
  </r>
  <r>
    <x v="8"/>
    <x v="1"/>
    <n v="585000"/>
    <n v="2350"/>
    <x v="1"/>
    <n v="5.0999999999999996"/>
    <s v="15"/>
    <x v="2"/>
    <s v="No"/>
    <x v="1"/>
    <n v="248.93617021276594"/>
    <n v="2935.918504115732"/>
    <n v="383525.55123471946"/>
    <n v="880775.55123471946"/>
    <n v="497250"/>
    <n v="940.90120512820511"/>
  </r>
  <r>
    <x v="7"/>
    <x v="3"/>
    <n v="685000"/>
    <n v="2750"/>
    <x v="1"/>
    <n v="5.3"/>
    <s v="22"/>
    <x v="3"/>
    <s v="Yes"/>
    <x v="2"/>
    <n v="249.09090909090909"/>
    <n v="3217.5609915964096"/>
    <n v="430968.29747892288"/>
    <n v="965268.29747892288"/>
    <n v="534300"/>
    <n v="1101.2012043795621"/>
  </r>
  <r>
    <x v="8"/>
    <x v="1"/>
    <n v="556000"/>
    <n v="2230"/>
    <x v="1"/>
    <n v="5.2"/>
    <s v="15"/>
    <x v="2"/>
    <s v="No"/>
    <x v="1"/>
    <n v="249.32735426008969"/>
    <n v="2818.1209763429879"/>
    <n v="372836.29290289618"/>
    <n v="845436.29290289618"/>
    <n v="472600"/>
    <n v="892.90120323741007"/>
  </r>
  <r>
    <x v="0"/>
    <x v="1"/>
    <n v="225000"/>
    <n v="900"/>
    <x v="1"/>
    <n v="5.4"/>
    <s v="6"/>
    <x v="0"/>
    <s v="No"/>
    <x v="0"/>
    <n v="250"/>
    <n v="1286.194775318352"/>
    <n v="174358.43259550561"/>
    <n v="385858.43259550561"/>
    <n v="211500"/>
    <n v="360.30119999999999"/>
  </r>
  <r>
    <x v="7"/>
    <x v="3"/>
    <n v="690000"/>
    <n v="2760"/>
    <x v="1"/>
    <n v="5.3"/>
    <s v="22"/>
    <x v="3"/>
    <s v="Yes"/>
    <x v="2"/>
    <n v="250"/>
    <n v="3241.0468382503977"/>
    <n v="434114.05147511931"/>
    <n v="972314.05147511931"/>
    <n v="538200"/>
    <n v="1105.2012"/>
  </r>
  <r>
    <x v="8"/>
    <x v="1"/>
    <n v="552000"/>
    <n v="2200"/>
    <x v="0"/>
    <n v="6"/>
    <s v="15"/>
    <x v="2"/>
    <s v="No"/>
    <x v="1"/>
    <n v="250.90909090909091"/>
    <n v="3023.062175770006"/>
    <n v="437718.6527310019"/>
    <n v="906918.65273100184"/>
    <n v="469200"/>
    <n v="880.9011956521739"/>
  </r>
  <r>
    <x v="8"/>
    <x v="1"/>
    <n v="565000"/>
    <n v="2250"/>
    <x v="1"/>
    <n v="5.0999999999999996"/>
    <s v="15"/>
    <x v="2"/>
    <s v="No"/>
    <x v="1"/>
    <n v="251.11111111111111"/>
    <n v="2835.5452219237409"/>
    <n v="370413.56657712231"/>
    <n v="850663.56657712231"/>
    <n v="480250"/>
    <n v="900.90119469026547"/>
  </r>
  <r>
    <x v="8"/>
    <x v="1"/>
    <n v="548000"/>
    <n v="2180"/>
    <x v="1"/>
    <n v="5"/>
    <s v="15"/>
    <x v="2"/>
    <s v="No"/>
    <x v="1"/>
    <n v="251.37614678899084"/>
    <n v="2723.0204133441666"/>
    <n v="351106.12400325004"/>
    <n v="816906.12400325004"/>
    <n v="465800"/>
    <n v="872.90119343065692"/>
  </r>
  <r>
    <x v="7"/>
    <x v="3"/>
    <n v="680000"/>
    <n v="2700"/>
    <x v="1"/>
    <n v="5.3"/>
    <s v="22"/>
    <x v="3"/>
    <s v="Yes"/>
    <x v="2"/>
    <n v="251.85185185185185"/>
    <n v="3194.075144942421"/>
    <n v="427822.54348272632"/>
    <n v="958222.54348272632"/>
    <n v="530400"/>
    <n v="1081.2011911764707"/>
  </r>
  <r>
    <x v="8"/>
    <x v="1"/>
    <n v="580000"/>
    <n v="2300"/>
    <x v="1"/>
    <n v="5.0999999999999996"/>
    <s v="15"/>
    <x v="2"/>
    <s v="No"/>
    <x v="1"/>
    <n v="252.17391304347825"/>
    <n v="2910.8251835677343"/>
    <n v="380247.5550703202"/>
    <n v="873247.55507032014"/>
    <n v="493000"/>
    <n v="920.9011896551724"/>
  </r>
  <r>
    <x v="1"/>
    <x v="3"/>
    <n v="405000"/>
    <n v="1600"/>
    <x v="1"/>
    <n v="5.4"/>
    <s v="20"/>
    <x v="2"/>
    <s v="Yes"/>
    <x v="1"/>
    <n v="253.125"/>
    <n v="1970.3409324025815"/>
    <n v="267102.27972077456"/>
    <n v="591102.27972077462"/>
    <n v="324000"/>
    <n v="640.90118518518511"/>
  </r>
  <r>
    <x v="7"/>
    <x v="3"/>
    <n v="675000"/>
    <n v="2650"/>
    <x v="1"/>
    <n v="5.3"/>
    <s v="22"/>
    <x v="3"/>
    <s v="Yes"/>
    <x v="2"/>
    <n v="254.71698113207546"/>
    <n v="3170.5892982884329"/>
    <n v="424676.78948652989"/>
    <n v="951176.78948652989"/>
    <n v="526500"/>
    <n v="1061.2011777777777"/>
  </r>
  <r>
    <x v="0"/>
    <x v="0"/>
    <n v="190000"/>
    <n v="740"/>
    <x v="1"/>
    <n v="5.4"/>
    <s v="8"/>
    <x v="0"/>
    <s v="No"/>
    <x v="0"/>
    <n v="256.75675675675677"/>
    <n v="1063.0110956295409"/>
    <n v="144103.3286888623"/>
    <n v="318903.32868886227"/>
    <n v="174800"/>
    <n v="296.30116842105264"/>
  </r>
  <r>
    <x v="1"/>
    <x v="3"/>
    <n v="400000"/>
    <n v="1550"/>
    <x v="1"/>
    <n v="5.4"/>
    <s v="20"/>
    <x v="0"/>
    <s v="Yes"/>
    <x v="1"/>
    <n v="258.06451612903226"/>
    <n v="1946.0157357062535"/>
    <n v="263804.72071187611"/>
    <n v="583804.72071187617"/>
    <n v="320000"/>
    <n v="620.30116249999992"/>
  </r>
  <r>
    <x v="1"/>
    <x v="3"/>
    <n v="440000"/>
    <n v="1700"/>
    <x v="0"/>
    <n v="6.2"/>
    <s v="20"/>
    <x v="2"/>
    <s v="Yes"/>
    <x v="2"/>
    <n v="258.8235294117647"/>
    <n v="2311.1689784351502"/>
    <n v="341350.6935305451"/>
    <n v="693350.6935305451"/>
    <n v="352000"/>
    <n v="680.90115909090912"/>
  </r>
  <r>
    <x v="1"/>
    <x v="3"/>
    <n v="430000"/>
    <n v="1650"/>
    <x v="0"/>
    <n v="6.2"/>
    <s v="20"/>
    <x v="2"/>
    <s v="Yes"/>
    <x v="2"/>
    <n v="260.60606060606062"/>
    <n v="2258.6424107434423"/>
    <n v="333592.72322303272"/>
    <n v="677592.72322303266"/>
    <n v="344000"/>
    <n v="660.90115116279071"/>
  </r>
  <r>
    <x v="4"/>
    <x v="3"/>
    <n v="550000"/>
    <n v="2100"/>
    <x v="1"/>
    <n v="5.2"/>
    <s v="20"/>
    <x v="2"/>
    <s v="Yes"/>
    <x v="2"/>
    <n v="261.90476190476193"/>
    <n v="2623.726681318059"/>
    <n v="347118.00439541752"/>
    <n v="787118.00439541752"/>
    <n v="440000"/>
    <n v="840.90114545454549"/>
  </r>
  <r>
    <x v="4"/>
    <x v="3"/>
    <n v="552000"/>
    <n v="2105"/>
    <x v="1"/>
    <n v="5.2"/>
    <s v="20"/>
    <x v="2"/>
    <s v="Yes"/>
    <x v="2"/>
    <n v="262.23277909738715"/>
    <n v="2633.2675056137609"/>
    <n v="348380.25168412819"/>
    <n v="789980.25168412819"/>
    <n v="441600"/>
    <n v="842.90114402173913"/>
  </r>
  <r>
    <x v="2"/>
    <x v="3"/>
    <n v="420000"/>
    <n v="1600"/>
    <x v="1"/>
    <n v="5.3"/>
    <s v="18"/>
    <x v="1"/>
    <s v="Yes"/>
    <x v="2"/>
    <n v="262.5"/>
    <n v="2073.9809199060514"/>
    <n v="277794.27597181546"/>
    <n v="622194.27597181546"/>
    <n v="344400"/>
    <n v="640.60114285714292"/>
  </r>
  <r>
    <x v="1"/>
    <x v="3"/>
    <n v="420000"/>
    <n v="1600"/>
    <x v="0"/>
    <n v="6.2"/>
    <s v="20"/>
    <x v="2"/>
    <s v="Yes"/>
    <x v="1"/>
    <n v="262.5"/>
    <n v="2206.1158430517344"/>
    <n v="325834.75291552034"/>
    <n v="661834.75291552034"/>
    <n v="336000"/>
    <n v="640.90114285714287"/>
  </r>
  <r>
    <x v="1"/>
    <x v="3"/>
    <n v="395000"/>
    <n v="1500"/>
    <x v="1"/>
    <n v="5.4"/>
    <s v="20"/>
    <x v="2"/>
    <s v="Yes"/>
    <x v="1"/>
    <n v="263.33333333333331"/>
    <n v="1921.6905390099253"/>
    <n v="260507.16170297767"/>
    <n v="576507.16170297773"/>
    <n v="316000"/>
    <n v="600.90113924050627"/>
  </r>
  <r>
    <x v="4"/>
    <x v="3"/>
    <n v="545000"/>
    <n v="2050"/>
    <x v="1"/>
    <n v="5.2"/>
    <s v="20"/>
    <x v="2"/>
    <s v="Yes"/>
    <x v="2"/>
    <n v="265.85365853658539"/>
    <n v="2599.8746205788038"/>
    <n v="343962.38617364102"/>
    <n v="779962.38617364108"/>
    <n v="436000"/>
    <n v="820.90112844036696"/>
  </r>
  <r>
    <x v="1"/>
    <x v="3"/>
    <n v="405000"/>
    <n v="1520"/>
    <x v="0"/>
    <n v="6.2"/>
    <s v="20"/>
    <x v="2"/>
    <s v="Yes"/>
    <x v="2"/>
    <n v="266.44736842105266"/>
    <n v="2127.3259915141725"/>
    <n v="314197.79745425179"/>
    <n v="638197.79745425179"/>
    <n v="324000"/>
    <n v="608.90112592592595"/>
  </r>
  <r>
    <x v="1"/>
    <x v="3"/>
    <n v="400000"/>
    <n v="1500"/>
    <x v="1"/>
    <n v="5.4"/>
    <s v="20"/>
    <x v="2"/>
    <s v="Yes"/>
    <x v="2"/>
    <n v="266.66666666666669"/>
    <n v="1946.0157357062535"/>
    <n v="263804.72071187611"/>
    <n v="583804.72071187617"/>
    <n v="320000"/>
    <n v="600.90112499999998"/>
  </r>
  <r>
    <x v="1"/>
    <x v="3"/>
    <n v="395000"/>
    <n v="1480"/>
    <x v="0"/>
    <n v="6.2"/>
    <s v="20"/>
    <x v="2"/>
    <s v="Yes"/>
    <x v="1"/>
    <n v="266.89189189189187"/>
    <n v="2074.7994238224646"/>
    <n v="306439.82714673935"/>
    <n v="622439.82714673935"/>
    <n v="316000"/>
    <n v="592.90112405063292"/>
  </r>
  <r>
    <x v="1"/>
    <x v="3"/>
    <n v="390000"/>
    <n v="1450"/>
    <x v="1"/>
    <n v="5.4"/>
    <s v="20"/>
    <x v="2"/>
    <s v="Yes"/>
    <x v="2"/>
    <n v="268.9655172413793"/>
    <n v="1897.3653423135972"/>
    <n v="257209.60269407916"/>
    <n v="569209.60269407916"/>
    <n v="312000"/>
    <n v="580.90111538461531"/>
  </r>
  <r>
    <x v="2"/>
    <x v="3"/>
    <n v="405000"/>
    <n v="1500"/>
    <x v="0"/>
    <n v="6.3"/>
    <s v="18"/>
    <x v="1"/>
    <s v="Yes"/>
    <x v="2"/>
    <n v="270"/>
    <n v="2201.0374270942407"/>
    <n v="328211.22812827211"/>
    <n v="660311.22812827211"/>
    <n v="332100"/>
    <n v="600.60111111111109"/>
  </r>
  <r>
    <x v="4"/>
    <x v="3"/>
    <n v="540000"/>
    <n v="2000"/>
    <x v="1"/>
    <n v="5.2"/>
    <s v="20"/>
    <x v="2"/>
    <s v="Yes"/>
    <x v="2"/>
    <n v="270"/>
    <n v="2576.0225598395486"/>
    <n v="340806.76795186452"/>
    <n v="772806.76795186452"/>
    <n v="432000"/>
    <n v="800.90111111111105"/>
  </r>
  <r>
    <x v="0"/>
    <x v="0"/>
    <n v="200000"/>
    <n v="740"/>
    <x v="1"/>
    <n v="5.4"/>
    <s v="8"/>
    <x v="0"/>
    <s v="No"/>
    <x v="0"/>
    <n v="270.27027027027026"/>
    <n v="1118.9590480310958"/>
    <n v="151687.71440932879"/>
    <n v="335687.71440932876"/>
    <n v="184000"/>
    <n v="296.30110999999999"/>
  </r>
  <r>
    <x v="1"/>
    <x v="3"/>
    <n v="385000"/>
    <n v="1420"/>
    <x v="0"/>
    <n v="6.2"/>
    <s v="20"/>
    <x v="2"/>
    <s v="Yes"/>
    <x v="2"/>
    <n v="271.12676056338029"/>
    <n v="2022.2728561307565"/>
    <n v="298681.85683922691"/>
    <n v="606681.85683922691"/>
    <n v="308000"/>
    <n v="568.90110649350652"/>
  </r>
  <r>
    <x v="1"/>
    <x v="3"/>
    <n v="380000"/>
    <n v="1400"/>
    <x v="1"/>
    <n v="5.4"/>
    <s v="20"/>
    <x v="2"/>
    <s v="Yes"/>
    <x v="1"/>
    <n v="271.42857142857144"/>
    <n v="1848.7149489209407"/>
    <n v="250614.48467628227"/>
    <n v="554614.48467628227"/>
    <n v="304000"/>
    <n v="560.90110526315789"/>
  </r>
  <r>
    <x v="4"/>
    <x v="3"/>
    <n v="530000"/>
    <n v="1950"/>
    <x v="1"/>
    <n v="5.2"/>
    <s v="20"/>
    <x v="2"/>
    <s v="Yes"/>
    <x v="2"/>
    <n v="271.79487179487177"/>
    <n v="2528.3184383610383"/>
    <n v="334495.53150831145"/>
    <n v="758495.5315083114"/>
    <n v="424000"/>
    <n v="780.90110377358485"/>
  </r>
  <r>
    <x v="2"/>
    <x v="3"/>
    <n v="398000"/>
    <n v="1460"/>
    <x v="1"/>
    <n v="5.3"/>
    <s v="18"/>
    <x v="1"/>
    <s v="Yes"/>
    <x v="2"/>
    <n v="272.60273972602738"/>
    <n v="1965.3438241014489"/>
    <n v="263243.1472304347"/>
    <n v="589603.1472304347"/>
    <n v="326360"/>
    <n v="584.60110050251262"/>
  </r>
  <r>
    <x v="1"/>
    <x v="3"/>
    <n v="374000"/>
    <n v="1360"/>
    <x v="1"/>
    <n v="5.4"/>
    <s v="20"/>
    <x v="2"/>
    <s v="Yes"/>
    <x v="2"/>
    <n v="275"/>
    <n v="1819.5247128853471"/>
    <n v="246657.41386560415"/>
    <n v="545857.41386560421"/>
    <n v="299200"/>
    <n v="544.90109090909084"/>
  </r>
  <r>
    <x v="4"/>
    <x v="3"/>
    <n v="525000"/>
    <n v="1900"/>
    <x v="1"/>
    <n v="5.2"/>
    <s v="20"/>
    <x v="2"/>
    <s v="Yes"/>
    <x v="2"/>
    <n v="276.31578947368422"/>
    <n v="2504.4663776217835"/>
    <n v="331339.91328653501"/>
    <n v="751339.91328653507"/>
    <n v="420000"/>
    <n v="760.90108571428573"/>
  </r>
  <r>
    <x v="0"/>
    <x v="3"/>
    <n v="310000"/>
    <n v="1120"/>
    <x v="0"/>
    <n v="6.6"/>
    <n v="25"/>
    <x v="2"/>
    <s v="Yes"/>
    <x v="2"/>
    <n v="276.78571428571428"/>
    <n v="1584.4156562735443"/>
    <n v="242824.6968820632"/>
    <n v="475324.69688206317"/>
    <n v="232500"/>
    <n v="448.90108387096774"/>
  </r>
  <r>
    <x v="6"/>
    <x v="3"/>
    <n v="410000"/>
    <n v="1480"/>
    <x v="1"/>
    <n v="5.0999999999999996"/>
    <n v="20"/>
    <x v="2"/>
    <s v="Yes"/>
    <x v="2"/>
    <n v="277.02702702702703"/>
    <n v="1936.6139152337055"/>
    <n v="252984.17457011162"/>
    <n v="580984.17457011156"/>
    <n v="328000"/>
    <n v="592.90108292682919"/>
  </r>
  <r>
    <x v="2"/>
    <x v="3"/>
    <n v="405000"/>
    <n v="1460"/>
    <x v="1"/>
    <n v="5.3"/>
    <s v="18"/>
    <x v="1"/>
    <s v="Yes"/>
    <x v="2"/>
    <n v="277.39726027397262"/>
    <n v="1999.9101727665497"/>
    <n v="267873.05182996497"/>
    <n v="599973.05182996497"/>
    <n v="332100"/>
    <n v="584.60108148148151"/>
  </r>
  <r>
    <x v="2"/>
    <x v="3"/>
    <n v="392000"/>
    <n v="1410"/>
    <x v="0"/>
    <n v="6.4"/>
    <s v="18"/>
    <x v="1"/>
    <s v="Yes"/>
    <x v="2"/>
    <n v="278.01418439716315"/>
    <n v="2150.3432004169599"/>
    <n v="323662.96012508811"/>
    <n v="645102.96012508811"/>
    <n v="321440"/>
    <n v="564.60107908163263"/>
  </r>
  <r>
    <x v="1"/>
    <x v="3"/>
    <n v="370000"/>
    <n v="1330"/>
    <x v="0"/>
    <n v="6.5"/>
    <s v="20"/>
    <x v="2"/>
    <s v="Yes"/>
    <x v="1"/>
    <n v="278.19548872180451"/>
    <n v="1998.6131975890132"/>
    <n v="303583.95927670406"/>
    <n v="599583.95927670412"/>
    <n v="296000"/>
    <n v="532.90107837837832"/>
  </r>
  <r>
    <x v="1"/>
    <x v="3"/>
    <n v="405000"/>
    <n v="1450"/>
    <x v="1"/>
    <n v="5.4"/>
    <s v="20"/>
    <x v="2"/>
    <s v="Yes"/>
    <x v="2"/>
    <n v="279.31034482758622"/>
    <n v="1970.3409324025815"/>
    <n v="267102.27972077456"/>
    <n v="591102.27972077462"/>
    <n v="324000"/>
    <n v="580.90107407407402"/>
  </r>
  <r>
    <x v="0"/>
    <x v="3"/>
    <n v="365000"/>
    <n v="1300"/>
    <x v="1"/>
    <n v="5.4"/>
    <s v="25"/>
    <x v="2"/>
    <s v="Yes"/>
    <x v="2"/>
    <n v="280.76923076923077"/>
    <n v="1664.7556489049591"/>
    <n v="225676.69467148773"/>
    <n v="499426.69467148773"/>
    <n v="273750"/>
    <n v="520.90106849315066"/>
  </r>
  <r>
    <x v="2"/>
    <x v="3"/>
    <n v="410000"/>
    <n v="1460"/>
    <x v="1"/>
    <n v="5.3"/>
    <n v="18"/>
    <x v="1"/>
    <s v="Yes"/>
    <x v="2"/>
    <n v="280.82191780821915"/>
    <n v="2024.6004218130504"/>
    <n v="271180.12654391507"/>
    <n v="607380.12654391513"/>
    <n v="336200"/>
    <n v="584.60106829268295"/>
  </r>
  <r>
    <x v="1"/>
    <x v="3"/>
    <n v="368000"/>
    <n v="1310"/>
    <x v="1"/>
    <n v="5.3"/>
    <s v="18"/>
    <x v="2"/>
    <s v="Yes"/>
    <x v="2"/>
    <n v="280.91603053435114"/>
    <n v="1817.2023298224453"/>
    <n v="243400.69894673361"/>
    <n v="545160.69894673361"/>
    <n v="301760"/>
    <n v="524.90106793478253"/>
  </r>
  <r>
    <x v="4"/>
    <x v="3"/>
    <n v="520000"/>
    <n v="1850"/>
    <x v="1"/>
    <n v="5.2"/>
    <s v="20"/>
    <x v="2"/>
    <s v="Yes"/>
    <x v="2"/>
    <n v="281.08108108108109"/>
    <n v="2480.6143168825283"/>
    <n v="328184.29506475839"/>
    <n v="744184.29506475839"/>
    <n v="416000"/>
    <n v="740.9010673076923"/>
  </r>
  <r>
    <x v="1"/>
    <x v="3"/>
    <n v="400000"/>
    <n v="1420"/>
    <x v="0"/>
    <n v="6.2"/>
    <s v="20"/>
    <x v="2"/>
    <s v="Yes"/>
    <x v="2"/>
    <n v="281.6901408450704"/>
    <n v="2101.0627076683186"/>
    <n v="310318.81230049557"/>
    <n v="630318.81230049557"/>
    <n v="320000"/>
    <n v="568.90106500000002"/>
  </r>
  <r>
    <x v="1"/>
    <x v="3"/>
    <n v="395000"/>
    <n v="1400"/>
    <x v="1"/>
    <n v="5.4"/>
    <s v="20"/>
    <x v="2"/>
    <s v="Yes"/>
    <x v="1"/>
    <n v="282.14285714285717"/>
    <n v="1921.6905390099253"/>
    <n v="260507.16170297767"/>
    <n v="576507.16170297773"/>
    <n v="316000"/>
    <n v="560.90106329113917"/>
  </r>
  <r>
    <x v="6"/>
    <x v="3"/>
    <n v="610000"/>
    <n v="2150"/>
    <x v="1"/>
    <n v="5.0999999999999996"/>
    <s v="20"/>
    <x v="2"/>
    <s v="Yes"/>
    <x v="2"/>
    <n v="283.72093023255815"/>
    <n v="2881.3036299818546"/>
    <n v="376391.08899455628"/>
    <n v="864391.08899455634"/>
    <n v="488000"/>
    <n v="860.90105737704914"/>
  </r>
  <r>
    <x v="1"/>
    <x v="0"/>
    <n v="210000"/>
    <n v="740"/>
    <x v="0"/>
    <n v="6.6"/>
    <s v="5"/>
    <x v="0"/>
    <s v="No"/>
    <x v="0"/>
    <n v="283.7837837837838"/>
    <n v="1359.5308534476219"/>
    <n v="208359.25603428652"/>
    <n v="407859.25603428652"/>
    <n v="199500"/>
    <n v="296.30105714285713"/>
  </r>
  <r>
    <x v="6"/>
    <x v="3"/>
    <n v="615000"/>
    <n v="2160"/>
    <x v="1"/>
    <n v="5.0999999999999996"/>
    <s v="20"/>
    <x v="2"/>
    <s v="Yes"/>
    <x v="2"/>
    <n v="284.72222222222223"/>
    <n v="2904.9208728505582"/>
    <n v="379476.26185516745"/>
    <n v="871476.26185516745"/>
    <n v="492000"/>
    <n v="864.90105365853651"/>
  </r>
  <r>
    <x v="6"/>
    <x v="3"/>
    <n v="600000"/>
    <n v="2100"/>
    <x v="1"/>
    <n v="5.0999999999999996"/>
    <s v="20"/>
    <x v="2"/>
    <s v="Yes"/>
    <x v="2"/>
    <n v="285.71428571428572"/>
    <n v="2834.0691442444472"/>
    <n v="370220.74327333405"/>
    <n v="850220.74327333411"/>
    <n v="480000"/>
    <n v="840.90104999999994"/>
  </r>
  <r>
    <x v="4"/>
    <x v="3"/>
    <n v="515000"/>
    <n v="1800"/>
    <x v="1"/>
    <n v="5.2"/>
    <s v="20"/>
    <x v="2"/>
    <s v="Yes"/>
    <x v="2"/>
    <n v="286.11111111111109"/>
    <n v="2456.7622561432736"/>
    <n v="325028.67684298189"/>
    <n v="737028.67684298195"/>
    <n v="412000"/>
    <n v="720.90104854368928"/>
  </r>
  <r>
    <x v="2"/>
    <x v="3"/>
    <n v="420000"/>
    <n v="1460"/>
    <x v="1"/>
    <n v="5.3"/>
    <n v="18"/>
    <x v="1"/>
    <s v="Yes"/>
    <x v="2"/>
    <n v="287.67123287671234"/>
    <n v="2073.9809199060514"/>
    <n v="277794.27597181546"/>
    <n v="622194.27597181546"/>
    <n v="344400"/>
    <n v="584.60104285714283"/>
  </r>
  <r>
    <x v="6"/>
    <x v="3"/>
    <n v="590000"/>
    <n v="2050"/>
    <x v="1"/>
    <n v="5.0999999999999996"/>
    <s v="20"/>
    <x v="2"/>
    <s v="Yes"/>
    <x v="2"/>
    <n v="287.80487804878049"/>
    <n v="2786.8346585070399"/>
    <n v="364050.39755211194"/>
    <n v="836050.39755211188"/>
    <n v="472000"/>
    <n v="820.90104237288131"/>
  </r>
  <r>
    <x v="5"/>
    <x v="3"/>
    <n v="650000"/>
    <n v="2250"/>
    <x v="1"/>
    <n v="5.0999999999999996"/>
    <s v="20"/>
    <x v="2"/>
    <s v="Yes"/>
    <x v="2"/>
    <n v="288.88888888888891"/>
    <n v="3070.2415729314844"/>
    <n v="401072.47187944531"/>
    <n v="921072.47187944525"/>
    <n v="520000"/>
    <n v="900.90103846153841"/>
  </r>
  <r>
    <x v="5"/>
    <x v="3"/>
    <n v="655000"/>
    <n v="2260"/>
    <x v="1"/>
    <n v="5.0999999999999996"/>
    <s v="20"/>
    <x v="2"/>
    <s v="Yes"/>
    <x v="2"/>
    <n v="289.82300884955754"/>
    <n v="3093.8588158001876"/>
    <n v="404157.6447400563"/>
    <n v="928157.64474005625"/>
    <n v="524000"/>
    <n v="904.90103511450377"/>
  </r>
  <r>
    <x v="5"/>
    <x v="3"/>
    <n v="640000"/>
    <n v="2200"/>
    <x v="1"/>
    <n v="5.0999999999999996"/>
    <s v="20"/>
    <x v="2"/>
    <s v="Yes"/>
    <x v="2"/>
    <n v="290.90909090909093"/>
    <n v="3023.007087194077"/>
    <n v="394902.12615822308"/>
    <n v="906902.12615822302"/>
    <n v="512000"/>
    <n v="880.90103124999996"/>
  </r>
  <r>
    <x v="4"/>
    <x v="3"/>
    <n v="510000"/>
    <n v="1750"/>
    <x v="1"/>
    <n v="5.2"/>
    <s v="20"/>
    <x v="2"/>
    <s v="Yes"/>
    <x v="2"/>
    <n v="291.42857142857144"/>
    <n v="2432.9101954040184"/>
    <n v="321873.05862120533"/>
    <n v="729873.05862120539"/>
    <n v="408000"/>
    <n v="700.90102941176474"/>
  </r>
  <r>
    <x v="5"/>
    <x v="3"/>
    <n v="630000"/>
    <n v="2150"/>
    <x v="1"/>
    <n v="5.0999999999999996"/>
    <s v="20"/>
    <x v="2"/>
    <s v="Yes"/>
    <x v="2"/>
    <n v="293.02325581395348"/>
    <n v="2975.7726014566697"/>
    <n v="388731.78043700085"/>
    <n v="892731.78043700079"/>
    <n v="504000"/>
    <n v="860.90102380952374"/>
  </r>
  <r>
    <x v="3"/>
    <x v="0"/>
    <n v="218000"/>
    <n v="740"/>
    <x v="0"/>
    <n v="6.5"/>
    <s v="8"/>
    <x v="0"/>
    <s v="No"/>
    <x v="0"/>
    <n v="294.59459459459458"/>
    <n v="1354.1954827988261"/>
    <n v="205698.64483964781"/>
    <n v="406258.64483964781"/>
    <n v="200560"/>
    <n v="296.30101834862387"/>
  </r>
  <r>
    <x v="6"/>
    <x v="3"/>
    <n v="575000"/>
    <n v="1950"/>
    <x v="1"/>
    <n v="5.0999999999999996"/>
    <s v="20"/>
    <x v="2"/>
    <s v="Yes"/>
    <x v="2"/>
    <n v="294.87179487179486"/>
    <n v="2715.9829299009284"/>
    <n v="354794.87897027849"/>
    <n v="814794.87897027843"/>
    <n v="460000"/>
    <n v="780.90101739130432"/>
  </r>
  <r>
    <x v="1"/>
    <x v="3"/>
    <n v="415000"/>
    <n v="1400"/>
    <x v="1"/>
    <n v="5.0999999999999996"/>
    <n v="20"/>
    <x v="2"/>
    <s v="Yes"/>
    <x v="1"/>
    <n v="296.42857142857144"/>
    <n v="1960.2311581024092"/>
    <n v="256069.34743072273"/>
    <n v="588069.34743072279"/>
    <n v="332000"/>
    <n v="560.9010120481928"/>
  </r>
  <r>
    <x v="0"/>
    <x v="3"/>
    <n v="350000"/>
    <n v="1180"/>
    <x v="1"/>
    <n v="5.4"/>
    <s v="25"/>
    <x v="2"/>
    <s v="Yes"/>
    <x v="2"/>
    <n v="296.61016949152543"/>
    <n v="1596.341033196536"/>
    <n v="216402.30995896086"/>
    <n v="478902.30995896086"/>
    <n v="262500"/>
    <n v="472.90101142857139"/>
  </r>
  <r>
    <x v="1"/>
    <x v="0"/>
    <n v="220000"/>
    <n v="740"/>
    <x v="0"/>
    <n v="6.6"/>
    <s v="5"/>
    <x v="0"/>
    <s v="No"/>
    <x v="0"/>
    <n v="297.29729729729729"/>
    <n v="1424.2704178975087"/>
    <n v="218281.12536925255"/>
    <n v="427281.12536925252"/>
    <n v="209000"/>
    <n v="296.30100909090908"/>
  </r>
  <r>
    <x v="6"/>
    <x v="3"/>
    <n v="570000"/>
    <n v="1900"/>
    <x v="1"/>
    <n v="5.0999999999999996"/>
    <s v="20"/>
    <x v="2"/>
    <s v="Yes"/>
    <x v="2"/>
    <n v="300"/>
    <n v="2692.3656870322247"/>
    <n v="351709.70610966737"/>
    <n v="807709.70610966743"/>
    <n v="456000"/>
    <n v="760.90099999999995"/>
  </r>
  <r>
    <x v="5"/>
    <x v="3"/>
    <n v="615000"/>
    <n v="2050"/>
    <x v="1"/>
    <n v="5.0999999999999996"/>
    <s v="20"/>
    <x v="2"/>
    <s v="Yes"/>
    <x v="2"/>
    <n v="300"/>
    <n v="2904.9208728505582"/>
    <n v="379476.26185516745"/>
    <n v="871476.26185516745"/>
    <n v="492000"/>
    <n v="820.90099999999995"/>
  </r>
  <r>
    <x v="4"/>
    <x v="3"/>
    <n v="500000"/>
    <n v="1650"/>
    <x v="0"/>
    <n v="6.2"/>
    <s v="20"/>
    <x v="2"/>
    <s v="Yes"/>
    <x v="2"/>
    <n v="303.030303030303"/>
    <n v="2626.328384585398"/>
    <n v="387898.5153756194"/>
    <n v="787898.5153756194"/>
    <n v="400000"/>
    <n v="660.90098999999998"/>
  </r>
  <r>
    <x v="0"/>
    <x v="3"/>
    <n v="340000"/>
    <n v="1120"/>
    <x v="0"/>
    <n v="6.6"/>
    <s v="25"/>
    <x v="2"/>
    <s v="Yes"/>
    <x v="2"/>
    <n v="303.57142857142856"/>
    <n v="1737.7462036548552"/>
    <n v="266323.86109645641"/>
    <n v="521323.86109645641"/>
    <n v="255000"/>
    <n v="448.90098823529411"/>
  </r>
  <r>
    <x v="7"/>
    <x v="3"/>
    <n v="670000"/>
    <n v="2200"/>
    <x v="1"/>
    <n v="5.3"/>
    <s v="22"/>
    <x v="3"/>
    <s v="Yes"/>
    <x v="2"/>
    <n v="304.54545454545456"/>
    <n v="3147.1034516344444"/>
    <n v="421531.03549033328"/>
    <n v="944131.03549033334"/>
    <n v="522600"/>
    <n v="881.20098507462694"/>
  </r>
  <r>
    <x v="5"/>
    <x v="3"/>
    <n v="610000"/>
    <n v="2000"/>
    <x v="1"/>
    <n v="5.0999999999999996"/>
    <s v="20"/>
    <x v="2"/>
    <s v="Yes"/>
    <x v="2"/>
    <n v="305"/>
    <n v="2881.3036299818546"/>
    <n v="376391.08899455628"/>
    <n v="864391.08899455634"/>
    <n v="488000"/>
    <n v="800.90098360655736"/>
  </r>
  <r>
    <x v="6"/>
    <x v="3"/>
    <n v="565000"/>
    <n v="1850"/>
    <x v="1"/>
    <n v="5.0999999999999996"/>
    <s v="20"/>
    <x v="2"/>
    <s v="Yes"/>
    <x v="2"/>
    <n v="305.40540540540542"/>
    <n v="2668.7484441635211"/>
    <n v="348624.53324905626"/>
    <n v="800624.5332490562"/>
    <n v="452000"/>
    <n v="740.90098230088495"/>
  </r>
  <r>
    <x v="0"/>
    <x v="3"/>
    <n v="330000"/>
    <n v="1080"/>
    <x v="1"/>
    <n v="5.4"/>
    <s v="25"/>
    <x v="2"/>
    <s v="Yes"/>
    <x v="2"/>
    <n v="305.55555555555554"/>
    <n v="1505.1215455853053"/>
    <n v="204036.46367559163"/>
    <n v="451536.46367559163"/>
    <n v="247500"/>
    <n v="432.90098181818178"/>
  </r>
  <r>
    <x v="6"/>
    <x v="3"/>
    <n v="540000"/>
    <n v="1750"/>
    <x v="1"/>
    <n v="5.0999999999999996"/>
    <s v="20"/>
    <x v="2"/>
    <s v="Yes"/>
    <x v="2"/>
    <n v="308.57142857142856"/>
    <n v="2550.6622298200023"/>
    <n v="333198.66894600063"/>
    <n v="765198.66894600063"/>
    <n v="432000"/>
    <n v="700.90097222222221"/>
  </r>
  <r>
    <x v="7"/>
    <x v="3"/>
    <n v="665000"/>
    <n v="2150"/>
    <x v="1"/>
    <n v="5.3"/>
    <s v="22"/>
    <x v="3"/>
    <s v="Yes"/>
    <x v="2"/>
    <n v="309.30232558139534"/>
    <n v="3123.6176049804562"/>
    <n v="418385.28149413684"/>
    <n v="937085.2814941369"/>
    <n v="518700"/>
    <n v="861.20096992481206"/>
  </r>
  <r>
    <x v="4"/>
    <x v="3"/>
    <n v="495000"/>
    <n v="1600"/>
    <x v="0"/>
    <n v="6.2"/>
    <s v="20"/>
    <x v="2"/>
    <s v="Yes"/>
    <x v="2"/>
    <n v="309.375"/>
    <n v="2600.0651007395441"/>
    <n v="384019.53022186318"/>
    <n v="780019.53022186318"/>
    <n v="396000"/>
    <n v="640.9009696969697"/>
  </r>
  <r>
    <x v="4"/>
    <x v="3"/>
    <n v="495000"/>
    <n v="1600"/>
    <x v="1"/>
    <n v="5.2"/>
    <s v="20"/>
    <x v="2"/>
    <s v="Yes"/>
    <x v="2"/>
    <n v="309.375"/>
    <n v="2361.3540131862528"/>
    <n v="312406.20395587577"/>
    <n v="708406.20395587571"/>
    <n v="396000"/>
    <n v="640.9009696969697"/>
  </r>
  <r>
    <x v="5"/>
    <x v="3"/>
    <n v="605000"/>
    <n v="1950"/>
    <x v="1"/>
    <n v="5.0999999999999996"/>
    <s v="20"/>
    <x v="2"/>
    <s v="Yes"/>
    <x v="2"/>
    <n v="310.25641025641028"/>
    <n v="2857.6863871131504"/>
    <n v="373305.91613394511"/>
    <n v="857305.91613394511"/>
    <n v="484000"/>
    <n v="780.90096694214878"/>
  </r>
  <r>
    <x v="0"/>
    <x v="1"/>
    <n v="230000"/>
    <n v="740"/>
    <x v="1"/>
    <n v="5.3"/>
    <s v="6"/>
    <x v="0"/>
    <s v="No"/>
    <x v="0"/>
    <n v="310.81081081081084"/>
    <n v="1301.9589863057151"/>
    <n v="174387.69589171454"/>
    <n v="390587.69589171454"/>
    <n v="216200"/>
    <n v="296.30096521739131"/>
  </r>
  <r>
    <x v="2"/>
    <x v="0"/>
    <n v="230000"/>
    <n v="740"/>
    <x v="0"/>
    <n v="6.4"/>
    <s v="5"/>
    <x v="0"/>
    <s v="No"/>
    <x v="0"/>
    <n v="310.81081081081084"/>
    <n v="1461.7035505571982"/>
    <n v="220011.06516715951"/>
    <n v="438511.06516715954"/>
    <n v="218500"/>
    <n v="296.30096521739131"/>
  </r>
  <r>
    <x v="6"/>
    <x v="3"/>
    <n v="560000"/>
    <n v="1800"/>
    <x v="1"/>
    <n v="5.0999999999999996"/>
    <s v="20"/>
    <x v="2"/>
    <s v="Yes"/>
    <x v="2"/>
    <n v="311.11111111111109"/>
    <n v="2645.1312012948174"/>
    <n v="345539.36038844514"/>
    <n v="793539.3603884452"/>
    <n v="448000"/>
    <n v="720.90096428571428"/>
  </r>
  <r>
    <x v="0"/>
    <x v="3"/>
    <n v="350000"/>
    <n v="1120"/>
    <x v="0"/>
    <n v="6.6"/>
    <s v="25"/>
    <x v="2"/>
    <s v="Yes"/>
    <x v="2"/>
    <n v="312.5"/>
    <n v="1788.856386115292"/>
    <n v="274156.91583458742"/>
    <n v="536656.91583458742"/>
    <n v="262500"/>
    <n v="448.90096"/>
  </r>
  <r>
    <x v="6"/>
    <x v="3"/>
    <n v="550000"/>
    <n v="1750"/>
    <x v="1"/>
    <n v="5.0999999999999996"/>
    <s v="20"/>
    <x v="2"/>
    <s v="Yes"/>
    <x v="2"/>
    <n v="314.28571428571428"/>
    <n v="2597.8967155574096"/>
    <n v="339369.01466722286"/>
    <n v="779369.01466722286"/>
    <n v="440000"/>
    <n v="700.90095454545451"/>
  </r>
  <r>
    <x v="7"/>
    <x v="3"/>
    <n v="660000"/>
    <n v="2100"/>
    <x v="1"/>
    <n v="5.3"/>
    <s v="22"/>
    <x v="3"/>
    <s v="Yes"/>
    <x v="2"/>
    <n v="314.28571428571428"/>
    <n v="3100.1317583264672"/>
    <n v="415239.52749794006"/>
    <n v="930039.52749794"/>
    <n v="514800"/>
    <n v="841.20095454545458"/>
  </r>
  <r>
    <x v="5"/>
    <x v="3"/>
    <n v="600000"/>
    <n v="1900"/>
    <x v="1"/>
    <n v="5.0999999999999996"/>
    <s v="20"/>
    <x v="2"/>
    <s v="Yes"/>
    <x v="2"/>
    <n v="315.78947368421052"/>
    <n v="2834.0691442444472"/>
    <n v="370220.74327333405"/>
    <n v="850220.74327333411"/>
    <n v="480000"/>
    <n v="760.90094999999997"/>
  </r>
  <r>
    <x v="4"/>
    <x v="3"/>
    <n v="490000"/>
    <n v="1550"/>
    <x v="1"/>
    <n v="5.2"/>
    <s v="20"/>
    <x v="2"/>
    <s v="Yes"/>
    <x v="2"/>
    <n v="316.12903225806451"/>
    <n v="2337.5019524469981"/>
    <n v="309250.58573409927"/>
    <n v="701250.58573409927"/>
    <n v="392000"/>
    <n v="620.90094897959182"/>
  </r>
  <r>
    <x v="4"/>
    <x v="3"/>
    <n v="445000"/>
    <n v="1400"/>
    <x v="0"/>
    <n v="6.1"/>
    <s v="20"/>
    <x v="2"/>
    <s v="Yes"/>
    <x v="2"/>
    <n v="317.85714285714283"/>
    <n v="2315.5237199109083"/>
    <n v="338657.11597327248"/>
    <n v="694657.11597327248"/>
    <n v="356000"/>
    <n v="560.90094382022471"/>
  </r>
  <r>
    <x v="7"/>
    <x v="3"/>
    <n v="655000"/>
    <n v="2050"/>
    <x v="1"/>
    <n v="5.3"/>
    <s v="22"/>
    <x v="3"/>
    <s v="Yes"/>
    <x v="2"/>
    <n v="319.51219512195121"/>
    <n v="3076.6459116724791"/>
    <n v="412093.77350174362"/>
    <n v="922993.77350174356"/>
    <n v="510900"/>
    <n v="821.20093893129774"/>
  </r>
  <r>
    <x v="7"/>
    <x v="3"/>
    <n v="640000"/>
    <n v="2000"/>
    <x v="1"/>
    <n v="5.3"/>
    <s v="22"/>
    <x v="3"/>
    <s v="Yes"/>
    <x v="2"/>
    <n v="320"/>
    <n v="3006.1883717105138"/>
    <n v="402656.51151315408"/>
    <n v="901856.51151315402"/>
    <n v="499200"/>
    <n v="801.20093750000001"/>
  </r>
  <r>
    <x v="4"/>
    <x v="3"/>
    <n v="480000"/>
    <n v="1500"/>
    <x v="1"/>
    <n v="5.2"/>
    <s v="20"/>
    <x v="2"/>
    <s v="Yes"/>
    <x v="2"/>
    <n v="320"/>
    <n v="2289.7978309684877"/>
    <n v="302939.34929054626"/>
    <n v="686939.34929054626"/>
    <n v="384000"/>
    <n v="600.90093749999994"/>
  </r>
  <r>
    <x v="4"/>
    <x v="3"/>
    <n v="475000"/>
    <n v="1480"/>
    <x v="0"/>
    <n v="6.2"/>
    <s v="20"/>
    <x v="2"/>
    <s v="Yes"/>
    <x v="2"/>
    <n v="320.94594594594594"/>
    <n v="2495.0119653561283"/>
    <n v="368503.58960683853"/>
    <n v="748503.58960683853"/>
    <n v="380000"/>
    <n v="592.90093473684203"/>
  </r>
  <r>
    <x v="6"/>
    <x v="3"/>
    <n v="530000"/>
    <n v="1650"/>
    <x v="0"/>
    <n v="6"/>
    <s v="20"/>
    <x v="2"/>
    <s v="Yes"/>
    <x v="2"/>
    <n v="321.21212121212119"/>
    <n v="2731.8379422985563"/>
    <n v="395551.38268956693"/>
    <n v="819551.38268956693"/>
    <n v="424000"/>
    <n v="660.90093396226416"/>
  </r>
  <r>
    <x v="7"/>
    <x v="3"/>
    <n v="630000"/>
    <n v="1950"/>
    <x v="1"/>
    <n v="5.3"/>
    <s v="22"/>
    <x v="3"/>
    <s v="Yes"/>
    <x v="2"/>
    <n v="323.07692307692309"/>
    <n v="2959.2166784025371"/>
    <n v="396365.00352076109"/>
    <n v="887765.00352076115"/>
    <n v="491400"/>
    <n v="781.20092857142856"/>
  </r>
  <r>
    <x v="4"/>
    <x v="3"/>
    <n v="460000"/>
    <n v="1420"/>
    <x v="0"/>
    <n v="6.1"/>
    <s v="20"/>
    <x v="2"/>
    <s v="Yes"/>
    <x v="2"/>
    <n v="323.94366197183098"/>
    <n v="2393.5750812562201"/>
    <n v="350072.52437686606"/>
    <n v="718072.52437686606"/>
    <n v="368000"/>
    <n v="568.90092608695647"/>
  </r>
  <r>
    <x v="4"/>
    <x v="3"/>
    <n v="470000"/>
    <n v="1450"/>
    <x v="1"/>
    <n v="5.2"/>
    <s v="20"/>
    <x v="2"/>
    <s v="Yes"/>
    <x v="2"/>
    <n v="324.13793103448273"/>
    <n v="2242.0937094899778"/>
    <n v="296628.11284699314"/>
    <n v="672628.11284699314"/>
    <n v="376000"/>
    <n v="580.90092553191482"/>
  </r>
  <r>
    <x v="3"/>
    <x v="3"/>
    <n v="470000"/>
    <n v="1450"/>
    <x v="1"/>
    <n v="5.3"/>
    <s v="22"/>
    <x v="2"/>
    <s v="Yes"/>
    <x v="2"/>
    <n v="324.13793103448273"/>
    <n v="2207.6695854749087"/>
    <n v="295700.87564247259"/>
    <n v="662300.87564247265"/>
    <n v="366600"/>
    <n v="580.90092553191482"/>
  </r>
  <r>
    <x v="2"/>
    <x v="0"/>
    <n v="240000"/>
    <n v="740"/>
    <x v="1"/>
    <n v="5.4"/>
    <s v="5"/>
    <x v="0"/>
    <s v="No"/>
    <x v="0"/>
    <n v="324.32432432432432"/>
    <n v="1386.5362116907056"/>
    <n v="187960.8635072117"/>
    <n v="415960.86350721167"/>
    <n v="228000"/>
    <n v="296.30092500000001"/>
  </r>
  <r>
    <x v="0"/>
    <x v="1"/>
    <n v="240000"/>
    <n v="740"/>
    <x v="0"/>
    <n v="6.6"/>
    <s v="6"/>
    <x v="0"/>
    <s v="No"/>
    <x v="0"/>
    <n v="324.32432432432432"/>
    <n v="1537.3942884099422"/>
    <n v="235618.28652298258"/>
    <n v="461218.28652298258"/>
    <n v="225600"/>
    <n v="296.30092500000001"/>
  </r>
  <r>
    <x v="0"/>
    <x v="1"/>
    <n v="240000"/>
    <n v="740"/>
    <x v="1"/>
    <n v="5.3"/>
    <s v="6"/>
    <x v="0"/>
    <s v="No"/>
    <x v="0"/>
    <n v="324.32432432432432"/>
    <n v="1358.56589875379"/>
    <n v="181969.76962613699"/>
    <n v="407569.76962613699"/>
    <n v="225600"/>
    <n v="296.30092500000001"/>
  </r>
  <r>
    <x v="2"/>
    <x v="0"/>
    <n v="240000"/>
    <n v="740"/>
    <x v="0"/>
    <n v="6.4"/>
    <s v="5"/>
    <x v="0"/>
    <s v="No"/>
    <x v="0"/>
    <n v="324.32432432432432"/>
    <n v="1525.2558788422934"/>
    <n v="229576.76365268818"/>
    <n v="457576.76365268818"/>
    <n v="228000"/>
    <n v="296.30092500000001"/>
  </r>
  <r>
    <x v="4"/>
    <x v="3"/>
    <n v="455000"/>
    <n v="1400"/>
    <x v="0"/>
    <n v="6.2"/>
    <s v="20"/>
    <x v="2"/>
    <s v="Yes"/>
    <x v="2"/>
    <n v="325"/>
    <n v="2389.9588299727125"/>
    <n v="352987.64899181371"/>
    <n v="716987.64899181365"/>
    <n v="364000"/>
    <n v="560.90092307692305"/>
  </r>
  <r>
    <x v="4"/>
    <x v="3"/>
    <n v="455000"/>
    <n v="1400"/>
    <x v="1"/>
    <n v="5.0999999999999996"/>
    <s v="20"/>
    <x v="2"/>
    <s v="Yes"/>
    <x v="2"/>
    <n v="325"/>
    <n v="2149.169101052039"/>
    <n v="280750.7303156117"/>
    <n v="644750.7303156117"/>
    <n v="364000"/>
    <n v="560.90092307692305"/>
  </r>
  <r>
    <x v="7"/>
    <x v="3"/>
    <n v="650000"/>
    <n v="2000"/>
    <x v="1"/>
    <n v="5.3"/>
    <s v="22"/>
    <x v="3"/>
    <s v="Yes"/>
    <x v="2"/>
    <n v="325"/>
    <n v="3053.1600650184905"/>
    <n v="408948.01950554707"/>
    <n v="915948.01950554713"/>
    <n v="507000"/>
    <n v="801.20092307692312"/>
  </r>
  <r>
    <x v="5"/>
    <x v="3"/>
    <n v="570000"/>
    <n v="1750"/>
    <x v="1"/>
    <n v="5.0999999999999996"/>
    <s v="22"/>
    <x v="2"/>
    <s v="Yes"/>
    <x v="1"/>
    <n v="325.71428571428572"/>
    <n v="2625.0565448564194"/>
    <n v="342916.96345692576"/>
    <n v="787516.9634569257"/>
    <n v="444600"/>
    <n v="700.90092105263159"/>
  </r>
  <r>
    <x v="5"/>
    <x v="3"/>
    <n v="580000"/>
    <n v="1780"/>
    <x v="0"/>
    <n v="6.1"/>
    <s v="20"/>
    <x v="2"/>
    <s v="Yes"/>
    <x v="2"/>
    <n v="325.84269662921349"/>
    <n v="3017.9859720187123"/>
    <n v="441395.79160561366"/>
    <n v="905395.79160561366"/>
    <n v="464000"/>
    <n v="712.90092068965509"/>
  </r>
  <r>
    <x v="4"/>
    <x v="3"/>
    <n v="450000"/>
    <n v="1380"/>
    <x v="1"/>
    <n v="5.2"/>
    <s v="20"/>
    <x v="2"/>
    <s v="Yes"/>
    <x v="2"/>
    <n v="326.08695652173913"/>
    <n v="2146.6854665329574"/>
    <n v="284005.63995988719"/>
    <n v="644005.63995988714"/>
    <n v="360000"/>
    <n v="552.90091999999993"/>
  </r>
  <r>
    <x v="7"/>
    <x v="3"/>
    <n v="620000"/>
    <n v="1900"/>
    <x v="1"/>
    <n v="5.3"/>
    <s v="22"/>
    <x v="3"/>
    <s v="Yes"/>
    <x v="2"/>
    <n v="326.31578947368422"/>
    <n v="2912.2449850945604"/>
    <n v="390073.4955283681"/>
    <n v="873673.49552836805"/>
    <n v="483600"/>
    <n v="761.20091935483879"/>
  </r>
  <r>
    <x v="6"/>
    <x v="3"/>
    <n v="540000"/>
    <n v="1650"/>
    <x v="1"/>
    <n v="5.0999999999999996"/>
    <s v="20"/>
    <x v="2"/>
    <s v="Yes"/>
    <x v="2"/>
    <n v="327.27272727272725"/>
    <n v="2550.6622298200023"/>
    <n v="333198.66894600063"/>
    <n v="765198.66894600063"/>
    <n v="432000"/>
    <n v="660.9009166666666"/>
  </r>
  <r>
    <x v="5"/>
    <x v="3"/>
    <n v="590000"/>
    <n v="1800"/>
    <x v="1"/>
    <n v="5.0999999999999996"/>
    <s v="20"/>
    <x v="2"/>
    <s v="Yes"/>
    <x v="2"/>
    <n v="327.77777777777777"/>
    <n v="2786.8346585070399"/>
    <n v="364050.39755211194"/>
    <n v="836050.39755211188"/>
    <n v="472000"/>
    <n v="720.90091525423725"/>
  </r>
  <r>
    <x v="3"/>
    <x v="3"/>
    <n v="460000"/>
    <n v="1400"/>
    <x v="0"/>
    <n v="6.2"/>
    <s v="22"/>
    <x v="2"/>
    <s v="Yes"/>
    <x v="2"/>
    <n v="328.57142857142856"/>
    <n v="2355.8165609731022"/>
    <n v="347944.96829193062"/>
    <n v="706744.96829193062"/>
    <n v="358800"/>
    <n v="560.90091304347823"/>
  </r>
  <r>
    <x v="6"/>
    <x v="3"/>
    <n v="520000"/>
    <n v="1580"/>
    <x v="1"/>
    <n v="5.0999999999999996"/>
    <s v="20"/>
    <x v="2"/>
    <s v="Yes"/>
    <x v="2"/>
    <n v="329.11392405063293"/>
    <n v="2456.1932583451871"/>
    <n v="320857.97750355618"/>
    <n v="736857.97750355618"/>
    <n v="416000"/>
    <n v="632.90091153846151"/>
  </r>
  <r>
    <x v="5"/>
    <x v="3"/>
    <n v="560000"/>
    <n v="1700"/>
    <x v="1"/>
    <n v="5.0999999999999996"/>
    <s v="20"/>
    <x v="2"/>
    <s v="Yes"/>
    <x v="2"/>
    <n v="329.41176470588238"/>
    <n v="2645.1312012948174"/>
    <n v="345539.36038844514"/>
    <n v="793539.3603884452"/>
    <n v="448000"/>
    <n v="680.90091071428571"/>
  </r>
  <r>
    <x v="4"/>
    <x v="3"/>
    <n v="435000"/>
    <n v="1320"/>
    <x v="1"/>
    <n v="5.0999999999999996"/>
    <n v="10"/>
    <x v="2"/>
    <s v="Yes"/>
    <x v="2"/>
    <n v="329.54545454545456"/>
    <n v="2311.5376457743773"/>
    <n v="301961.29373231315"/>
    <n v="693461.29373231321"/>
    <n v="391500"/>
    <n v="528.90091034482759"/>
  </r>
  <r>
    <x v="4"/>
    <x v="3"/>
    <n v="435000"/>
    <n v="1320"/>
    <x v="1"/>
    <n v="5.0999999999999996"/>
    <s v="20"/>
    <x v="2"/>
    <s v="Yes"/>
    <x v="2"/>
    <n v="329.54545454545456"/>
    <n v="2054.7001295772243"/>
    <n v="268410.03887316718"/>
    <n v="616410.03887316724"/>
    <n v="348000"/>
    <n v="528.90091034482759"/>
  </r>
  <r>
    <x v="4"/>
    <x v="3"/>
    <n v="442000"/>
    <n v="1340"/>
    <x v="1"/>
    <n v="5.2"/>
    <s v="20"/>
    <x v="2"/>
    <s v="Yes"/>
    <x v="2"/>
    <n v="329.85074626865674"/>
    <n v="2108.5221693501489"/>
    <n v="278956.65080504469"/>
    <n v="632556.65080504469"/>
    <n v="353600"/>
    <n v="536.90090950226238"/>
  </r>
  <r>
    <x v="5"/>
    <x v="3"/>
    <n v="555000"/>
    <n v="1680"/>
    <x v="1"/>
    <n v="5.0999999999999996"/>
    <s v="20"/>
    <x v="2"/>
    <s v="Yes"/>
    <x v="2"/>
    <n v="330.35714285714283"/>
    <n v="2621.5139584261137"/>
    <n v="342454.18752783403"/>
    <n v="786454.18752783397"/>
    <n v="444000"/>
    <n v="672.90090810810807"/>
  </r>
  <r>
    <x v="6"/>
    <x v="3"/>
    <n v="530000"/>
    <n v="1600"/>
    <x v="1"/>
    <n v="5.0999999999999996"/>
    <s v="20"/>
    <x v="2"/>
    <s v="Yes"/>
    <x v="2"/>
    <n v="331.25"/>
    <n v="2503.4277440825945"/>
    <n v="327028.32322477829"/>
    <n v="751028.32322477829"/>
    <n v="424000"/>
    <n v="640.90090566037736"/>
  </r>
  <r>
    <x v="5"/>
    <x v="3"/>
    <n v="580000"/>
    <n v="1750"/>
    <x v="1"/>
    <n v="5.0999999999999996"/>
    <s v="20"/>
    <x v="2"/>
    <s v="Yes"/>
    <x v="2"/>
    <n v="331.42857142857144"/>
    <n v="2739.6001727696325"/>
    <n v="357880.05183088972"/>
    <n v="821880.05183088966"/>
    <n v="464000"/>
    <n v="700.90090517241379"/>
  </r>
  <r>
    <x v="6"/>
    <x v="3"/>
    <n v="515000"/>
    <n v="1550"/>
    <x v="0"/>
    <n v="6"/>
    <s v="20"/>
    <x v="2"/>
    <s v="Yes"/>
    <x v="2"/>
    <n v="332.25806451612902"/>
    <n v="2654.5217741202955"/>
    <n v="384356.53223608865"/>
    <n v="796356.53223608865"/>
    <n v="412000"/>
    <n v="620.90090291262129"/>
  </r>
  <r>
    <x v="5"/>
    <x v="3"/>
    <n v="550000"/>
    <n v="1650"/>
    <x v="0"/>
    <n v="6.1"/>
    <s v="20"/>
    <x v="2"/>
    <s v="Yes"/>
    <x v="2"/>
    <n v="333.33333333333331"/>
    <n v="2861.8832493280888"/>
    <n v="418564.97479842661"/>
    <n v="858564.97479842661"/>
    <n v="440000"/>
    <n v="660.90089999999998"/>
  </r>
  <r>
    <x v="3"/>
    <x v="3"/>
    <n v="450000"/>
    <n v="1350"/>
    <x v="0"/>
    <n v="6.2"/>
    <s v="22"/>
    <x v="2"/>
    <s v="Yes"/>
    <x v="2"/>
    <n v="333.33333333333331"/>
    <n v="2304.6031574736871"/>
    <n v="340380.94724210619"/>
    <n v="691380.94724210619"/>
    <n v="351000"/>
    <n v="540.90089999999998"/>
  </r>
  <r>
    <x v="4"/>
    <x v="3"/>
    <n v="460000"/>
    <n v="1380"/>
    <x v="1"/>
    <n v="5.2"/>
    <s v="20"/>
    <x v="2"/>
    <s v="Yes"/>
    <x v="2"/>
    <n v="333.33333333333331"/>
    <n v="2194.3895880114674"/>
    <n v="290316.87640344008"/>
    <n v="658316.87640344002"/>
    <n v="368000"/>
    <n v="552.90089999999998"/>
  </r>
  <r>
    <x v="6"/>
    <x v="1"/>
    <n v="300000"/>
    <n v="900"/>
    <x v="1"/>
    <n v="5.3"/>
    <s v="10"/>
    <x v="1"/>
    <s v="No"/>
    <x v="0"/>
    <n v="333.33333333333331"/>
    <n v="1625.9432298915037"/>
    <n v="217782.96896745113"/>
    <n v="487782.96896745113"/>
    <n v="270000"/>
    <n v="360.60090000000002"/>
  </r>
  <r>
    <x v="5"/>
    <x v="3"/>
    <n v="570000"/>
    <n v="1700"/>
    <x v="1"/>
    <n v="5.0999999999999996"/>
    <s v="20"/>
    <x v="2"/>
    <s v="Yes"/>
    <x v="2"/>
    <n v="335.29411764705884"/>
    <n v="2692.3656870322247"/>
    <n v="351709.70610966737"/>
    <n v="807709.70610966743"/>
    <n v="456000"/>
    <n v="680.90089473684213"/>
  </r>
  <r>
    <x v="6"/>
    <x v="3"/>
    <n v="520000"/>
    <n v="1550"/>
    <x v="1"/>
    <n v="5.0999999999999996"/>
    <s v="20"/>
    <x v="2"/>
    <s v="Yes"/>
    <x v="2"/>
    <n v="335.48387096774195"/>
    <n v="2456.1932583451871"/>
    <n v="320857.97750355618"/>
    <n v="736857.97750355618"/>
    <n v="416000"/>
    <n v="620.90089423076915"/>
  </r>
  <r>
    <x v="6"/>
    <x v="3"/>
    <n v="510000"/>
    <n v="1520"/>
    <x v="1"/>
    <n v="5.0999999999999996"/>
    <s v="20"/>
    <x v="2"/>
    <s v="Yes"/>
    <x v="2"/>
    <n v="335.5263157894737"/>
    <n v="2408.9587726077798"/>
    <n v="314687.63178233395"/>
    <n v="722687.63178233395"/>
    <n v="408000"/>
    <n v="608.900894117647"/>
  </r>
  <r>
    <x v="4"/>
    <x v="3"/>
    <n v="470000"/>
    <n v="1400"/>
    <x v="0"/>
    <n v="6.2"/>
    <s v="20"/>
    <x v="2"/>
    <s v="Yes"/>
    <x v="2"/>
    <n v="335.71428571428572"/>
    <n v="2468.7486815102743"/>
    <n v="364624.60445308225"/>
    <n v="740624.6044530822"/>
    <n v="376000"/>
    <n v="560.90089361702121"/>
  </r>
  <r>
    <x v="4"/>
    <x v="3"/>
    <n v="470000"/>
    <n v="1400"/>
    <x v="1"/>
    <n v="5.0999999999999996"/>
    <n v="20"/>
    <x v="2"/>
    <s v="Yes"/>
    <x v="2"/>
    <n v="335.71428571428572"/>
    <n v="2220.02082965815"/>
    <n v="290006.24889744504"/>
    <n v="666006.24889744504"/>
    <n v="376000"/>
    <n v="560.90089361702121"/>
  </r>
  <r>
    <x v="5"/>
    <x v="3"/>
    <n v="545000"/>
    <n v="1620"/>
    <x v="1"/>
    <n v="5.2"/>
    <s v="22"/>
    <x v="2"/>
    <s v="Yes"/>
    <x v="1"/>
    <n v="336.41975308641975"/>
    <n v="2534.8777550643335"/>
    <n v="335363.32651929994"/>
    <n v="760463.3265193"/>
    <n v="425100"/>
    <n v="648.90089174311925"/>
  </r>
  <r>
    <x v="6"/>
    <x v="3"/>
    <n v="505000"/>
    <n v="1500"/>
    <x v="0"/>
    <n v="6"/>
    <s v="20"/>
    <x v="2"/>
    <s v="Yes"/>
    <x v="2"/>
    <n v="336.66666666666669"/>
    <n v="2602.9776620014545"/>
    <n v="376893.29860043636"/>
    <n v="780893.29860043642"/>
    <n v="404000"/>
    <n v="600.90089108910888"/>
  </r>
  <r>
    <x v="3"/>
    <x v="3"/>
    <n v="445000"/>
    <n v="1320"/>
    <x v="1"/>
    <n v="5.3"/>
    <s v="22"/>
    <x v="2"/>
    <s v="Yes"/>
    <x v="2"/>
    <n v="337.12121212121212"/>
    <n v="2090.2403522049667"/>
    <n v="279972.10566149"/>
    <n v="627072.10566149"/>
    <n v="347100"/>
    <n v="528.90088988764046"/>
  </r>
  <r>
    <x v="5"/>
    <x v="3"/>
    <n v="540000"/>
    <n v="1600"/>
    <x v="0"/>
    <n v="6.1"/>
    <s v="20"/>
    <x v="2"/>
    <s v="Yes"/>
    <x v="2"/>
    <n v="337.5"/>
    <n v="2809.8490084312148"/>
    <n v="410954.70252936438"/>
    <n v="842954.70252936438"/>
    <n v="432000"/>
    <n v="640.90088888888886"/>
  </r>
  <r>
    <x v="6"/>
    <x v="3"/>
    <n v="500000"/>
    <n v="1480"/>
    <x v="1"/>
    <n v="5.0999999999999996"/>
    <s v="20"/>
    <x v="2"/>
    <s v="Yes"/>
    <x v="2"/>
    <n v="337.83783783783781"/>
    <n v="2361.7242868703725"/>
    <n v="308517.28606111172"/>
    <n v="708517.28606111172"/>
    <n v="400000"/>
    <n v="592.90088800000001"/>
  </r>
  <r>
    <x v="3"/>
    <x v="3"/>
    <n v="440000"/>
    <n v="1300"/>
    <x v="0"/>
    <n v="6.2"/>
    <s v="22"/>
    <x v="2"/>
    <s v="Yes"/>
    <x v="2"/>
    <n v="338.46153846153845"/>
    <n v="2253.3897539742716"/>
    <n v="332816.92619228142"/>
    <n v="676016.92619228142"/>
    <n v="343200"/>
    <n v="520.90088636363635"/>
  </r>
  <r>
    <x v="5"/>
    <x v="3"/>
    <n v="535000"/>
    <n v="1580"/>
    <x v="1"/>
    <n v="5.0999999999999996"/>
    <s v="20"/>
    <x v="2"/>
    <s v="Yes"/>
    <x v="2"/>
    <n v="338.60759493670884"/>
    <n v="2527.0449869512986"/>
    <n v="330113.49608538963"/>
    <n v="758113.49608538963"/>
    <n v="428000"/>
    <n v="632.90088598130842"/>
  </r>
  <r>
    <x v="7"/>
    <x v="3"/>
    <n v="610000"/>
    <n v="1800"/>
    <x v="0"/>
    <n v="6"/>
    <s v="22"/>
    <x v="3"/>
    <s v="Yes"/>
    <x v="2"/>
    <n v="338.88888888888891"/>
    <n v="3065.58606826805"/>
    <n v="443875.82048041502"/>
    <n v="919675.82048041502"/>
    <n v="475800"/>
    <n v="721.20088524590165"/>
  </r>
  <r>
    <x v="5"/>
    <x v="3"/>
    <n v="560000"/>
    <n v="1650"/>
    <x v="1"/>
    <n v="5.0999999999999996"/>
    <s v="20"/>
    <x v="2"/>
    <s v="Yes"/>
    <x v="2"/>
    <n v="339.39393939393938"/>
    <n v="2645.1312012948174"/>
    <n v="345539.36038844514"/>
    <n v="793539.3603884452"/>
    <n v="448000"/>
    <n v="660.90088392857137"/>
  </r>
  <r>
    <x v="7"/>
    <x v="3"/>
    <n v="605000"/>
    <n v="1780"/>
    <x v="1"/>
    <n v="5.3"/>
    <s v="22"/>
    <x v="3"/>
    <s v="Yes"/>
    <x v="2"/>
    <n v="339.88764044943821"/>
    <n v="2841.7874451325952"/>
    <n v="380636.23353977845"/>
    <n v="852536.23353977851"/>
    <n v="471900"/>
    <n v="713.20088264462811"/>
  </r>
  <r>
    <x v="6"/>
    <x v="3"/>
    <n v="510000"/>
    <n v="1500"/>
    <x v="1"/>
    <n v="5.0999999999999996"/>
    <s v="20"/>
    <x v="0"/>
    <s v="Yes"/>
    <x v="2"/>
    <n v="340"/>
    <n v="2408.9587726077798"/>
    <n v="314687.63178233395"/>
    <n v="722687.63178233395"/>
    <n v="408000"/>
    <n v="600.30088235294113"/>
  </r>
  <r>
    <x v="7"/>
    <x v="3"/>
    <n v="630000"/>
    <n v="1850"/>
    <x v="1"/>
    <n v="5.3"/>
    <s v="22"/>
    <x v="3"/>
    <s v="Yes"/>
    <x v="2"/>
    <n v="340.54054054054052"/>
    <n v="2959.2166784025371"/>
    <n v="396365.00352076109"/>
    <n v="887765.00352076115"/>
    <n v="491400"/>
    <n v="741.200880952381"/>
  </r>
  <r>
    <x v="6"/>
    <x v="3"/>
    <n v="495000"/>
    <n v="1450"/>
    <x v="0"/>
    <n v="6.2"/>
    <s v="20"/>
    <x v="2"/>
    <s v="Yes"/>
    <x v="2"/>
    <n v="341.37931034482756"/>
    <n v="2600.0651007395441"/>
    <n v="384019.53022186318"/>
    <n v="780019.53022186318"/>
    <n v="396000"/>
    <n v="580.90087878787881"/>
  </r>
  <r>
    <x v="5"/>
    <x v="3"/>
    <n v="530000"/>
    <n v="1550"/>
    <x v="0"/>
    <n v="6.1"/>
    <s v="20"/>
    <x v="2"/>
    <s v="Yes"/>
    <x v="2"/>
    <n v="341.93548387096774"/>
    <n v="2757.8147675343403"/>
    <n v="403344.43026030209"/>
    <n v="827344.43026030203"/>
    <n v="424000"/>
    <n v="620.90087735849056"/>
  </r>
  <r>
    <x v="4"/>
    <x v="3"/>
    <n v="438000"/>
    <n v="1280"/>
    <x v="0"/>
    <n v="6.2"/>
    <s v="20"/>
    <x v="2"/>
    <s v="Yes"/>
    <x v="2"/>
    <n v="342.1875"/>
    <n v="2300.6636648968088"/>
    <n v="339799.09946904256"/>
    <n v="690199.09946904262"/>
    <n v="350400"/>
    <n v="512.9008767123288"/>
  </r>
  <r>
    <x v="7"/>
    <x v="3"/>
    <n v="600000"/>
    <n v="1750"/>
    <x v="1"/>
    <n v="5.3"/>
    <s v="22"/>
    <x v="3"/>
    <s v="Yes"/>
    <x v="2"/>
    <n v="342.85714285714283"/>
    <n v="2818.3015984786066"/>
    <n v="377490.4795435819"/>
    <n v="845490.47954358184"/>
    <n v="468000"/>
    <n v="701.200875"/>
  </r>
  <r>
    <x v="4"/>
    <x v="3"/>
    <n v="480000"/>
    <n v="1400"/>
    <x v="1"/>
    <n v="5.0999999999999996"/>
    <n v="20"/>
    <x v="2"/>
    <s v="Yes"/>
    <x v="2"/>
    <n v="342.85714285714283"/>
    <n v="2267.2553153955578"/>
    <n v="296176.59461866738"/>
    <n v="680176.59461866738"/>
    <n v="384000"/>
    <n v="560.90087499999993"/>
  </r>
  <r>
    <x v="5"/>
    <x v="3"/>
    <n v="525000"/>
    <n v="1530"/>
    <x v="1"/>
    <n v="5.0999999999999996"/>
    <s v="22"/>
    <x v="2"/>
    <s v="Yes"/>
    <x v="1"/>
    <n v="343.13725490196077"/>
    <n v="2417.8152386835436"/>
    <n v="315844.57160506304"/>
    <n v="725344.57160506304"/>
    <n v="409500"/>
    <n v="612.90087428571428"/>
  </r>
  <r>
    <x v="5"/>
    <x v="3"/>
    <n v="512000"/>
    <n v="1490"/>
    <x v="0"/>
    <n v="6.2"/>
    <s v="22"/>
    <x v="2"/>
    <s v="Yes"/>
    <x v="1"/>
    <n v="343.62416107382552"/>
    <n v="2622.1262591700615"/>
    <n v="387277.8777510185"/>
    <n v="786637.8777510185"/>
    <n v="399360"/>
    <n v="596.90087304687495"/>
  </r>
  <r>
    <x v="5"/>
    <x v="3"/>
    <n v="550000"/>
    <n v="1600"/>
    <x v="1"/>
    <n v="5.0999999999999996"/>
    <s v="20"/>
    <x v="0"/>
    <s v="Yes"/>
    <x v="2"/>
    <n v="343.75"/>
    <n v="2597.8967155574096"/>
    <n v="339369.01466722286"/>
    <n v="779369.01466722286"/>
    <n v="440000"/>
    <n v="640.30087272727269"/>
  </r>
  <r>
    <x v="7"/>
    <x v="3"/>
    <n v="620000"/>
    <n v="1800"/>
    <x v="1"/>
    <n v="5.3"/>
    <s v="22"/>
    <x v="3"/>
    <s v="Yes"/>
    <x v="2"/>
    <n v="344.44444444444446"/>
    <n v="2912.2449850945604"/>
    <n v="390073.4955283681"/>
    <n v="873673.49552836805"/>
    <n v="483600"/>
    <n v="721.20087096774193"/>
  </r>
  <r>
    <x v="6"/>
    <x v="3"/>
    <n v="510000"/>
    <n v="1480"/>
    <x v="1"/>
    <n v="5.0999999999999996"/>
    <s v="20"/>
    <x v="2"/>
    <s v="Yes"/>
    <x v="2"/>
    <n v="344.59459459459458"/>
    <n v="2408.9587726077798"/>
    <n v="314687.63178233395"/>
    <n v="722687.63178233395"/>
    <n v="408000"/>
    <n v="592.90087058823531"/>
  </r>
  <r>
    <x v="3"/>
    <x v="3"/>
    <n v="435000"/>
    <n v="1260"/>
    <x v="1"/>
    <n v="5.3"/>
    <s v="22"/>
    <x v="2"/>
    <s v="Yes"/>
    <x v="2"/>
    <n v="345.23809523809524"/>
    <n v="2043.2686588969898"/>
    <n v="273680.59766909684"/>
    <n v="612980.5976690969"/>
    <n v="339300"/>
    <n v="504.90086896551719"/>
  </r>
  <r>
    <x v="5"/>
    <x v="3"/>
    <n v="520000"/>
    <n v="1500"/>
    <x v="1"/>
    <n v="5.0999999999999996"/>
    <s v="20"/>
    <x v="2"/>
    <s v="Yes"/>
    <x v="2"/>
    <n v="346.66666666666669"/>
    <n v="2456.1932583451871"/>
    <n v="320857.97750355618"/>
    <n v="736857.97750355618"/>
    <n v="416000"/>
    <n v="600.90086538461537"/>
  </r>
  <r>
    <x v="6"/>
    <x v="3"/>
    <n v="520000"/>
    <n v="1500"/>
    <x v="0"/>
    <n v="6"/>
    <s v="20"/>
    <x v="2"/>
    <s v="Yes"/>
    <x v="2"/>
    <n v="346.66666666666669"/>
    <n v="2680.2938301797158"/>
    <n v="388088.14905391465"/>
    <n v="804088.14905391471"/>
    <n v="416000"/>
    <n v="600.90086538461537"/>
  </r>
  <r>
    <x v="3"/>
    <x v="3"/>
    <n v="430000"/>
    <n v="1240"/>
    <x v="0"/>
    <n v="6.2"/>
    <s v="22"/>
    <x v="2"/>
    <s v="Yes"/>
    <x v="2"/>
    <n v="346.77419354838707"/>
    <n v="2202.1763504748565"/>
    <n v="325252.90514245693"/>
    <n v="660652.90514245699"/>
    <n v="335400"/>
    <n v="496.90086511627902"/>
  </r>
  <r>
    <x v="7"/>
    <x v="3"/>
    <n v="590000"/>
    <n v="1700"/>
    <x v="1"/>
    <n v="5.3"/>
    <s v="22"/>
    <x v="3"/>
    <s v="Yes"/>
    <x v="2"/>
    <n v="347.05882352941177"/>
    <n v="2771.3299051706299"/>
    <n v="371198.97155118891"/>
    <n v="831398.97155118897"/>
    <n v="460200"/>
    <n v="681.20086440677971"/>
  </r>
  <r>
    <x v="5"/>
    <x v="1"/>
    <n v="330000"/>
    <n v="950"/>
    <x v="1"/>
    <n v="5.3"/>
    <n v="10"/>
    <x v="1"/>
    <s v="No"/>
    <x v="0"/>
    <n v="347.36842105263156"/>
    <n v="1788.5375528806542"/>
    <n v="239561.26586419623"/>
    <n v="536561.26586419623"/>
    <n v="297000"/>
    <n v="380.60086363636367"/>
  </r>
  <r>
    <x v="6"/>
    <x v="3"/>
    <n v="490000"/>
    <n v="1410"/>
    <x v="1"/>
    <n v="5.0999999999999996"/>
    <s v="20"/>
    <x v="2"/>
    <s v="Yes"/>
    <x v="2"/>
    <n v="347.51773049645391"/>
    <n v="2314.4898011329651"/>
    <n v="302346.94033988949"/>
    <n v="694346.94033988949"/>
    <n v="392000"/>
    <n v="564.90086326530604"/>
  </r>
  <r>
    <x v="5"/>
    <x v="3"/>
    <n v="550000"/>
    <n v="1580"/>
    <x v="1"/>
    <n v="5.0999999999999996"/>
    <s v="20"/>
    <x v="2"/>
    <s v="Yes"/>
    <x v="2"/>
    <n v="348.1012658227848"/>
    <n v="2597.8967155574096"/>
    <n v="339369.01466722286"/>
    <n v="779369.01466722286"/>
    <n v="440000"/>
    <n v="632.90086181818185"/>
  </r>
  <r>
    <x v="7"/>
    <x v="3"/>
    <n v="585000"/>
    <n v="1680"/>
    <x v="0"/>
    <n v="6"/>
    <s v="22"/>
    <x v="3"/>
    <s v="Yes"/>
    <x v="2"/>
    <n v="348.21428571428572"/>
    <n v="2939.9472949783753"/>
    <n v="425684.18849351257"/>
    <n v="881984.18849351257"/>
    <n v="456300"/>
    <n v="673.2008615384616"/>
  </r>
  <r>
    <x v="5"/>
    <x v="3"/>
    <n v="540000"/>
    <n v="1550"/>
    <x v="0"/>
    <n v="6.1"/>
    <s v="20"/>
    <x v="2"/>
    <s v="Yes"/>
    <x v="2"/>
    <n v="348.38709677419354"/>
    <n v="2809.8490084312148"/>
    <n v="410954.70252936438"/>
    <n v="842954.70252936438"/>
    <n v="432000"/>
    <n v="620.90086111111111"/>
  </r>
  <r>
    <x v="7"/>
    <x v="3"/>
    <n v="610000"/>
    <n v="1750"/>
    <x v="1"/>
    <n v="5.3"/>
    <s v="22"/>
    <x v="3"/>
    <s v="Yes"/>
    <x v="2"/>
    <n v="348.57142857142856"/>
    <n v="2865.2732917865833"/>
    <n v="383781.98753597494"/>
    <n v="859581.98753597494"/>
    <n v="475800"/>
    <n v="701.20086065573776"/>
  </r>
  <r>
    <x v="5"/>
    <x v="3"/>
    <n v="560000"/>
    <n v="1600"/>
    <x v="0"/>
    <n v="6.1"/>
    <s v="20"/>
    <x v="2"/>
    <s v="Yes"/>
    <x v="2"/>
    <n v="350"/>
    <n v="2913.9174902249633"/>
    <n v="426175.24706748902"/>
    <n v="874175.24706748896"/>
    <n v="448000"/>
    <n v="640.90085714285715"/>
  </r>
  <r>
    <x v="2"/>
    <x v="2"/>
    <n v="315000"/>
    <n v="900"/>
    <x v="1"/>
    <n v="5.4"/>
    <s v="14"/>
    <x v="1"/>
    <s v="No"/>
    <x v="1"/>
    <n v="350"/>
    <n v="1647.4239462588253"/>
    <n v="223327.18387764756"/>
    <n v="494227.18387764756"/>
    <n v="270900"/>
    <n v="360.60085714285714"/>
  </r>
  <r>
    <x v="3"/>
    <x v="3"/>
    <n v="410000"/>
    <n v="1170"/>
    <x v="1"/>
    <n v="5.2"/>
    <s v="22"/>
    <x v="2"/>
    <s v="Yes"/>
    <x v="2"/>
    <n v="350.4273504273504"/>
    <n v="1906.9722561034437"/>
    <n v="252291.67683103302"/>
    <n v="572091.67683103308"/>
    <n v="319800"/>
    <n v="468.90085609756096"/>
  </r>
  <r>
    <x v="6"/>
    <x v="3"/>
    <n v="488000"/>
    <n v="1390"/>
    <x v="0"/>
    <n v="6"/>
    <s v="20"/>
    <x v="2"/>
    <s v="Yes"/>
    <x v="2"/>
    <n v="351.07913669064749"/>
    <n v="2515.3526713994252"/>
    <n v="364205.80141982751"/>
    <n v="754605.80141982751"/>
    <n v="390400"/>
    <n v="556.90085450819674"/>
  </r>
  <r>
    <x v="7"/>
    <x v="3"/>
    <n v="590000"/>
    <n v="1680"/>
    <x v="0"/>
    <n v="6"/>
    <s v="22"/>
    <x v="3"/>
    <s v="Yes"/>
    <x v="2"/>
    <n v="351.1904761904762"/>
    <n v="2965.0750496363103"/>
    <n v="429322.51489089313"/>
    <n v="889522.51489089313"/>
    <n v="460200"/>
    <n v="673.20085423728813"/>
  </r>
  <r>
    <x v="3"/>
    <x v="3"/>
    <n v="425000"/>
    <n v="1210"/>
    <x v="1"/>
    <n v="5.3"/>
    <s v="22"/>
    <x v="2"/>
    <s v="Yes"/>
    <x v="2"/>
    <n v="351.23966942148758"/>
    <n v="1996.2969655890133"/>
    <n v="267389.08967670397"/>
    <n v="598889.08967670402"/>
    <n v="331500"/>
    <n v="484.90085411764704"/>
  </r>
  <r>
    <x v="1"/>
    <x v="1"/>
    <n v="260000"/>
    <n v="740"/>
    <x v="0"/>
    <n v="6.5"/>
    <s v="10"/>
    <x v="0"/>
    <s v="No"/>
    <x v="0"/>
    <n v="351.35135135135135"/>
    <n v="1579.9847575534768"/>
    <n v="239995.42726604303"/>
    <n v="473995.42726604303"/>
    <n v="234000"/>
    <n v="296.30085384615387"/>
  </r>
  <r>
    <x v="3"/>
    <x v="0"/>
    <n v="260000"/>
    <n v="740"/>
    <x v="1"/>
    <n v="5.4"/>
    <s v="5"/>
    <x v="0"/>
    <s v="No"/>
    <x v="0"/>
    <n v="351.35135135135135"/>
    <n v="1502.0808959982644"/>
    <n v="203624.26879947932"/>
    <n v="450624.26879947935"/>
    <n v="247000"/>
    <n v="296.30085384615387"/>
  </r>
  <r>
    <x v="4"/>
    <x v="0"/>
    <n v="260000"/>
    <n v="740"/>
    <x v="0"/>
    <n v="5.4"/>
    <s v="7"/>
    <x v="0"/>
    <s v="No"/>
    <x v="0"/>
    <n v="351.35135135135135"/>
    <n v="1470.4581402930376"/>
    <n v="199337.4420879113"/>
    <n v="441137.4420879113"/>
    <n v="241799.99999999997"/>
    <n v="296.30085384615387"/>
  </r>
  <r>
    <x v="4"/>
    <x v="0"/>
    <n v="260000"/>
    <n v="740"/>
    <x v="1"/>
    <n v="5.3"/>
    <s v="7"/>
    <x v="0"/>
    <s v="No"/>
    <x v="0"/>
    <n v="351.35135135135135"/>
    <n v="1456.12249254728"/>
    <n v="195036.74776418402"/>
    <n v="436836.74776418402"/>
    <n v="241799.99999999997"/>
    <n v="296.30085384615387"/>
  </r>
  <r>
    <x v="7"/>
    <x v="3"/>
    <n v="580000"/>
    <n v="1650"/>
    <x v="1"/>
    <n v="5.3"/>
    <s v="22"/>
    <x v="3"/>
    <s v="Yes"/>
    <x v="2"/>
    <n v="351.5151515151515"/>
    <n v="2724.3582118626532"/>
    <n v="364907.46355879592"/>
    <n v="817307.46355879586"/>
    <n v="452400"/>
    <n v="661.20085344827589"/>
  </r>
  <r>
    <x v="6"/>
    <x v="3"/>
    <n v="510000"/>
    <n v="1450"/>
    <x v="0"/>
    <n v="6.2"/>
    <s v="20"/>
    <x v="2"/>
    <s v="Yes"/>
    <x v="2"/>
    <n v="351.72413793103448"/>
    <n v="2678.8549522771059"/>
    <n v="395656.48568313173"/>
    <n v="803656.48568313173"/>
    <n v="408000"/>
    <n v="580.90085294117648"/>
  </r>
  <r>
    <x v="5"/>
    <x v="3"/>
    <n v="518000"/>
    <n v="1470"/>
    <x v="1"/>
    <n v="5.2"/>
    <s v="20"/>
    <x v="2"/>
    <s v="Yes"/>
    <x v="2"/>
    <n v="352.38095238095241"/>
    <n v="2471.0734925868264"/>
    <n v="326922.0477760479"/>
    <n v="741322.04777604784"/>
    <n v="414400"/>
    <n v="588.90085135135132"/>
  </r>
  <r>
    <x v="3"/>
    <x v="3"/>
    <n v="420000"/>
    <n v="1190"/>
    <x v="1"/>
    <n v="5.3"/>
    <s v="22"/>
    <x v="2"/>
    <s v="Yes"/>
    <x v="2"/>
    <n v="352.94117647058823"/>
    <n v="1972.8111189350248"/>
    <n v="264243.33568050747"/>
    <n v="591843.33568050747"/>
    <n v="327600"/>
    <n v="476.90084999999999"/>
  </r>
  <r>
    <x v="5"/>
    <x v="3"/>
    <n v="540000"/>
    <n v="1530"/>
    <x v="1"/>
    <n v="5.0999999999999996"/>
    <s v="22"/>
    <x v="2"/>
    <s v="Yes"/>
    <x v="1"/>
    <n v="352.94117647058823"/>
    <n v="2486.8956740745025"/>
    <n v="324868.70222235069"/>
    <n v="746068.70222235075"/>
    <n v="421200"/>
    <n v="612.90084999999999"/>
  </r>
  <r>
    <x v="7"/>
    <x v="3"/>
    <n v="600000"/>
    <n v="1700"/>
    <x v="1"/>
    <n v="5.3"/>
    <s v="22"/>
    <x v="3"/>
    <s v="Yes"/>
    <x v="2"/>
    <n v="352.94117647058823"/>
    <n v="2818.3015984786066"/>
    <n v="377490.4795435819"/>
    <n v="845490.47954358184"/>
    <n v="468000"/>
    <n v="681.20085000000006"/>
  </r>
  <r>
    <x v="3"/>
    <x v="3"/>
    <n v="440000"/>
    <n v="1240"/>
    <x v="0"/>
    <n v="6.2"/>
    <s v="22"/>
    <x v="2"/>
    <s v="Yes"/>
    <x v="2"/>
    <n v="354.83870967741933"/>
    <n v="2253.3897539742716"/>
    <n v="332816.92619228142"/>
    <n v="676016.92619228142"/>
    <n v="343200"/>
    <n v="496.90084545454545"/>
  </r>
  <r>
    <x v="5"/>
    <x v="3"/>
    <n v="550000"/>
    <n v="1550"/>
    <x v="1"/>
    <n v="5.0999999999999996"/>
    <n v="20"/>
    <x v="2"/>
    <s v="Yes"/>
    <x v="2"/>
    <n v="354.83870967741933"/>
    <n v="2597.8967155574096"/>
    <n v="339369.01466722286"/>
    <n v="779369.01466722286"/>
    <n v="440000"/>
    <n v="620.90084545454545"/>
  </r>
  <r>
    <x v="1"/>
    <x v="1"/>
    <n v="285000"/>
    <n v="800"/>
    <x v="1"/>
    <n v="5.5"/>
    <n v="10"/>
    <x v="0"/>
    <s v="No"/>
    <x v="0"/>
    <n v="356.25"/>
    <n v="1575.1344177019712"/>
    <n v="216040.32531059135"/>
    <n v="472540.32531059138"/>
    <n v="256500"/>
    <n v="320.30084210526314"/>
  </r>
  <r>
    <x v="3"/>
    <x v="3"/>
    <n v="450000"/>
    <n v="1260"/>
    <x v="1"/>
    <n v="5.3"/>
    <s v="22"/>
    <x v="2"/>
    <s v="Yes"/>
    <x v="2"/>
    <n v="357.14285714285717"/>
    <n v="2113.7261988589553"/>
    <n v="283117.85965768655"/>
    <n v="634117.85965768655"/>
    <n v="351000"/>
    <n v="504.90083999999996"/>
  </r>
  <r>
    <x v="5"/>
    <x v="3"/>
    <n v="508000"/>
    <n v="1420"/>
    <x v="0"/>
    <n v="6.2"/>
    <s v="20"/>
    <x v="2"/>
    <s v="Yes"/>
    <x v="2"/>
    <n v="357.74647887323943"/>
    <n v="2668.3496387387645"/>
    <n v="394104.89162162936"/>
    <n v="800504.89162162936"/>
    <n v="406400"/>
    <n v="568.90083858267712"/>
  </r>
  <r>
    <x v="7"/>
    <x v="3"/>
    <n v="610000"/>
    <n v="1700"/>
    <x v="1"/>
    <n v="5.3"/>
    <s v="22"/>
    <x v="3"/>
    <s v="Yes"/>
    <x v="2"/>
    <n v="358.8235294117647"/>
    <n v="2865.2732917865833"/>
    <n v="383781.98753597494"/>
    <n v="859581.98753597494"/>
    <n v="475800"/>
    <n v="681.20083606557387"/>
  </r>
  <r>
    <x v="7"/>
    <x v="3"/>
    <n v="575000"/>
    <n v="1600"/>
    <x v="1"/>
    <n v="5.3"/>
    <s v="22"/>
    <x v="3"/>
    <s v="Yes"/>
    <x v="2"/>
    <n v="359.375"/>
    <n v="2700.8723652086651"/>
    <n v="361761.70956259943"/>
    <n v="810261.70956259943"/>
    <n v="448500"/>
    <n v="641.20083478260869"/>
  </r>
  <r>
    <x v="3"/>
    <x v="3"/>
    <n v="435000"/>
    <n v="1210"/>
    <x v="1"/>
    <n v="5.3"/>
    <s v="22"/>
    <x v="2"/>
    <s v="Yes"/>
    <x v="2"/>
    <n v="359.50413223140498"/>
    <n v="2043.2686588969898"/>
    <n v="273680.59766909684"/>
    <n v="612980.5976690969"/>
    <n v="339300"/>
    <n v="484.90083448275863"/>
  </r>
  <r>
    <x v="5"/>
    <x v="3"/>
    <n v="540000"/>
    <n v="1500"/>
    <x v="1"/>
    <n v="5.0999999999999996"/>
    <s v="20"/>
    <x v="2"/>
    <s v="Yes"/>
    <x v="2"/>
    <n v="360"/>
    <n v="2550.6622298200023"/>
    <n v="333198.66894600063"/>
    <n v="765198.66894600063"/>
    <n v="432000"/>
    <n v="600.90083333333337"/>
  </r>
  <r>
    <x v="7"/>
    <x v="3"/>
    <n v="570000"/>
    <n v="1580"/>
    <x v="0"/>
    <n v="6.1"/>
    <s v="22"/>
    <x v="3"/>
    <s v="Yes"/>
    <x v="2"/>
    <n v="360.75949367088606"/>
    <n v="2891.8029378437918"/>
    <n v="422940.88135313755"/>
    <n v="867540.88135313755"/>
    <n v="444600"/>
    <n v="633.20083157894737"/>
  </r>
  <r>
    <x v="7"/>
    <x v="3"/>
    <n v="600000"/>
    <n v="1650"/>
    <x v="1"/>
    <n v="5.3"/>
    <s v="22"/>
    <x v="3"/>
    <s v="Yes"/>
    <x v="2"/>
    <n v="363.63636363636363"/>
    <n v="2818.3015984786066"/>
    <n v="377490.4795435819"/>
    <n v="845490.47954358184"/>
    <n v="468000"/>
    <n v="661.20082500000001"/>
  </r>
  <r>
    <x v="3"/>
    <x v="3"/>
    <n v="412000"/>
    <n v="1130"/>
    <x v="0"/>
    <n v="6.3"/>
    <s v="22"/>
    <x v="2"/>
    <s v="Yes"/>
    <x v="2"/>
    <n v="364.60176991150445"/>
    <n v="2129.8566322523493"/>
    <n v="317596.98967570462"/>
    <n v="638956.98967570462"/>
    <n v="321360"/>
    <n v="452.90082281553396"/>
  </r>
  <r>
    <x v="1"/>
    <x v="1"/>
    <n v="270000"/>
    <n v="740"/>
    <x v="0"/>
    <n v="6.5"/>
    <s v="10"/>
    <x v="0"/>
    <s v="No"/>
    <x v="0"/>
    <n v="364.86486486486484"/>
    <n v="1640.7534020747644"/>
    <n v="249226.02062242929"/>
    <n v="492226.02062242932"/>
    <n v="243000"/>
    <n v="296.30082222222222"/>
  </r>
  <r>
    <x v="3"/>
    <x v="0"/>
    <n v="270000"/>
    <n v="740"/>
    <x v="1"/>
    <n v="5.4"/>
    <s v="5"/>
    <x v="0"/>
    <s v="No"/>
    <x v="0"/>
    <n v="364.86486486486484"/>
    <n v="1559.8532381520438"/>
    <n v="211455.97144561316"/>
    <n v="467955.97144561319"/>
    <n v="256500"/>
    <n v="296.30082222222222"/>
  </r>
  <r>
    <x v="0"/>
    <x v="3"/>
    <n v="410000"/>
    <n v="1120"/>
    <x v="1"/>
    <n v="5.4"/>
    <n v="25"/>
    <x v="2"/>
    <s v="Yes"/>
    <x v="2"/>
    <n v="366.07142857142856"/>
    <n v="1869.9994960302279"/>
    <n v="253499.84880906832"/>
    <n v="560999.84880906832"/>
    <n v="307500"/>
    <n v="448.90081951219508"/>
  </r>
  <r>
    <x v="6"/>
    <x v="3"/>
    <n v="480000"/>
    <n v="1300"/>
    <x v="1"/>
    <n v="5.2"/>
    <s v="20"/>
    <x v="2"/>
    <s v="Yes"/>
    <x v="2"/>
    <n v="369.23076923076923"/>
    <n v="2289.7978309684877"/>
    <n v="302939.34929054626"/>
    <n v="686939.34929054626"/>
    <n v="384000"/>
    <n v="520.90081250000003"/>
  </r>
  <r>
    <x v="7"/>
    <x v="3"/>
    <n v="568000"/>
    <n v="1520"/>
    <x v="1"/>
    <n v="5.3"/>
    <s v="22"/>
    <x v="3"/>
    <s v="Yes"/>
    <x v="2"/>
    <n v="373.68421052631578"/>
    <n v="2667.9921798930814"/>
    <n v="357357.65396792436"/>
    <n v="800397.65396792442"/>
    <n v="443040"/>
    <n v="609.2008028169015"/>
  </r>
  <r>
    <x v="1"/>
    <x v="1"/>
    <n v="282000"/>
    <n v="750"/>
    <x v="1"/>
    <n v="5.5"/>
    <n v="10"/>
    <x v="0"/>
    <s v="No"/>
    <x v="0"/>
    <n v="376"/>
    <n v="1558.5540554103713"/>
    <n v="213766.2166231114"/>
    <n v="467566.2166231114"/>
    <n v="253800"/>
    <n v="300.30079787234041"/>
  </r>
  <r>
    <x v="8"/>
    <x v="3"/>
    <n v="920000"/>
    <n v="2350"/>
    <x v="1"/>
    <n v="5.0999999999999996"/>
    <s v="20"/>
    <x v="3"/>
    <s v="Yes"/>
    <x v="2"/>
    <n v="391.48936170212767"/>
    <n v="4345.5726878414853"/>
    <n v="567671.80635244562"/>
    <n v="1303671.8063524456"/>
    <n v="736000"/>
    <n v="941.20076630434789"/>
  </r>
  <r>
    <x v="0"/>
    <x v="2"/>
    <n v="290000"/>
    <n v="740"/>
    <x v="0"/>
    <n v="6.5"/>
    <s v="12"/>
    <x v="1"/>
    <s v="No"/>
    <x v="1"/>
    <n v="391.89189189189187"/>
    <n v="1723.1286757591763"/>
    <n v="261738.60272775288"/>
    <n v="516938.60272775288"/>
    <n v="255200"/>
    <n v="296.60076551724143"/>
  </r>
  <r>
    <x v="8"/>
    <x v="3"/>
    <n v="925000"/>
    <n v="2360"/>
    <x v="1"/>
    <n v="5.0999999999999996"/>
    <s v="20"/>
    <x v="3"/>
    <s v="Yes"/>
    <x v="2"/>
    <n v="391.94915254237287"/>
    <n v="4369.1899307101894"/>
    <n v="570756.97921305685"/>
    <n v="1310756.9792130569"/>
    <n v="740000"/>
    <n v="945.20076540540549"/>
  </r>
  <r>
    <x v="8"/>
    <x v="3"/>
    <n v="910000"/>
    <n v="2300"/>
    <x v="1"/>
    <n v="5.0999999999999996"/>
    <s v="20"/>
    <x v="3"/>
    <s v="Yes"/>
    <x v="2"/>
    <n v="395.6521739130435"/>
    <n v="4298.3382021040779"/>
    <n v="561501.4606312234"/>
    <n v="1289501.4606312234"/>
    <n v="728000"/>
    <n v="921.20075824175831"/>
  </r>
  <r>
    <x v="1"/>
    <x v="1"/>
    <n v="280000"/>
    <n v="700"/>
    <x v="1"/>
    <n v="5.5"/>
    <n v="10"/>
    <x v="0"/>
    <s v="No"/>
    <x v="0"/>
    <n v="400"/>
    <n v="1547.5004805493052"/>
    <n v="212250.14416479153"/>
    <n v="464250.14416479156"/>
    <n v="252000"/>
    <n v="280.30074999999999"/>
  </r>
  <r>
    <x v="8"/>
    <x v="3"/>
    <n v="900000"/>
    <n v="2250"/>
    <x v="1"/>
    <n v="5.0999999999999996"/>
    <s v="20"/>
    <x v="3"/>
    <s v="Yes"/>
    <x v="2"/>
    <n v="400"/>
    <n v="4251.1037163666706"/>
    <n v="555331.11491000117"/>
    <n v="1275331.1149100012"/>
    <n v="720000"/>
    <n v="901.20075000000008"/>
  </r>
  <r>
    <x v="8"/>
    <x v="3"/>
    <n v="890000"/>
    <n v="2200"/>
    <x v="1"/>
    <n v="5.0999999999999996"/>
    <s v="20"/>
    <x v="3"/>
    <s v="Yes"/>
    <x v="2"/>
    <n v="404.54545454545456"/>
    <n v="4203.8692306292633"/>
    <n v="549160.76918877882"/>
    <n v="1261160.7691887789"/>
    <n v="712000"/>
    <n v="881.20074157303372"/>
  </r>
  <r>
    <x v="6"/>
    <x v="0"/>
    <n v="300000"/>
    <n v="740"/>
    <x v="1"/>
    <n v="5.2"/>
    <s v="12"/>
    <x v="1"/>
    <s v="No"/>
    <x v="0"/>
    <n v="405.40540540540542"/>
    <n v="1574.2360087908353"/>
    <n v="208270.80263725057"/>
    <n v="472270.80263725057"/>
    <n v="264000"/>
    <n v="296.60074000000003"/>
  </r>
  <r>
    <x v="2"/>
    <x v="1"/>
    <n v="300000"/>
    <n v="740"/>
    <x v="1"/>
    <n v="5.4"/>
    <s v="10"/>
    <x v="0"/>
    <s v="No"/>
    <x v="0"/>
    <n v="405.40540540540542"/>
    <n v="1641.9507770021514"/>
    <n v="222585.23310064548"/>
    <n v="492585.23310064548"/>
    <n v="270000"/>
    <n v="296.30074000000002"/>
  </r>
  <r>
    <x v="0"/>
    <x v="2"/>
    <n v="300000"/>
    <n v="740"/>
    <x v="0"/>
    <n v="6.5"/>
    <s v="12"/>
    <x v="1"/>
    <s v="No"/>
    <x v="1"/>
    <n v="405.40540540540542"/>
    <n v="1782.5469059577686"/>
    <n v="270764.07178733061"/>
    <n v="534764.07178733055"/>
    <n v="264000"/>
    <n v="296.60074000000003"/>
  </r>
  <r>
    <x v="8"/>
    <x v="3"/>
    <n v="885000"/>
    <n v="2150"/>
    <x v="1"/>
    <n v="5.0999999999999996"/>
    <s v="20"/>
    <x v="3"/>
    <s v="Yes"/>
    <x v="2"/>
    <n v="411.62790697674421"/>
    <n v="4180.25198776056"/>
    <n v="546075.59632816783"/>
    <n v="1254075.5963281677"/>
    <n v="708000"/>
    <n v="861.20072881355941"/>
  </r>
  <r>
    <x v="3"/>
    <x v="1"/>
    <n v="305000"/>
    <n v="740"/>
    <x v="0"/>
    <n v="6.5"/>
    <s v="10"/>
    <x v="1"/>
    <s v="No"/>
    <x v="0"/>
    <n v="412.16216216216219"/>
    <n v="1853.4436578992709"/>
    <n v="281533.09736978123"/>
    <n v="556033.09736978123"/>
    <n v="274500"/>
    <n v="296.60072786885246"/>
  </r>
  <r>
    <x v="4"/>
    <x v="1"/>
    <n v="310000"/>
    <n v="740"/>
    <x v="0"/>
    <n v="6.4"/>
    <s v="10"/>
    <x v="1"/>
    <s v="No"/>
    <x v="0"/>
    <n v="418.91891891891891"/>
    <n v="1866.4315359517541"/>
    <n v="280929.46078552632"/>
    <n v="559929.46078552632"/>
    <n v="279000"/>
    <n v="296.60071612903226"/>
  </r>
  <r>
    <x v="5"/>
    <x v="0"/>
    <n v="310000"/>
    <n v="740"/>
    <x v="0"/>
    <n v="6"/>
    <s v="10"/>
    <x v="1"/>
    <s v="No"/>
    <x v="0"/>
    <n v="418.91891891891891"/>
    <n v="1797.6009101445688"/>
    <n v="260280.27304337075"/>
    <n v="539280.27304337081"/>
    <n v="279000"/>
    <n v="296.60071612903226"/>
  </r>
  <r>
    <x v="3"/>
    <x v="1"/>
    <n v="310000"/>
    <n v="740"/>
    <x v="1"/>
    <n v="5.4"/>
    <s v="10"/>
    <x v="1"/>
    <s v="No"/>
    <x v="0"/>
    <n v="418.91891891891891"/>
    <n v="1696.6824695688897"/>
    <n v="230004.74087066698"/>
    <n v="509004.74087066698"/>
    <n v="279000"/>
    <n v="296.60071612903226"/>
  </r>
  <r>
    <x v="3"/>
    <x v="1"/>
    <n v="310000"/>
    <n v="740"/>
    <x v="0"/>
    <n v="6.5"/>
    <s v="10"/>
    <x v="1"/>
    <s v="No"/>
    <x v="0"/>
    <n v="418.91891891891891"/>
    <n v="1883.8279801599144"/>
    <n v="286148.39404797443"/>
    <n v="565148.39404797438"/>
    <n v="279000"/>
    <n v="296.60071612903226"/>
  </r>
  <r>
    <x v="6"/>
    <x v="0"/>
    <n v="310000"/>
    <n v="740"/>
    <x v="1"/>
    <n v="5.2"/>
    <s v="12"/>
    <x v="1"/>
    <s v="No"/>
    <x v="0"/>
    <n v="418.91891891891891"/>
    <n v="1626.7105424171966"/>
    <n v="215213.16272515891"/>
    <n v="488013.16272515891"/>
    <n v="272800"/>
    <n v="296.60071612903226"/>
  </r>
  <r>
    <x v="2"/>
    <x v="1"/>
    <n v="310000"/>
    <n v="740"/>
    <x v="1"/>
    <n v="5.4"/>
    <s v="10"/>
    <x v="0"/>
    <s v="No"/>
    <x v="0"/>
    <n v="418.91891891891891"/>
    <n v="1696.6824695688897"/>
    <n v="230004.74087066698"/>
    <n v="509004.74087066698"/>
    <n v="279000"/>
    <n v="296.30071612903225"/>
  </r>
  <r>
    <x v="8"/>
    <x v="3"/>
    <n v="880000"/>
    <n v="2100"/>
    <x v="1"/>
    <n v="5.0999999999999996"/>
    <s v="20"/>
    <x v="3"/>
    <s v="Yes"/>
    <x v="2"/>
    <n v="419.04761904761904"/>
    <n v="4156.6347448918559"/>
    <n v="542990.4234675566"/>
    <n v="1246990.4234675565"/>
    <n v="704000"/>
    <n v="841.20071590909095"/>
  </r>
  <r>
    <x v="8"/>
    <x v="3"/>
    <n v="875000"/>
    <n v="2050"/>
    <x v="1"/>
    <n v="5.0999999999999996"/>
    <s v="20"/>
    <x v="3"/>
    <s v="Yes"/>
    <x v="2"/>
    <n v="426.82926829268291"/>
    <n v="4133.0175020231518"/>
    <n v="539905.25060694548"/>
    <n v="1239905.2506069455"/>
    <n v="700000"/>
    <n v="821.20070285714291"/>
  </r>
  <r>
    <x v="1"/>
    <x v="1"/>
    <n v="278000"/>
    <n v="650"/>
    <x v="1"/>
    <n v="5.5"/>
    <n v="10"/>
    <x v="0"/>
    <s v="No"/>
    <x v="0"/>
    <n v="427.69230769230768"/>
    <n v="1536.4469056882385"/>
    <n v="210734.07170647156"/>
    <n v="460934.07170647156"/>
    <n v="250200"/>
    <n v="260.30070143884893"/>
  </r>
  <r>
    <x v="2"/>
    <x v="2"/>
    <n v="320000"/>
    <n v="740"/>
    <x v="1"/>
    <n v="5.5"/>
    <s v="12"/>
    <x v="1"/>
    <s v="No"/>
    <x v="1"/>
    <n v="432.43243243243245"/>
    <n v="1729.2703782646201"/>
    <n v="237181.11347938603"/>
    <n v="518781.11347938603"/>
    <n v="281600"/>
    <n v="296.60069375"/>
  </r>
  <r>
    <x v="4"/>
    <x v="1"/>
    <n v="320000"/>
    <n v="740"/>
    <x v="0"/>
    <n v="6.4"/>
    <s v="10"/>
    <x v="1"/>
    <s v="No"/>
    <x v="0"/>
    <n v="432.43243243243245"/>
    <n v="1926.6390048534236"/>
    <n v="289991.70145602722"/>
    <n v="577991.70145602722"/>
    <n v="288000"/>
    <n v="296.60069375"/>
  </r>
  <r>
    <x v="5"/>
    <x v="0"/>
    <n v="320000"/>
    <n v="740"/>
    <x v="0"/>
    <n v="6"/>
    <s v="10"/>
    <x v="1"/>
    <s v="No"/>
    <x v="0"/>
    <n v="432.43243243243245"/>
    <n v="1855.5880362782648"/>
    <n v="268676.4108834794"/>
    <n v="556676.4108834794"/>
    <n v="288000"/>
    <n v="296.60069375"/>
  </r>
  <r>
    <x v="8"/>
    <x v="3"/>
    <n v="870000"/>
    <n v="2000"/>
    <x v="1"/>
    <n v="5.0999999999999996"/>
    <s v="20"/>
    <x v="3"/>
    <s v="Yes"/>
    <x v="2"/>
    <n v="435"/>
    <n v="4109.4002591544486"/>
    <n v="536820.07774633437"/>
    <n v="1232820.0777463345"/>
    <n v="696000"/>
    <n v="801.20068965517248"/>
  </r>
  <r>
    <x v="1"/>
    <x v="2"/>
    <n v="330000"/>
    <n v="740"/>
    <x v="1"/>
    <n v="5.5"/>
    <s v="12"/>
    <x v="1"/>
    <s v="No"/>
    <x v="1"/>
    <n v="445.94594594594594"/>
    <n v="1783.3100775853898"/>
    <n v="244593.02327561693"/>
    <n v="534993.02327561693"/>
    <n v="290400"/>
    <n v="296.60067272727275"/>
  </r>
  <r>
    <x v="2"/>
    <x v="2"/>
    <n v="330000"/>
    <n v="740"/>
    <x v="1"/>
    <n v="5.5"/>
    <s v="12"/>
    <x v="1"/>
    <s v="No"/>
    <x v="1"/>
    <n v="445.94594594594594"/>
    <n v="1783.3100775853898"/>
    <n v="244593.02327561693"/>
    <n v="534993.02327561693"/>
    <n v="290400"/>
    <n v="296.60067272727275"/>
  </r>
  <r>
    <x v="8"/>
    <x v="3"/>
    <n v="890000"/>
    <n v="1950"/>
    <x v="1"/>
    <n v="5"/>
    <s v="20"/>
    <x v="3"/>
    <s v="Yes"/>
    <x v="2"/>
    <n v="456.41025641025641"/>
    <n v="4162.2810955368113"/>
    <n v="536684.32866104343"/>
    <n v="1248684.3286610434"/>
    <n v="712000"/>
    <n v="781.2006573033708"/>
  </r>
  <r>
    <x v="1"/>
    <x v="1"/>
    <n v="275000"/>
    <n v="600"/>
    <x v="1"/>
    <n v="5.5"/>
    <n v="10"/>
    <x v="0"/>
    <s v="No"/>
    <x v="0"/>
    <n v="458.33333333333331"/>
    <n v="1519.8665433966389"/>
    <n v="208459.96301899166"/>
    <n v="455959.96301899164"/>
    <n v="247500"/>
    <n v="240.30065454545456"/>
  </r>
  <r>
    <x v="8"/>
    <x v="3"/>
    <n v="850000"/>
    <n v="1850"/>
    <x v="1"/>
    <n v="5.0999999999999996"/>
    <s v="20"/>
    <x v="3"/>
    <s v="Yes"/>
    <x v="2"/>
    <n v="459.45945945945948"/>
    <n v="4014.9312876796334"/>
    <n v="524479.38630388991"/>
    <n v="1204479.38630389"/>
    <n v="680000"/>
    <n v="741.20065294117649"/>
  </r>
  <r>
    <x v="8"/>
    <x v="3"/>
    <n v="880000"/>
    <n v="1900"/>
    <x v="1"/>
    <n v="5"/>
    <s v="20"/>
    <x v="3"/>
    <s v="Yes"/>
    <x v="2"/>
    <n v="463.15789473684208"/>
    <n v="4115.5138922161732"/>
    <n v="530654.16766485199"/>
    <n v="1234654.167664852"/>
    <n v="704000"/>
    <n v="761.20064772727278"/>
  </r>
  <r>
    <x v="8"/>
    <x v="3"/>
    <n v="840000"/>
    <n v="1800"/>
    <x v="1"/>
    <n v="5.0999999999999996"/>
    <s v="20"/>
    <x v="3"/>
    <s v="Yes"/>
    <x v="2"/>
    <n v="466.66666666666669"/>
    <n v="3967.6968019422261"/>
    <n v="518309.04058266769"/>
    <n v="1190309.0405826676"/>
    <n v="672000"/>
    <n v="721.20064285714295"/>
  </r>
  <r>
    <x v="8"/>
    <x v="3"/>
    <n v="870000"/>
    <n v="1850"/>
    <x v="0"/>
    <n v="6"/>
    <s v="20"/>
    <x v="3"/>
    <s v="Yes"/>
    <x v="2"/>
    <n v="470.27027027027026"/>
    <n v="4484.3377543391398"/>
    <n v="649301.32630174188"/>
    <n v="1345301.3263017419"/>
    <n v="696000"/>
    <n v="741.20063793103452"/>
  </r>
  <r>
    <x v="8"/>
    <x v="3"/>
    <n v="860000"/>
    <n v="1820"/>
    <x v="1"/>
    <n v="5"/>
    <s v="20"/>
    <x v="3"/>
    <s v="Yes"/>
    <x v="2"/>
    <n v="472.52747252747253"/>
    <n v="4021.9794855748964"/>
    <n v="518593.84567246889"/>
    <n v="1206593.8456724689"/>
    <n v="688000"/>
    <n v="729.20063488372102"/>
  </r>
  <r>
    <x v="8"/>
    <x v="3"/>
    <n v="830000"/>
    <n v="1750"/>
    <x v="1"/>
    <n v="5.0999999999999996"/>
    <s v="20"/>
    <x v="3"/>
    <s v="Yes"/>
    <x v="2"/>
    <n v="474.28571428571428"/>
    <n v="3920.4623162048183"/>
    <n v="512138.69486144546"/>
    <n v="1176138.6948614456"/>
    <n v="664000"/>
    <n v="701.20063253012052"/>
  </r>
  <r>
    <x v="8"/>
    <x v="3"/>
    <n v="845000"/>
    <n v="1780"/>
    <x v="1"/>
    <n v="5"/>
    <s v="20"/>
    <x v="3"/>
    <s v="Yes"/>
    <x v="2"/>
    <n v="474.71910112359552"/>
    <n v="3951.8286805939383"/>
    <n v="509548.6041781815"/>
    <n v="1185548.6041781814"/>
    <n v="676000"/>
    <n v="713.20063195266277"/>
  </r>
  <r>
    <x v="6"/>
    <x v="2"/>
    <n v="380000"/>
    <n v="800"/>
    <x v="1"/>
    <n v="5.2"/>
    <s v="15"/>
    <x v="2"/>
    <s v="No"/>
    <x v="1"/>
    <n v="475"/>
    <n v="1926.0539046948477"/>
    <n v="254816.17140845419"/>
    <n v="577816.17140845419"/>
    <n v="323000"/>
    <n v="320.90063157894735"/>
  </r>
  <r>
    <x v="8"/>
    <x v="3"/>
    <n v="840000"/>
    <n v="1750"/>
    <x v="1"/>
    <n v="5"/>
    <s v="20"/>
    <x v="3"/>
    <s v="Yes"/>
    <x v="2"/>
    <n v="480"/>
    <n v="3928.4450789336197"/>
    <n v="506533.52368008601"/>
    <n v="1178533.523680086"/>
    <n v="672000"/>
    <n v="701.20062500000006"/>
  </r>
  <r>
    <x v="8"/>
    <x v="3"/>
    <n v="820000"/>
    <n v="1700"/>
    <x v="1"/>
    <n v="5.0999999999999996"/>
    <s v="20"/>
    <x v="3"/>
    <s v="Yes"/>
    <x v="2"/>
    <n v="482.35294117647061"/>
    <n v="3873.227830467411"/>
    <n v="505968.34914022323"/>
    <n v="1161968.3491402231"/>
    <n v="656000"/>
    <n v="681.20062195121955"/>
  </r>
  <r>
    <x v="8"/>
    <x v="3"/>
    <n v="830000"/>
    <n v="1720"/>
    <x v="0"/>
    <n v="6"/>
    <s v="20"/>
    <x v="3"/>
    <s v="Yes"/>
    <x v="2"/>
    <n v="482.55813953488371"/>
    <n v="4278.1613058637768"/>
    <n v="619448.39175913297"/>
    <n v="1283448.391759133"/>
    <n v="664000"/>
    <n v="689.20062168674701"/>
  </r>
  <r>
    <x v="8"/>
    <x v="3"/>
    <n v="825000"/>
    <n v="1700"/>
    <x v="1"/>
    <n v="5"/>
    <s v="20"/>
    <x v="3"/>
    <s v="Yes"/>
    <x v="2"/>
    <n v="485.29411764705884"/>
    <n v="3858.294273952662"/>
    <n v="497488.28218579851"/>
    <n v="1157488.2821857985"/>
    <n v="660000"/>
    <n v="681.20061818181819"/>
  </r>
  <r>
    <x v="4"/>
    <x v="2"/>
    <n v="360000"/>
    <n v="740"/>
    <x v="1"/>
    <n v="5.3"/>
    <s v="18"/>
    <x v="2"/>
    <s v="No"/>
    <x v="1"/>
    <n v="486.48648648648651"/>
    <n v="1777.6979313480442"/>
    <n v="238109.37940441328"/>
    <n v="533309.37940441328"/>
    <n v="295200"/>
    <n v="296.90061666666662"/>
  </r>
  <r>
    <x v="6"/>
    <x v="1"/>
    <n v="360000"/>
    <n v="740"/>
    <x v="1"/>
    <n v="5.3"/>
    <s v="10"/>
    <x v="1"/>
    <s v="No"/>
    <x v="0"/>
    <n v="486.48648648648651"/>
    <n v="1951.1318758698046"/>
    <n v="261339.56276094128"/>
    <n v="585339.56276094122"/>
    <n v="324000"/>
    <n v="296.60061666666667"/>
  </r>
  <r>
    <x v="3"/>
    <x v="2"/>
    <n v="360000"/>
    <n v="740"/>
    <x v="1"/>
    <n v="5.4"/>
    <s v="14"/>
    <x v="1"/>
    <s v="No"/>
    <x v="1"/>
    <n v="486.48648648648651"/>
    <n v="1882.7702242958003"/>
    <n v="255231.06728874013"/>
    <n v="564831.06728874007"/>
    <n v="309600"/>
    <n v="296.60061666666667"/>
  </r>
  <r>
    <x v="8"/>
    <x v="3"/>
    <n v="820000"/>
    <n v="1680"/>
    <x v="0"/>
    <n v="6.1"/>
    <s v="20"/>
    <x v="3"/>
    <s v="Yes"/>
    <x v="2"/>
    <n v="488.09523809523807"/>
    <n v="4266.8077535436969"/>
    <n v="624042.3260631091"/>
    <n v="1280042.3260631091"/>
    <n v="656000"/>
    <n v="673.2006146341464"/>
  </r>
  <r>
    <x v="8"/>
    <x v="3"/>
    <n v="810000"/>
    <n v="1650"/>
    <x v="1"/>
    <n v="5.0999999999999996"/>
    <s v="20"/>
    <x v="3"/>
    <s v="Yes"/>
    <x v="2"/>
    <n v="490.90909090909093"/>
    <n v="3825.9933447300036"/>
    <n v="499798.00341900112"/>
    <n v="1147798.0034190011"/>
    <n v="648000"/>
    <n v="661.20061111111113"/>
  </r>
  <r>
    <x v="8"/>
    <x v="3"/>
    <n v="815000"/>
    <n v="1650"/>
    <x v="1"/>
    <n v="5"/>
    <s v="20"/>
    <x v="3"/>
    <s v="Yes"/>
    <x v="2"/>
    <n v="493.93939393939394"/>
    <n v="3811.5270706320239"/>
    <n v="491458.12118960707"/>
    <n v="1143458.1211896071"/>
    <n v="652000"/>
    <n v="661.20060736196319"/>
  </r>
  <r>
    <x v="8"/>
    <x v="3"/>
    <n v="810000"/>
    <n v="1620"/>
    <x v="0"/>
    <n v="6"/>
    <s v="20"/>
    <x v="3"/>
    <s v="Yes"/>
    <x v="2"/>
    <n v="500"/>
    <n v="4175.0730816260957"/>
    <n v="604521.92448782874"/>
    <n v="1252521.9244878287"/>
    <n v="648000"/>
    <n v="649.20060000000001"/>
  </r>
  <r>
    <x v="8"/>
    <x v="3"/>
    <n v="825000"/>
    <n v="1650"/>
    <x v="1"/>
    <n v="5"/>
    <s v="20"/>
    <x v="3"/>
    <s v="Yes"/>
    <x v="2"/>
    <n v="500"/>
    <n v="3858.294273952662"/>
    <n v="497488.28218579851"/>
    <n v="1157488.2821857985"/>
    <n v="660000"/>
    <n v="661.20060000000001"/>
  </r>
  <r>
    <x v="8"/>
    <x v="3"/>
    <n v="840000"/>
    <n v="1680"/>
    <x v="0"/>
    <n v="6.1"/>
    <s v="20"/>
    <x v="3"/>
    <s v="Yes"/>
    <x v="2"/>
    <n v="500"/>
    <n v="4370.876235337445"/>
    <n v="639262.87060123356"/>
    <n v="1311262.8706012336"/>
    <n v="672000"/>
    <n v="673.20060000000001"/>
  </r>
  <r>
    <x v="4"/>
    <x v="2"/>
    <n v="370000"/>
    <n v="740"/>
    <x v="1"/>
    <n v="5.3"/>
    <s v="18"/>
    <x v="2"/>
    <s v="No"/>
    <x v="1"/>
    <n v="500"/>
    <n v="1827.0784294410455"/>
    <n v="244723.52883231355"/>
    <n v="548123.5288323136"/>
    <n v="303400"/>
    <n v="296.9006"/>
  </r>
  <r>
    <x v="6"/>
    <x v="1"/>
    <n v="370000"/>
    <n v="740"/>
    <x v="1"/>
    <n v="5.3"/>
    <s v="10"/>
    <x v="1"/>
    <s v="No"/>
    <x v="0"/>
    <n v="500"/>
    <n v="2005.3299835328546"/>
    <n v="268598.99505985627"/>
    <n v="601598.99505985621"/>
    <n v="333000"/>
    <n v="296.60060000000004"/>
  </r>
  <r>
    <x v="8"/>
    <x v="3"/>
    <n v="805000"/>
    <n v="1600"/>
    <x v="1"/>
    <n v="5"/>
    <s v="20"/>
    <x v="3"/>
    <s v="Yes"/>
    <x v="2"/>
    <n v="503.125"/>
    <n v="3764.7598673113853"/>
    <n v="485427.96019341564"/>
    <n v="1129427.9601934156"/>
    <n v="644000"/>
    <n v="641.20059627329192"/>
  </r>
  <r>
    <x v="5"/>
    <x v="3"/>
    <n v="770000"/>
    <n v="1530"/>
    <x v="1"/>
    <n v="5.0999999999999996"/>
    <n v="22"/>
    <x v="2"/>
    <s v="Yes"/>
    <x v="1"/>
    <n v="503.26797385620915"/>
    <n v="3546.1290167358643"/>
    <n v="463238.70502075914"/>
    <n v="1063838.7050207593"/>
    <n v="600600"/>
    <n v="612.90059610389608"/>
  </r>
  <r>
    <x v="8"/>
    <x v="3"/>
    <n v="830000"/>
    <n v="1620"/>
    <x v="0"/>
    <n v="6"/>
    <s v="20"/>
    <x v="3"/>
    <s v="Yes"/>
    <x v="2"/>
    <n v="512.34567901234573"/>
    <n v="4278.1613058637768"/>
    <n v="619448.39175913297"/>
    <n v="1283448.391759133"/>
    <n v="664000"/>
    <n v="649.20058554216871"/>
  </r>
  <r>
    <x v="8"/>
    <x v="3"/>
    <n v="860000"/>
    <n v="1620"/>
    <x v="1"/>
    <n v="5.0999999999999996"/>
    <n v="20"/>
    <x v="3"/>
    <s v="Yes"/>
    <x v="2"/>
    <n v="530.8641975308642"/>
    <n v="4062.1657734170408"/>
    <n v="530649.73202511214"/>
    <n v="1218649.732025112"/>
    <n v="688000"/>
    <n v="649.20056511627911"/>
  </r>
  <r>
    <x v="7"/>
    <x v="1"/>
    <n v="400000"/>
    <n v="740"/>
    <x v="1"/>
    <n v="5.4"/>
    <s v="10"/>
    <x v="1"/>
    <s v="No"/>
    <x v="0"/>
    <n v="540.54054054054052"/>
    <n v="2189.2677026695351"/>
    <n v="296780.31080086058"/>
    <n v="656780.31080086064"/>
    <n v="360000"/>
    <n v="296.60055500000004"/>
  </r>
  <r>
    <x v="3"/>
    <x v="2"/>
    <n v="400000"/>
    <n v="740"/>
    <x v="1"/>
    <n v="5.2"/>
    <s v="15"/>
    <x v="1"/>
    <s v="No"/>
    <x v="1"/>
    <n v="540.54054054054052"/>
    <n v="2027.4251628366819"/>
    <n v="268227.54885100445"/>
    <n v="608227.54885100445"/>
    <n v="340000"/>
    <n v="296.60055500000004"/>
  </r>
  <r>
    <x v="8"/>
    <x v="3"/>
    <n v="900000"/>
    <n v="1650"/>
    <x v="1"/>
    <n v="5.0999999999999996"/>
    <n v="20"/>
    <x v="3"/>
    <s v="Yes"/>
    <x v="2"/>
    <n v="545.4545454545455"/>
    <n v="4251.1037163666706"/>
    <n v="555331.11491000117"/>
    <n v="1275331.1149100012"/>
    <n v="720000"/>
    <n v="661.20055000000002"/>
  </r>
  <r>
    <x v="8"/>
    <x v="0"/>
    <n v="470000"/>
    <n v="850"/>
    <x v="1"/>
    <n v="5"/>
    <s v="12"/>
    <x v="1"/>
    <s v="No"/>
    <x v="0"/>
    <n v="552.94117647058829"/>
    <n v="2417.8644116770015"/>
    <n v="311759.32350310043"/>
    <n v="725359.32350310043"/>
    <n v="413600"/>
    <n v="340.60054255319153"/>
  </r>
  <r>
    <x v="6"/>
    <x v="2"/>
    <n v="410000"/>
    <n v="740"/>
    <x v="1"/>
    <n v="5.2"/>
    <s v="15"/>
    <x v="2"/>
    <s v="No"/>
    <x v="1"/>
    <n v="554.05405405405406"/>
    <n v="2078.1107919075989"/>
    <n v="274933.23757227953"/>
    <n v="623433.23757227953"/>
    <n v="348500"/>
    <n v="296.90054146341458"/>
  </r>
  <r>
    <x v="7"/>
    <x v="1"/>
    <n v="410000"/>
    <n v="740"/>
    <x v="1"/>
    <n v="5.4"/>
    <s v="10"/>
    <x v="1"/>
    <s v="No"/>
    <x v="0"/>
    <n v="554.05405405405406"/>
    <n v="2243.9993952362734"/>
    <n v="304199.81857088202"/>
    <n v="673199.81857088208"/>
    <n v="369000"/>
    <n v="296.60054146341463"/>
  </r>
  <r>
    <x v="1"/>
    <x v="3"/>
    <n v="420000"/>
    <n v="740"/>
    <x v="1"/>
    <n v="5.4"/>
    <s v="20"/>
    <x v="2"/>
    <s v="Yes"/>
    <x v="1"/>
    <n v="567.56756756756761"/>
    <n v="2043.316522491566"/>
    <n v="276994.9567474699"/>
    <n v="612994.95674746996"/>
    <n v="336000"/>
    <n v="296.90052857142854"/>
  </r>
  <r>
    <x v="6"/>
    <x v="2"/>
    <n v="420000"/>
    <n v="740"/>
    <x v="1"/>
    <n v="5.2"/>
    <s v="15"/>
    <x v="2"/>
    <s v="No"/>
    <x v="1"/>
    <n v="567.56756756756761"/>
    <n v="2128.7964209785159"/>
    <n v="281638.9262935546"/>
    <n v="638638.9262935546"/>
    <n v="357000"/>
    <n v="296.90052857142854"/>
  </r>
  <r>
    <x v="8"/>
    <x v="3"/>
    <n v="920000"/>
    <n v="1620"/>
    <x v="1"/>
    <n v="5.0999999999999996"/>
    <n v="20"/>
    <x v="3"/>
    <s v="Yes"/>
    <x v="2"/>
    <n v="567.90123456790127"/>
    <n v="4345.5726878414853"/>
    <n v="567671.80635244562"/>
    <n v="1303671.8063524456"/>
    <n v="736000"/>
    <n v="649.20052826086965"/>
  </r>
  <r>
    <x v="8"/>
    <x v="3"/>
    <n v="950000"/>
    <n v="1650"/>
    <x v="1"/>
    <n v="5.0999999999999996"/>
    <n v="20"/>
    <x v="3"/>
    <s v="Yes"/>
    <x v="2"/>
    <n v="575.75757575757575"/>
    <n v="4487.2761450537082"/>
    <n v="586182.84351611242"/>
    <n v="1346182.8435161123"/>
    <n v="760000"/>
    <n v="661.20052105263164"/>
  </r>
  <r>
    <x v="1"/>
    <x v="3"/>
    <n v="430000"/>
    <n v="740"/>
    <x v="0"/>
    <n v="6.2"/>
    <s v="22"/>
    <x v="2"/>
    <s v="Yes"/>
    <x v="2"/>
    <n v="581.08108108108104"/>
    <n v="2202.1763504748565"/>
    <n v="325252.90514245693"/>
    <n v="660652.90514245699"/>
    <n v="335400"/>
    <n v="296.90051627906973"/>
  </r>
  <r>
    <x v="2"/>
    <x v="1"/>
    <n v="265000"/>
    <n v="450"/>
    <x v="1"/>
    <n v="4.5"/>
    <s v="10"/>
    <x v="2"/>
    <s v="No"/>
    <x v="0"/>
    <n v="588.88888888888891"/>
    <n v="1325.6604599393438"/>
    <n v="159198.13798180319"/>
    <n v="397698.13798180316"/>
    <n v="238500"/>
    <n v="180.90050943396227"/>
  </r>
  <r>
    <x v="1"/>
    <x v="1"/>
    <n v="265000"/>
    <n v="450"/>
    <x v="1"/>
    <n v="5.5"/>
    <n v="10"/>
    <x v="0"/>
    <s v="No"/>
    <x v="0"/>
    <n v="588.88888888888891"/>
    <n v="1464.5986690913066"/>
    <n v="200879.60072739198"/>
    <n v="439379.60072739201"/>
    <n v="238500"/>
    <n v="180.30050943396228"/>
  </r>
  <r>
    <x v="7"/>
    <x v="2"/>
    <n v="440000"/>
    <n v="740"/>
    <x v="0"/>
    <n v="6.1"/>
    <s v="15"/>
    <x v="2"/>
    <s v="No"/>
    <x v="1"/>
    <n v="594.59459459459458"/>
    <n v="2432.6007619288757"/>
    <n v="355780.22857866273"/>
    <n v="729780.22857866273"/>
    <n v="374000"/>
    <n v="296.90050454545451"/>
  </r>
  <r>
    <x v="5"/>
    <x v="2"/>
    <n v="440000"/>
    <n v="740"/>
    <x v="1"/>
    <n v="5.2"/>
    <s v="15"/>
    <x v="2"/>
    <s v="No"/>
    <x v="1"/>
    <n v="594.59459459459458"/>
    <n v="2230.1676791203499"/>
    <n v="295050.30373610486"/>
    <n v="669050.30373610486"/>
    <n v="374000"/>
    <n v="296.90050454545451"/>
  </r>
  <r>
    <x v="1"/>
    <x v="3"/>
    <n v="440000"/>
    <n v="740"/>
    <x v="0"/>
    <n v="6.2"/>
    <s v="20"/>
    <x v="2"/>
    <s v="Yes"/>
    <x v="2"/>
    <n v="594.59459459459458"/>
    <n v="2311.1689784351502"/>
    <n v="341350.6935305451"/>
    <n v="693350.6935305451"/>
    <n v="352000"/>
    <n v="296.90050454545451"/>
  </r>
  <r>
    <x v="6"/>
    <x v="1"/>
    <n v="300000"/>
    <n v="500"/>
    <x v="1"/>
    <n v="5.3"/>
    <s v="10"/>
    <x v="1"/>
    <s v="No"/>
    <x v="0"/>
    <n v="600"/>
    <n v="1625.9432298915037"/>
    <n v="217782.96896745113"/>
    <n v="487782.96896745113"/>
    <n v="270000"/>
    <n v="200.60049999999998"/>
  </r>
  <r>
    <x v="3"/>
    <x v="3"/>
    <n v="450000"/>
    <n v="740"/>
    <x v="1"/>
    <n v="5.3"/>
    <s v="22"/>
    <x v="2"/>
    <s v="Yes"/>
    <x v="2"/>
    <n v="608.10810810810813"/>
    <n v="2113.7261988589553"/>
    <n v="283117.85965768655"/>
    <n v="634117.85965768655"/>
    <n v="351000"/>
    <n v="296.90049333333332"/>
  </r>
  <r>
    <x v="5"/>
    <x v="2"/>
    <n v="450000"/>
    <n v="740"/>
    <x v="0"/>
    <n v="6.1"/>
    <s v="15"/>
    <x v="2"/>
    <s v="No"/>
    <x v="1"/>
    <n v="608.10810810810813"/>
    <n v="2487.8871428818047"/>
    <n v="363866.14286454138"/>
    <n v="746366.14286454138"/>
    <n v="382500"/>
    <n v="296.90049333333332"/>
  </r>
  <r>
    <x v="7"/>
    <x v="2"/>
    <n v="450000"/>
    <n v="740"/>
    <x v="0"/>
    <n v="6.1"/>
    <s v="15"/>
    <x v="2"/>
    <s v="No"/>
    <x v="1"/>
    <n v="608.10810810810813"/>
    <n v="2487.8871428818047"/>
    <n v="363866.14286454138"/>
    <n v="746366.14286454138"/>
    <n v="382500"/>
    <n v="296.90049333333332"/>
  </r>
  <r>
    <x v="8"/>
    <x v="3"/>
    <n v="792000"/>
    <n v="1300"/>
    <x v="1"/>
    <n v="5"/>
    <s v="20"/>
    <x v="3"/>
    <s v="Yes"/>
    <x v="2"/>
    <n v="609.23076923076928"/>
    <n v="3703.9625029945555"/>
    <n v="477588.75089836656"/>
    <n v="1111188.7508983666"/>
    <n v="633600"/>
    <n v="521.2004924242425"/>
  </r>
  <r>
    <x v="8"/>
    <x v="0"/>
    <n v="460000"/>
    <n v="750"/>
    <x v="1"/>
    <n v="5"/>
    <s v="5"/>
    <x v="1"/>
    <s v="No"/>
    <x v="0"/>
    <n v="613.33333333333337"/>
    <n v="2554.6584813898685"/>
    <n v="329397.54441696056"/>
    <n v="766397.54441696056"/>
    <n v="437000"/>
    <n v="300.60048913043482"/>
  </r>
  <r>
    <x v="8"/>
    <x v="3"/>
    <n v="795000"/>
    <n v="1290"/>
    <x v="1"/>
    <n v="5.0999999999999996"/>
    <s v="20"/>
    <x v="3"/>
    <s v="Yes"/>
    <x v="2"/>
    <n v="616.27906976744191"/>
    <n v="3755.1416161238922"/>
    <n v="490542.48483716766"/>
    <n v="1126542.4848371677"/>
    <n v="636000"/>
    <n v="517.20048679245292"/>
  </r>
  <r>
    <x v="5"/>
    <x v="2"/>
    <n v="460000"/>
    <n v="740"/>
    <x v="1"/>
    <n v="5.2"/>
    <s v="15"/>
    <x v="2"/>
    <s v="No"/>
    <x v="1"/>
    <n v="621.62162162162167"/>
    <n v="2331.5389372621844"/>
    <n v="308461.68117865513"/>
    <n v="699461.68117865513"/>
    <n v="391000"/>
    <n v="296.90048260869565"/>
  </r>
  <r>
    <x v="3"/>
    <x v="3"/>
    <n v="460000"/>
    <n v="740"/>
    <x v="1"/>
    <n v="5.3"/>
    <s v="22"/>
    <x v="2"/>
    <s v="Yes"/>
    <x v="2"/>
    <n v="621.62162162162167"/>
    <n v="2160.697892166932"/>
    <n v="289409.36765007948"/>
    <n v="648209.36765007954"/>
    <n v="358800"/>
    <n v="296.90048260869565"/>
  </r>
  <r>
    <x v="8"/>
    <x v="3"/>
    <n v="788000"/>
    <n v="1260"/>
    <x v="0"/>
    <n v="6.2"/>
    <s v="20"/>
    <x v="3"/>
    <s v="Yes"/>
    <x v="2"/>
    <n v="625.39682539682542"/>
    <n v="4139.093534106587"/>
    <n v="611328.06023197598"/>
    <n v="1241728.060231976"/>
    <n v="630400"/>
    <n v="505.20047969543145"/>
  </r>
  <r>
    <x v="7"/>
    <x v="2"/>
    <n v="480000"/>
    <n v="740"/>
    <x v="1"/>
    <n v="5.3"/>
    <s v="15"/>
    <x v="2"/>
    <s v="No"/>
    <x v="1"/>
    <n v="648.64864864864865"/>
    <n v="2456.9808807249387"/>
    <n v="329094.2642174816"/>
    <n v="737094.2642174816"/>
    <n v="408000"/>
    <n v="296.9004625"/>
  </r>
  <r>
    <x v="2"/>
    <x v="1"/>
    <n v="260000"/>
    <n v="400"/>
    <x v="1"/>
    <n v="5.4"/>
    <n v="10"/>
    <x v="0"/>
    <s v="No"/>
    <x v="0"/>
    <n v="650"/>
    <n v="1423.0240067351979"/>
    <n v="192907.20202055937"/>
    <n v="426907.20202055934"/>
    <n v="234000"/>
    <n v="160.30046153846155"/>
  </r>
  <r>
    <x v="1"/>
    <x v="1"/>
    <n v="260000"/>
    <n v="400"/>
    <x v="1"/>
    <n v="5.5"/>
    <n v="10"/>
    <x v="0"/>
    <s v="No"/>
    <x v="0"/>
    <n v="650"/>
    <n v="1436.9647319386402"/>
    <n v="197089.419581592"/>
    <n v="431089.41958159197"/>
    <n v="234000"/>
    <n v="160.30046153846155"/>
  </r>
  <r>
    <x v="8"/>
    <x v="3"/>
    <n v="785000"/>
    <n v="1200"/>
    <x v="0"/>
    <n v="6.1"/>
    <s v="18"/>
    <x v="2"/>
    <s v="Yes"/>
    <x v="2"/>
    <n v="654.16666666666663"/>
    <n v="4186.8051081647518"/>
    <n v="612341.53244942543"/>
    <n v="1256041.5324494254"/>
    <n v="643700"/>
    <n v="480.90045859872612"/>
  </r>
  <r>
    <x v="4"/>
    <x v="3"/>
    <n v="490000"/>
    <n v="740"/>
    <x v="1"/>
    <n v="5.2"/>
    <s v="22"/>
    <x v="2"/>
    <s v="Yes"/>
    <x v="2"/>
    <n v="662.16216216216219"/>
    <n v="2279.0644036358231"/>
    <n v="301519.32109074685"/>
    <n v="683719.3210907469"/>
    <n v="382200"/>
    <n v="296.90045306122448"/>
  </r>
  <r>
    <x v="7"/>
    <x v="2"/>
    <n v="490000"/>
    <n v="740"/>
    <x v="1"/>
    <n v="5.3"/>
    <s v="15"/>
    <x v="2"/>
    <s v="No"/>
    <x v="1"/>
    <n v="662.16216216216219"/>
    <n v="2508.1679824067091"/>
    <n v="335950.39472201263"/>
    <n v="752450.39472201257"/>
    <n v="416500"/>
    <n v="296.90045306122448"/>
  </r>
  <r>
    <x v="8"/>
    <x v="0"/>
    <n v="500000"/>
    <n v="740"/>
    <x v="0"/>
    <n v="6"/>
    <s v="10"/>
    <x v="1"/>
    <s v="No"/>
    <x v="0"/>
    <n v="675.67567567567562"/>
    <n v="2899.3563066847887"/>
    <n v="419806.89200543659"/>
    <n v="869806.89200543659"/>
    <n v="450000"/>
    <n v="296.60044400000004"/>
  </r>
  <r>
    <x v="4"/>
    <x v="3"/>
    <n v="500000"/>
    <n v="740"/>
    <x v="1"/>
    <n v="5.2"/>
    <s v="20"/>
    <x v="2"/>
    <s v="Yes"/>
    <x v="2"/>
    <n v="675.67567567567562"/>
    <n v="2385.2060739255085"/>
    <n v="315561.82217765239"/>
    <n v="715561.82217765239"/>
    <n v="400000"/>
    <n v="296.90044399999999"/>
  </r>
  <r>
    <x v="8"/>
    <x v="0"/>
    <n v="520000"/>
    <n v="740"/>
    <x v="0"/>
    <n v="6"/>
    <s v="10"/>
    <x v="1"/>
    <s v="No"/>
    <x v="0"/>
    <n v="702.70270270270271"/>
    <n v="3015.3305589521801"/>
    <n v="436599.16768565407"/>
    <n v="904599.16768565401"/>
    <n v="468000"/>
    <n v="296.60042692307695"/>
  </r>
  <r>
    <x v="1"/>
    <x v="1"/>
    <n v="255000"/>
    <n v="350"/>
    <x v="1"/>
    <n v="5.5"/>
    <n v="10"/>
    <x v="0"/>
    <s v="No"/>
    <x v="0"/>
    <n v="728.57142857142856"/>
    <n v="1409.3307947859744"/>
    <n v="193299.2384357923"/>
    <n v="422799.23843579227"/>
    <n v="229500"/>
    <n v="140.3004117647059"/>
  </r>
  <r>
    <x v="8"/>
    <x v="1"/>
    <n v="600000"/>
    <n v="740"/>
    <x v="1"/>
    <n v="5.0999999999999996"/>
    <s v="15"/>
    <x v="2"/>
    <s v="No"/>
    <x v="1"/>
    <n v="810.81081081081084"/>
    <n v="3011.198465759725"/>
    <n v="393359.53972791746"/>
    <n v="903359.53972791741"/>
    <n v="510000"/>
    <n v="296.90036999999995"/>
  </r>
  <r>
    <x v="8"/>
    <x v="1"/>
    <n v="600000"/>
    <n v="740"/>
    <x v="0"/>
    <n v="6.1"/>
    <s v="15"/>
    <x v="2"/>
    <s v="No"/>
    <x v="1"/>
    <n v="810.81081081081084"/>
    <n v="3317.1828571757396"/>
    <n v="485154.8571527219"/>
    <n v="995154.85715272184"/>
    <n v="510000"/>
    <n v="296.90036999999995"/>
  </r>
  <r>
    <x v="8"/>
    <x v="1"/>
    <n v="610000"/>
    <n v="740"/>
    <x v="1"/>
    <n v="5.0999999999999996"/>
    <s v="15"/>
    <x v="2"/>
    <s v="No"/>
    <x v="1"/>
    <n v="824.32432432432438"/>
    <n v="3061.3851068557206"/>
    <n v="399915.5320567161"/>
    <n v="918415.53205671604"/>
    <n v="518500"/>
    <n v="296.9003639344262"/>
  </r>
  <r>
    <x v="7"/>
    <x v="3"/>
    <n v="620000"/>
    <n v="740"/>
    <x v="1"/>
    <n v="5.3"/>
    <s v="22"/>
    <x v="3"/>
    <s v="Yes"/>
    <x v="2"/>
    <n v="837.83783783783781"/>
    <n v="2912.2449850945604"/>
    <n v="390073.4955283681"/>
    <n v="873673.49552836805"/>
    <n v="483600"/>
    <n v="297.20035806451614"/>
  </r>
  <r>
    <x v="7"/>
    <x v="3"/>
    <n v="620000"/>
    <n v="740"/>
    <x v="0"/>
    <n v="6"/>
    <s v="22"/>
    <x v="3"/>
    <s v="Yes"/>
    <x v="2"/>
    <n v="837.83783783783781"/>
    <n v="3115.8415775839194"/>
    <n v="451152.47327517584"/>
    <n v="934752.47327517578"/>
    <n v="483600"/>
    <n v="297.20035806451614"/>
  </r>
  <r>
    <x v="7"/>
    <x v="3"/>
    <n v="630000"/>
    <n v="740"/>
    <x v="1"/>
    <n v="5.3"/>
    <s v="22"/>
    <x v="3"/>
    <s v="Yes"/>
    <x v="2"/>
    <n v="851.35135135135135"/>
    <n v="2959.2166784025371"/>
    <n v="396365.00352076109"/>
    <n v="887765.00352076115"/>
    <n v="491400"/>
    <n v="297.20035238095238"/>
  </r>
  <r>
    <x v="7"/>
    <x v="0"/>
    <n v="315000"/>
    <n v="350"/>
    <x v="1"/>
    <n v="5.2"/>
    <n v="12"/>
    <x v="1"/>
    <s v="No"/>
    <x v="0"/>
    <n v="900"/>
    <n v="1652.9478092303773"/>
    <n v="218684.34276911308"/>
    <n v="495884.34276911308"/>
    <n v="277200"/>
    <n v="140.60033333333334"/>
  </r>
  <r>
    <x v="5"/>
    <x v="3"/>
    <n v="700000"/>
    <n v="740"/>
    <x v="1"/>
    <n v="5.0999999999999996"/>
    <s v="22"/>
    <x v="2"/>
    <s v="Yes"/>
    <x v="1"/>
    <n v="945.94594594594594"/>
    <n v="3223.7536515780585"/>
    <n v="421126.09547341755"/>
    <n v="967126.09547341755"/>
    <n v="546000"/>
    <n v="296.90031714285715"/>
  </r>
  <r>
    <x v="1"/>
    <x v="1"/>
    <n v="245000"/>
    <n v="250"/>
    <x v="1"/>
    <n v="5.5"/>
    <n v="10"/>
    <x v="0"/>
    <s v="No"/>
    <x v="0"/>
    <n v="980"/>
    <n v="1354.0629204806419"/>
    <n v="185718.87614419256"/>
    <n v="406218.87614419253"/>
    <n v="220500"/>
    <n v="100.30030612244897"/>
  </r>
  <r>
    <x v="7"/>
    <x v="3"/>
    <n v="590000"/>
    <n v="600"/>
    <x v="1"/>
    <n v="5.3"/>
    <s v="22"/>
    <x v="3"/>
    <s v="Yes"/>
    <x v="2"/>
    <n v="983.33333333333337"/>
    <n v="2771.3299051706299"/>
    <n v="371198.97155118891"/>
    <n v="831398.97155118897"/>
    <n v="460200"/>
    <n v="241.20030508474576"/>
  </r>
  <r>
    <x v="6"/>
    <x v="3"/>
    <n v="500000"/>
    <n v="450"/>
    <x v="1"/>
    <n v="5.0999999999999996"/>
    <s v="20"/>
    <x v="2"/>
    <s v="Yes"/>
    <x v="2"/>
    <n v="1111.1111111111111"/>
    <n v="2361.7242868703725"/>
    <n v="308517.28606111172"/>
    <n v="708517.28606111172"/>
    <n v="400000"/>
    <n v="180.90027000000001"/>
  </r>
  <r>
    <x v="4"/>
    <x v="3"/>
    <n v="460000"/>
    <n v="400"/>
    <x v="1"/>
    <n v="5.2"/>
    <s v="20"/>
    <x v="2"/>
    <s v="Yes"/>
    <x v="2"/>
    <n v="1150"/>
    <n v="2194.3895880114674"/>
    <n v="290316.87640344008"/>
    <n v="658316.87640344002"/>
    <n v="368000"/>
    <n v="160.90026086956522"/>
  </r>
  <r>
    <x v="3"/>
    <x v="0"/>
    <n v="230000"/>
    <n v="150"/>
    <x v="1"/>
    <n v="5.4"/>
    <n v="8"/>
    <x v="0"/>
    <s v="No"/>
    <x v="0"/>
    <n v="1533.3333333333333"/>
    <n v="1286.8029052357601"/>
    <n v="174440.87157072802"/>
    <n v="386040.87157072802"/>
    <n v="211600"/>
    <n v="60.300195652173912"/>
  </r>
  <r>
    <x v="8"/>
    <x v="1"/>
    <n v="575000"/>
    <n v="300"/>
    <x v="1"/>
    <n v="5.0999999999999996"/>
    <n v="15"/>
    <x v="2"/>
    <s v="No"/>
    <x v="1"/>
    <n v="1916.6666666666667"/>
    <n v="2885.7318630197365"/>
    <n v="376969.55890592095"/>
    <n v="865719.55890592095"/>
    <n v="488750"/>
    <n v="120.90015652173913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02">
  <r>
    <x v="0"/>
    <s v="Flat"/>
    <n v="175000"/>
    <n v="2200"/>
    <n v="2023"/>
    <n v="6.4"/>
    <s v="5"/>
    <x v="0"/>
    <s v="No"/>
    <s v="First Timer"/>
    <n v="79.545454545454547"/>
    <n v="1112.1657449891725"/>
    <n v="167399.7234967518"/>
    <n v="333649.7234967518"/>
    <n v="166250"/>
    <n v="880.30377142857139"/>
    <m/>
    <s v="1"/>
    <n v="880.34190476190474"/>
  </r>
  <r>
    <x v="1"/>
    <s v="Flat"/>
    <n v="190000"/>
    <n v="2380"/>
    <n v="2024"/>
    <n v="5.5"/>
    <s v="5"/>
    <x v="0"/>
    <s v="No"/>
    <s v="First Timer"/>
    <n v="79.831932773109244"/>
    <n v="1108.4279235680538"/>
    <n v="152028.37707041611"/>
    <n v="332528.37707041611"/>
    <n v="180500"/>
    <n v="952.3037578947368"/>
    <m/>
    <s v="1"/>
    <n v="952.34175438596492"/>
  </r>
  <r>
    <x v="0"/>
    <s v="Flat"/>
    <n v="225000"/>
    <n v="2800"/>
    <n v="2024"/>
    <n v="5.4"/>
    <s v="8"/>
    <x v="0"/>
    <s v="No"/>
    <s v="First Timer"/>
    <n v="80.357142857142861"/>
    <n v="1258.8289290349828"/>
    <n v="170648.67871049483"/>
    <n v="377648.67871049483"/>
    <n v="207000"/>
    <n v="1120.3037333333332"/>
    <m/>
    <s v="1"/>
    <n v="1120.3414814814814"/>
  </r>
  <r>
    <x v="0"/>
    <s v="Flat"/>
    <n v="230000"/>
    <n v="2850"/>
    <n v="2024"/>
    <n v="5.4"/>
    <s v="8"/>
    <x v="0"/>
    <s v="No"/>
    <s v="First Timer"/>
    <n v="80.701754385964918"/>
    <n v="1286.8029052357601"/>
    <n v="174440.87157072802"/>
    <n v="386040.87157072802"/>
    <n v="211600"/>
    <n v="1140.3037173913042"/>
    <m/>
    <s v="1"/>
    <n v="1140.3413043478261"/>
  </r>
  <r>
    <x v="1"/>
    <s v="Flat"/>
    <n v="194000"/>
    <n v="2400"/>
    <n v="2024"/>
    <n v="5.4"/>
    <s v="5"/>
    <x v="0"/>
    <s v="No"/>
    <s v="First Timer"/>
    <n v="80.833333333333329"/>
    <n v="1120.7834377833203"/>
    <n v="151935.03133499614"/>
    <n v="336235.03133499611"/>
    <n v="184300"/>
    <n v="960.30371134020618"/>
    <m/>
    <s v="1"/>
    <n v="960.34123711340203"/>
  </r>
  <r>
    <x v="0"/>
    <s v="Flat"/>
    <n v="235000"/>
    <n v="2900"/>
    <n v="2024"/>
    <n v="5.4"/>
    <s v="8"/>
    <x v="0"/>
    <s v="No"/>
    <s v="First Timer"/>
    <n v="81.034482758620683"/>
    <n v="1314.7768814365375"/>
    <n v="178233.06443096124"/>
    <n v="394433.06443096127"/>
    <n v="216200"/>
    <n v="1160.3037021276596"/>
    <m/>
    <s v="1"/>
    <n v="1160.3411347517731"/>
  </r>
  <r>
    <x v="0"/>
    <s v="Flat"/>
    <n v="236000"/>
    <n v="2910"/>
    <n v="2024"/>
    <n v="5.4"/>
    <s v="8"/>
    <x v="0"/>
    <s v="No"/>
    <s v="First Timer"/>
    <n v="81.099656357388312"/>
    <n v="1320.3716766766929"/>
    <n v="178991.50300300785"/>
    <n v="396111.50300300785"/>
    <n v="217120"/>
    <n v="1164.3036991525423"/>
    <m/>
    <s v="1"/>
    <n v="1164.3411016949151"/>
  </r>
  <r>
    <x v="0"/>
    <s v="Flat"/>
    <n v="220000"/>
    <n v="2700"/>
    <n v="2024"/>
    <n v="5.4"/>
    <s v="8"/>
    <x v="0"/>
    <s v="No"/>
    <s v="First Timer"/>
    <n v="81.481481481481481"/>
    <n v="1230.8549528342053"/>
    <n v="166856.48585026161"/>
    <n v="369256.48585026164"/>
    <n v="202400"/>
    <n v="1080.3036818181818"/>
    <m/>
    <s v="1"/>
    <n v="1080.340909090909"/>
  </r>
  <r>
    <x v="1"/>
    <s v="Flat"/>
    <n v="200000"/>
    <n v="2450"/>
    <n v="2024"/>
    <n v="5.4"/>
    <s v="5"/>
    <x v="0"/>
    <s v="No"/>
    <s v="First Timer"/>
    <n v="81.632653061224488"/>
    <n v="1155.446843075588"/>
    <n v="156634.05292267646"/>
    <n v="346634.05292267643"/>
    <n v="190000"/>
    <n v="980.303675"/>
    <m/>
    <s v="1"/>
    <n v="980.34083333333331"/>
  </r>
  <r>
    <x v="1"/>
    <s v="Flat"/>
    <n v="198000"/>
    <n v="2420"/>
    <n v="2023"/>
    <n v="6.6"/>
    <s v="5"/>
    <x v="0"/>
    <s v="No"/>
    <s v="First Timer"/>
    <n v="81.818181818181813"/>
    <n v="1281.8433761077576"/>
    <n v="196453.01283232722"/>
    <n v="384553.01283232722"/>
    <n v="188100"/>
    <n v="968.30366666666657"/>
    <m/>
    <s v="1"/>
    <n v="968.34074074074067"/>
  </r>
  <r>
    <x v="0"/>
    <s v="Flat"/>
    <n v="180000"/>
    <n v="2200"/>
    <n v="2023"/>
    <n v="6.4"/>
    <s v="5"/>
    <x v="0"/>
    <s v="No"/>
    <s v="First Timer"/>
    <n v="81.818181818181813"/>
    <n v="1143.9419091317204"/>
    <n v="172182.57273951615"/>
    <n v="343182.57273951615"/>
    <n v="171000"/>
    <n v="880.30366666666657"/>
    <m/>
    <s v="1"/>
    <n v="880.34074074074067"/>
  </r>
  <r>
    <x v="1"/>
    <s v="Flat"/>
    <n v="188000"/>
    <n v="2290"/>
    <n v="2023"/>
    <n v="6.5"/>
    <s v="5"/>
    <x v="0"/>
    <s v="No"/>
    <s v="First Timer"/>
    <n v="82.096069868995627"/>
    <n v="1205.9199901668844"/>
    <n v="183175.99705006531"/>
    <n v="361775.99705006531"/>
    <n v="178600"/>
    <n v="916.30365425531909"/>
    <m/>
    <s v="1"/>
    <n v="916.34060283687938"/>
  </r>
  <r>
    <x v="0"/>
    <s v="Flat"/>
    <n v="170000"/>
    <n v="2070"/>
    <n v="2024"/>
    <n v="5.4"/>
    <s v="8"/>
    <x v="0"/>
    <s v="No"/>
    <s v="First Timer"/>
    <n v="82.125603864734302"/>
    <n v="951.11519082643133"/>
    <n v="128934.55724792942"/>
    <n v="285334.55724792939"/>
    <n v="156400"/>
    <n v="828.30365294117644"/>
    <m/>
    <s v="1"/>
    <n v="828.34058823529404"/>
  </r>
  <r>
    <x v="0"/>
    <s v="Flat"/>
    <n v="218000"/>
    <n v="2650"/>
    <n v="2024"/>
    <n v="5.4"/>
    <s v="8"/>
    <x v="0"/>
    <s v="No"/>
    <s v="First Timer"/>
    <n v="82.264150943396231"/>
    <n v="1219.6653623538944"/>
    <n v="165339.60870616831"/>
    <n v="365899.60870616831"/>
    <n v="200560"/>
    <n v="1060.3036467889908"/>
    <m/>
    <s v="1"/>
    <n v="1060.3405198776759"/>
  </r>
  <r>
    <x v="0"/>
    <s v="Flat"/>
    <n v="172000"/>
    <n v="2090"/>
    <n v="2024"/>
    <n v="5.3"/>
    <s v="8"/>
    <x v="0"/>
    <s v="No"/>
    <s v="First Timer"/>
    <n v="82.296650717703344"/>
    <n v="952.9231729556725"/>
    <n v="127636.95188670175"/>
    <n v="285876.95188670175"/>
    <n v="158240"/>
    <n v="836.30364534883711"/>
    <m/>
    <s v="1"/>
    <n v="836.34050387596892"/>
  </r>
  <r>
    <x v="1"/>
    <s v="Flat"/>
    <n v="205000"/>
    <n v="2480"/>
    <n v="2023"/>
    <n v="6.5"/>
    <s v="5"/>
    <x v="0"/>
    <s v="No"/>
    <s v="First Timer"/>
    <n v="82.661290322580641"/>
    <n v="1314.9659467245281"/>
    <n v="199739.78401735844"/>
    <n v="394489.78401735844"/>
    <n v="194750"/>
    <n v="992.30362926829264"/>
    <m/>
    <s v="1"/>
    <n v="992.34032520325195"/>
  </r>
  <r>
    <x v="0"/>
    <s v="Flat"/>
    <n v="215000"/>
    <n v="2600"/>
    <n v="2024"/>
    <n v="5.4"/>
    <s v="8"/>
    <x v="0"/>
    <s v="No"/>
    <s v="First Timer"/>
    <n v="82.692307692307693"/>
    <n v="1202.8809766334277"/>
    <n v="163064.29299002836"/>
    <n v="360864.29299002839"/>
    <n v="197800"/>
    <n v="1040.3036279069768"/>
    <m/>
    <s v="1"/>
    <n v="1040.3403100775192"/>
  </r>
  <r>
    <x v="0"/>
    <s v="Flat"/>
    <n v="212000"/>
    <n v="2550"/>
    <n v="2024"/>
    <n v="5.4"/>
    <s v="8"/>
    <x v="0"/>
    <s v="No"/>
    <s v="First Timer"/>
    <n v="83.137254901960787"/>
    <n v="1186.0965909129616"/>
    <n v="160788.97727388848"/>
    <n v="355828.97727388848"/>
    <n v="195040"/>
    <n v="1020.303608490566"/>
    <m/>
    <s v="1"/>
    <n v="1020.3400943396226"/>
  </r>
  <r>
    <x v="0"/>
    <s v="Flat"/>
    <n v="178000"/>
    <n v="2140"/>
    <n v="2024"/>
    <n v="5.4"/>
    <s v="8"/>
    <x v="0"/>
    <s v="No"/>
    <s v="First Timer"/>
    <n v="83.177570093457945"/>
    <n v="995.87355274767526"/>
    <n v="135002.06582430258"/>
    <n v="298762.06582430261"/>
    <n v="163760"/>
    <n v="856.30360674157293"/>
    <m/>
    <s v="1"/>
    <n v="856.34007490636702"/>
  </r>
  <r>
    <x v="2"/>
    <s v="Flat"/>
    <n v="205000"/>
    <n v="2460"/>
    <n v="2024"/>
    <n v="5.4"/>
    <s v="5"/>
    <x v="0"/>
    <s v="No"/>
    <s v="First Timer"/>
    <n v="83.333333333333329"/>
    <n v="1184.3330141524777"/>
    <n v="160549.9042457433"/>
    <n v="355299.9042457433"/>
    <n v="194750"/>
    <n v="984.30359999999996"/>
    <m/>
    <s v="1"/>
    <n v="984.33999999999992"/>
  </r>
  <r>
    <x v="0"/>
    <s v="Flat"/>
    <n v="180000"/>
    <n v="2160"/>
    <n v="2023"/>
    <n v="6.4"/>
    <s v="8"/>
    <x v="0"/>
    <s v="No"/>
    <s v="First Timer"/>
    <n v="83.333333333333329"/>
    <n v="1107.8174277907185"/>
    <n v="166745.22833721561"/>
    <n v="332345.22833721561"/>
    <n v="165600"/>
    <n v="864.30359999999996"/>
    <m/>
    <s v="1"/>
    <n v="864.33999999999992"/>
  </r>
  <r>
    <x v="0"/>
    <s v="Flat"/>
    <n v="190000"/>
    <n v="2280"/>
    <n v="2024"/>
    <n v="5.4"/>
    <s v="8"/>
    <x v="0"/>
    <s v="No"/>
    <s v="First Timer"/>
    <n v="83.333333333333329"/>
    <n v="1063.0110956295409"/>
    <n v="144103.3286888623"/>
    <n v="318903.32868886227"/>
    <n v="174800"/>
    <n v="912.30359999999996"/>
    <m/>
    <s v="1"/>
    <n v="912.33999999999992"/>
  </r>
  <r>
    <x v="0"/>
    <s v="Flat"/>
    <n v="182000"/>
    <n v="2180"/>
    <n v="2024"/>
    <n v="5.4"/>
    <s v="8"/>
    <x v="0"/>
    <s v="No"/>
    <s v="First Timer"/>
    <n v="83.486238532110093"/>
    <n v="1018.2527337082971"/>
    <n v="138035.82011248913"/>
    <n v="305475.82011248916"/>
    <n v="167440"/>
    <n v="872.30359340659334"/>
    <m/>
    <s v="1"/>
    <n v="872.33992673992668"/>
  </r>
  <r>
    <x v="0"/>
    <s v="Flat"/>
    <n v="188000"/>
    <n v="2250"/>
    <n v="2024"/>
    <n v="5.4"/>
    <s v="8"/>
    <x v="0"/>
    <s v="No"/>
    <s v="First Timer"/>
    <n v="83.555555555555557"/>
    <n v="1051.82150514923"/>
    <n v="142586.45154476902"/>
    <n v="315546.45154476899"/>
    <n v="172960"/>
    <n v="900.30359042553187"/>
    <m/>
    <s v="1"/>
    <n v="900.33989361702118"/>
  </r>
  <r>
    <x v="0"/>
    <s v="Flat"/>
    <n v="180000"/>
    <n v="2150"/>
    <n v="2024"/>
    <n v="5.4"/>
    <n v="8"/>
    <x v="0"/>
    <s v="No"/>
    <s v="First Timer"/>
    <n v="83.720930232558146"/>
    <n v="1007.0631432279862"/>
    <n v="136518.94296839586"/>
    <n v="302118.94296839589"/>
    <n v="165600"/>
    <n v="860.30358333333334"/>
    <m/>
    <s v="1"/>
    <n v="860.33981481481476"/>
  </r>
  <r>
    <x v="0"/>
    <s v="Flat"/>
    <n v="166000"/>
    <n v="1980"/>
    <n v="2023"/>
    <n v="6.4"/>
    <s v="8"/>
    <x v="0"/>
    <s v="No"/>
    <s v="First Timer"/>
    <n v="83.838383838383834"/>
    <n v="1021.6538500736627"/>
    <n v="153776.15502209886"/>
    <n v="306496.15502209886"/>
    <n v="152720"/>
    <n v="792.30357831325296"/>
    <m/>
    <s v="1"/>
    <n v="792.33975903614453"/>
  </r>
  <r>
    <x v="1"/>
    <s v="Flat"/>
    <n v="210000"/>
    <n v="2500"/>
    <n v="2024"/>
    <n v="5.4"/>
    <s v="5"/>
    <x v="0"/>
    <s v="No"/>
    <s v="First Timer"/>
    <n v="84"/>
    <n v="1213.2191852293674"/>
    <n v="164465.75556881024"/>
    <n v="363965.75556881027"/>
    <n v="199500"/>
    <n v="1000.3035714285713"/>
    <m/>
    <s v="1"/>
    <n v="1000.3396825396825"/>
  </r>
  <r>
    <x v="0"/>
    <s v="Flat"/>
    <n v="210000"/>
    <n v="2500"/>
    <n v="2024"/>
    <n v="5.4"/>
    <s v="8"/>
    <x v="0"/>
    <s v="No"/>
    <s v="First Timer"/>
    <n v="84"/>
    <n v="1174.9070004326504"/>
    <n v="159272.10012979517"/>
    <n v="352472.10012979514"/>
    <n v="193200"/>
    <n v="1000.3035714285713"/>
    <m/>
    <s v="1"/>
    <n v="1000.3396825396825"/>
  </r>
  <r>
    <x v="0"/>
    <s v="Flat"/>
    <n v="185000"/>
    <n v="2200"/>
    <n v="2023"/>
    <n v="6.4"/>
    <s v="5"/>
    <x v="0"/>
    <s v="No"/>
    <s v="First Timer"/>
    <n v="84.090909090909093"/>
    <n v="1175.7180732742681"/>
    <n v="176965.42198228047"/>
    <n v="352715.42198228044"/>
    <n v="175750"/>
    <n v="880.30356756756748"/>
    <m/>
    <s v="1"/>
    <n v="880.33963963963959"/>
  </r>
  <r>
    <x v="0"/>
    <s v="Flat"/>
    <n v="185000"/>
    <n v="2200"/>
    <n v="2024"/>
    <n v="5.4"/>
    <s v="8"/>
    <x v="0"/>
    <s v="No"/>
    <s v="First Timer"/>
    <n v="84.090909090909093"/>
    <n v="1035.0371194287636"/>
    <n v="140311.13582862908"/>
    <n v="310511.13582862908"/>
    <n v="170200"/>
    <n v="880.30356756756748"/>
    <m/>
    <s v="1"/>
    <n v="880.33963963963959"/>
  </r>
  <r>
    <x v="0"/>
    <s v="Flat"/>
    <n v="190000"/>
    <n v="2250"/>
    <n v="2024"/>
    <n v="5.4"/>
    <s v="8"/>
    <x v="0"/>
    <s v="No"/>
    <s v="First Timer"/>
    <n v="84.444444444444443"/>
    <n v="1063.0110956295409"/>
    <n v="144103.3286888623"/>
    <n v="318903.32868886227"/>
    <n v="174800"/>
    <n v="900.3035526315789"/>
    <m/>
    <s v="1"/>
    <n v="900.33947368421047"/>
  </r>
  <r>
    <x v="2"/>
    <s v="Flat"/>
    <n v="210000"/>
    <n v="2480"/>
    <n v="2024"/>
    <n v="5.4"/>
    <s v="5"/>
    <x v="0"/>
    <s v="No"/>
    <s v="First Timer"/>
    <n v="84.677419354838705"/>
    <n v="1213.2191852293674"/>
    <n v="164465.75556881024"/>
    <n v="363965.75556881027"/>
    <n v="199500"/>
    <n v="992.30354285714282"/>
    <m/>
    <s v="1"/>
    <n v="992.33936507936505"/>
  </r>
  <r>
    <x v="1"/>
    <s v="Flat"/>
    <n v="205000"/>
    <n v="2420"/>
    <n v="2023"/>
    <n v="6.6"/>
    <s v="5"/>
    <x v="0"/>
    <s v="No"/>
    <s v="First Timer"/>
    <n v="84.710743801652896"/>
    <n v="1327.1610712226784"/>
    <n v="203398.32136680343"/>
    <n v="398148.32136680343"/>
    <n v="194750"/>
    <n v="968.3035414634146"/>
    <m/>
    <s v="1"/>
    <n v="968.33934959349585"/>
  </r>
  <r>
    <x v="0"/>
    <s v="Flat"/>
    <n v="195000"/>
    <n v="2300"/>
    <n v="2023"/>
    <n v="6.4"/>
    <s v="8"/>
    <x v="0"/>
    <s v="No"/>
    <s v="First Timer"/>
    <n v="84.782608695652172"/>
    <n v="1200.1355467732785"/>
    <n v="180640.66403198353"/>
    <n v="360040.66403198353"/>
    <n v="179400"/>
    <n v="920.30353846153844"/>
    <m/>
    <s v="1"/>
    <n v="920.33931623931619"/>
  </r>
  <r>
    <x v="0"/>
    <s v="Flat"/>
    <n v="195000"/>
    <n v="2300"/>
    <n v="2024"/>
    <n v="5.4"/>
    <s v="8"/>
    <x v="0"/>
    <s v="No"/>
    <s v="First Timer"/>
    <n v="84.782608695652172"/>
    <n v="1090.9850718303185"/>
    <n v="147895.52154909552"/>
    <n v="327295.52154909552"/>
    <n v="179400"/>
    <n v="920.30353846153844"/>
    <m/>
    <s v="1"/>
    <n v="920.33931623931619"/>
  </r>
  <r>
    <x v="2"/>
    <s v="Flat"/>
    <n v="212000"/>
    <n v="2500"/>
    <n v="2023"/>
    <n v="6.4"/>
    <s v="5"/>
    <x v="0"/>
    <s v="No"/>
    <s v="First Timer"/>
    <n v="84.8"/>
    <n v="1347.3093596440262"/>
    <n v="202792.80789320791"/>
    <n v="404192.80789320788"/>
    <n v="201400"/>
    <n v="1000.303537735849"/>
    <m/>
    <s v="1"/>
    <n v="1000.3393081761005"/>
  </r>
  <r>
    <x v="0"/>
    <s v="Flat"/>
    <n v="200000"/>
    <n v="2350"/>
    <n v="2023"/>
    <n v="6.4"/>
    <s v="5"/>
    <x v="0"/>
    <s v="No"/>
    <s v="First Timer"/>
    <n v="85.106382978723403"/>
    <n v="1271.0465657019113"/>
    <n v="191313.96971057344"/>
    <n v="381313.96971057344"/>
    <n v="190000"/>
    <n v="940.30352499999992"/>
    <m/>
    <s v="1"/>
    <n v="940.33916666666664"/>
  </r>
  <r>
    <x v="0"/>
    <s v="Flat"/>
    <n v="200000"/>
    <n v="2350"/>
    <n v="2024"/>
    <n v="5.4"/>
    <s v="8"/>
    <x v="0"/>
    <s v="No"/>
    <s v="First Timer"/>
    <n v="85.106382978723403"/>
    <n v="1118.9590480310958"/>
    <n v="151687.71440932879"/>
    <n v="335687.71440932876"/>
    <n v="184000"/>
    <n v="940.30352499999992"/>
    <m/>
    <s v="1"/>
    <n v="940.33916666666664"/>
  </r>
  <r>
    <x v="2"/>
    <s v="Flat"/>
    <n v="207000"/>
    <n v="2430"/>
    <n v="2023"/>
    <n v="6.4"/>
    <s v="5"/>
    <x v="0"/>
    <s v="No"/>
    <s v="First Timer"/>
    <n v="85.18518518518519"/>
    <n v="1315.5331955014783"/>
    <n v="198009.95865044359"/>
    <n v="394659.95865044359"/>
    <n v="196650"/>
    <n v="972.30352173913036"/>
    <m/>
    <s v="1"/>
    <n v="972.33913043478253"/>
  </r>
  <r>
    <x v="2"/>
    <s v="Flat"/>
    <n v="215000"/>
    <n v="2520"/>
    <n v="2024"/>
    <n v="5.4"/>
    <s v="5"/>
    <x v="0"/>
    <s v="No"/>
    <s v="First Timer"/>
    <n v="85.317460317460316"/>
    <n v="1242.1053563062569"/>
    <n v="168381.60689187711"/>
    <n v="372631.60689187713"/>
    <n v="204250"/>
    <n v="1008.3035162790698"/>
    <m/>
    <s v="1"/>
    <n v="1008.3390697674419"/>
  </r>
  <r>
    <x v="1"/>
    <s v="Flat"/>
    <n v="215000"/>
    <n v="2520"/>
    <n v="2023"/>
    <n v="6.5"/>
    <s v="5"/>
    <x v="0"/>
    <s v="No"/>
    <s v="First Timer"/>
    <n v="85.317460317460316"/>
    <n v="1379.1106270525538"/>
    <n v="209483.18811576618"/>
    <n v="413733.18811576616"/>
    <n v="204250"/>
    <n v="1008.3035162790698"/>
    <m/>
    <s v="1"/>
    <n v="1008.3390697674419"/>
  </r>
  <r>
    <x v="0"/>
    <s v="Flat"/>
    <n v="205000"/>
    <n v="2400"/>
    <n v="2024"/>
    <n v="5.4"/>
    <s v="8"/>
    <x v="0"/>
    <s v="No"/>
    <s v="First Timer"/>
    <n v="85.416666666666671"/>
    <n v="1146.9330242318731"/>
    <n v="155479.90726956195"/>
    <n v="344079.90726956195"/>
    <n v="188600"/>
    <n v="960.30351219512193"/>
    <m/>
    <s v="1"/>
    <n v="960.33902439024382"/>
  </r>
  <r>
    <x v="2"/>
    <s v="Flat"/>
    <n v="218000"/>
    <n v="2550"/>
    <n v="2023"/>
    <n v="6.4"/>
    <s v="5"/>
    <x v="0"/>
    <s v="No"/>
    <s v="First Timer"/>
    <n v="85.490196078431367"/>
    <n v="1385.4407566150835"/>
    <n v="208532.2269845251"/>
    <n v="415632.2269845251"/>
    <n v="207100"/>
    <n v="1020.3035091743119"/>
    <m/>
    <s v="1"/>
    <n v="1020.338990825688"/>
  </r>
  <r>
    <x v="0"/>
    <s v="Flat"/>
    <n v="185000"/>
    <n v="2160"/>
    <n v="2023"/>
    <n v="6.4"/>
    <s v="8"/>
    <x v="0"/>
    <s v="No"/>
    <s v="First Timer"/>
    <n v="85.648148148148152"/>
    <n v="1138.5901341182387"/>
    <n v="171377.04023547159"/>
    <n v="341577.04023547156"/>
    <n v="170200"/>
    <n v="864.30350270270264"/>
    <m/>
    <s v="1"/>
    <n v="864.33891891891892"/>
  </r>
  <r>
    <x v="0"/>
    <s v="Flat"/>
    <n v="210000"/>
    <n v="2450"/>
    <n v="2024"/>
    <n v="5.4"/>
    <s v="8"/>
    <x v="0"/>
    <s v="No"/>
    <s v="First Timer"/>
    <n v="85.714285714285708"/>
    <n v="1174.9070004326504"/>
    <n v="159272.10012979517"/>
    <n v="352472.10012979514"/>
    <n v="193200"/>
    <n v="980.30349999999999"/>
    <m/>
    <s v="1"/>
    <n v="980.33888888888885"/>
  </r>
  <r>
    <x v="1"/>
    <s v="Flat"/>
    <n v="210000"/>
    <n v="2450"/>
    <n v="2024"/>
    <n v="5.4"/>
    <s v="5"/>
    <x v="0"/>
    <s v="No"/>
    <s v="First Timer"/>
    <n v="85.714285714285708"/>
    <n v="1213.2191852293674"/>
    <n v="164465.75556881024"/>
    <n v="363965.75556881027"/>
    <n v="199500"/>
    <n v="980.30349999999999"/>
    <m/>
    <s v="1"/>
    <n v="980.33888888888885"/>
  </r>
  <r>
    <x v="1"/>
    <s v="Flat"/>
    <n v="220000"/>
    <n v="2550"/>
    <n v="2024"/>
    <n v="5.4"/>
    <s v="5"/>
    <x v="0"/>
    <s v="No"/>
    <s v="First Timer"/>
    <n v="86.274509803921575"/>
    <n v="1270.9915273831468"/>
    <n v="172297.45821494405"/>
    <n v="381297.45821494405"/>
    <n v="209000"/>
    <n v="1020.3034772727273"/>
    <m/>
    <s v="1"/>
    <n v="1020.3386363636363"/>
  </r>
  <r>
    <x v="0"/>
    <s v="Flat"/>
    <n v="185000"/>
    <n v="2140"/>
    <n v="2024"/>
    <n v="5.4"/>
    <s v="8"/>
    <x v="0"/>
    <s v="No"/>
    <s v="First Timer"/>
    <n v="86.44859813084112"/>
    <n v="1035.0371194287636"/>
    <n v="140311.13582862908"/>
    <n v="310511.13582862908"/>
    <n v="170200"/>
    <n v="856.30347027027028"/>
    <m/>
    <s v="1"/>
    <n v="856.33855855855847"/>
  </r>
  <r>
    <x v="2"/>
    <s v="Flat"/>
    <n v="225000"/>
    <n v="2600"/>
    <n v="2024"/>
    <n v="5.4"/>
    <s v="5"/>
    <x v="0"/>
    <s v="No"/>
    <s v="First Timer"/>
    <n v="86.538461538461533"/>
    <n v="1299.8776984600365"/>
    <n v="176213.30953801097"/>
    <n v="389963.30953801097"/>
    <n v="213750"/>
    <n v="1040.3034666666665"/>
    <m/>
    <s v="1"/>
    <n v="1040.3385185185184"/>
  </r>
  <r>
    <x v="2"/>
    <s v="Flat"/>
    <n v="230000"/>
    <n v="2650"/>
    <n v="2023"/>
    <n v="6.4"/>
    <s v="5"/>
    <x v="0"/>
    <s v="No"/>
    <s v="First Timer"/>
    <n v="86.79245283018868"/>
    <n v="1461.7035505571982"/>
    <n v="220011.06516715951"/>
    <n v="438511.06516715954"/>
    <n v="218500"/>
    <n v="1060.303456521739"/>
    <m/>
    <s v="1"/>
    <n v="1060.3384057971014"/>
  </r>
  <r>
    <x v="1"/>
    <s v="Flat"/>
    <n v="230000"/>
    <n v="2650"/>
    <n v="2024"/>
    <n v="5.4"/>
    <s v="5"/>
    <x v="0"/>
    <s v="No"/>
    <s v="First Timer"/>
    <n v="86.79245283018868"/>
    <n v="1328.7638695369262"/>
    <n v="180129.16086107795"/>
    <n v="398629.16086107795"/>
    <n v="218500"/>
    <n v="1060.303456521739"/>
    <m/>
    <s v="1"/>
    <n v="1060.3384057971014"/>
  </r>
  <r>
    <x v="1"/>
    <s v="Flat"/>
    <n v="235000"/>
    <n v="2700"/>
    <n v="2023"/>
    <n v="6.5"/>
    <s v="5"/>
    <x v="0"/>
    <s v="No"/>
    <s v="First Timer"/>
    <n v="87.037037037037038"/>
    <n v="1507.3999877086053"/>
    <n v="228969.99631258161"/>
    <n v="452219.99631258158"/>
    <n v="223250"/>
    <n v="1080.3034468085107"/>
    <m/>
    <s v="1"/>
    <n v="1080.3382978723405"/>
  </r>
  <r>
    <x v="2"/>
    <s v="Flat"/>
    <n v="218000"/>
    <n v="2500"/>
    <n v="2023"/>
    <n v="6.4"/>
    <s v="5"/>
    <x v="0"/>
    <s v="No"/>
    <s v="First Timer"/>
    <n v="87.2"/>
    <n v="1385.4407566150835"/>
    <n v="208532.2269845251"/>
    <n v="415632.2269845251"/>
    <n v="207100"/>
    <n v="1000.3034403669724"/>
    <m/>
    <s v="1"/>
    <n v="1000.3382262996942"/>
  </r>
  <r>
    <x v="2"/>
    <s v="Flat"/>
    <n v="220000"/>
    <n v="2520"/>
    <n v="2024"/>
    <n v="5.4"/>
    <s v="5"/>
    <x v="0"/>
    <s v="No"/>
    <s v="First Timer"/>
    <n v="87.301587301587304"/>
    <n v="1270.9915273831468"/>
    <n v="172297.45821494405"/>
    <n v="381297.45821494405"/>
    <n v="209000"/>
    <n v="1008.3034363636364"/>
    <m/>
    <s v="1"/>
    <n v="1008.3381818181817"/>
  </r>
  <r>
    <x v="2"/>
    <s v="Flat"/>
    <n v="235000"/>
    <n v="2680"/>
    <n v="2024"/>
    <n v="5.4"/>
    <s v="5"/>
    <x v="0"/>
    <s v="No"/>
    <s v="First Timer"/>
    <n v="87.68656716417911"/>
    <n v="1357.6500406138157"/>
    <n v="184045.01218414475"/>
    <n v="407295.01218414475"/>
    <n v="223250"/>
    <n v="1072.3034212765956"/>
    <m/>
    <s v="1"/>
    <n v="1072.338014184397"/>
  </r>
  <r>
    <x v="2"/>
    <s v="Flat"/>
    <n v="225000"/>
    <n v="2550"/>
    <n v="2023"/>
    <n v="6.4"/>
    <s v="5"/>
    <x v="0"/>
    <s v="No"/>
    <s v="First Timer"/>
    <n v="88.235294117647058"/>
    <n v="1429.9273864146505"/>
    <n v="215228.21592439522"/>
    <n v="428978.21592439525"/>
    <n v="213750"/>
    <n v="1020.3034"/>
    <m/>
    <s v="1"/>
    <n v="1020.3377777777778"/>
  </r>
  <r>
    <x v="1"/>
    <s v="Flat"/>
    <n v="220000"/>
    <n v="2480"/>
    <n v="2023"/>
    <n v="6.5"/>
    <s v="5"/>
    <x v="0"/>
    <s v="No"/>
    <s v="First Timer"/>
    <n v="88.709677419354833"/>
    <n v="1411.1829672165668"/>
    <n v="214354.89016496998"/>
    <n v="423354.89016496995"/>
    <n v="209000"/>
    <n v="992.30338181818172"/>
    <m/>
    <s v="1"/>
    <n v="992.33757575757568"/>
  </r>
  <r>
    <x v="2"/>
    <s v="Flat"/>
    <n v="245000"/>
    <n v="2750"/>
    <n v="2024"/>
    <n v="5.4"/>
    <s v="5"/>
    <x v="0"/>
    <s v="No"/>
    <s v="First Timer"/>
    <n v="89.090909090909093"/>
    <n v="1415.4223827675953"/>
    <n v="191876.71483027862"/>
    <n v="424626.71483027865"/>
    <n v="232750"/>
    <n v="1100.3033673469388"/>
    <m/>
    <s v="1"/>
    <n v="1100.3374149659865"/>
  </r>
  <r>
    <x v="2"/>
    <s v="Flat"/>
    <n v="250000"/>
    <n v="2800"/>
    <n v="2023"/>
    <n v="6.4"/>
    <s v="5"/>
    <x v="0"/>
    <s v="No"/>
    <s v="First Timer"/>
    <n v="89.285714285714292"/>
    <n v="1588.8082071273891"/>
    <n v="239142.46213821683"/>
    <n v="476642.46213821683"/>
    <n v="237500"/>
    <n v="1120.3033599999999"/>
    <m/>
    <s v="1"/>
    <n v="1120.3373333333334"/>
  </r>
  <r>
    <x v="0"/>
    <s v="Flat"/>
    <n v="168000"/>
    <n v="1880"/>
    <n v="2024"/>
    <n v="5.3"/>
    <s v="5"/>
    <x v="0"/>
    <s v="No"/>
    <s v="First Timer"/>
    <n v="89.361702127659569"/>
    <n v="961.11310922475559"/>
    <n v="128733.93276742662"/>
    <n v="288333.9327674266"/>
    <n v="159600"/>
    <n v="752.30335714285707"/>
    <m/>
    <s v="1"/>
    <n v="752.33730158730157"/>
  </r>
  <r>
    <x v="0"/>
    <s v="Flat"/>
    <n v="195000"/>
    <n v="2180"/>
    <n v="2024"/>
    <n v="5.4"/>
    <s v="8"/>
    <x v="0"/>
    <s v="No"/>
    <s v="First Timer"/>
    <n v="89.449541284403665"/>
    <n v="1090.9850718303185"/>
    <n v="147895.52154909552"/>
    <n v="327295.52154909552"/>
    <n v="179400"/>
    <n v="872.30335384615375"/>
    <m/>
    <s v="1"/>
    <n v="872.33726495726489"/>
  </r>
  <r>
    <x v="2"/>
    <s v="Flat"/>
    <n v="255000"/>
    <n v="2850"/>
    <n v="2023"/>
    <n v="6.4"/>
    <s v="5"/>
    <x v="0"/>
    <s v="No"/>
    <s v="First Timer"/>
    <n v="89.473684210526315"/>
    <n v="1620.584371269937"/>
    <n v="243925.31138098118"/>
    <n v="486175.31138098118"/>
    <n v="242250"/>
    <n v="1140.3033529411764"/>
    <m/>
    <s v="1"/>
    <n v="1140.3372549019607"/>
  </r>
  <r>
    <x v="3"/>
    <s v="Flat"/>
    <n v="270000"/>
    <n v="2750"/>
    <n v="2024"/>
    <n v="5.4"/>
    <s v="8"/>
    <x v="0"/>
    <s v="No"/>
    <s v="First Timer"/>
    <n v="98.181818181818187"/>
    <n v="1510.5947148419793"/>
    <n v="204778.41445259377"/>
    <n v="453178.41445259377"/>
    <n v="248400"/>
    <n v="1100.3030555555556"/>
    <m/>
    <s v="1"/>
    <n v="1100.333950617284"/>
  </r>
  <r>
    <x v="3"/>
    <s v="Flat"/>
    <n v="275000"/>
    <n v="2800"/>
    <n v="2024"/>
    <n v="5.4"/>
    <s v="8"/>
    <x v="0"/>
    <s v="No"/>
    <s v="First Timer"/>
    <n v="98.214285714285708"/>
    <n v="1538.5686910427567"/>
    <n v="208570.60731282708"/>
    <n v="461570.60731282708"/>
    <n v="253000"/>
    <n v="1120.3030545454544"/>
    <m/>
    <s v="1"/>
    <n v="1120.3339393939393"/>
  </r>
  <r>
    <x v="3"/>
    <s v="Flat"/>
    <n v="280000"/>
    <n v="2850"/>
    <n v="2024"/>
    <n v="5.4"/>
    <s v="8"/>
    <x v="0"/>
    <s v="No"/>
    <s v="First Timer"/>
    <n v="98.245614035087726"/>
    <n v="1566.542667243534"/>
    <n v="212362.80017306024"/>
    <n v="469962.80017306027"/>
    <n v="257600"/>
    <n v="1140.3030535714286"/>
    <m/>
    <s v="1"/>
    <n v="1140.3339285714285"/>
  </r>
  <r>
    <x v="3"/>
    <s v="Flat"/>
    <n v="282000"/>
    <n v="2860"/>
    <n v="2024"/>
    <n v="5.4"/>
    <s v="8"/>
    <x v="0"/>
    <s v="No"/>
    <s v="First Timer"/>
    <n v="98.6013986013986"/>
    <n v="1577.7322577238449"/>
    <n v="213879.67731715352"/>
    <n v="473319.67731715355"/>
    <n v="259440"/>
    <n v="1144.3030425531915"/>
    <m/>
    <s v="1"/>
    <n v="1144.333806146572"/>
  </r>
  <r>
    <x v="3"/>
    <s v="Flat"/>
    <n v="225000"/>
    <n v="2250"/>
    <n v="2024"/>
    <n v="5.3"/>
    <s v="8"/>
    <x v="0"/>
    <s v="No"/>
    <s v="First Timer"/>
    <n v="100"/>
    <n v="1246.5564762501529"/>
    <n v="166966.94287504588"/>
    <n v="373966.94287504588"/>
    <n v="207000"/>
    <n v="900.303"/>
    <m/>
    <s v="1"/>
    <n v="900.33333333333326"/>
  </r>
  <r>
    <x v="3"/>
    <s v="Flat"/>
    <n v="265000"/>
    <n v="2650"/>
    <n v="2024"/>
    <n v="5.4"/>
    <s v="8"/>
    <x v="0"/>
    <s v="No"/>
    <s v="First Timer"/>
    <n v="100"/>
    <n v="1482.6207386412018"/>
    <n v="200986.22159236055"/>
    <n v="444786.22159236053"/>
    <n v="243800"/>
    <n v="1060.3029999999999"/>
    <m/>
    <s v="1"/>
    <n v="1060.3333333333333"/>
  </r>
  <r>
    <x v="4"/>
    <s v="Flat"/>
    <n v="280000"/>
    <n v="2800"/>
    <n v="2024"/>
    <n v="5.3"/>
    <s v="7"/>
    <x v="0"/>
    <s v="No"/>
    <s v="First Timer"/>
    <n v="100"/>
    <n v="1568.1319150509171"/>
    <n v="210039.5745152751"/>
    <n v="470439.57451527508"/>
    <n v="260399.99999999997"/>
    <n v="1120.3029999999999"/>
    <m/>
    <s v="1"/>
    <n v="1120.3333333333333"/>
  </r>
  <r>
    <x v="3"/>
    <s v="Flat"/>
    <n v="262000"/>
    <n v="2600"/>
    <n v="2024"/>
    <n v="5.4"/>
    <s v="8"/>
    <x v="0"/>
    <s v="No"/>
    <s v="First Timer"/>
    <n v="100.76923076923077"/>
    <n v="1465.8363529207354"/>
    <n v="198710.90587622064"/>
    <n v="439750.90587622067"/>
    <n v="241040"/>
    <n v="1040.3029770992366"/>
    <m/>
    <s v="1"/>
    <n v="1040.3330788804071"/>
  </r>
  <r>
    <x v="4"/>
    <s v="Flat"/>
    <n v="278000"/>
    <n v="2750"/>
    <n v="2024"/>
    <n v="5.3"/>
    <s v="7"/>
    <x v="0"/>
    <s v="No"/>
    <s v="First Timer"/>
    <n v="101.09090909090909"/>
    <n v="1556.9309728005533"/>
    <n v="208539.29184016594"/>
    <n v="467079.29184016591"/>
    <n v="258539.99999999997"/>
    <n v="1100.3029676258993"/>
    <m/>
    <s v="1"/>
    <n v="1100.3329736211031"/>
  </r>
  <r>
    <x v="2"/>
    <s v="Terraced"/>
    <n v="300000"/>
    <n v="2950"/>
    <n v="2024"/>
    <n v="5.4"/>
    <s v="10"/>
    <x v="0"/>
    <s v="No"/>
    <s v="First Timer"/>
    <n v="101.69491525423729"/>
    <n v="1641.9507770021514"/>
    <n v="222585.23310064548"/>
    <n v="492585.23310064548"/>
    <n v="270000"/>
    <n v="1180.30295"/>
    <m/>
    <s v="1"/>
    <n v="1180.3327777777777"/>
  </r>
  <r>
    <x v="1"/>
    <s v="Terraced"/>
    <n v="300000"/>
    <n v="2950"/>
    <n v="2024"/>
    <n v="5.5"/>
    <s v="10"/>
    <x v="0"/>
    <s v="No"/>
    <s v="First Timer"/>
    <n v="101.69491525423729"/>
    <n v="1658.0362291599697"/>
    <n v="227410.86874799087"/>
    <n v="497410.86874799087"/>
    <n v="270000"/>
    <n v="1180.30295"/>
    <m/>
    <s v="1"/>
    <n v="1180.3327777777777"/>
  </r>
  <r>
    <x v="4"/>
    <s v="Flat"/>
    <n v="300000"/>
    <n v="2950"/>
    <n v="2024"/>
    <n v="5.3"/>
    <s v="7"/>
    <x v="0"/>
    <s v="No"/>
    <s v="First Timer"/>
    <n v="101.69491525423729"/>
    <n v="1680.141337554554"/>
    <n v="225042.40126636619"/>
    <n v="504042.40126636619"/>
    <n v="279000"/>
    <n v="1180.30295"/>
    <m/>
    <s v="1"/>
    <n v="1180.3327777777777"/>
  </r>
  <r>
    <x v="1"/>
    <s v="Terraced"/>
    <n v="295000"/>
    <n v="2900"/>
    <n v="2024"/>
    <n v="5.5"/>
    <s v="10"/>
    <x v="0"/>
    <s v="No"/>
    <s v="First Timer"/>
    <n v="101.72413793103448"/>
    <n v="1630.4022920073035"/>
    <n v="223620.687602191"/>
    <n v="489120.687602191"/>
    <n v="265500"/>
    <n v="1160.3029491525424"/>
    <m/>
    <s v="1"/>
    <n v="1160.3327683615819"/>
  </r>
  <r>
    <x v="4"/>
    <s v="Flat"/>
    <n v="295000"/>
    <n v="2900"/>
    <n v="2024"/>
    <n v="5.3"/>
    <s v="7"/>
    <x v="0"/>
    <s v="No"/>
    <s v="First Timer"/>
    <n v="101.72413793103448"/>
    <n v="1652.1389819286449"/>
    <n v="221291.69457859342"/>
    <n v="495641.69457859342"/>
    <n v="274350"/>
    <n v="1160.3029491525424"/>
    <m/>
    <s v="1"/>
    <n v="1160.3327683615819"/>
  </r>
  <r>
    <x v="1"/>
    <s v="Terraced"/>
    <n v="290000"/>
    <n v="2850"/>
    <n v="2024"/>
    <n v="5.5"/>
    <s v="10"/>
    <x v="0"/>
    <s v="No"/>
    <s v="First Timer"/>
    <n v="101.75438596491227"/>
    <n v="1602.7683548546374"/>
    <n v="219830.50645639119"/>
    <n v="480830.50645639119"/>
    <n v="261000"/>
    <n v="1140.302948275862"/>
    <m/>
    <s v="1"/>
    <n v="1140.3327586206897"/>
  </r>
  <r>
    <x v="4"/>
    <s v="Flat"/>
    <n v="290000"/>
    <n v="2850"/>
    <n v="2024"/>
    <n v="5.3"/>
    <s v="7"/>
    <x v="0"/>
    <s v="No"/>
    <s v="First Timer"/>
    <n v="101.75438596491227"/>
    <n v="1624.1366263027357"/>
    <n v="217540.98789082072"/>
    <n v="487240.98789082072"/>
    <n v="269700"/>
    <n v="1140.302948275862"/>
    <m/>
    <s v="1"/>
    <n v="1140.3327586206897"/>
  </r>
  <r>
    <x v="4"/>
    <s v="Flat"/>
    <n v="275000"/>
    <n v="2700"/>
    <n v="2024"/>
    <n v="5.3"/>
    <s v="7"/>
    <x v="0"/>
    <s v="No"/>
    <s v="First Timer"/>
    <n v="101.85185185185185"/>
    <n v="1540.1295594250075"/>
    <n v="206288.86782750228"/>
    <n v="462038.86782750225"/>
    <n v="255749.99999999997"/>
    <n v="1080.3029454545454"/>
    <m/>
    <s v="1"/>
    <n v="1080.3327272727272"/>
  </r>
  <r>
    <x v="4"/>
    <s v="Flat"/>
    <n v="302000"/>
    <n v="2965"/>
    <n v="2024"/>
    <n v="5.3"/>
    <s v="7"/>
    <x v="0"/>
    <s v="No"/>
    <s v="First Timer"/>
    <n v="101.85497470489038"/>
    <n v="1691.3422798049178"/>
    <n v="226542.68394147535"/>
    <n v="507402.68394147535"/>
    <n v="280860"/>
    <n v="1186.3029453642384"/>
    <m/>
    <s v="1"/>
    <n v="1186.3327262693156"/>
  </r>
  <r>
    <x v="3"/>
    <s v="Flat"/>
    <n v="260000"/>
    <n v="2550"/>
    <n v="2024"/>
    <n v="5.4"/>
    <s v="8"/>
    <x v="0"/>
    <s v="No"/>
    <s v="First Timer"/>
    <n v="101.96078431372548"/>
    <n v="1454.6467624404245"/>
    <n v="197194.02873212736"/>
    <n v="436394.02873212739"/>
    <n v="239200"/>
    <n v="1020.3029423076922"/>
    <m/>
    <s v="1"/>
    <n v="1020.3326923076922"/>
  </r>
  <r>
    <x v="1"/>
    <s v="Terraced"/>
    <n v="302000"/>
    <n v="2960"/>
    <n v="2024"/>
    <n v="5.5"/>
    <s v="10"/>
    <x v="0"/>
    <s v="No"/>
    <s v="First Timer"/>
    <n v="102.02702702702703"/>
    <n v="1669.0898040210361"/>
    <n v="228926.94120631082"/>
    <n v="500726.94120631082"/>
    <n v="271800"/>
    <n v="1184.302940397351"/>
    <m/>
    <s v="1"/>
    <n v="1184.3326710816777"/>
  </r>
  <r>
    <x v="3"/>
    <s v="Flat"/>
    <n v="240000"/>
    <n v="2350"/>
    <n v="2024"/>
    <n v="5.4"/>
    <s v="8"/>
    <x v="0"/>
    <s v="No"/>
    <s v="First Timer"/>
    <n v="102.12765957446808"/>
    <n v="1342.7508576373148"/>
    <n v="182025.25729119443"/>
    <n v="402825.2572911944"/>
    <n v="220800"/>
    <n v="940.30293749999998"/>
    <m/>
    <s v="1"/>
    <n v="940.33263888888882"/>
  </r>
  <r>
    <x v="3"/>
    <s v="Flat"/>
    <n v="235000"/>
    <n v="2300"/>
    <n v="2023"/>
    <n v="6.5"/>
    <s v="8"/>
    <x v="0"/>
    <s v="No"/>
    <s v="First Timer"/>
    <n v="102.17391304347827"/>
    <n v="1459.7978828335968"/>
    <n v="221739.36485007903"/>
    <n v="437939.36485007906"/>
    <n v="216200"/>
    <n v="920.30293617021277"/>
    <m/>
    <s v="1"/>
    <n v="920.33262411347516"/>
  </r>
  <r>
    <x v="3"/>
    <s v="Flat"/>
    <n v="230000"/>
    <n v="2250"/>
    <n v="2023"/>
    <n v="6.5"/>
    <s v="8"/>
    <x v="0"/>
    <s v="No"/>
    <s v="First Timer"/>
    <n v="102.22222222222223"/>
    <n v="1428.7383534116054"/>
    <n v="217021.5060234816"/>
    <n v="428621.5060234816"/>
    <n v="211600"/>
    <n v="900.30293478260865"/>
    <m/>
    <s v="1"/>
    <n v="900.33260869565208"/>
  </r>
  <r>
    <x v="4"/>
    <s v="Flat"/>
    <n v="272000"/>
    <n v="2650"/>
    <n v="2024"/>
    <n v="5.3"/>
    <s v="7"/>
    <x v="0"/>
    <s v="No"/>
    <s v="First Timer"/>
    <n v="102.64150943396227"/>
    <n v="1523.328146049462"/>
    <n v="204038.44381483863"/>
    <n v="456998.4438148386"/>
    <n v="252959.99999999997"/>
    <n v="1060.3029227941176"/>
    <m/>
    <s v="1"/>
    <n v="1060.332475490196"/>
  </r>
  <r>
    <x v="2"/>
    <s v="Terraced"/>
    <n v="298000"/>
    <n v="2900"/>
    <n v="2024"/>
    <n v="5.4"/>
    <s v="10"/>
    <x v="0"/>
    <s v="No"/>
    <s v="First Timer"/>
    <n v="102.75862068965517"/>
    <n v="1631.0044384888035"/>
    <n v="221101.33154664107"/>
    <n v="489301.33154664107"/>
    <n v="268200"/>
    <n v="1160.3029194630872"/>
    <m/>
    <s v="1"/>
    <n v="1160.3324384787472"/>
  </r>
  <r>
    <x v="3"/>
    <s v="Flat"/>
    <n v="232000"/>
    <n v="2250"/>
    <n v="2024"/>
    <n v="5.3"/>
    <s v="8"/>
    <x v="0"/>
    <s v="No"/>
    <s v="First Timer"/>
    <n v="103.11111111111111"/>
    <n v="1285.3382332890467"/>
    <n v="172161.46998671402"/>
    <n v="385601.46998671402"/>
    <n v="213440"/>
    <n v="900.30290948275854"/>
    <m/>
    <s v="1"/>
    <n v="900.33232758620682"/>
  </r>
  <r>
    <x v="3"/>
    <s v="Flat"/>
    <n v="258000"/>
    <n v="2500"/>
    <n v="2024"/>
    <n v="5.4"/>
    <s v="8"/>
    <x v="0"/>
    <s v="No"/>
    <s v="First Timer"/>
    <n v="103.2"/>
    <n v="1443.4571719601136"/>
    <n v="195677.15158803409"/>
    <n v="433037.15158803412"/>
    <n v="237360"/>
    <n v="1000.3029069767441"/>
    <m/>
    <s v="1"/>
    <n v="1000.332299741602"/>
  </r>
  <r>
    <x v="3"/>
    <s v="Flat"/>
    <n v="225000"/>
    <n v="2180"/>
    <n v="2024"/>
    <n v="5.4"/>
    <s v="5"/>
    <x v="0"/>
    <s v="No"/>
    <s v="First Timer"/>
    <n v="103.21100917431193"/>
    <n v="1299.8776984600365"/>
    <n v="176213.30953801097"/>
    <n v="389963.30953801097"/>
    <n v="213750"/>
    <n v="872.30290666666667"/>
    <m/>
    <s v="1"/>
    <n v="872.33229629629625"/>
  </r>
  <r>
    <x v="2"/>
    <s v="Terraced"/>
    <n v="320000"/>
    <n v="3100"/>
    <n v="2024"/>
    <n v="5.4"/>
    <s v="10"/>
    <x v="0"/>
    <s v="No"/>
    <s v="First Timer"/>
    <n v="103.2258064516129"/>
    <n v="1751.4141621356282"/>
    <n v="237424.24864068849"/>
    <n v="525424.24864068849"/>
    <n v="288000"/>
    <n v="1240.30290625"/>
    <m/>
    <s v="1"/>
    <n v="1240.3322916666666"/>
  </r>
  <r>
    <x v="2"/>
    <s v="Terraced"/>
    <n v="315000"/>
    <n v="3050"/>
    <n v="2024"/>
    <n v="5.4"/>
    <s v="10"/>
    <x v="0"/>
    <s v="No"/>
    <s v="First Timer"/>
    <n v="103.27868852459017"/>
    <n v="1724.0483158522588"/>
    <n v="233714.4947556777"/>
    <n v="517214.4947556777"/>
    <n v="283500"/>
    <n v="1220.3029047619048"/>
    <m/>
    <s v="1"/>
    <n v="1220.3322751322751"/>
  </r>
  <r>
    <x v="2"/>
    <s v="Terraced"/>
    <n v="310000"/>
    <n v="3000"/>
    <n v="2024"/>
    <n v="5.4"/>
    <s v="10"/>
    <x v="0"/>
    <s v="No"/>
    <s v="First Timer"/>
    <n v="103.33333333333333"/>
    <n v="1696.6824695688897"/>
    <n v="230004.74087066698"/>
    <n v="509004.74087066698"/>
    <n v="279000"/>
    <n v="1200.3029032258064"/>
    <m/>
    <s v="1"/>
    <n v="1200.3322580645161"/>
  </r>
  <r>
    <x v="2"/>
    <s v="Terraced"/>
    <n v="295000"/>
    <n v="2850"/>
    <n v="2024"/>
    <n v="5.4"/>
    <s v="10"/>
    <x v="0"/>
    <s v="No"/>
    <s v="First Timer"/>
    <n v="103.50877192982456"/>
    <n v="1614.5849307187821"/>
    <n v="218875.4792156347"/>
    <n v="484375.4792156347"/>
    <n v="265500"/>
    <n v="1140.3028983050847"/>
    <m/>
    <s v="1"/>
    <n v="1140.3322033898305"/>
  </r>
  <r>
    <x v="2"/>
    <s v="Terraced"/>
    <n v="322000"/>
    <n v="3110"/>
    <n v="2024"/>
    <n v="5.4"/>
    <s v="10"/>
    <x v="0"/>
    <s v="No"/>
    <s v="First Timer"/>
    <n v="103.53697749196141"/>
    <n v="1762.3605006489756"/>
    <n v="238908.15019469272"/>
    <n v="528708.15019469266"/>
    <n v="289800"/>
    <n v="1244.302897515528"/>
    <m/>
    <s v="1"/>
    <n v="1244.3321946169772"/>
  </r>
  <r>
    <x v="0"/>
    <s v="Terraced"/>
    <n v="280000"/>
    <n v="2700"/>
    <n v="2024"/>
    <n v="5.4"/>
    <s v="6"/>
    <x v="0"/>
    <s v="No"/>
    <s v="First Timer"/>
    <n v="103.70370370370371"/>
    <n v="1600.5979426183935"/>
    <n v="216979.38278551813"/>
    <n v="480179.38278551813"/>
    <n v="263200"/>
    <n v="1080.3028928571428"/>
    <m/>
    <s v="1"/>
    <n v="1080.3321428571428"/>
  </r>
  <r>
    <x v="3"/>
    <s v="Flat"/>
    <n v="220000"/>
    <n v="2120"/>
    <n v="2023"/>
    <n v="6.6"/>
    <s v="8"/>
    <x v="0"/>
    <s v="No"/>
    <s v="First Timer"/>
    <n v="103.77358490566037"/>
    <n v="1379.2934573323241"/>
    <n v="211388.03719969722"/>
    <n v="413788.03719969722"/>
    <n v="202400"/>
    <n v="848.30289090909082"/>
    <m/>
    <s v="1"/>
    <n v="848.33212121212114"/>
  </r>
  <r>
    <x v="0"/>
    <s v="Terraced"/>
    <n v="275000"/>
    <n v="2650"/>
    <n v="2024"/>
    <n v="5.4"/>
    <s v="6"/>
    <x v="0"/>
    <s v="No"/>
    <s v="First Timer"/>
    <n v="103.77358490566037"/>
    <n v="1572.0158365002078"/>
    <n v="213104.75095006239"/>
    <n v="471604.75095006236"/>
    <n v="258499.99999999997"/>
    <n v="1060.3028909090908"/>
    <m/>
    <s v="1"/>
    <n v="1060.3321212121211"/>
  </r>
  <r>
    <x v="4"/>
    <s v="Flat"/>
    <n v="270000"/>
    <n v="2600"/>
    <n v="2024"/>
    <n v="5.3"/>
    <s v="7"/>
    <x v="0"/>
    <s v="No"/>
    <s v="First Timer"/>
    <n v="103.84615384615384"/>
    <n v="1512.1272037990984"/>
    <n v="202538.16113972955"/>
    <n v="453638.16113972955"/>
    <n v="251099.99999999997"/>
    <n v="1040.3028888888889"/>
    <m/>
    <s v="1"/>
    <n v="1040.332098765432"/>
  </r>
  <r>
    <x v="0"/>
    <s v="Terraced"/>
    <n v="270000"/>
    <n v="2600"/>
    <n v="2024"/>
    <n v="5.4"/>
    <s v="6"/>
    <x v="0"/>
    <s v="No"/>
    <s v="First Timer"/>
    <n v="103.84615384615384"/>
    <n v="1543.4337303820223"/>
    <n v="209230.1191146067"/>
    <n v="463030.1191146067"/>
    <n v="253800"/>
    <n v="1040.3028888888889"/>
    <m/>
    <s v="1"/>
    <n v="1040.332098765432"/>
  </r>
  <r>
    <x v="3"/>
    <s v="Flat"/>
    <n v="260000"/>
    <n v="2500"/>
    <n v="2024"/>
    <n v="5.4"/>
    <s v="8"/>
    <x v="0"/>
    <s v="No"/>
    <s v="First Timer"/>
    <n v="104"/>
    <n v="1454.6467624404245"/>
    <n v="197194.02873212736"/>
    <n v="436394.02873212739"/>
    <n v="239200"/>
    <n v="1000.3028846153845"/>
    <m/>
    <s v="1"/>
    <n v="1000.3320512820512"/>
  </r>
  <r>
    <x v="4"/>
    <s v="Flat"/>
    <n v="232000"/>
    <n v="2230"/>
    <n v="2024"/>
    <n v="5.3"/>
    <s v="7"/>
    <x v="0"/>
    <s v="No"/>
    <s v="First Timer"/>
    <n v="104.03587443946188"/>
    <n v="1299.3093010421885"/>
    <n v="174032.79031265652"/>
    <n v="389792.79031265655"/>
    <n v="215760"/>
    <n v="892.30288362068961"/>
    <m/>
    <s v="1"/>
    <n v="892.33204022988502"/>
  </r>
  <r>
    <x v="0"/>
    <s v="Terraced"/>
    <n v="282000"/>
    <n v="2710"/>
    <n v="2024"/>
    <n v="5.4"/>
    <s v="6"/>
    <x v="0"/>
    <s v="No"/>
    <s v="First Timer"/>
    <n v="104.0590405904059"/>
    <n v="1612.0307850656677"/>
    <n v="218529.23551970033"/>
    <n v="483609.23551970033"/>
    <n v="265080"/>
    <n v="1084.3028829787233"/>
    <m/>
    <s v="1"/>
    <n v="1084.3320330969266"/>
  </r>
  <r>
    <x v="3"/>
    <s v="Flat"/>
    <n v="255000"/>
    <n v="2450"/>
    <n v="2024"/>
    <n v="5.4"/>
    <s v="8"/>
    <x v="0"/>
    <s v="No"/>
    <s v="First Timer"/>
    <n v="104.08163265306122"/>
    <n v="1426.6727862396469"/>
    <n v="193401.83587189415"/>
    <n v="428001.83587189415"/>
    <n v="234600"/>
    <n v="980.30288235294108"/>
    <m/>
    <s v="1"/>
    <n v="980.33202614379081"/>
  </r>
  <r>
    <x v="3"/>
    <s v="Flat"/>
    <n v="250000"/>
    <n v="2400"/>
    <n v="2023"/>
    <n v="6.5"/>
    <s v="8"/>
    <x v="0"/>
    <s v="No"/>
    <s v="First Timer"/>
    <n v="104.16666666666667"/>
    <n v="1552.976471099571"/>
    <n v="235892.94132987133"/>
    <n v="465892.9413298713"/>
    <n v="230000"/>
    <n v="960.30287999999996"/>
    <m/>
    <s v="1"/>
    <n v="960.33199999999999"/>
  </r>
  <r>
    <x v="4"/>
    <s v="Flat"/>
    <n v="223000"/>
    <n v="2140"/>
    <n v="2024"/>
    <n v="5.4"/>
    <s v="7"/>
    <x v="0"/>
    <s v="No"/>
    <s v="First Timer"/>
    <n v="104.20560747663552"/>
    <n v="1261.2006357128748"/>
    <n v="170970.19071386242"/>
    <n v="378360.19071386242"/>
    <n v="207390"/>
    <n v="856.3028789237668"/>
    <m/>
    <s v="1"/>
    <n v="856.33198804185349"/>
  </r>
  <r>
    <x v="2"/>
    <s v="Terraced"/>
    <n v="292000"/>
    <n v="2800"/>
    <n v="2024"/>
    <n v="5.4"/>
    <s v="10"/>
    <x v="0"/>
    <s v="No"/>
    <s v="First Timer"/>
    <n v="104.28571428571429"/>
    <n v="1598.1654229487606"/>
    <n v="216649.62688462815"/>
    <n v="479449.62688462815"/>
    <n v="262800"/>
    <n v="1120.3028767123287"/>
    <m/>
    <s v="1"/>
    <n v="1120.3319634703196"/>
  </r>
  <r>
    <x v="4"/>
    <s v="Flat"/>
    <n v="235000"/>
    <n v="2250"/>
    <n v="2023"/>
    <n v="6.3"/>
    <s v="7"/>
    <x v="0"/>
    <s v="No"/>
    <s v="First Timer"/>
    <n v="104.44444444444444"/>
    <n v="1448.4695263217291"/>
    <n v="215990.85789651869"/>
    <n v="434540.85789651866"/>
    <n v="218549.99999999997"/>
    <n v="900.30287234042544"/>
    <m/>
    <s v="1"/>
    <n v="900.33191489361695"/>
  </r>
  <r>
    <x v="3"/>
    <s v="Flat"/>
    <n v="230000"/>
    <n v="2200"/>
    <n v="2023"/>
    <n v="6.5"/>
    <s v="8"/>
    <x v="0"/>
    <s v="No"/>
    <s v="First Timer"/>
    <n v="104.54545454545455"/>
    <n v="1428.7383534116054"/>
    <n v="217021.5060234816"/>
    <n v="428621.5060234816"/>
    <n v="211600"/>
    <n v="880.30286956521729"/>
    <m/>
    <s v="1"/>
    <n v="880.33188405797102"/>
  </r>
  <r>
    <x v="4"/>
    <s v="Flat"/>
    <n v="240000"/>
    <n v="2280"/>
    <n v="2024"/>
    <n v="5.3"/>
    <s v="7"/>
    <x v="0"/>
    <s v="No"/>
    <s v="First Timer"/>
    <n v="105.26315789473684"/>
    <n v="1344.1130700436431"/>
    <n v="180033.92101309294"/>
    <n v="403233.92101309291"/>
    <n v="223199.99999999997"/>
    <n v="912.30284999999992"/>
    <m/>
    <s v="1"/>
    <n v="912.33166666666659"/>
  </r>
  <r>
    <x v="3"/>
    <s v="Flat"/>
    <n v="214000"/>
    <n v="2030"/>
    <n v="2024"/>
    <n v="5.4"/>
    <s v="5"/>
    <x v="0"/>
    <s v="No"/>
    <s v="First Timer"/>
    <n v="105.41871921182266"/>
    <n v="1236.3281220908791"/>
    <n v="167598.43662726379"/>
    <n v="370898.43662726379"/>
    <n v="203300"/>
    <n v="812.30284579439251"/>
    <m/>
    <s v="1"/>
    <n v="812.33161993769465"/>
  </r>
  <r>
    <x v="2"/>
    <s v="Terraced"/>
    <n v="290000"/>
    <n v="2750"/>
    <n v="2024"/>
    <n v="5.4"/>
    <s v="10"/>
    <x v="0"/>
    <s v="No"/>
    <s v="First Timer"/>
    <n v="105.45454545454545"/>
    <n v="1587.2190844354129"/>
    <n v="215165.72533062389"/>
    <n v="476165.72533062391"/>
    <n v="261000"/>
    <n v="1100.3028448275861"/>
    <m/>
    <s v="1"/>
    <n v="1100.3316091954023"/>
  </r>
  <r>
    <x v="4"/>
    <s v="Flat"/>
    <n v="230000"/>
    <n v="2180"/>
    <n v="2023"/>
    <n v="6.2"/>
    <s v="7"/>
    <x v="0"/>
    <s v="No"/>
    <s v="First Timer"/>
    <n v="105.50458715596331"/>
    <n v="1404.4291036570417"/>
    <n v="207428.73109711247"/>
    <n v="421328.73109711247"/>
    <n v="213900"/>
    <n v="872.3028434782608"/>
    <m/>
    <s v="1"/>
    <n v="872.33159420289849"/>
  </r>
  <r>
    <x v="4"/>
    <s v="Flat"/>
    <n v="270000"/>
    <n v="2550"/>
    <n v="2024"/>
    <n v="5.3"/>
    <s v="7"/>
    <x v="0"/>
    <s v="No"/>
    <s v="First Timer"/>
    <n v="105.88235294117646"/>
    <n v="1512.1272037990984"/>
    <n v="202538.16113972955"/>
    <n v="453638.16113972955"/>
    <n v="251099.99999999997"/>
    <n v="1020.3028333333333"/>
    <m/>
    <s v="1"/>
    <n v="1020.3314814814814"/>
  </r>
  <r>
    <x v="4"/>
    <s v="Flat"/>
    <n v="270000"/>
    <n v="2550"/>
    <n v="2023"/>
    <n v="6.3"/>
    <s v="7"/>
    <x v="0"/>
    <s v="No"/>
    <s v="First Timer"/>
    <n v="105.88235294117646"/>
    <n v="1664.1990302419867"/>
    <n v="248159.70907259596"/>
    <n v="499259.70907259593"/>
    <n v="251099.99999999997"/>
    <n v="1020.3028333333333"/>
    <m/>
    <s v="1"/>
    <n v="1020.3314814814814"/>
  </r>
  <r>
    <x v="4"/>
    <s v="Flat"/>
    <n v="260000"/>
    <n v="2450"/>
    <n v="2024"/>
    <n v="5.3"/>
    <s v="7"/>
    <x v="0"/>
    <s v="No"/>
    <s v="First Timer"/>
    <n v="106.12244897959184"/>
    <n v="1456.12249254728"/>
    <n v="195036.74776418402"/>
    <n v="436836.74776418402"/>
    <n v="241799.99999999997"/>
    <n v="980.30282692307685"/>
    <m/>
    <s v="1"/>
    <n v="980.33141025641021"/>
  </r>
  <r>
    <x v="4"/>
    <s v="Flat"/>
    <n v="255000"/>
    <n v="2400"/>
    <n v="2024"/>
    <n v="5.3"/>
    <s v="7"/>
    <x v="0"/>
    <s v="No"/>
    <s v="First Timer"/>
    <n v="106.25"/>
    <n v="1428.1201369213709"/>
    <n v="191286.04107641126"/>
    <n v="428436.04107641126"/>
    <n v="237149.99999999997"/>
    <n v="960.30282352941174"/>
    <m/>
    <s v="1"/>
    <n v="960.33137254901953"/>
  </r>
  <r>
    <x v="4"/>
    <s v="Flat"/>
    <n v="250000"/>
    <n v="2350"/>
    <n v="2024"/>
    <n v="5.3"/>
    <s v="7"/>
    <x v="0"/>
    <s v="No"/>
    <s v="First Timer"/>
    <n v="106.38297872340425"/>
    <n v="1400.1177812954613"/>
    <n v="187535.33438863841"/>
    <n v="420035.33438863838"/>
    <n v="232499.99999999997"/>
    <n v="940.30282"/>
    <m/>
    <s v="1"/>
    <n v="940.3313333333333"/>
  </r>
  <r>
    <x v="4"/>
    <s v="Flat"/>
    <n v="245000"/>
    <n v="2300"/>
    <n v="2024"/>
    <n v="5.3"/>
    <s v="7"/>
    <x v="0"/>
    <s v="No"/>
    <s v="First Timer"/>
    <n v="106.52173913043478"/>
    <n v="1372.1154256695522"/>
    <n v="183784.62770086571"/>
    <n v="411634.62770086568"/>
    <n v="227849.99999999997"/>
    <n v="920.30281632653055"/>
    <m/>
    <s v="1"/>
    <n v="920.33129251700677"/>
  </r>
  <r>
    <x v="3"/>
    <s v="Flat"/>
    <n v="245000"/>
    <n v="2300"/>
    <n v="2024"/>
    <n v="5.4"/>
    <s v="8"/>
    <x v="0"/>
    <s v="No"/>
    <s v="First Timer"/>
    <n v="106.52173913043478"/>
    <n v="1370.7248338380923"/>
    <n v="185817.45015142774"/>
    <n v="411217.45015142777"/>
    <n v="225400"/>
    <n v="920.30281632653055"/>
    <m/>
    <s v="1"/>
    <n v="920.33129251700677"/>
  </r>
  <r>
    <x v="4"/>
    <s v="Flat"/>
    <n v="240000"/>
    <n v="2250"/>
    <n v="2023"/>
    <n v="6.3"/>
    <s v="7"/>
    <x v="0"/>
    <s v="No"/>
    <s v="First Timer"/>
    <n v="106.66666666666667"/>
    <n v="1479.288026881766"/>
    <n v="220586.40806452971"/>
    <n v="443786.40806452965"/>
    <n v="223199.99999999997"/>
    <n v="900.30281249999996"/>
    <m/>
    <s v="1"/>
    <n v="900.33124999999995"/>
  </r>
  <r>
    <x v="4"/>
    <s v="Flat"/>
    <n v="240000"/>
    <n v="2250"/>
    <n v="2024"/>
    <n v="5.3"/>
    <s v="7"/>
    <x v="0"/>
    <s v="No"/>
    <s v="First Timer"/>
    <n v="106.66666666666667"/>
    <n v="1344.1130700436431"/>
    <n v="180033.92101309294"/>
    <n v="403233.92101309291"/>
    <n v="223199.99999999997"/>
    <n v="900.30281249999996"/>
    <m/>
    <s v="1"/>
    <n v="900.33124999999995"/>
  </r>
  <r>
    <x v="3"/>
    <s v="Flat"/>
    <n v="240000"/>
    <n v="2250"/>
    <n v="2024"/>
    <n v="5.4"/>
    <s v="8"/>
    <x v="0"/>
    <s v="No"/>
    <s v="First Timer"/>
    <n v="106.66666666666667"/>
    <n v="1342.7508576373148"/>
    <n v="182025.25729119443"/>
    <n v="402825.2572911944"/>
    <n v="220800"/>
    <n v="900.30281249999996"/>
    <m/>
    <s v="1"/>
    <n v="900.33124999999995"/>
  </r>
  <r>
    <x v="3"/>
    <s v="Flat"/>
    <n v="235000"/>
    <n v="2200"/>
    <n v="2024"/>
    <n v="5.4"/>
    <s v="8"/>
    <x v="0"/>
    <s v="No"/>
    <s v="First Timer"/>
    <n v="106.81818181818181"/>
    <n v="1314.7768814365375"/>
    <n v="178233.06443096124"/>
    <n v="394433.06443096127"/>
    <n v="216200"/>
    <n v="880.30280851063822"/>
    <m/>
    <s v="1"/>
    <n v="880.33120567375886"/>
  </r>
  <r>
    <x v="3"/>
    <s v="Flat"/>
    <n v="225000"/>
    <n v="2100"/>
    <n v="2024"/>
    <n v="5.4"/>
    <s v=" 8 "/>
    <x v="0"/>
    <s v="No"/>
    <s v="First Timer"/>
    <n v="107.14285714285714"/>
    <n v="1258.8289290349828"/>
    <n v="170648.67871049483"/>
    <n v="377648.67871049483"/>
    <n v="207000"/>
    <n v="840.30279999999993"/>
    <m/>
    <s v="1"/>
    <n v="840.33111111111111"/>
  </r>
  <r>
    <x v="4"/>
    <s v="Flat"/>
    <n v="250000"/>
    <n v="2330"/>
    <n v="2024"/>
    <n v="5.3"/>
    <s v="7"/>
    <x v="0"/>
    <s v="No"/>
    <s v="First Timer"/>
    <n v="107.29613733905579"/>
    <n v="1400.1177812954613"/>
    <n v="187535.33438863841"/>
    <n v="420035.33438863838"/>
    <n v="232499.99999999997"/>
    <n v="932.30279599999994"/>
    <m/>
    <s v="1"/>
    <n v="932.33106666666663"/>
  </r>
  <r>
    <x v="4"/>
    <s v="Flat"/>
    <n v="240000"/>
    <n v="2230"/>
    <n v="2024"/>
    <n v="5.3"/>
    <s v="7"/>
    <x v="0"/>
    <s v="No"/>
    <s v="First Timer"/>
    <n v="107.62331838565022"/>
    <n v="1344.1130700436431"/>
    <n v="180033.92101309294"/>
    <n v="403233.92101309291"/>
    <n v="223199.99999999997"/>
    <n v="892.30278749999991"/>
    <m/>
    <s v="1"/>
    <n v="892.33097222222216"/>
  </r>
  <r>
    <x v="2"/>
    <s v="Terraced"/>
    <n v="280000"/>
    <n v="2600"/>
    <n v="2024"/>
    <n v="5.4"/>
    <s v="10"/>
    <x v="0"/>
    <s v="No"/>
    <s v="First Timer"/>
    <n v="107.69230769230769"/>
    <n v="1532.4873918686746"/>
    <n v="207746.21756060244"/>
    <n v="459746.21756060247"/>
    <n v="252000"/>
    <n v="1040.3027857142856"/>
    <m/>
    <s v="1"/>
    <n v="1040.3309523809523"/>
  </r>
  <r>
    <x v="3"/>
    <s v="Flat"/>
    <n v="235000"/>
    <n v="2180"/>
    <n v="2024"/>
    <n v="5.4"/>
    <s v="5"/>
    <x v="0"/>
    <s v="No"/>
    <s v="First Timer"/>
    <n v="107.79816513761467"/>
    <n v="1357.6500406138157"/>
    <n v="184045.01218414475"/>
    <n v="407295.01218414475"/>
    <n v="223250"/>
    <n v="872.30278297872337"/>
    <m/>
    <s v="1"/>
    <n v="872.33092198581551"/>
  </r>
  <r>
    <x v="2"/>
    <s v="Terraced"/>
    <n v="275000"/>
    <n v="2550"/>
    <n v="2024"/>
    <n v="5.4"/>
    <s v="10"/>
    <x v="0"/>
    <s v="No"/>
    <s v="First Timer"/>
    <n v="107.84313725490196"/>
    <n v="1505.1215455853053"/>
    <n v="204036.46367559163"/>
    <n v="451536.46367559163"/>
    <n v="247500"/>
    <n v="1020.3027818181818"/>
    <m/>
    <s v="1"/>
    <n v="1020.330909090909"/>
  </r>
  <r>
    <x v="2"/>
    <s v="Terraced"/>
    <n v="270000"/>
    <n v="2500"/>
    <n v="2024"/>
    <n v="5.4"/>
    <s v="10"/>
    <x v="0"/>
    <s v="No"/>
    <s v="First Timer"/>
    <n v="108"/>
    <n v="1477.7556993019364"/>
    <n v="200326.70979058091"/>
    <n v="443326.70979058091"/>
    <n v="243000"/>
    <n v="1000.3027777777777"/>
    <m/>
    <s v="1"/>
    <n v="1000.3308641975308"/>
  </r>
  <r>
    <x v="4"/>
    <s v="Flat"/>
    <n v="255000"/>
    <n v="2360"/>
    <n v="2023"/>
    <n v="6.3"/>
    <s v="7"/>
    <x v="0"/>
    <s v="No"/>
    <s v="First Timer"/>
    <n v="108.05084745762711"/>
    <n v="1571.7435285618762"/>
    <n v="234373.05856856285"/>
    <n v="471523.05856856285"/>
    <n v="237149.99999999997"/>
    <n v="944.30277647058824"/>
    <m/>
    <s v="1"/>
    <n v="944.33084967320258"/>
  </r>
  <r>
    <x v="4"/>
    <s v="Flat"/>
    <n v="228000"/>
    <n v="2100"/>
    <n v="2023"/>
    <n v="6.6"/>
    <s v="7"/>
    <x v="0"/>
    <s v="No"/>
    <s v="First Timer"/>
    <n v="108.57142857142857"/>
    <n v="1444.9870785214723"/>
    <n v="221456.12355644163"/>
    <n v="433496.12355644163"/>
    <n v="212040"/>
    <n v="840.30276315789467"/>
    <m/>
    <s v="1"/>
    <n v="840.33070175438593"/>
  </r>
  <r>
    <x v="1"/>
    <s v="Terraced"/>
    <n v="250000"/>
    <n v="2300"/>
    <n v="2024"/>
    <n v="5.5"/>
    <s v="10"/>
    <x v="0"/>
    <s v="No"/>
    <s v="First Timer"/>
    <n v="108.69565217391305"/>
    <n v="1381.6968576333079"/>
    <n v="189509.05728999234"/>
    <n v="414509.05728999234"/>
    <n v="225000"/>
    <n v="920.30275999999992"/>
    <m/>
    <s v="1"/>
    <n v="920.33066666666662"/>
  </r>
  <r>
    <x v="3"/>
    <s v="Flat"/>
    <n v="240000"/>
    <n v="2200"/>
    <n v="2023"/>
    <n v="6.5"/>
    <s v="8"/>
    <x v="0"/>
    <s v="No"/>
    <s v="First Timer"/>
    <n v="109.09090909090909"/>
    <n v="1490.8574122555883"/>
    <n v="226457.22367667648"/>
    <n v="447257.22367667651"/>
    <n v="220800"/>
    <n v="880.30274999999995"/>
    <m/>
    <s v="1"/>
    <n v="880.33055555555552"/>
  </r>
  <r>
    <x v="4"/>
    <s v="Flat"/>
    <n v="250000"/>
    <n v="2280"/>
    <n v="2024"/>
    <n v="5.3"/>
    <s v="7"/>
    <x v="0"/>
    <s v="No"/>
    <s v="First Timer"/>
    <n v="109.64912280701755"/>
    <n v="1400.1177812954613"/>
    <n v="187535.33438863841"/>
    <n v="420035.33438863838"/>
    <n v="232499.99999999997"/>
    <n v="912.30273599999998"/>
    <m/>
    <s v="1"/>
    <n v="912.33039999999994"/>
  </r>
  <r>
    <x v="0"/>
    <s v="Terraced"/>
    <n v="258000"/>
    <n v="2350"/>
    <n v="2024"/>
    <n v="5.4"/>
    <s v="6"/>
    <x v="0"/>
    <s v="No"/>
    <s v="First Timer"/>
    <n v="109.78723404255319"/>
    <n v="1474.8366756983769"/>
    <n v="199931.00270951306"/>
    <n v="442451.00270951306"/>
    <n v="242520"/>
    <n v="940.3027325581395"/>
    <m/>
    <s v="1"/>
    <n v="940.33036175710595"/>
  </r>
  <r>
    <x v="2"/>
    <s v="Terraced"/>
    <n v="260000"/>
    <n v="2360"/>
    <n v="2024"/>
    <n v="5.4"/>
    <s v="10"/>
    <x v="0"/>
    <s v="No"/>
    <s v="First Timer"/>
    <n v="110.16949152542372"/>
    <n v="1423.0240067351979"/>
    <n v="192907.20202055937"/>
    <n v="426907.20202055934"/>
    <n v="234000"/>
    <n v="944.30272307692303"/>
    <m/>
    <s v="1"/>
    <n v="944.33025641025631"/>
  </r>
  <r>
    <x v="1"/>
    <s v="Terraced"/>
    <n v="270000"/>
    <n v="2450"/>
    <n v="2023"/>
    <n v="6.5"/>
    <s v="10"/>
    <x v="0"/>
    <s v="No"/>
    <s v="First Timer"/>
    <n v="110.20408163265306"/>
    <n v="1640.7534020747644"/>
    <n v="249226.02062242929"/>
    <n v="492226.02062242932"/>
    <n v="243000"/>
    <n v="980.3027222222222"/>
    <m/>
    <s v="1"/>
    <n v="980.33024691358025"/>
  </r>
  <r>
    <x v="1"/>
    <s v="Terraced"/>
    <n v="255000"/>
    <n v="2300"/>
    <n v="2024"/>
    <n v="5.5"/>
    <s v="10"/>
    <x v="0"/>
    <s v="No"/>
    <s v="First Timer"/>
    <n v="110.8695652173913"/>
    <n v="1409.3307947859744"/>
    <n v="193299.2384357923"/>
    <n v="422799.23843579227"/>
    <n v="229500"/>
    <n v="920.30270588235294"/>
    <m/>
    <s v="1"/>
    <n v="920.33006535947709"/>
  </r>
  <r>
    <x v="0"/>
    <s v="Terraced"/>
    <n v="255000"/>
    <n v="2300"/>
    <n v="2024"/>
    <n v="5.4"/>
    <s v="6"/>
    <x v="0"/>
    <s v="No"/>
    <s v="First Timer"/>
    <n v="110.8695652173913"/>
    <n v="1457.6874120274654"/>
    <n v="197606.22360823964"/>
    <n v="437306.22360823967"/>
    <n v="239700"/>
    <n v="920.30270588235294"/>
    <m/>
    <s v="1"/>
    <n v="920.33006535947709"/>
  </r>
  <r>
    <x v="0"/>
    <s v="Terraced"/>
    <n v="252000"/>
    <n v="2250"/>
    <n v="2024"/>
    <n v="5.4"/>
    <s v="6"/>
    <x v="0"/>
    <s v="No"/>
    <s v="First Timer"/>
    <n v="112"/>
    <n v="1440.5381483565541"/>
    <n v="195281.44450696625"/>
    <n v="432161.44450696628"/>
    <n v="236880"/>
    <n v="900.30267857142849"/>
    <m/>
    <s v="1"/>
    <n v="900.32976190476188"/>
  </r>
  <r>
    <x v="5"/>
    <s v="Flat"/>
    <n v="279000"/>
    <n v="2490"/>
    <n v="2023"/>
    <n v="6"/>
    <s v="10"/>
    <x v="1"/>
    <s v="No"/>
    <s v="First Timer"/>
    <n v="112.04819277108433"/>
    <n v="1617.8408191301121"/>
    <n v="234252.24573903362"/>
    <n v="485352.24573903362"/>
    <n v="251100"/>
    <n v="996.6026774193549"/>
    <m/>
    <s v="2"/>
    <n v="996.62974910394269"/>
  </r>
  <r>
    <x v="4"/>
    <s v="Flat"/>
    <n v="250000"/>
    <n v="2230"/>
    <n v="2024"/>
    <n v="5.3"/>
    <n v="7"/>
    <x v="0"/>
    <s v="No"/>
    <s v="First Timer"/>
    <n v="112.10762331838565"/>
    <n v="1400.1177812954613"/>
    <n v="187535.33438863841"/>
    <n v="420035.33438863838"/>
    <n v="232499.99999999997"/>
    <n v="892.30267599999991"/>
    <m/>
    <s v="1"/>
    <n v="892.32973333333325"/>
  </r>
  <r>
    <x v="1"/>
    <s v="Terraced"/>
    <n v="240000"/>
    <n v="2140"/>
    <n v="2024"/>
    <n v="5.5"/>
    <s v="10"/>
    <x v="0"/>
    <s v="No"/>
    <s v="First Timer"/>
    <n v="112.14953271028037"/>
    <n v="1326.4289833279756"/>
    <n v="181928.69499839263"/>
    <n v="397928.6949983926"/>
    <n v="216000"/>
    <n v="856.30267499999991"/>
    <m/>
    <s v="1"/>
    <n v="856.32972222222213"/>
  </r>
  <r>
    <x v="5"/>
    <s v="Flat"/>
    <n v="276000"/>
    <n v="2460"/>
    <n v="2024"/>
    <n v="5.0999999999999996"/>
    <s v="10"/>
    <x v="1"/>
    <s v="No"/>
    <s v="First Timer"/>
    <n v="112.19512195121951"/>
    <n v="1466.6307821465014"/>
    <n v="191589.23464395039"/>
    <n v="439989.23464395036"/>
    <n v="248400"/>
    <n v="984.60267391304353"/>
    <m/>
    <s v="2"/>
    <n v="984.62971014492757"/>
  </r>
  <r>
    <x v="2"/>
    <s v="Terraced"/>
    <n v="248000"/>
    <n v="2210"/>
    <n v="2024"/>
    <n v="5.5"/>
    <s v="8"/>
    <x v="0"/>
    <s v="No"/>
    <s v="First Timer"/>
    <n v="112.21719457013575"/>
    <n v="1401.1020223894025"/>
    <n v="192170.60671682074"/>
    <n v="420330.60671682074"/>
    <n v="228160"/>
    <n v="884.30267338709677"/>
    <m/>
    <s v="1"/>
    <n v="884.32970430107525"/>
  </r>
  <r>
    <x v="6"/>
    <s v="Flat"/>
    <n v="255000"/>
    <n v="2270"/>
    <n v="2024"/>
    <n v="5.2"/>
    <s v="12"/>
    <x v="1"/>
    <s v="No"/>
    <s v="First Timer"/>
    <n v="112.33480176211454"/>
    <n v="1338.10060747221"/>
    <n v="177030.18224166296"/>
    <n v="401430.18224166299"/>
    <n v="224400"/>
    <n v="908.60267058823536"/>
    <m/>
    <s v="2"/>
    <n v="908.62967320261441"/>
  </r>
  <r>
    <x v="5"/>
    <s v="Flat"/>
    <n v="273000"/>
    <n v="2430"/>
    <n v="2024"/>
    <n v="5.0999999999999996"/>
    <s v="10"/>
    <x v="1"/>
    <s v="No"/>
    <s v="First Timer"/>
    <n v="112.34567901234568"/>
    <n v="1450.6891432101263"/>
    <n v="189506.74296303792"/>
    <n v="435206.74296303792"/>
    <n v="245700"/>
    <n v="972.60267032967033"/>
    <m/>
    <s v="2"/>
    <n v="972.62967032967038"/>
  </r>
  <r>
    <x v="5"/>
    <s v="Flat"/>
    <n v="282000"/>
    <n v="2510"/>
    <n v="2024"/>
    <n v="5.2"/>
    <s v="10"/>
    <x v="1"/>
    <s v="No"/>
    <s v="First Timer"/>
    <n v="112.35059760956176"/>
    <n v="1513.4132539057348"/>
    <n v="200223.97617172039"/>
    <n v="454023.97617172042"/>
    <n v="253800"/>
    <n v="1004.6026702127659"/>
    <m/>
    <s v="2"/>
    <n v="1004.6296690307329"/>
  </r>
  <r>
    <x v="5"/>
    <s v="Flat"/>
    <n v="285000"/>
    <n v="2530"/>
    <n v="2023"/>
    <n v="6"/>
    <s v="10"/>
    <x v="1"/>
    <s v="No"/>
    <s v="First Timer"/>
    <n v="112.64822134387352"/>
    <n v="1652.6330948103296"/>
    <n v="239289.92844309885"/>
    <n v="495789.92844309885"/>
    <n v="256500"/>
    <n v="1012.6026631578948"/>
    <m/>
    <s v="2"/>
    <n v="1012.6295906432749"/>
  </r>
  <r>
    <x v="1"/>
    <s v="Terraced"/>
    <n v="248000"/>
    <n v="2200"/>
    <n v="2023"/>
    <n v="6.5"/>
    <s v="10"/>
    <x v="0"/>
    <s v="No"/>
    <s v="First Timer"/>
    <n v="112.72727272727273"/>
    <n v="1507.0623841279319"/>
    <n v="228918.71523837955"/>
    <n v="452118.71523837955"/>
    <n v="223200"/>
    <n v="880.30266129032259"/>
    <m/>
    <s v="1"/>
    <n v="880.32956989247305"/>
  </r>
  <r>
    <x v="2"/>
    <s v="Terraced"/>
    <n v="254000"/>
    <n v="2240"/>
    <n v="2023"/>
    <n v="6.3"/>
    <s v="10"/>
    <x v="0"/>
    <s v="No"/>
    <s v="First Timer"/>
    <n v="113.39285714285714"/>
    <n v="1515.077253338583"/>
    <n v="225923.17600157487"/>
    <n v="454523.17600157484"/>
    <n v="228600"/>
    <n v="896.30264566929134"/>
    <m/>
    <s v="1"/>
    <n v="896.32939632545924"/>
  </r>
  <r>
    <x v="0"/>
    <s v="Terraced"/>
    <n v="250000"/>
    <n v="2200"/>
    <n v="2024"/>
    <n v="5.4"/>
    <s v="6"/>
    <x v="0"/>
    <s v="No"/>
    <s v="First Timer"/>
    <n v="113.63636363636364"/>
    <n v="1429.1053059092797"/>
    <n v="193731.59177278393"/>
    <n v="428731.5917727839"/>
    <n v="235000"/>
    <n v="880.30264"/>
    <m/>
    <s v="1"/>
    <n v="880.32933333333324"/>
  </r>
  <r>
    <x v="5"/>
    <s v="Flat"/>
    <n v="290000"/>
    <n v="2550"/>
    <n v="2024"/>
    <n v="5.2"/>
    <s v="10"/>
    <x v="1"/>
    <s v="No"/>
    <s v="First Timer"/>
    <n v="113.72549019607843"/>
    <n v="1556.346963236394"/>
    <n v="205904.08897091818"/>
    <n v="466904.08897091821"/>
    <n v="261000"/>
    <n v="1020.6026379310345"/>
    <m/>
    <s v="2"/>
    <n v="1020.6293103448276"/>
  </r>
  <r>
    <x v="2"/>
    <s v="Terraced"/>
    <n v="265000"/>
    <n v="2330"/>
    <n v="2023"/>
    <n v="6.3"/>
    <s v="10"/>
    <x v="0"/>
    <s v="No"/>
    <s v="First Timer"/>
    <n v="113.73390557939913"/>
    <n v="1580.6908351760806"/>
    <n v="235707.25055282415"/>
    <n v="474207.25055282412"/>
    <n v="238500"/>
    <n v="932.30263773584898"/>
    <m/>
    <s v="1"/>
    <n v="932.32930817610054"/>
  </r>
  <r>
    <x v="2"/>
    <s v="Terraced"/>
    <n v="262000"/>
    <n v="2300"/>
    <n v="2024"/>
    <n v="5.4"/>
    <s v="10"/>
    <x v="0"/>
    <s v="No"/>
    <s v="First Timer"/>
    <n v="113.91304347826087"/>
    <n v="1433.9703452485455"/>
    <n v="194391.10357456363"/>
    <n v="430191.10357456363"/>
    <n v="235800"/>
    <n v="920.3026335877862"/>
    <m/>
    <s v="1"/>
    <n v="920.32926208651395"/>
  </r>
  <r>
    <x v="5"/>
    <s v="Flat"/>
    <n v="295000"/>
    <n v="2580"/>
    <n v="2024"/>
    <n v="5.2"/>
    <s v="10"/>
    <x v="1"/>
    <s v="No"/>
    <s v="First Timer"/>
    <n v="114.34108527131782"/>
    <n v="1583.180531568056"/>
    <n v="209454.15947041666"/>
    <n v="474954.15947041666"/>
    <n v="265500"/>
    <n v="1032.6026237288136"/>
    <m/>
    <s v="2"/>
    <n v="1032.6291525423728"/>
  </r>
  <r>
    <x v="2"/>
    <s v="Terraced"/>
    <n v="270000"/>
    <n v="2360"/>
    <n v="2024"/>
    <n v="5.4"/>
    <s v="10"/>
    <x v="0"/>
    <s v="No"/>
    <s v="First Timer"/>
    <n v="114.40677966101696"/>
    <n v="1477.7556993019364"/>
    <n v="200326.70979058091"/>
    <n v="443326.70979058091"/>
    <n v="243000"/>
    <n v="944.30262222222223"/>
    <m/>
    <s v="1"/>
    <n v="944.32913580246907"/>
  </r>
  <r>
    <x v="5"/>
    <s v="Flat"/>
    <n v="300000"/>
    <n v="2600"/>
    <n v="2024"/>
    <n v="5.2"/>
    <s v="10"/>
    <x v="1"/>
    <s v="No"/>
    <s v="First Timer"/>
    <n v="115.38461538461539"/>
    <n v="1610.0140998997181"/>
    <n v="213004.22996991529"/>
    <n v="483004.22996991529"/>
    <n v="270000"/>
    <n v="1040.6025999999999"/>
    <m/>
    <s v="2"/>
    <n v="1040.6288888888887"/>
  </r>
  <r>
    <x v="5"/>
    <s v="Flat"/>
    <n v="290000"/>
    <n v="2510"/>
    <n v="2024"/>
    <n v="5.2"/>
    <s v="10"/>
    <x v="1"/>
    <s v="No"/>
    <s v="First Timer"/>
    <n v="115.53784860557769"/>
    <n v="1556.346963236394"/>
    <n v="205904.08897091818"/>
    <n v="466904.08897091821"/>
    <n v="261000"/>
    <n v="1004.6025965517241"/>
    <m/>
    <s v="2"/>
    <n v="1004.6288505747127"/>
  </r>
  <r>
    <x v="2"/>
    <s v="Terraced"/>
    <n v="275000"/>
    <n v="2380"/>
    <n v="2023"/>
    <n v="6.3"/>
    <s v="10"/>
    <x v="0"/>
    <s v="No"/>
    <s v="First Timer"/>
    <n v="115.54621848739495"/>
    <n v="1640.3395459374422"/>
    <n v="244601.86378123253"/>
    <n v="492101.8637812325"/>
    <n v="247500"/>
    <n v="952.30259636363633"/>
    <m/>
    <s v="1"/>
    <n v="952.32884848484844"/>
  </r>
  <r>
    <x v="6"/>
    <s v="Flat"/>
    <n v="295000"/>
    <n v="2550"/>
    <n v="2024"/>
    <n v="5.2"/>
    <s v="12"/>
    <x v="1"/>
    <s v="No"/>
    <s v="First Timer"/>
    <n v="115.68627450980392"/>
    <n v="1547.9987419776546"/>
    <n v="204799.62259329637"/>
    <n v="464399.62259329634"/>
    <n v="259600"/>
    <n v="1020.602593220339"/>
    <m/>
    <s v="2"/>
    <n v="1020.6288135593221"/>
  </r>
  <r>
    <x v="0"/>
    <s v="Terraced"/>
    <n v="220000"/>
    <n v="1900"/>
    <n v="2023"/>
    <n v="6.6"/>
    <s v="6"/>
    <x v="0"/>
    <s v="No"/>
    <s v="First Timer"/>
    <n v="115.78947368421052"/>
    <n v="1409.2780977091138"/>
    <n v="215983.42931273405"/>
    <n v="422783.42931273405"/>
    <n v="206800"/>
    <n v="760.3025909090909"/>
    <m/>
    <s v="1"/>
    <n v="760.32878787878781"/>
  </r>
  <r>
    <x v="6"/>
    <s v="Flat"/>
    <n v="270000"/>
    <n v="2330"/>
    <n v="2024"/>
    <n v="5.2"/>
    <s v="12"/>
    <x v="1"/>
    <s v="No"/>
    <s v="First Timer"/>
    <n v="115.87982832618026"/>
    <n v="1416.8124079117517"/>
    <n v="187443.72237352544"/>
    <n v="425043.72237352544"/>
    <n v="237600"/>
    <n v="932.60258888888893"/>
    <m/>
    <s v="2"/>
    <n v="932.62876543209882"/>
  </r>
  <r>
    <x v="1"/>
    <s v="Terraced"/>
    <n v="255000"/>
    <n v="2200"/>
    <n v="2023"/>
    <n v="6.5"/>
    <s v="10"/>
    <x v="0"/>
    <s v="No"/>
    <s v="First Timer"/>
    <n v="115.90909090909091"/>
    <n v="1549.600435292833"/>
    <n v="235380.13058784988"/>
    <n v="464880.13058784988"/>
    <n v="229500"/>
    <n v="880.30258823529402"/>
    <m/>
    <s v="1"/>
    <n v="880.32875816993464"/>
  </r>
  <r>
    <x v="0"/>
    <s v="Terraced"/>
    <n v="218000"/>
    <n v="1880"/>
    <n v="2024"/>
    <n v="5.3"/>
    <s v="6"/>
    <x v="0"/>
    <s v="No"/>
    <s v="First Timer"/>
    <n v="115.95744680851064"/>
    <n v="1234.0306913680258"/>
    <n v="165289.20741040778"/>
    <n v="370209.20741040778"/>
    <n v="204920"/>
    <n v="752.30258715596324"/>
    <m/>
    <s v="1"/>
    <n v="752.32874617737002"/>
  </r>
  <r>
    <x v="5"/>
    <s v="Flat"/>
    <n v="325000"/>
    <n v="2800"/>
    <n v="2024"/>
    <n v="5.2"/>
    <s v="10"/>
    <x v="1"/>
    <s v="No"/>
    <s v="First Timer"/>
    <n v="116.07142857142857"/>
    <n v="1744.181941558028"/>
    <n v="230754.58246740827"/>
    <n v="523254.58246740827"/>
    <n v="292500"/>
    <n v="1120.6025846153846"/>
    <m/>
    <s v="2"/>
    <n v="1120.6287179487178"/>
  </r>
  <r>
    <x v="0"/>
    <s v="Terraced"/>
    <n v="214000"/>
    <n v="1840"/>
    <n v="2023"/>
    <n v="6.5"/>
    <s v="6"/>
    <x v="0"/>
    <s v="No"/>
    <s v="First Timer"/>
    <n v="116.30434782608695"/>
    <n v="1358.2467257669118"/>
    <n v="206314.01773007354"/>
    <n v="407474.01773007354"/>
    <n v="201160"/>
    <n v="736.30257943925233"/>
    <m/>
    <s v="1"/>
    <n v="736.32866043613706"/>
  </r>
  <r>
    <x v="5"/>
    <s v="Flat"/>
    <n v="320000"/>
    <n v="2750"/>
    <n v="2023"/>
    <n v="6"/>
    <s v="10"/>
    <x v="1"/>
    <s v="No"/>
    <s v="First Timer"/>
    <n v="116.36363636363636"/>
    <n v="1855.5880362782648"/>
    <n v="268676.4108834794"/>
    <n v="556676.4108834794"/>
    <n v="288000"/>
    <n v="1100.6025781249998"/>
    <m/>
    <s v="2"/>
    <n v="1100.6286458333332"/>
  </r>
  <r>
    <x v="5"/>
    <s v="Flat"/>
    <n v="305000"/>
    <n v="2620"/>
    <n v="2023"/>
    <n v="6"/>
    <s v="10"/>
    <x v="1"/>
    <s v="No"/>
    <s v="First Timer"/>
    <n v="116.41221374045801"/>
    <n v="1768.607347077721"/>
    <n v="256082.20412331633"/>
    <n v="530582.20412331633"/>
    <n v="274500"/>
    <n v="1048.6025770491801"/>
    <m/>
    <s v="2"/>
    <n v="1048.6286338797813"/>
  </r>
  <r>
    <x v="0"/>
    <s v="Terraced"/>
    <n v="212000"/>
    <n v="1820"/>
    <n v="2023"/>
    <n v="6.7"/>
    <s v="6"/>
    <x v="0"/>
    <s v="No"/>
    <s v="First Timer"/>
    <n v="116.48351648351648"/>
    <n v="1370.5631109891049"/>
    <n v="211888.93329673144"/>
    <n v="411168.93329673144"/>
    <n v="199280"/>
    <n v="728.30257547169811"/>
    <m/>
    <s v="1"/>
    <n v="728.32861635220127"/>
  </r>
  <r>
    <x v="0"/>
    <s v="Terraced"/>
    <n v="225000"/>
    <n v="1930"/>
    <n v="2024"/>
    <n v="5.3"/>
    <s v="6"/>
    <x v="0"/>
    <s v="No"/>
    <s v="First Timer"/>
    <n v="116.58031088082902"/>
    <n v="1273.6555300816781"/>
    <n v="170596.65902450343"/>
    <n v="382096.65902450343"/>
    <n v="211500"/>
    <n v="772.30257333333327"/>
    <m/>
    <s v="1"/>
    <n v="772.3285925925926"/>
  </r>
  <r>
    <x v="5"/>
    <s v="Flat"/>
    <n v="295000"/>
    <n v="2530"/>
    <n v="2023"/>
    <n v="6"/>
    <s v="10"/>
    <x v="1"/>
    <s v="No"/>
    <s v="First Timer"/>
    <n v="116.60079051383399"/>
    <n v="1710.6202209440253"/>
    <n v="247686.06628320756"/>
    <n v="513186.06628320756"/>
    <n v="265500"/>
    <n v="1012.602572881356"/>
    <m/>
    <s v="2"/>
    <n v="1012.6285875706214"/>
  </r>
  <r>
    <x v="6"/>
    <s v="Flat"/>
    <n v="280000"/>
    <n v="2400"/>
    <n v="2024"/>
    <n v="5.2"/>
    <s v="12"/>
    <x v="1"/>
    <s v="No"/>
    <s v="First Timer"/>
    <n v="116.66666666666667"/>
    <n v="1469.2869415381131"/>
    <n v="194386.08246143383"/>
    <n v="440786.08246143383"/>
    <n v="246400"/>
    <n v="960.60257142857142"/>
    <m/>
    <s v="2"/>
    <n v="960.62857142857149"/>
  </r>
  <r>
    <x v="2"/>
    <s v="Terraced"/>
    <n v="280000"/>
    <n v="2400"/>
    <n v="2024"/>
    <n v="5.4"/>
    <s v="10"/>
    <x v="0"/>
    <s v="No"/>
    <s v="First Timer"/>
    <n v="116.66666666666667"/>
    <n v="1532.4873918686746"/>
    <n v="207746.21756060244"/>
    <n v="459746.21756060247"/>
    <n v="252000"/>
    <n v="960.30257142857135"/>
    <m/>
    <s v="1"/>
    <n v="960.32857142857142"/>
  </r>
  <r>
    <x v="5"/>
    <s v="Flat"/>
    <n v="315000"/>
    <n v="2700"/>
    <n v="2024"/>
    <n v="5.2"/>
    <s v="10"/>
    <x v="1"/>
    <s v="No"/>
    <s v="First Timer"/>
    <n v="116.66666666666667"/>
    <n v="1690.514804894704"/>
    <n v="223654.44146841107"/>
    <n v="507154.44146841107"/>
    <n v="283500"/>
    <n v="1080.6025714285713"/>
    <m/>
    <s v="2"/>
    <n v="1080.6285714285714"/>
  </r>
  <r>
    <x v="2"/>
    <s v="Terraced"/>
    <n v="290000"/>
    <n v="2480"/>
    <n v="2023"/>
    <n v="6.3"/>
    <s v="10"/>
    <x v="0"/>
    <s v="No"/>
    <s v="First Timer"/>
    <n v="116.93548387096774"/>
    <n v="1729.8126120794846"/>
    <n v="257943.78362384532"/>
    <n v="518943.78362384532"/>
    <n v="261000"/>
    <n v="992.30256551724131"/>
    <m/>
    <s v="1"/>
    <n v="992.32850574712643"/>
  </r>
  <r>
    <x v="0"/>
    <s v="Terraced"/>
    <n v="240000"/>
    <n v="2050"/>
    <n v="2024"/>
    <n v="5.4"/>
    <s v="6"/>
    <x v="0"/>
    <s v="No"/>
    <s v="First Timer"/>
    <n v="117.07317073170732"/>
    <n v="1371.9410936729087"/>
    <n v="185982.32810187261"/>
    <n v="411582.32810187258"/>
    <n v="225600"/>
    <n v="820.30256249999991"/>
    <m/>
    <s v="1"/>
    <n v="820.32847222222222"/>
  </r>
  <r>
    <x v="2"/>
    <s v="Terraced"/>
    <n v="270000"/>
    <n v="2300"/>
    <n v="2024"/>
    <n v="5.4"/>
    <s v="10"/>
    <x v="0"/>
    <s v="No"/>
    <s v="First Timer"/>
    <n v="117.39130434782609"/>
    <n v="1477.7556993019364"/>
    <n v="200326.70979058091"/>
    <n v="443326.70979058091"/>
    <n v="243000"/>
    <n v="920.3025555555555"/>
    <m/>
    <s v="1"/>
    <n v="920.32839506172832"/>
  </r>
  <r>
    <x v="0"/>
    <s v="Terraced"/>
    <n v="235000"/>
    <n v="2000"/>
    <n v="2024"/>
    <n v="5.4"/>
    <s v="6"/>
    <x v="0"/>
    <s v="No"/>
    <s v="First Timer"/>
    <n v="117.5"/>
    <n v="1343.3589875547232"/>
    <n v="182107.69626641696"/>
    <n v="403007.69626641693"/>
    <n v="220900"/>
    <n v="800.30255319148932"/>
    <m/>
    <s v="1"/>
    <n v="800.32836879432625"/>
  </r>
  <r>
    <x v="2"/>
    <s v="Terraced"/>
    <n v="300000"/>
    <n v="2550"/>
    <n v="2024"/>
    <n v="5.4"/>
    <s v="10"/>
    <x v="0"/>
    <s v="No"/>
    <s v="First Timer"/>
    <n v="117.64705882352941"/>
    <n v="1641.9507770021514"/>
    <n v="222585.23310064548"/>
    <n v="492585.23310064548"/>
    <n v="270000"/>
    <n v="1020.30255"/>
    <m/>
    <s v="1"/>
    <n v="1020.3283333333333"/>
  </r>
  <r>
    <x v="5"/>
    <s v="Flat"/>
    <n v="300000"/>
    <n v="2550"/>
    <n v="2024"/>
    <n v="5.2"/>
    <s v="10"/>
    <x v="1"/>
    <s v="No"/>
    <s v="First Timer"/>
    <n v="117.64705882352941"/>
    <n v="1610.0140998997181"/>
    <n v="213004.22996991529"/>
    <n v="483004.22996991529"/>
    <n v="270000"/>
    <n v="1020.6025500000001"/>
    <m/>
    <s v="2"/>
    <n v="1020.6283333333333"/>
  </r>
  <r>
    <x v="0"/>
    <s v="Terraced"/>
    <n v="230000"/>
    <n v="1950"/>
    <n v="2023"/>
    <n v="6.5"/>
    <s v="6"/>
    <x v="0"/>
    <s v="No"/>
    <s v="First Timer"/>
    <n v="117.94871794871794"/>
    <n v="1459.7978828335968"/>
    <n v="221739.36485007903"/>
    <n v="437939.36485007906"/>
    <n v="216200"/>
    <n v="780.30254347826087"/>
    <m/>
    <s v="1"/>
    <n v="780.32826086956516"/>
  </r>
  <r>
    <x v="0"/>
    <s v="Terraced"/>
    <n v="230000"/>
    <n v="1950"/>
    <n v="2024"/>
    <n v="5.4"/>
    <s v="6"/>
    <x v="0"/>
    <s v="No"/>
    <s v="First Timer"/>
    <n v="117.94871794871794"/>
    <n v="1314.7768814365375"/>
    <n v="178233.06443096124"/>
    <n v="394433.06443096127"/>
    <n v="216200"/>
    <n v="780.30254347826087"/>
    <m/>
    <s v="1"/>
    <n v="780.32826086956516"/>
  </r>
  <r>
    <x v="2"/>
    <s v="Terraced"/>
    <n v="275000"/>
    <n v="2330"/>
    <n v="2023"/>
    <n v="6.3"/>
    <s v="10"/>
    <x v="0"/>
    <s v="No"/>
    <s v="First Timer"/>
    <n v="118.02575107296137"/>
    <n v="1640.3395459374422"/>
    <n v="244601.86378123253"/>
    <n v="492101.8637812325"/>
    <n v="247500"/>
    <n v="932.30254181818179"/>
    <m/>
    <s v="1"/>
    <n v="932.32824242424238"/>
  </r>
  <r>
    <x v="0"/>
    <s v="Terraced"/>
    <n v="208000"/>
    <n v="1760"/>
    <n v="2024"/>
    <n v="5.3"/>
    <s v="6"/>
    <x v="0"/>
    <s v="No"/>
    <s v="First Timer"/>
    <n v="118.18181818181819"/>
    <n v="1177.4237789199512"/>
    <n v="157707.13367598536"/>
    <n v="353227.13367598539"/>
    <n v="195520"/>
    <n v="704.30253846153846"/>
    <m/>
    <s v="1"/>
    <n v="704.32820512820513"/>
  </r>
  <r>
    <x v="0"/>
    <s v="Terraced"/>
    <n v="235000"/>
    <n v="1980"/>
    <n v="2024"/>
    <n v="5.3"/>
    <s v="6"/>
    <x v="0"/>
    <s v="No"/>
    <s v="First Timer"/>
    <n v="118.68686868686869"/>
    <n v="1330.2624425297527"/>
    <n v="178178.73275892579"/>
    <n v="399078.73275892576"/>
    <n v="220900"/>
    <n v="792.30252765957437"/>
    <m/>
    <s v="1"/>
    <n v="792.3280851063829"/>
  </r>
  <r>
    <x v="0"/>
    <s v="Terraced"/>
    <n v="220000"/>
    <n v="1850"/>
    <n v="2024"/>
    <n v="5.4"/>
    <s v="6"/>
    <x v="0"/>
    <s v="No"/>
    <s v="First Timer"/>
    <n v="118.91891891891892"/>
    <n v="1257.6126692001665"/>
    <n v="170483.80076004995"/>
    <n v="377283.80076004995"/>
    <n v="206800"/>
    <n v="740.30252272727273"/>
    <m/>
    <s v="1"/>
    <n v="740.32803030303023"/>
  </r>
  <r>
    <x v="0"/>
    <s v="Terraced"/>
    <n v="250000"/>
    <n v="2100"/>
    <n v="2024"/>
    <n v="5.3"/>
    <s v="6"/>
    <x v="0"/>
    <s v="No"/>
    <s v="First Timer"/>
    <n v="119.04761904761905"/>
    <n v="1415.1728112018645"/>
    <n v="189551.84336055935"/>
    <n v="424551.84336055932"/>
    <n v="235000"/>
    <n v="840.30251999999996"/>
    <m/>
    <s v="1"/>
    <n v="840.32799999999997"/>
  </r>
  <r>
    <x v="0"/>
    <s v="Terraced"/>
    <n v="225000"/>
    <n v="1880"/>
    <n v="2024"/>
    <n v="5.3"/>
    <s v="6"/>
    <x v="0"/>
    <s v="No"/>
    <s v="First Timer"/>
    <n v="119.68085106382979"/>
    <n v="1273.6555300816781"/>
    <n v="170596.65902450343"/>
    <n v="382096.65902450343"/>
    <n v="211500"/>
    <n v="752.30250666666666"/>
    <m/>
    <s v="1"/>
    <n v="752.32785185185185"/>
  </r>
  <r>
    <x v="0"/>
    <s v="Terraced"/>
    <n v="240000"/>
    <n v="2000"/>
    <n v="2023"/>
    <n v="6.6"/>
    <s v="6"/>
    <x v="0"/>
    <s v="No"/>
    <s v="First Timer"/>
    <n v="120"/>
    <n v="1537.3942884099422"/>
    <n v="235618.28652298258"/>
    <n v="461218.28652298258"/>
    <n v="225600"/>
    <n v="800.30250000000001"/>
    <m/>
    <s v="1"/>
    <n v="800.32777777777778"/>
  </r>
  <r>
    <x v="6"/>
    <s v="Flat"/>
    <n v="280000"/>
    <n v="2330"/>
    <n v="2024"/>
    <n v="5.2"/>
    <s v="12"/>
    <x v="1"/>
    <s v="No"/>
    <s v="First Timer"/>
    <n v="120.17167381974249"/>
    <n v="1469.2869415381131"/>
    <n v="194386.08246143383"/>
    <n v="440786.08246143383"/>
    <n v="246400"/>
    <n v="932.6024964285715"/>
    <m/>
    <s v="2"/>
    <n v="932.6277380952381"/>
  </r>
  <r>
    <x v="0"/>
    <s v="Terraced"/>
    <n v="260000"/>
    <n v="2150"/>
    <n v="2023"/>
    <n v="6.6"/>
    <s v="6"/>
    <x v="0"/>
    <s v="No"/>
    <s v="First Timer"/>
    <n v="120.93023255813954"/>
    <n v="1665.5104791107708"/>
    <n v="255253.14373323118"/>
    <n v="499653.14373323118"/>
    <n v="244400"/>
    <n v="860.30248076923067"/>
    <m/>
    <s v="1"/>
    <n v="860.32756410256411"/>
  </r>
  <r>
    <x v="0"/>
    <s v="Terraced"/>
    <n v="230000"/>
    <n v="1900"/>
    <n v="2023"/>
    <n v="6.6"/>
    <s v="6"/>
    <x v="0"/>
    <s v="No"/>
    <s v="First Timer"/>
    <n v="121.05263157894737"/>
    <n v="1473.3361930595279"/>
    <n v="225800.85791785832"/>
    <n v="442000.85791785829"/>
    <n v="216200"/>
    <n v="760.30247826086952"/>
    <m/>
    <s v="1"/>
    <n v="760.32753623188398"/>
  </r>
  <r>
    <x v="0"/>
    <s v="Terraced"/>
    <n v="270000"/>
    <n v="2200"/>
    <n v="2023"/>
    <n v="6.6"/>
    <s v="6"/>
    <x v="0"/>
    <s v="No"/>
    <s v="First Timer"/>
    <n v="122.72727272727273"/>
    <n v="1729.5685744611851"/>
    <n v="265070.57233835547"/>
    <n v="518870.57233835547"/>
    <n v="253800"/>
    <n v="880.3024444444444"/>
    <m/>
    <s v="1"/>
    <n v="880.32716049382714"/>
  </r>
  <r>
    <x v="7"/>
    <s v="Flat"/>
    <n v="350000"/>
    <n v="2850"/>
    <n v="2024"/>
    <n v="5.2"/>
    <s v="12"/>
    <x v="1"/>
    <s v="No"/>
    <s v="First Timer"/>
    <n v="122.80701754385964"/>
    <n v="1836.6086769226413"/>
    <n v="242982.60307679232"/>
    <n v="550982.60307679232"/>
    <n v="308000"/>
    <n v="1140.6024428571427"/>
    <m/>
    <s v="2"/>
    <n v="1140.6271428571429"/>
  </r>
  <r>
    <x v="7"/>
    <s v="Flat"/>
    <n v="370000"/>
    <n v="3000"/>
    <n v="2024"/>
    <n v="5.2"/>
    <s v="12"/>
    <x v="1"/>
    <s v="No"/>
    <s v="First Timer"/>
    <n v="123.33333333333333"/>
    <n v="1941.5577441753637"/>
    <n v="256867.323252609"/>
    <n v="582467.323252609"/>
    <n v="325600"/>
    <n v="1200.6024324324324"/>
    <m/>
    <s v="2"/>
    <n v="1200.627027027027"/>
  </r>
  <r>
    <x v="5"/>
    <s v="Flat"/>
    <n v="310000"/>
    <n v="2510"/>
    <n v="2024"/>
    <n v="5.3"/>
    <n v="10"/>
    <x v="1"/>
    <s v="No"/>
    <s v="First Timer"/>
    <n v="123.50597609561753"/>
    <n v="1680.141337554554"/>
    <n v="225042.40126636619"/>
    <n v="504042.40126636619"/>
    <n v="279000"/>
    <n v="1004.6024290322581"/>
    <m/>
    <s v="2"/>
    <n v="1004.6269892473118"/>
  </r>
  <r>
    <x v="7"/>
    <s v="Flat"/>
    <n v="372000"/>
    <n v="3010"/>
    <n v="2024"/>
    <n v="5.2"/>
    <s v="12"/>
    <x v="1"/>
    <s v="No"/>
    <s v="First Timer"/>
    <n v="123.58803986710963"/>
    <n v="1952.0526509006359"/>
    <n v="258255.79527019063"/>
    <n v="585615.79527019057"/>
    <n v="327360"/>
    <n v="1204.6024274193549"/>
    <m/>
    <s v="2"/>
    <n v="1204.6269713261647"/>
  </r>
  <r>
    <x v="7"/>
    <s v="Flat"/>
    <n v="365000"/>
    <n v="2950"/>
    <n v="2024"/>
    <n v="5.2"/>
    <s v="12"/>
    <x v="1"/>
    <s v="No"/>
    <s v="First Timer"/>
    <n v="123.72881355932203"/>
    <n v="1915.3204773621831"/>
    <n v="253396.14320865489"/>
    <n v="574596.14320865483"/>
    <n v="321200"/>
    <n v="1180.6024246575341"/>
    <m/>
    <s v="2"/>
    <n v="1180.6269406392694"/>
  </r>
  <r>
    <x v="7"/>
    <s v="Flat"/>
    <n v="360000"/>
    <n v="2900"/>
    <n v="2024"/>
    <n v="5.2"/>
    <s v="12"/>
    <x v="1"/>
    <s v="No"/>
    <s v="First Timer"/>
    <n v="124.13793103448276"/>
    <n v="1889.0832105490024"/>
    <n v="249924.9631647006"/>
    <n v="566724.96316470066"/>
    <n v="316800"/>
    <n v="1160.6024166666666"/>
    <m/>
    <s v="2"/>
    <n v="1160.6268518518518"/>
  </r>
  <r>
    <x v="7"/>
    <s v="Flat"/>
    <n v="348000"/>
    <n v="2800"/>
    <n v="2024"/>
    <n v="5.2"/>
    <s v="12"/>
    <x v="1"/>
    <s v="No"/>
    <s v="First Timer"/>
    <n v="124.28571428571429"/>
    <n v="1826.1137701973689"/>
    <n v="241594.13105921069"/>
    <n v="547834.13105921075"/>
    <n v="306240"/>
    <n v="1120.6024137931033"/>
    <m/>
    <s v="2"/>
    <n v="1120.6268199233716"/>
  </r>
  <r>
    <x v="0"/>
    <s v="Terraced"/>
    <n v="240000"/>
    <n v="1930"/>
    <n v="2024"/>
    <n v="5.3"/>
    <s v="6"/>
    <x v="0"/>
    <s v="No"/>
    <s v="First Timer"/>
    <n v="124.35233160621762"/>
    <n v="1358.56589875379"/>
    <n v="181969.76962613699"/>
    <n v="407569.76962613699"/>
    <n v="225600"/>
    <n v="772.30241249999995"/>
    <m/>
    <s v="1"/>
    <n v="772.32680555555555"/>
  </r>
  <r>
    <x v="7"/>
    <s v="Flat"/>
    <n v="345000"/>
    <n v="2750"/>
    <n v="2024"/>
    <n v="5.2"/>
    <s v="12"/>
    <x v="1"/>
    <s v="No"/>
    <s v="First Timer"/>
    <n v="125.45454545454545"/>
    <n v="1810.3714101094608"/>
    <n v="239511.42303283815"/>
    <n v="543111.42303283815"/>
    <n v="303600"/>
    <n v="1100.6023913043477"/>
    <m/>
    <s v="2"/>
    <n v="1100.6265700483091"/>
  </r>
  <r>
    <x v="2"/>
    <s v="Terraced"/>
    <n v="252000"/>
    <n v="1990"/>
    <n v="2023"/>
    <n v="6.3"/>
    <s v="10"/>
    <x v="0"/>
    <s v="No"/>
    <s v="First Timer"/>
    <n v="126.63316582914572"/>
    <n v="1503.1475111863108"/>
    <n v="224144.25335589319"/>
    <n v="450944.25335589319"/>
    <n v="226800"/>
    <n v="796.30236904761898"/>
    <m/>
    <s v="1"/>
    <n v="796.32632275132266"/>
  </r>
  <r>
    <x v="7"/>
    <s v="Flat"/>
    <n v="343000"/>
    <n v="2700"/>
    <n v="2024"/>
    <n v="5.2"/>
    <s v="12"/>
    <x v="1"/>
    <s v="No"/>
    <s v="First Timer"/>
    <n v="127.03703703703704"/>
    <n v="1799.8765033841883"/>
    <n v="238122.95101525652"/>
    <n v="539962.95101525658"/>
    <n v="301840"/>
    <n v="1080.602361516035"/>
    <m/>
    <s v="2"/>
    <n v="1080.6262390670554"/>
  </r>
  <r>
    <x v="7"/>
    <s v="Flat"/>
    <n v="340000"/>
    <n v="2650"/>
    <n v="2024"/>
    <n v="5.2"/>
    <s v="12"/>
    <x v="1"/>
    <s v="No"/>
    <s v="First Timer"/>
    <n v="128.30188679245282"/>
    <n v="1784.1341432962802"/>
    <n v="236040.24298888387"/>
    <n v="535240.24298888387"/>
    <n v="299200"/>
    <n v="1060.6023382352939"/>
    <m/>
    <s v="2"/>
    <n v="1060.6259803921569"/>
  </r>
  <r>
    <x v="7"/>
    <s v="Flat"/>
    <n v="310000"/>
    <n v="2400"/>
    <n v="2023"/>
    <n v="6"/>
    <s v="12"/>
    <x v="1"/>
    <s v="No"/>
    <s v="First Timer"/>
    <n v="129.16666666666666"/>
    <n v="1757.6542232524673"/>
    <n v="254496.2669757402"/>
    <n v="527296.2669757402"/>
    <n v="272800"/>
    <n v="960.60232258064514"/>
    <m/>
    <s v="2"/>
    <n v="960.6258064516129"/>
  </r>
  <r>
    <x v="5"/>
    <s v="Flat"/>
    <n v="330000"/>
    <n v="2510"/>
    <n v="2024"/>
    <n v="5.3"/>
    <n v="10"/>
    <x v="1"/>
    <s v="No"/>
    <s v="First Timer"/>
    <n v="131.47410358565736"/>
    <n v="1788.5375528806542"/>
    <n v="239561.26586419623"/>
    <n v="536561.26586419623"/>
    <n v="297000"/>
    <n v="1004.6022818181818"/>
    <m/>
    <s v="2"/>
    <n v="1004.6253535353536"/>
  </r>
  <r>
    <x v="7"/>
    <s v="Flat"/>
    <n v="310000"/>
    <n v="2350"/>
    <n v="2024"/>
    <n v="5.2"/>
    <s v="12"/>
    <x v="1"/>
    <s v="No"/>
    <s v="First Timer"/>
    <n v="131.91489361702128"/>
    <n v="1626.7105424171966"/>
    <n v="215213.16272515891"/>
    <n v="488013.16272515891"/>
    <n v="272800"/>
    <n v="940.6022741935484"/>
    <m/>
    <s v="2"/>
    <n v="940.6252688172043"/>
  </r>
  <r>
    <x v="7"/>
    <s v="Flat"/>
    <n v="330000"/>
    <n v="2500"/>
    <n v="2024"/>
    <n v="5.2"/>
    <s v="12"/>
    <x v="1"/>
    <s v="No"/>
    <s v="First Timer"/>
    <n v="132"/>
    <n v="1731.6596096699188"/>
    <n v="229097.88290097559"/>
    <n v="519497.88290097559"/>
    <n v="290400"/>
    <n v="1000.6022727272727"/>
    <m/>
    <s v="2"/>
    <n v="1000.6252525252526"/>
  </r>
  <r>
    <x v="7"/>
    <s v="Flat"/>
    <n v="320000"/>
    <n v="2420"/>
    <n v="2024"/>
    <n v="5.2"/>
    <s v="12"/>
    <x v="1"/>
    <s v="No"/>
    <s v="First Timer"/>
    <n v="132.23140495867767"/>
    <n v="1679.1850760435575"/>
    <n v="222155.52281306719"/>
    <n v="503755.52281306719"/>
    <n v="281600"/>
    <n v="968.60226875000001"/>
    <m/>
    <s v="2"/>
    <n v="968.62520833333338"/>
  </r>
  <r>
    <x v="7"/>
    <s v="Flat"/>
    <n v="315000"/>
    <n v="2380"/>
    <n v="2023"/>
    <n v="6"/>
    <s v="12"/>
    <x v="1"/>
    <s v="No"/>
    <s v="First Timer"/>
    <n v="132.35294117647058"/>
    <n v="1786.0034849178296"/>
    <n v="258601.04547534889"/>
    <n v="535801.04547534883"/>
    <n v="277200"/>
    <n v="952.60226666666665"/>
    <m/>
    <s v="2"/>
    <n v="952.62518518518516"/>
  </r>
  <r>
    <x v="7"/>
    <s v="Flat"/>
    <n v="318000"/>
    <n v="2400"/>
    <n v="2023"/>
    <n v="6"/>
    <s v="12"/>
    <x v="1"/>
    <s v="No"/>
    <s v="First Timer"/>
    <n v="132.5"/>
    <n v="1803.0130419170473"/>
    <n v="261063.91257511417"/>
    <n v="540903.91257511417"/>
    <n v="279840"/>
    <n v="960.60226415094337"/>
    <m/>
    <s v="2"/>
    <n v="960.6251572327044"/>
  </r>
  <r>
    <x v="7"/>
    <s v="Flat"/>
    <n v="325000"/>
    <n v="2450"/>
    <n v="2023"/>
    <n v="6"/>
    <s v="12"/>
    <x v="1"/>
    <s v="No"/>
    <s v="First Timer"/>
    <n v="132.65306122448979"/>
    <n v="1842.7020082485544"/>
    <n v="266810.60247456632"/>
    <n v="552810.60247456632"/>
    <n v="286000"/>
    <n v="980.60226153846156"/>
    <m/>
    <s v="2"/>
    <n v="980.62512820512825"/>
  </r>
  <r>
    <x v="7"/>
    <s v="Flat"/>
    <n v="325000"/>
    <n v="2450"/>
    <n v="2024"/>
    <n v="5.2"/>
    <s v="12"/>
    <x v="1"/>
    <s v="No"/>
    <s v="First Timer"/>
    <n v="132.65306122448979"/>
    <n v="1705.4223428567382"/>
    <n v="225626.70285702136"/>
    <n v="511626.70285702136"/>
    <n v="286000"/>
    <n v="980.60226153846156"/>
    <m/>
    <s v="2"/>
    <n v="980.62512820512825"/>
  </r>
  <r>
    <x v="7"/>
    <s v="Flat"/>
    <n v="292000"/>
    <n v="2190"/>
    <n v="2023"/>
    <n v="6"/>
    <s v="12"/>
    <x v="1"/>
    <s v="No"/>
    <s v="First Timer"/>
    <n v="133.33333333333334"/>
    <n v="1655.596881257163"/>
    <n v="239719.06437714887"/>
    <n v="496679.06437714887"/>
    <n v="256960"/>
    <n v="876.60225000000003"/>
    <m/>
    <s v="2"/>
    <n v="876.625"/>
  </r>
  <r>
    <x v="7"/>
    <s v="Flat"/>
    <n v="300000"/>
    <n v="2250"/>
    <n v="2024"/>
    <n v="5.2"/>
    <s v="12"/>
    <x v="1"/>
    <s v="No"/>
    <s v="First Timer"/>
    <n v="133.33333333333334"/>
    <n v="1574.2360087908353"/>
    <n v="208270.80263725057"/>
    <n v="472270.80263725057"/>
    <n v="264000"/>
    <n v="900.60225000000003"/>
    <m/>
    <s v="2"/>
    <n v="900.625"/>
  </r>
  <r>
    <x v="7"/>
    <s v="Flat"/>
    <n v="340000"/>
    <n v="2550"/>
    <n v="2023"/>
    <n v="6"/>
    <s v="12"/>
    <x v="1"/>
    <s v="No"/>
    <s v="First Timer"/>
    <n v="133.33333333333334"/>
    <n v="1927.7497932446418"/>
    <n v="279124.93797339255"/>
    <n v="578324.93797339255"/>
    <n v="299200"/>
    <n v="1020.60225"/>
    <m/>
    <s v="2"/>
    <n v="1020.625"/>
  </r>
  <r>
    <x v="7"/>
    <s v="Flat"/>
    <n v="320000"/>
    <n v="2400"/>
    <n v="2024"/>
    <n v="5.2"/>
    <s v="12"/>
    <x v="1"/>
    <s v="No"/>
    <s v="First Timer"/>
    <n v="133.33333333333334"/>
    <n v="1679.1850760435575"/>
    <n v="222155.52281306719"/>
    <n v="503755.52281306719"/>
    <n v="281600"/>
    <n v="960.60225000000003"/>
    <m/>
    <s v="2"/>
    <n v="960.625"/>
  </r>
  <r>
    <x v="7"/>
    <s v="Flat"/>
    <n v="310000"/>
    <n v="2300"/>
    <n v="2024"/>
    <n v="5.2"/>
    <s v="12"/>
    <x v="1"/>
    <s v="No"/>
    <s v="First Timer"/>
    <n v="134.78260869565219"/>
    <n v="1626.7105424171966"/>
    <n v="215213.16272515891"/>
    <n v="488013.16272515891"/>
    <n v="272800"/>
    <n v="920.60222580645166"/>
    <m/>
    <s v="2"/>
    <n v="920.6247311827957"/>
  </r>
  <r>
    <x v="7"/>
    <s v="Flat"/>
    <n v="320000"/>
    <n v="2350"/>
    <n v="2024"/>
    <n v="5.2"/>
    <s v="12"/>
    <x v="1"/>
    <s v="No"/>
    <s v="First Timer"/>
    <n v="136.17021276595744"/>
    <n v="1679.1850760435575"/>
    <n v="222155.52281306719"/>
    <n v="503755.52281306719"/>
    <n v="281600"/>
    <n v="940.60220312500007"/>
    <m/>
    <s v="2"/>
    <n v="940.62447916666667"/>
  </r>
  <r>
    <x v="7"/>
    <s v="Flat"/>
    <n v="325000"/>
    <n v="2380"/>
    <n v="2023"/>
    <n v="6"/>
    <s v="12"/>
    <x v="1"/>
    <s v="No"/>
    <s v="First Timer"/>
    <n v="136.55462184873949"/>
    <n v="1842.7020082485544"/>
    <n v="266810.60247456632"/>
    <n v="552810.60247456632"/>
    <n v="286000"/>
    <n v="952.60219692307692"/>
    <m/>
    <s v="2"/>
    <n v="952.62441025641033"/>
  </r>
  <r>
    <x v="2"/>
    <s v="Semi Detached"/>
    <n v="365000"/>
    <n v="2550"/>
    <n v="2024"/>
    <n v="5.4"/>
    <s v="14"/>
    <x v="1"/>
    <s v="No"/>
    <s v="Upsizer"/>
    <n v="143.13725490196077"/>
    <n v="1908.9198107443531"/>
    <n v="258775.94322330604"/>
    <n v="572675.94322330598"/>
    <n v="313900"/>
    <n v="1020.602095890411"/>
    <m/>
    <s v="2"/>
    <n v="1020.6232876712329"/>
  </r>
  <r>
    <x v="4"/>
    <s v="Terraced"/>
    <n v="330000"/>
    <n v="2300"/>
    <n v="2024"/>
    <n v="5.5"/>
    <s v="10"/>
    <x v="1"/>
    <s v="No"/>
    <s v="First Timer"/>
    <n v="143.47826086956522"/>
    <n v="1823.8398520759667"/>
    <n v="250151.95562279003"/>
    <n v="547151.95562279003"/>
    <n v="297000"/>
    <n v="920.60209090909098"/>
    <m/>
    <s v="2"/>
    <n v="920.6232323232324"/>
  </r>
  <r>
    <x v="2"/>
    <s v="Semi Detached"/>
    <n v="360000"/>
    <n v="2500"/>
    <n v="2024"/>
    <n v="5.4"/>
    <s v="14"/>
    <x v="1"/>
    <s v="No"/>
    <s v="Upsizer"/>
    <n v="144"/>
    <n v="1882.7702242958003"/>
    <n v="255231.06728874013"/>
    <n v="564831.06728874007"/>
    <n v="309600"/>
    <n v="1000.6020833333333"/>
    <m/>
    <s v="2"/>
    <n v="1000.6231481481482"/>
  </r>
  <r>
    <x v="2"/>
    <s v="Semi Detached"/>
    <n v="368000"/>
    <n v="2555"/>
    <n v="2024"/>
    <n v="5.4"/>
    <s v="14"/>
    <x v="1"/>
    <s v="No"/>
    <s v="Upsizer"/>
    <n v="144.03131115459882"/>
    <n v="1924.6095626134845"/>
    <n v="260902.86878404539"/>
    <n v="577382.86878404533"/>
    <n v="316480"/>
    <n v="1022.6020828804348"/>
    <m/>
    <s v="2"/>
    <n v="1022.6231431159421"/>
  </r>
  <r>
    <x v="4"/>
    <s v="Terraced"/>
    <n v="340000"/>
    <n v="2350"/>
    <n v="2023"/>
    <n v="6.4"/>
    <s v="10"/>
    <x v="1"/>
    <s v="No"/>
    <s v="First Timer"/>
    <n v="144.68085106382978"/>
    <n v="2047.0539426567625"/>
    <n v="308116.18279702892"/>
    <n v="614116.18279702892"/>
    <n v="306000"/>
    <n v="940.60207352941177"/>
    <m/>
    <s v="2"/>
    <n v="940.62303921568628"/>
  </r>
  <r>
    <x v="2"/>
    <s v="Semi Detached"/>
    <n v="355000"/>
    <n v="2450"/>
    <n v="2024"/>
    <n v="5.4"/>
    <s v="14"/>
    <x v="1"/>
    <s v="No"/>
    <s v="Upsizer"/>
    <n v="144.89795918367346"/>
    <n v="1856.6206378472473"/>
    <n v="251686.19135417423"/>
    <n v="556986.19135417417"/>
    <n v="305300"/>
    <n v="980.60207042253523"/>
    <m/>
    <s v="2"/>
    <n v="980.62300469483569"/>
  </r>
  <r>
    <x v="3"/>
    <s v="Terraced"/>
    <n v="320000"/>
    <n v="2200"/>
    <n v="2024"/>
    <n v="5.4"/>
    <s v="10"/>
    <x v="1"/>
    <s v="No"/>
    <s v="First Timer"/>
    <n v="145.45454545454547"/>
    <n v="1751.4141621356282"/>
    <n v="237424.24864068849"/>
    <n v="525424.24864068849"/>
    <n v="288000"/>
    <n v="880.60206249999999"/>
    <m/>
    <s v="2"/>
    <n v="880.6229166666667"/>
  </r>
  <r>
    <x v="3"/>
    <s v="Terraced"/>
    <n v="335000"/>
    <n v="2300"/>
    <n v="2024"/>
    <n v="5.4"/>
    <s v="10"/>
    <x v="1"/>
    <s v="No"/>
    <s v="First Timer"/>
    <n v="145.65217391304347"/>
    <n v="1833.5117009857358"/>
    <n v="248553.51029572077"/>
    <n v="550053.51029572077"/>
    <n v="301500"/>
    <n v="920.60205970149252"/>
    <m/>
    <s v="2"/>
    <n v="920.62288557213935"/>
  </r>
  <r>
    <x v="3"/>
    <s v="Terraced"/>
    <n v="300000"/>
    <n v="2050"/>
    <n v="2024"/>
    <n v="5.4"/>
    <s v="10"/>
    <x v="1"/>
    <s v="No"/>
    <s v="First Timer"/>
    <n v="146.34146341463415"/>
    <n v="1641.9507770021514"/>
    <n v="222585.23310064548"/>
    <n v="492585.23310064548"/>
    <n v="270000"/>
    <n v="820.60205000000008"/>
    <m/>
    <s v="2"/>
    <n v="820.62277777777786"/>
  </r>
  <r>
    <x v="3"/>
    <s v="Terraced"/>
    <n v="290000"/>
    <n v="1980"/>
    <n v="2024"/>
    <n v="5.4"/>
    <s v="10"/>
    <x v="1"/>
    <s v="No"/>
    <s v="First Timer"/>
    <n v="146.46464646464648"/>
    <n v="1587.2190844354129"/>
    <n v="215165.72533062389"/>
    <n v="476165.72533062391"/>
    <n v="261000"/>
    <n v="792.6020482758621"/>
    <m/>
    <s v="2"/>
    <n v="792.62275862068964"/>
  </r>
  <r>
    <x v="3"/>
    <s v="Terraced"/>
    <n v="305000"/>
    <n v="2080"/>
    <n v="2023"/>
    <n v="6.6"/>
    <s v="10"/>
    <x v="1"/>
    <s v="No"/>
    <s v="First Timer"/>
    <n v="146.63461538461539"/>
    <n v="1870.632678051991"/>
    <n v="286689.80341559718"/>
    <n v="561189.80341559718"/>
    <n v="274500"/>
    <n v="832.60204590163937"/>
    <m/>
    <s v="2"/>
    <n v="832.62273224043713"/>
  </r>
  <r>
    <x v="3"/>
    <s v="Terraced"/>
    <n v="330000"/>
    <n v="2250"/>
    <n v="2023"/>
    <n v="6.6"/>
    <s v="10"/>
    <x v="1"/>
    <s v="No"/>
    <s v="First Timer"/>
    <n v="146.66666666666666"/>
    <n v="2023.9632254333019"/>
    <n v="310188.96762999042"/>
    <n v="607188.96762999042"/>
    <n v="297000"/>
    <n v="900.60204545454553"/>
    <m/>
    <s v="2"/>
    <n v="900.62272727272727"/>
  </r>
  <r>
    <x v="2"/>
    <s v="Semi Detached"/>
    <n v="352000"/>
    <n v="2400"/>
    <n v="2024"/>
    <n v="5.4"/>
    <s v="14"/>
    <x v="1"/>
    <s v="No"/>
    <s v="Upsizer"/>
    <n v="146.66666666666666"/>
    <n v="1840.9308859781156"/>
    <n v="249559.26579343475"/>
    <n v="552279.26579343481"/>
    <n v="302720"/>
    <n v="960.60204545454553"/>
    <m/>
    <s v="2"/>
    <n v="960.62272727272727"/>
  </r>
  <r>
    <x v="3"/>
    <s v="Terraced"/>
    <n v="285000"/>
    <n v="1940"/>
    <n v="2023"/>
    <n v="6.5"/>
    <s v="10"/>
    <x v="1"/>
    <s v="No"/>
    <s v="First Timer"/>
    <n v="146.90721649484536"/>
    <n v="1731.9063688566957"/>
    <n v="263071.9106570087"/>
    <n v="519571.9106570087"/>
    <n v="256500"/>
    <n v="776.60204210526319"/>
    <m/>
    <s v="2"/>
    <n v="776.62269005847952"/>
  </r>
  <r>
    <x v="5"/>
    <s v="Terraced"/>
    <n v="390000"/>
    <n v="2650"/>
    <n v="2024"/>
    <n v="5.3"/>
    <s v="10"/>
    <x v="1"/>
    <s v="No"/>
    <s v="First Timer"/>
    <n v="147.16981132075472"/>
    <n v="2113.7261988589553"/>
    <n v="283117.85965768655"/>
    <n v="634117.85965768655"/>
    <n v="351000"/>
    <n v="1060.6020384615383"/>
    <m/>
    <s v="2"/>
    <n v="1060.6226495726494"/>
  </r>
  <r>
    <x v="3"/>
    <s v="Terraced"/>
    <n v="280000"/>
    <n v="1900"/>
    <n v="2024"/>
    <n v="5.4"/>
    <s v="10"/>
    <x v="1"/>
    <s v="No"/>
    <s v="First Timer"/>
    <n v="147.36842105263159"/>
    <n v="1532.4873918686746"/>
    <n v="207746.21756060244"/>
    <n v="459746.21756060247"/>
    <n v="252000"/>
    <n v="760.60203571428576"/>
    <m/>
    <s v="2"/>
    <n v="760.62261904761908"/>
  </r>
  <r>
    <x v="5"/>
    <s v="Terraced"/>
    <n v="392000"/>
    <n v="2660"/>
    <n v="2024"/>
    <n v="5.3"/>
    <s v="10"/>
    <x v="1"/>
    <s v="No"/>
    <s v="First Timer"/>
    <n v="147.36842105263159"/>
    <n v="2124.565820391565"/>
    <n v="284569.74611746945"/>
    <n v="637369.74611746939"/>
    <n v="352800"/>
    <n v="1064.6020357142856"/>
    <m/>
    <s v="2"/>
    <n v="1064.6226190476189"/>
  </r>
  <r>
    <x v="4"/>
    <s v="Terraced"/>
    <n v="295000"/>
    <n v="2000"/>
    <n v="2023"/>
    <n v="6.4"/>
    <s v="10"/>
    <x v="1"/>
    <s v="No"/>
    <s v="First Timer"/>
    <n v="147.5"/>
    <n v="1776.1203325992499"/>
    <n v="267336.09977977496"/>
    <n v="532836.0997797749"/>
    <n v="265500"/>
    <n v="800.60203389830508"/>
    <m/>
    <s v="2"/>
    <n v="800.62259887005655"/>
  </r>
  <r>
    <x v="3"/>
    <s v="Terraced"/>
    <n v="295000"/>
    <n v="2000"/>
    <n v="2023"/>
    <n v="6.6"/>
    <s v="10"/>
    <x v="1"/>
    <s v="No"/>
    <s v="First Timer"/>
    <n v="147.5"/>
    <n v="1809.3004590994667"/>
    <n v="277290.13772983989"/>
    <n v="542790.13772983989"/>
    <n v="265500"/>
    <n v="800.60203389830508"/>
    <m/>
    <s v="2"/>
    <n v="800.62259887005655"/>
  </r>
  <r>
    <x v="4"/>
    <s v="Terraced"/>
    <n v="310000"/>
    <n v="2100"/>
    <n v="2024"/>
    <n v="5.5"/>
    <s v="10"/>
    <x v="1"/>
    <s v="No"/>
    <s v="First Timer"/>
    <n v="147.61904761904762"/>
    <n v="1713.304103465302"/>
    <n v="234991.23103959055"/>
    <n v="513991.23103959055"/>
    <n v="279000"/>
    <n v="840.60203225806458"/>
    <m/>
    <s v="2"/>
    <n v="840.62258064516129"/>
  </r>
  <r>
    <x v="3"/>
    <s v="Terraced"/>
    <n v="310000"/>
    <n v="2100"/>
    <n v="2024"/>
    <n v="5.4"/>
    <s v="10"/>
    <x v="1"/>
    <s v="No"/>
    <s v="First Timer"/>
    <n v="147.61904761904762"/>
    <n v="1696.6824695688897"/>
    <n v="230004.74087066698"/>
    <n v="509004.74087066698"/>
    <n v="279000"/>
    <n v="840.60203225806458"/>
    <m/>
    <s v="2"/>
    <n v="840.62258064516129"/>
  </r>
  <r>
    <x v="4"/>
    <s v="Terraced"/>
    <n v="285000"/>
    <n v="1930"/>
    <n v="2023"/>
    <n v="6.4"/>
    <s v="10"/>
    <x v="1"/>
    <s v="No"/>
    <s v="First Timer"/>
    <n v="147.66839378238342"/>
    <n v="1715.9128636975804"/>
    <n v="258273.85910927417"/>
    <n v="514773.85910927417"/>
    <n v="256500"/>
    <n v="772.60203157894739"/>
    <m/>
    <s v="2"/>
    <n v="772.62257309941526"/>
  </r>
  <r>
    <x v="4"/>
    <s v="Terraced"/>
    <n v="300000"/>
    <n v="2030"/>
    <n v="2024"/>
    <n v="5.5"/>
    <s v="10"/>
    <x v="1"/>
    <s v="No"/>
    <s v="First Timer"/>
    <n v="147.78325123152709"/>
    <n v="1658.0362291599697"/>
    <n v="227410.86874799087"/>
    <n v="497410.86874799087"/>
    <n v="270000"/>
    <n v="812.60203000000001"/>
    <m/>
    <s v="2"/>
    <n v="812.62255555555555"/>
  </r>
  <r>
    <x v="5"/>
    <s v="Terraced"/>
    <n v="370000"/>
    <n v="2500"/>
    <n v="2024"/>
    <n v="5.3"/>
    <s v="10"/>
    <x v="1"/>
    <s v="No"/>
    <s v="First Timer"/>
    <n v="148"/>
    <n v="2005.3299835328546"/>
    <n v="268598.99505985627"/>
    <n v="601598.99505985621"/>
    <n v="333000"/>
    <n v="1000.602027027027"/>
    <m/>
    <s v="2"/>
    <n v="1000.6225225225226"/>
  </r>
  <r>
    <x v="5"/>
    <s v="Terraced"/>
    <n v="385000"/>
    <n v="2600"/>
    <n v="2024"/>
    <n v="5.3"/>
    <s v="10"/>
    <x v="1"/>
    <s v="No"/>
    <s v="First Timer"/>
    <n v="148.07692307692307"/>
    <n v="2086.6271450274298"/>
    <n v="279488.14350822894"/>
    <n v="625988.14350822894"/>
    <n v="346500"/>
    <n v="1040.602025974026"/>
    <m/>
    <s v="2"/>
    <n v="1040.6225108225108"/>
  </r>
  <r>
    <x v="4"/>
    <s v="Terraced"/>
    <n v="292000"/>
    <n v="1970"/>
    <n v="2023"/>
    <n v="6.4"/>
    <s v="10"/>
    <x v="1"/>
    <s v="No"/>
    <s v="First Timer"/>
    <n v="148.2233502538071"/>
    <n v="1758.058091928749"/>
    <n v="264617.4275786248"/>
    <n v="527417.4275786248"/>
    <n v="262800"/>
    <n v="788.60202397260275"/>
    <m/>
    <s v="2"/>
    <n v="788.62248858447492"/>
  </r>
  <r>
    <x v="4"/>
    <s v="Terraced"/>
    <n v="315000"/>
    <n v="2120"/>
    <n v="2023"/>
    <n v="6.4"/>
    <s v="10"/>
    <x v="1"/>
    <s v="No"/>
    <s v="First Timer"/>
    <n v="148.58490566037736"/>
    <n v="1896.5352704025888"/>
    <n v="285460.58112077671"/>
    <n v="568960.58112077671"/>
    <n v="283500"/>
    <n v="848.60201904761902"/>
    <m/>
    <s v="2"/>
    <n v="848.62243386243392"/>
  </r>
  <r>
    <x v="4"/>
    <s v="Terraced"/>
    <n v="305000"/>
    <n v="2050"/>
    <n v="2023"/>
    <n v="6.4"/>
    <s v="10"/>
    <x v="1"/>
    <s v="No"/>
    <s v="First Timer"/>
    <n v="148.78048780487805"/>
    <n v="1836.3278015009191"/>
    <n v="276398.34045027598"/>
    <n v="550898.34045027592"/>
    <n v="274500"/>
    <n v="820.60201639344268"/>
    <m/>
    <s v="2"/>
    <n v="820.62240437158471"/>
  </r>
  <r>
    <x v="2"/>
    <s v="Semi Detached"/>
    <n v="350000"/>
    <n v="2350"/>
    <n v="2024"/>
    <n v="5.4"/>
    <s v="14"/>
    <x v="1"/>
    <s v="No"/>
    <s v="Upsizer"/>
    <n v="148.93617021276594"/>
    <n v="1830.4710513986947"/>
    <n v="248141.31541960838"/>
    <n v="549141.31541960838"/>
    <n v="301000"/>
    <n v="940.60201428571429"/>
    <m/>
    <s v="2"/>
    <n v="940.62238095238092"/>
  </r>
  <r>
    <x v="5"/>
    <s v="Terraced"/>
    <n v="380000"/>
    <n v="2550"/>
    <n v="2024"/>
    <n v="5.3"/>
    <s v="10"/>
    <x v="1"/>
    <s v="No"/>
    <s v="First Timer"/>
    <n v="149.01960784313727"/>
    <n v="2059.5280911959048"/>
    <n v="275858.42735877144"/>
    <n v="617858.42735877144"/>
    <n v="342000"/>
    <n v="1020.6020131578947"/>
    <m/>
    <s v="2"/>
    <n v="1020.6223684210527"/>
  </r>
  <r>
    <x v="3"/>
    <s v="Terraced"/>
    <n v="278000"/>
    <n v="1860"/>
    <n v="2024"/>
    <n v="5.6"/>
    <s v="10"/>
    <x v="1"/>
    <s v="No"/>
    <s v="First Timer"/>
    <n v="149.46236559139786"/>
    <n v="1551.4244706212367"/>
    <n v="215227.34118637102"/>
    <n v="465427.34118637105"/>
    <n v="250200"/>
    <n v="744.60200719424461"/>
    <m/>
    <s v="2"/>
    <n v="744.62230215827344"/>
  </r>
  <r>
    <x v="4"/>
    <s v="Terraced"/>
    <n v="320000"/>
    <n v="2140"/>
    <n v="2024"/>
    <n v="5.5"/>
    <s v="10"/>
    <x v="1"/>
    <s v="No"/>
    <s v="First Timer"/>
    <n v="149.53271028037383"/>
    <n v="1768.5719777706342"/>
    <n v="242571.59333119029"/>
    <n v="530571.59333119029"/>
    <n v="288000"/>
    <n v="856.60200625000004"/>
    <m/>
    <s v="2"/>
    <n v="856.62229166666668"/>
  </r>
  <r>
    <x v="4"/>
    <s v="Terraced"/>
    <n v="300000"/>
    <n v="2000"/>
    <n v="2023"/>
    <n v="6.4"/>
    <s v="10"/>
    <x v="1"/>
    <s v="No"/>
    <s v="First Timer"/>
    <n v="150"/>
    <n v="1806.2240670500846"/>
    <n v="271867.22011502553"/>
    <n v="541867.22011502553"/>
    <n v="270000"/>
    <n v="800.60199999999998"/>
    <m/>
    <s v="2"/>
    <n v="800.62222222222226"/>
  </r>
  <r>
    <x v="8"/>
    <s v="Flat"/>
    <n v="510000"/>
    <n v="3400"/>
    <n v="2024"/>
    <n v="5"/>
    <s v="12"/>
    <x v="1"/>
    <s v="No"/>
    <s v="First Timer"/>
    <n v="150"/>
    <n v="2623.6401062878099"/>
    <n v="338292.03188634297"/>
    <n v="787092.03188634291"/>
    <n v="448800"/>
    <n v="1360.6019999999999"/>
    <m/>
    <s v="2"/>
    <n v="1360.622222222222"/>
  </r>
  <r>
    <x v="5"/>
    <s v="Terraced"/>
    <n v="368000"/>
    <n v="2450"/>
    <n v="2024"/>
    <n v="5.3"/>
    <s v="10"/>
    <x v="1"/>
    <s v="No"/>
    <s v="First Timer"/>
    <n v="150.20408163265307"/>
    <n v="1994.4903620002449"/>
    <n v="267147.10860007349"/>
    <n v="598347.10860007349"/>
    <n v="331200"/>
    <n v="980.60199728260875"/>
    <m/>
    <s v="2"/>
    <n v="980.62219202898552"/>
  </r>
  <r>
    <x v="8"/>
    <s v="Flat"/>
    <n v="505000"/>
    <n v="3350"/>
    <n v="2024"/>
    <n v="5"/>
    <s v="12"/>
    <x v="1"/>
    <s v="No"/>
    <s v="First Timer"/>
    <n v="150.74626865671641"/>
    <n v="2597.9181444614592"/>
    <n v="334975.4433384377"/>
    <n v="779375.4433384377"/>
    <n v="444400"/>
    <n v="1340.6019900990098"/>
    <m/>
    <s v="2"/>
    <n v="1340.6221122112211"/>
  </r>
  <r>
    <x v="4"/>
    <s v="Terraced"/>
    <n v="284000"/>
    <n v="1880"/>
    <n v="2024"/>
    <n v="5.5"/>
    <s v="10"/>
    <x v="1"/>
    <s v="No"/>
    <s v="First Timer"/>
    <n v="151.06382978723406"/>
    <n v="1569.607630271438"/>
    <n v="215282.28908143137"/>
    <n v="470882.28908143134"/>
    <n v="255600"/>
    <n v="752.60198591549295"/>
    <m/>
    <s v="2"/>
    <n v="752.62206572769958"/>
  </r>
  <r>
    <x v="8"/>
    <s v="Flat"/>
    <n v="515000"/>
    <n v="3405"/>
    <n v="2024"/>
    <n v="5"/>
    <s v="12"/>
    <x v="1"/>
    <s v="No"/>
    <s v="First Timer"/>
    <n v="151.24816446402349"/>
    <n v="2649.3620681141615"/>
    <n v="341608.62043424841"/>
    <n v="794808.62043424835"/>
    <n v="453200"/>
    <n v="1362.6019834951455"/>
    <m/>
    <s v="2"/>
    <n v="1362.6220388349514"/>
  </r>
  <r>
    <x v="2"/>
    <s v="Semi Detached"/>
    <n v="348000"/>
    <n v="2300"/>
    <n v="2024"/>
    <n v="5.4"/>
    <s v="14"/>
    <x v="1"/>
    <s v="No"/>
    <s v="Upsizer"/>
    <n v="151.30434782608697"/>
    <n v="1820.0112168192736"/>
    <n v="246723.36504578212"/>
    <n v="546003.36504578218"/>
    <n v="299280"/>
    <n v="920.60198275862069"/>
    <m/>
    <s v="2"/>
    <n v="920.62203065134099"/>
  </r>
  <r>
    <x v="3"/>
    <s v="Terraced"/>
    <n v="300000"/>
    <n v="1980"/>
    <n v="2024"/>
    <n v="5.4"/>
    <s v="10"/>
    <x v="1"/>
    <s v="No"/>
    <s v="First Timer"/>
    <n v="151.5151515151515"/>
    <n v="1641.9507770021514"/>
    <n v="222585.23310064548"/>
    <n v="492585.23310064548"/>
    <n v="270000"/>
    <n v="792.60198000000003"/>
    <m/>
    <s v="2"/>
    <n v="792.62200000000007"/>
  </r>
  <r>
    <x v="8"/>
    <s v="Flat"/>
    <n v="500000"/>
    <n v="3300"/>
    <n v="2024"/>
    <n v="5"/>
    <s v="12"/>
    <x v="1"/>
    <s v="No"/>
    <s v="First Timer"/>
    <n v="151.5151515151515"/>
    <n v="2572.196182635108"/>
    <n v="331658.85479053244"/>
    <n v="771658.8547905325"/>
    <n v="440000"/>
    <n v="1320.6019799999999"/>
    <m/>
    <s v="2"/>
    <n v="1320.6219999999998"/>
  </r>
  <r>
    <x v="3"/>
    <s v="Terraced"/>
    <n v="272000"/>
    <n v="1790"/>
    <n v="2023"/>
    <n v="6.5"/>
    <s v="10"/>
    <x v="1"/>
    <s v="No"/>
    <s v="First Timer"/>
    <n v="151.95530726256985"/>
    <n v="1652.907130979022"/>
    <n v="251072.13929370657"/>
    <n v="495872.13929370657"/>
    <n v="244800"/>
    <n v="716.60197426470586"/>
    <m/>
    <s v="2"/>
    <n v="716.62193627450984"/>
  </r>
  <r>
    <x v="3"/>
    <s v="Terraced"/>
    <n v="295000"/>
    <n v="1940"/>
    <n v="2023"/>
    <n v="6.5"/>
    <s v="10"/>
    <x v="1"/>
    <s v="No"/>
    <s v="First Timer"/>
    <n v="152.06185567010309"/>
    <n v="1792.6750133779833"/>
    <n v="272302.50401339494"/>
    <n v="537802.50401339494"/>
    <n v="265500"/>
    <n v="776.60197288135601"/>
    <m/>
    <s v="2"/>
    <n v="776.62192090395479"/>
  </r>
  <r>
    <x v="5"/>
    <s v="Terraced"/>
    <n v="365000"/>
    <n v="2400"/>
    <n v="2024"/>
    <n v="5.3"/>
    <s v="10"/>
    <x v="1"/>
    <s v="No"/>
    <s v="First Timer"/>
    <n v="152.08333333333334"/>
    <n v="1978.2309297013298"/>
    <n v="264969.27891039889"/>
    <n v="593469.27891039895"/>
    <n v="328500"/>
    <n v="960.60197260273969"/>
    <m/>
    <s v="2"/>
    <n v="960.62191780821922"/>
  </r>
  <r>
    <x v="8"/>
    <s v="Flat"/>
    <n v="495000"/>
    <n v="3250"/>
    <n v="2024"/>
    <n v="5"/>
    <s v="12"/>
    <x v="1"/>
    <s v="No"/>
    <s v="First Timer"/>
    <n v="152.30769230769232"/>
    <n v="2546.4742208087569"/>
    <n v="328342.26624262705"/>
    <n v="763942.26624262705"/>
    <n v="435600"/>
    <n v="1300.6019696969697"/>
    <m/>
    <s v="2"/>
    <n v="1300.6218855218854"/>
  </r>
  <r>
    <x v="4"/>
    <s v="Terraced"/>
    <n v="310000"/>
    <n v="2030"/>
    <n v="2024"/>
    <n v="5.5"/>
    <s v="10"/>
    <x v="1"/>
    <s v="No"/>
    <s v="First Timer"/>
    <n v="152.70935960591132"/>
    <n v="1713.304103465302"/>
    <n v="234991.23103959055"/>
    <n v="513991.23103959055"/>
    <n v="279000"/>
    <n v="812.6019645161291"/>
    <m/>
    <s v="2"/>
    <n v="812.62182795698925"/>
  </r>
  <r>
    <x v="2"/>
    <s v="Semi Detached"/>
    <n v="345000"/>
    <n v="2250"/>
    <n v="2024"/>
    <n v="5.4"/>
    <s v="14"/>
    <x v="1"/>
    <s v="No"/>
    <s v="Upsizer"/>
    <n v="153.33333333333334"/>
    <n v="1804.3214649501419"/>
    <n v="244596.43948504259"/>
    <n v="541296.43948504259"/>
    <n v="296700"/>
    <n v="900.60195652173911"/>
    <m/>
    <s v="2"/>
    <n v="900.62173913043478"/>
  </r>
  <r>
    <x v="7"/>
    <s v="Terraced"/>
    <n v="362000"/>
    <n v="2360"/>
    <n v="2024"/>
    <n v="5.4"/>
    <s v="10"/>
    <x v="1"/>
    <s v="No"/>
    <s v="First Timer"/>
    <n v="153.38983050847457"/>
    <n v="1981.2872709159292"/>
    <n v="268586.18127477879"/>
    <n v="594386.18127477879"/>
    <n v="325800"/>
    <n v="944.60195580110496"/>
    <m/>
    <s v="2"/>
    <n v="944.6217311233886"/>
  </r>
  <r>
    <x v="8"/>
    <s v="Flat"/>
    <n v="492000"/>
    <n v="3200"/>
    <n v="2024"/>
    <n v="5"/>
    <s v="12"/>
    <x v="1"/>
    <s v="No"/>
    <s v="First Timer"/>
    <n v="153.75"/>
    <n v="2531.0410437129462"/>
    <n v="326352.31311388384"/>
    <n v="759312.31311388384"/>
    <n v="432960"/>
    <n v="1280.6019512195121"/>
    <m/>
    <s v="2"/>
    <n v="1280.6216802168021"/>
  </r>
  <r>
    <x v="7"/>
    <s v="Terraced"/>
    <n v="400000"/>
    <n v="2600"/>
    <n v="2023"/>
    <n v="6.1"/>
    <s v="10"/>
    <x v="1"/>
    <s v="No"/>
    <s v="First Timer"/>
    <n v="153.84615384615384"/>
    <n v="2341.5408403593456"/>
    <n v="342462.25210780377"/>
    <n v="702462.25210780371"/>
    <n v="360000"/>
    <n v="1040.60195"/>
    <m/>
    <s v="2"/>
    <n v="1040.6216666666667"/>
  </r>
  <r>
    <x v="5"/>
    <s v="Terraced"/>
    <n v="362000"/>
    <n v="2350"/>
    <n v="2024"/>
    <n v="5.3"/>
    <s v="10"/>
    <x v="1"/>
    <s v="No"/>
    <s v="First Timer"/>
    <n v="154.04255319148936"/>
    <n v="1961.9714974024148"/>
    <n v="262791.44922072435"/>
    <n v="588591.4492207244"/>
    <n v="325800"/>
    <n v="940.60194751381221"/>
    <m/>
    <s v="2"/>
    <n v="940.62163904235729"/>
  </r>
  <r>
    <x v="7"/>
    <s v="Terraced"/>
    <n v="370000"/>
    <n v="2400"/>
    <n v="2024"/>
    <n v="5.4"/>
    <s v="10"/>
    <x v="1"/>
    <s v="No"/>
    <s v="First Timer"/>
    <n v="154.16666666666666"/>
    <n v="2025.07262496932"/>
    <n v="274521.78749079606"/>
    <n v="607521.78749079606"/>
    <n v="333000"/>
    <n v="960.601945945946"/>
    <m/>
    <s v="2"/>
    <n v="960.62162162162167"/>
  </r>
  <r>
    <x v="2"/>
    <s v="Semi Detached"/>
    <n v="340000"/>
    <n v="2200"/>
    <n v="2024"/>
    <n v="5.4"/>
    <s v="14"/>
    <x v="1"/>
    <s v="No"/>
    <s v="Upsizer"/>
    <n v="154.54545454545453"/>
    <n v="1778.1718785015889"/>
    <n v="241051.56355047668"/>
    <n v="533451.56355047668"/>
    <n v="292400"/>
    <n v="880.60194117647063"/>
    <m/>
    <s v="2"/>
    <n v="880.62156862745098"/>
  </r>
  <r>
    <x v="3"/>
    <s v="Terraced"/>
    <n v="310000"/>
    <n v="2000"/>
    <n v="2023"/>
    <n v="6.6"/>
    <s v="10"/>
    <x v="1"/>
    <s v="No"/>
    <s v="First Timer"/>
    <n v="155"/>
    <n v="1901.2987875282531"/>
    <n v="291389.63625847583"/>
    <n v="570389.63625847583"/>
    <n v="279000"/>
    <n v="800.60193548387099"/>
    <m/>
    <s v="2"/>
    <n v="800.62150537634409"/>
  </r>
  <r>
    <x v="7"/>
    <s v="Terraced"/>
    <n v="380000"/>
    <n v="2450"/>
    <n v="2023"/>
    <n v="6.1"/>
    <s v="10"/>
    <x v="1"/>
    <s v="No"/>
    <s v="First Timer"/>
    <n v="155.10204081632654"/>
    <n v="2224.4637983413782"/>
    <n v="325339.13950241345"/>
    <n v="667339.13950241345"/>
    <n v="342000"/>
    <n v="980.60193421052634"/>
    <m/>
    <s v="2"/>
    <n v="980.62149122807023"/>
  </r>
  <r>
    <x v="2"/>
    <s v="Semi Detached"/>
    <n v="308000"/>
    <n v="1980"/>
    <n v="2024"/>
    <n v="5.5"/>
    <s v="12"/>
    <x v="1"/>
    <s v="No"/>
    <s v="Upsizer"/>
    <n v="155.55555555555554"/>
    <n v="1664.4227390796968"/>
    <n v="228286.82172390906"/>
    <n v="499326.82172390906"/>
    <n v="271040"/>
    <n v="792.60192857142863"/>
    <m/>
    <s v="2"/>
    <n v="792.62142857142862"/>
  </r>
  <r>
    <x v="2"/>
    <s v="Semi Detached"/>
    <n v="350000"/>
    <n v="2250"/>
    <n v="2024"/>
    <n v="5.4"/>
    <s v="12"/>
    <x v="1"/>
    <s v="No"/>
    <s v="Upsizer"/>
    <n v="155.55555555555554"/>
    <n v="1873.040145617269"/>
    <n v="253912.04368518078"/>
    <n v="561912.04368518083"/>
    <n v="308000"/>
    <n v="900.60192857142863"/>
    <m/>
    <s v="2"/>
    <n v="900.62142857142862"/>
  </r>
  <r>
    <x v="8"/>
    <s v="Flat"/>
    <n v="490000"/>
    <n v="3150"/>
    <n v="2024"/>
    <n v="5"/>
    <s v="12"/>
    <x v="1"/>
    <s v="No"/>
    <s v="First Timer"/>
    <n v="155.55555555555554"/>
    <n v="2520.7522589824061"/>
    <n v="325025.67769472179"/>
    <n v="756225.67769472185"/>
    <n v="431200"/>
    <n v="1260.6019285714285"/>
    <m/>
    <s v="2"/>
    <n v="1260.6214285714284"/>
  </r>
  <r>
    <x v="3"/>
    <s v="Semi Detached"/>
    <n v="405000"/>
    <n v="2600"/>
    <n v="2024"/>
    <n v="5.3"/>
    <s v="18"/>
    <x v="2"/>
    <s v="No"/>
    <s v="Upsizer"/>
    <n v="155.76923076923077"/>
    <n v="1999.9101727665497"/>
    <n v="267873.05182996497"/>
    <n v="599973.05182996497"/>
    <n v="332100"/>
    <n v="1040.901925925926"/>
    <m/>
    <s v="3"/>
    <n v="1040.9213991769548"/>
  </r>
  <r>
    <x v="4"/>
    <s v="Terraced"/>
    <n v="320000"/>
    <n v="2050"/>
    <n v="2023"/>
    <n v="6.4"/>
    <s v="10"/>
    <x v="1"/>
    <s v="No"/>
    <s v="First Timer"/>
    <n v="156.09756097560975"/>
    <n v="1926.6390048534236"/>
    <n v="289991.70145602722"/>
    <n v="577991.70145602722"/>
    <n v="288000"/>
    <n v="820.60192187500002"/>
    <m/>
    <s v="2"/>
    <n v="820.62135416666672"/>
  </r>
  <r>
    <x v="3"/>
    <s v="Semi Detached"/>
    <n v="408000"/>
    <n v="2610"/>
    <n v="2024"/>
    <n v="5.3"/>
    <s v="18"/>
    <x v="2"/>
    <s v="No"/>
    <s v="Upsizer"/>
    <n v="156.32183908045977"/>
    <n v="2014.7243221944502"/>
    <n v="269857.29665833502"/>
    <n v="604417.29665833502"/>
    <n v="334560"/>
    <n v="1044.9019191176471"/>
    <m/>
    <s v="3"/>
    <n v="1044.9213235294119"/>
  </r>
  <r>
    <x v="2"/>
    <s v="Semi Detached"/>
    <n v="360000"/>
    <n v="2300"/>
    <n v="2024"/>
    <n v="5.4"/>
    <s v="14"/>
    <x v="1"/>
    <s v="No"/>
    <s v="Upsizer"/>
    <n v="156.52173913043478"/>
    <n v="1882.7702242958003"/>
    <n v="255231.06728874013"/>
    <n v="564831.06728874007"/>
    <n v="309600"/>
    <n v="920.60191666666674"/>
    <m/>
    <s v="2"/>
    <n v="920.62129629629635"/>
  </r>
  <r>
    <x v="5"/>
    <s v="Terraced"/>
    <n v="360000"/>
    <n v="2300"/>
    <n v="2024"/>
    <n v="5.3"/>
    <s v="10"/>
    <x v="1"/>
    <s v="No"/>
    <s v="First Timer"/>
    <n v="156.52173913043478"/>
    <n v="1951.1318758698046"/>
    <n v="261339.56276094128"/>
    <n v="585339.56276094122"/>
    <n v="324000"/>
    <n v="920.60191666666674"/>
    <m/>
    <s v="2"/>
    <n v="920.62129629629635"/>
  </r>
  <r>
    <x v="3"/>
    <s v="Semi Detached"/>
    <n v="400000"/>
    <n v="2550"/>
    <n v="2024"/>
    <n v="5.3"/>
    <s v="18"/>
    <x v="2"/>
    <s v="No"/>
    <s v="Upsizer"/>
    <n v="156.86274509803923"/>
    <n v="1975.2199237200491"/>
    <n v="264565.97711601469"/>
    <n v="592565.97711601469"/>
    <n v="328000"/>
    <n v="1020.9019125"/>
    <m/>
    <s v="3"/>
    <n v="1020.92125"/>
  </r>
  <r>
    <x v="2"/>
    <s v="Semi Detached"/>
    <n v="330000"/>
    <n v="2100"/>
    <n v="2024"/>
    <n v="5.4"/>
    <s v="12"/>
    <x v="1"/>
    <s v="No"/>
    <s v="Upsizer"/>
    <n v="157.14285714285714"/>
    <n v="1766.0092801534252"/>
    <n v="239402.78404602758"/>
    <n v="529802.78404602758"/>
    <n v="290400"/>
    <n v="840.60190909090909"/>
    <m/>
    <s v="2"/>
    <n v="840.62121212121212"/>
  </r>
  <r>
    <x v="8"/>
    <s v="Flat"/>
    <n v="488000"/>
    <n v="3100"/>
    <n v="2024"/>
    <n v="5"/>
    <s v="12"/>
    <x v="1"/>
    <s v="No"/>
    <s v="First Timer"/>
    <n v="157.41935483870967"/>
    <n v="2510.4634742518656"/>
    <n v="323699.04227555968"/>
    <n v="753139.04227555962"/>
    <n v="429440"/>
    <n v="1240.6019057377048"/>
    <m/>
    <s v="2"/>
    <n v="1240.621174863388"/>
  </r>
  <r>
    <x v="6"/>
    <s v="Terraced"/>
    <n v="370000"/>
    <n v="2350"/>
    <n v="2024"/>
    <n v="5.3"/>
    <s v="10"/>
    <x v="1"/>
    <s v="No"/>
    <s v="First Timer"/>
    <n v="157.44680851063831"/>
    <n v="2005.3299835328546"/>
    <n v="268598.99505985627"/>
    <n v="601598.99505985621"/>
    <n v="333000"/>
    <n v="940.60190540540543"/>
    <m/>
    <s v="2"/>
    <n v="940.62117117117123"/>
  </r>
  <r>
    <x v="2"/>
    <s v="Semi Detached"/>
    <n v="315000"/>
    <n v="2000"/>
    <n v="2023"/>
    <n v="6.3"/>
    <s v="14"/>
    <x v="1"/>
    <s v="No"/>
    <s v="Upsizer"/>
    <n v="157.5"/>
    <n v="1795.4261939169821"/>
    <n v="267727.85817509459"/>
    <n v="538627.85817509459"/>
    <n v="270900"/>
    <n v="800.60190476190473"/>
    <m/>
    <s v="2"/>
    <n v="800.62116402116408"/>
  </r>
  <r>
    <x v="2"/>
    <s v="Semi Detached"/>
    <n v="320000"/>
    <n v="2030"/>
    <n v="2024"/>
    <n v="5.4"/>
    <s v="14"/>
    <x v="1"/>
    <s v="No"/>
    <s v="Upsizer"/>
    <n v="157.63546798029557"/>
    <n v="1673.573532707378"/>
    <n v="226872.05981221341"/>
    <n v="502072.05981221341"/>
    <n v="275200"/>
    <n v="812.60190312500004"/>
    <m/>
    <s v="2"/>
    <n v="812.62114583333334"/>
  </r>
  <r>
    <x v="2"/>
    <s v="Semi Detached"/>
    <n v="300000"/>
    <n v="1900"/>
    <n v="2023"/>
    <n v="6.3"/>
    <s v="12"/>
    <x v="1"/>
    <s v="No"/>
    <s v="Upsizer"/>
    <n v="157.89473684210526"/>
    <n v="1749.6955156666049"/>
    <n v="260908.65469998133"/>
    <n v="524908.65469998133"/>
    <n v="264000"/>
    <n v="760.6019"/>
    <m/>
    <s v="2"/>
    <n v="760.62111111111119"/>
  </r>
  <r>
    <x v="3"/>
    <s v="Semi Detached"/>
    <n v="395000"/>
    <n v="2500"/>
    <n v="2024"/>
    <n v="5.3"/>
    <s v="18"/>
    <x v="2"/>
    <s v="No"/>
    <s v="Upsizer"/>
    <n v="158"/>
    <n v="1950.5296746735487"/>
    <n v="261258.90240206465"/>
    <n v="585158.90240206465"/>
    <n v="323900"/>
    <n v="1000.9018987341772"/>
    <m/>
    <s v="3"/>
    <n v="1000.9210970464135"/>
  </r>
  <r>
    <x v="2"/>
    <s v="Semi Detached"/>
    <n v="335000"/>
    <n v="2120"/>
    <n v="2023"/>
    <n v="6.3"/>
    <s v="14"/>
    <x v="1"/>
    <s v="No"/>
    <s v="Upsizer"/>
    <n v="158.01886792452831"/>
    <n v="1909.4215078164732"/>
    <n v="284726.45234494179"/>
    <n v="572826.45234494179"/>
    <n v="288100"/>
    <n v="848.60189850746269"/>
    <m/>
    <s v="2"/>
    <n v="848.6210945273632"/>
  </r>
  <r>
    <x v="2"/>
    <s v="Semi Detached"/>
    <n v="340000"/>
    <n v="2150"/>
    <n v="2024"/>
    <n v="5.4"/>
    <s v="14"/>
    <x v="1"/>
    <s v="No"/>
    <s v="Upsizer"/>
    <n v="158.13953488372093"/>
    <n v="1778.1718785015889"/>
    <n v="241051.56355047668"/>
    <n v="533451.56355047668"/>
    <n v="292400"/>
    <n v="860.60189705882351"/>
    <m/>
    <s v="2"/>
    <n v="860.62107843137255"/>
  </r>
  <r>
    <x v="7"/>
    <s v="Terraced"/>
    <n v="380000"/>
    <n v="2400"/>
    <n v="2024"/>
    <n v="5.4"/>
    <s v="10"/>
    <x v="1"/>
    <s v="No"/>
    <s v="First Timer"/>
    <n v="158.33333333333334"/>
    <n v="2079.8043175360585"/>
    <n v="281941.29526081757"/>
    <n v="623941.29526081751"/>
    <n v="342000"/>
    <n v="960.60189473684215"/>
    <m/>
    <s v="2"/>
    <n v="960.621052631579"/>
  </r>
  <r>
    <x v="6"/>
    <s v="Terraced"/>
    <n v="365000"/>
    <n v="2300"/>
    <n v="2024"/>
    <n v="5.3"/>
    <s v="10"/>
    <x v="1"/>
    <s v="No"/>
    <s v="First Timer"/>
    <n v="158.69565217391303"/>
    <n v="1978.2309297013298"/>
    <n v="264969.27891039889"/>
    <n v="593469.27891039895"/>
    <n v="328500"/>
    <n v="920.60189041095896"/>
    <m/>
    <s v="2"/>
    <n v="920.6210045662101"/>
  </r>
  <r>
    <x v="2"/>
    <s v="Semi Detached"/>
    <n v="310000"/>
    <n v="1950"/>
    <n v="2023"/>
    <n v="6.3"/>
    <s v="14"/>
    <x v="1"/>
    <s v="No"/>
    <s v="Upsizer"/>
    <n v="158.97435897435898"/>
    <n v="1766.9273654421092"/>
    <n v="263478.20963263267"/>
    <n v="530078.20963263267"/>
    <n v="266600"/>
    <n v="780.60188709677425"/>
    <m/>
    <s v="2"/>
    <n v="780.62096774193549"/>
  </r>
  <r>
    <x v="8"/>
    <s v="Flat"/>
    <n v="485000"/>
    <n v="3050"/>
    <n v="2024"/>
    <n v="5"/>
    <s v="12"/>
    <x v="1"/>
    <s v="No"/>
    <s v="First Timer"/>
    <n v="159.01639344262296"/>
    <n v="2495.0302971560545"/>
    <n v="321709.08914681646"/>
    <n v="748509.0891468164"/>
    <n v="426800"/>
    <n v="1220.6018865979381"/>
    <m/>
    <s v="2"/>
    <n v="1220.6209621993125"/>
  </r>
  <r>
    <x v="1"/>
    <s v="Semi Detached"/>
    <n v="315000"/>
    <n v="1980"/>
    <n v="2023"/>
    <n v="6.2"/>
    <s v="15"/>
    <x v="1"/>
    <s v="No"/>
    <s v="Upsizer"/>
    <n v="159.09090909090909"/>
    <n v="1757.9985624318508"/>
    <n v="259649.56872955529"/>
    <n v="527399.56872955523"/>
    <n v="267750"/>
    <n v="792.60188571428569"/>
    <m/>
    <s v="2"/>
    <n v="792.62095238095242"/>
  </r>
  <r>
    <x v="1"/>
    <s v="Semi Detached"/>
    <n v="350000"/>
    <n v="2200"/>
    <n v="2024"/>
    <n v="5.5"/>
    <s v="12"/>
    <x v="1"/>
    <s v="No"/>
    <s v="Upsizer"/>
    <n v="159.09090909090909"/>
    <n v="1891.3894762269285"/>
    <n v="259416.84286807862"/>
    <n v="567416.84286807862"/>
    <n v="308000"/>
    <n v="880.60188571428569"/>
    <m/>
    <s v="2"/>
    <n v="880.62095238095242"/>
  </r>
  <r>
    <x v="2"/>
    <s v="Semi Detached"/>
    <n v="315000"/>
    <n v="1980"/>
    <n v="2024"/>
    <n v="5.5"/>
    <s v="12"/>
    <x v="1"/>
    <s v="No"/>
    <s v="Upsizer"/>
    <n v="159.09090909090909"/>
    <n v="1702.2505286042356"/>
    <n v="233475.15858127066"/>
    <n v="510675.15858127066"/>
    <n v="277200"/>
    <n v="792.60188571428569"/>
    <m/>
    <s v="2"/>
    <n v="792.62095238095242"/>
  </r>
  <r>
    <x v="2"/>
    <s v="Semi Detached"/>
    <n v="298000"/>
    <n v="1870"/>
    <n v="2024"/>
    <n v="5.4"/>
    <s v="14"/>
    <x v="1"/>
    <s v="No"/>
    <s v="Upsizer"/>
    <n v="159.35828877005346"/>
    <n v="1558.5153523337456"/>
    <n v="211274.60570012368"/>
    <n v="467554.60570012371"/>
    <n v="256280"/>
    <n v="748.60188255033563"/>
    <m/>
    <s v="2"/>
    <n v="748.62091722595085"/>
  </r>
  <r>
    <x v="6"/>
    <s v="Terraced"/>
    <n v="360000"/>
    <n v="2250"/>
    <n v="2024"/>
    <n v="5.3"/>
    <n v="10"/>
    <x v="1"/>
    <s v="No"/>
    <s v="First Timer"/>
    <n v="160"/>
    <n v="1951.1318758698046"/>
    <n v="261339.56276094128"/>
    <n v="585339.56276094122"/>
    <n v="324000"/>
    <n v="900.60187500000006"/>
    <m/>
    <s v="2"/>
    <n v="900.62083333333339"/>
  </r>
  <r>
    <x v="6"/>
    <s v="Terraced"/>
    <n v="322000"/>
    <n v="2010"/>
    <n v="2024"/>
    <n v="5.3"/>
    <s v="10"/>
    <x v="1"/>
    <s v="No"/>
    <s v="First Timer"/>
    <n v="160.19900497512438"/>
    <n v="1745.1790667502141"/>
    <n v="233753.72002506419"/>
    <n v="523553.72002506419"/>
    <n v="289800"/>
    <n v="804.60187267080744"/>
    <m/>
    <s v="2"/>
    <n v="804.62080745341621"/>
  </r>
  <r>
    <x v="1"/>
    <s v="Semi Detached"/>
    <n v="345000"/>
    <n v="2150"/>
    <n v="2024"/>
    <n v="5.5"/>
    <s v="12"/>
    <x v="1"/>
    <s v="No"/>
    <s v="Upsizer"/>
    <n v="160.46511627906978"/>
    <n v="1864.3696265665435"/>
    <n v="255710.88796996302"/>
    <n v="559310.88796996302"/>
    <n v="303600"/>
    <n v="860.60186956521738"/>
    <m/>
    <s v="2"/>
    <n v="860.62077294685992"/>
  </r>
  <r>
    <x v="6"/>
    <s v="Terraced"/>
    <n v="326000"/>
    <n v="2030"/>
    <n v="2023"/>
    <n v="6.1"/>
    <s v="10"/>
    <x v="1"/>
    <s v="No"/>
    <s v="First Timer"/>
    <n v="160.59113300492612"/>
    <n v="1908.3557848928667"/>
    <n v="279106.73546786001"/>
    <n v="572506.73546786001"/>
    <n v="293400"/>
    <n v="812.60186809815957"/>
    <m/>
    <s v="2"/>
    <n v="812.62075664621682"/>
  </r>
  <r>
    <x v="6"/>
    <s v="Terraced"/>
    <n v="330000"/>
    <n v="2050"/>
    <n v="2024"/>
    <n v="5.3"/>
    <n v="10"/>
    <x v="1"/>
    <s v="No"/>
    <s v="First Timer"/>
    <n v="160.97560975609755"/>
    <n v="1788.5375528806542"/>
    <n v="239561.26586419623"/>
    <n v="536561.26586419623"/>
    <n v="297000"/>
    <n v="820.60186363636365"/>
    <m/>
    <s v="2"/>
    <n v="820.62070707070711"/>
  </r>
  <r>
    <x v="1"/>
    <s v="Semi Detached"/>
    <n v="330000"/>
    <n v="2050"/>
    <n v="2024"/>
    <n v="5.5"/>
    <s v="12"/>
    <x v="1"/>
    <s v="No"/>
    <s v="Upsizer"/>
    <n v="160.97560975609755"/>
    <n v="1783.3100775853898"/>
    <n v="244593.02327561693"/>
    <n v="534993.02327561693"/>
    <n v="290400"/>
    <n v="820.60186363636365"/>
    <m/>
    <s v="2"/>
    <n v="820.62070707070711"/>
  </r>
  <r>
    <x v="2"/>
    <s v="Semi Detached"/>
    <n v="330000"/>
    <n v="2050"/>
    <n v="2024"/>
    <n v="5.4"/>
    <s v="14"/>
    <x v="1"/>
    <s v="No"/>
    <s v="Upsizer"/>
    <n v="160.97560975609755"/>
    <n v="1725.8727056044836"/>
    <n v="233961.81168134516"/>
    <n v="517761.81168134516"/>
    <n v="283800"/>
    <n v="820.60186363636365"/>
    <m/>
    <s v="2"/>
    <n v="820.62070707070711"/>
  </r>
  <r>
    <x v="6"/>
    <s v="Terraced"/>
    <n v="335000"/>
    <n v="2080"/>
    <n v="2024"/>
    <n v="5.3"/>
    <s v="10"/>
    <x v="1"/>
    <s v="No"/>
    <s v="First Timer"/>
    <n v="161.05769230769232"/>
    <n v="1815.6366067121794"/>
    <n v="243190.98201365385"/>
    <n v="544690.98201365385"/>
    <n v="301500"/>
    <n v="832.60186268656719"/>
    <m/>
    <s v="2"/>
    <n v="832.62069651741297"/>
  </r>
  <r>
    <x v="1"/>
    <s v="Semi Detached"/>
    <n v="300000"/>
    <n v="1860"/>
    <n v="2024"/>
    <n v="5.5"/>
    <s v="12"/>
    <x v="1"/>
    <s v="No"/>
    <s v="Upsizer"/>
    <n v="161.29032258064515"/>
    <n v="1621.1909796230816"/>
    <n v="222357.29388692445"/>
    <n v="486357.29388692445"/>
    <n v="264000"/>
    <n v="744.60185999999999"/>
    <m/>
    <s v="2"/>
    <n v="744.62066666666669"/>
  </r>
  <r>
    <x v="1"/>
    <s v="Semi Detached"/>
    <n v="320000"/>
    <n v="1980"/>
    <n v="2023"/>
    <n v="6.2"/>
    <s v="15"/>
    <x v="1"/>
    <s v="No"/>
    <s v="Upsizer"/>
    <n v="161.61616161616161"/>
    <n v="1785.9033015180707"/>
    <n v="263770.99045542127"/>
    <n v="535770.99045542127"/>
    <n v="272000"/>
    <n v="792.60185624999997"/>
    <m/>
    <s v="2"/>
    <n v="792.62062500000002"/>
  </r>
  <r>
    <x v="6"/>
    <s v="Terraced"/>
    <n v="340000"/>
    <n v="2100"/>
    <n v="2023"/>
    <n v="6.1"/>
    <s v="10"/>
    <x v="1"/>
    <s v="No"/>
    <s v="First Timer"/>
    <n v="161.9047619047619"/>
    <n v="1990.3097143054438"/>
    <n v="291092.91429163318"/>
    <n v="597092.91429163318"/>
    <n v="306000"/>
    <n v="840.6018529411765"/>
    <m/>
    <s v="2"/>
    <n v="840.62058823529412"/>
  </r>
  <r>
    <x v="1"/>
    <s v="Semi Detached"/>
    <n v="340000"/>
    <n v="2100"/>
    <n v="2024"/>
    <n v="5.4"/>
    <s v="15"/>
    <x v="1"/>
    <s v="No"/>
    <s v="Upsizer"/>
    <n v="161.9047619047619"/>
    <n v="1757.4954613097102"/>
    <n v="238248.63839291304"/>
    <n v="527248.63839291304"/>
    <n v="289000"/>
    <n v="840.6018529411765"/>
    <m/>
    <s v="2"/>
    <n v="840.62058823529412"/>
  </r>
  <r>
    <x v="1"/>
    <s v="Semi Detached"/>
    <n v="312000"/>
    <n v="1920"/>
    <n v="2024"/>
    <n v="5.5"/>
    <s v="12"/>
    <x v="1"/>
    <s v="No"/>
    <s v="Upsizer"/>
    <n v="162.5"/>
    <n v="1686.0386188080047"/>
    <n v="231251.58564240142"/>
    <n v="505811.58564240142"/>
    <n v="274560"/>
    <n v="768.60184615384617"/>
    <m/>
    <s v="2"/>
    <n v="768.62051282051289"/>
  </r>
  <r>
    <x v="1"/>
    <s v="Semi Detached"/>
    <n v="325000"/>
    <n v="2000"/>
    <n v="2024"/>
    <n v="5.5"/>
    <s v="12"/>
    <x v="1"/>
    <s v="No"/>
    <s v="Upsizer"/>
    <n v="162.5"/>
    <n v="1756.290227925005"/>
    <n v="240887.06837750139"/>
    <n v="526887.06837750133"/>
    <n v="286000"/>
    <n v="800.60184615384617"/>
    <m/>
    <s v="2"/>
    <n v="800.62051282051289"/>
  </r>
  <r>
    <x v="2"/>
    <s v="Semi Detached"/>
    <n v="325000"/>
    <n v="2000"/>
    <n v="2024"/>
    <n v="5.4"/>
    <s v="14"/>
    <x v="1"/>
    <s v="No"/>
    <s v="Upsizer"/>
    <n v="162.5"/>
    <n v="1699.7231191559306"/>
    <n v="230416.93574677926"/>
    <n v="509916.93574677926"/>
    <n v="279500"/>
    <n v="800.60184615384617"/>
    <m/>
    <s v="2"/>
    <n v="800.62051282051289"/>
  </r>
  <r>
    <x v="6"/>
    <s v="Terraced"/>
    <n v="345000"/>
    <n v="2120"/>
    <n v="2024"/>
    <n v="5.3"/>
    <n v="10"/>
    <x v="1"/>
    <s v="No"/>
    <s v="First Timer"/>
    <n v="162.73584905660377"/>
    <n v="1869.8347143752296"/>
    <n v="250450.41431256878"/>
    <n v="560950.41431256873"/>
    <n v="310500"/>
    <n v="848.60184347826089"/>
    <m/>
    <s v="2"/>
    <n v="848.62048309178749"/>
  </r>
  <r>
    <x v="6"/>
    <s v="Terraced"/>
    <n v="350000"/>
    <n v="2150"/>
    <n v="2023"/>
    <n v="6.1"/>
    <s v="10"/>
    <x v="1"/>
    <s v="No"/>
    <s v="First Timer"/>
    <n v="162.7906976744186"/>
    <n v="2048.8482353144273"/>
    <n v="299654.47059432813"/>
    <n v="614654.47059432813"/>
    <n v="315000"/>
    <n v="860.60184285714286"/>
    <m/>
    <s v="2"/>
    <n v="860.62047619047621"/>
  </r>
  <r>
    <x v="5"/>
    <s v="Terraced"/>
    <n v="350000"/>
    <n v="2150"/>
    <n v="2024"/>
    <n v="5.3"/>
    <s v="10"/>
    <x v="1"/>
    <s v="No"/>
    <s v="First Timer"/>
    <n v="162.7906976744186"/>
    <n v="1896.9337682067544"/>
    <n v="254080.13046202634"/>
    <n v="569080.13046202634"/>
    <n v="315000"/>
    <n v="860.60184285714286"/>
    <m/>
    <s v="2"/>
    <n v="860.62047619047621"/>
  </r>
  <r>
    <x v="6"/>
    <s v="Terraced"/>
    <n v="355000"/>
    <n v="2180"/>
    <n v="2024"/>
    <n v="5.3"/>
    <s v="10"/>
    <x v="1"/>
    <s v="No"/>
    <s v="First Timer"/>
    <n v="162.8440366972477"/>
    <n v="1924.0328220382796"/>
    <n v="257709.84661148378"/>
    <n v="577209.84661148372"/>
    <n v="319500"/>
    <n v="872.60184225352111"/>
    <m/>
    <s v="2"/>
    <n v="872.62046948356806"/>
  </r>
  <r>
    <x v="1"/>
    <s v="Semi Detached"/>
    <n v="318000"/>
    <n v="1950"/>
    <n v="2024"/>
    <n v="5.5"/>
    <s v="12"/>
    <x v="1"/>
    <s v="No"/>
    <s v="Upsizer"/>
    <n v="163.07692307692307"/>
    <n v="1718.4624384004665"/>
    <n v="235698.73152013996"/>
    <n v="515538.73152013996"/>
    <n v="279840"/>
    <n v="780.60183962264148"/>
    <m/>
    <s v="2"/>
    <n v="780.6204402515724"/>
  </r>
  <r>
    <x v="1"/>
    <s v="Semi Detached"/>
    <n v="298000"/>
    <n v="1820"/>
    <n v="2023"/>
    <n v="6.3"/>
    <s v="12"/>
    <x v="1"/>
    <s v="No"/>
    <s v="Upsizer"/>
    <n v="163.73626373626374"/>
    <n v="1738.0308788954944"/>
    <n v="259169.2636686482"/>
    <n v="521409.2636686482"/>
    <n v="262240"/>
    <n v="728.60183221476507"/>
    <m/>
    <s v="2"/>
    <n v="728.62035794183453"/>
  </r>
  <r>
    <x v="8"/>
    <s v="Flat"/>
    <n v="475000"/>
    <n v="2900"/>
    <n v="2024"/>
    <n v="5"/>
    <s v="12"/>
    <x v="1"/>
    <s v="No"/>
    <s v="First Timer"/>
    <n v="163.79310344827587"/>
    <n v="2443.5863735033522"/>
    <n v="315075.9120510057"/>
    <n v="733075.91205100575"/>
    <n v="418000"/>
    <n v="1160.6018315789472"/>
    <m/>
    <s v="2"/>
    <n v="1160.620350877193"/>
  </r>
  <r>
    <x v="3"/>
    <s v="Semi Detached"/>
    <n v="385000"/>
    <n v="2350"/>
    <n v="2024"/>
    <n v="5.3"/>
    <s v="18"/>
    <x v="2"/>
    <s v="No"/>
    <s v="Upsizer"/>
    <n v="163.82978723404256"/>
    <n v="1901.1491765805472"/>
    <n v="254644.75297416421"/>
    <n v="570344.75297416421"/>
    <n v="315700"/>
    <n v="940.90183116883111"/>
    <m/>
    <s v="3"/>
    <n v="940.92034632034631"/>
  </r>
  <r>
    <x v="2"/>
    <s v="Semi Detached"/>
    <n v="320000"/>
    <n v="1950"/>
    <n v="2024"/>
    <n v="5.4"/>
    <s v="14"/>
    <x v="1"/>
    <s v="No"/>
    <s v="Upsizer"/>
    <n v="164.10256410256412"/>
    <n v="1673.573532707378"/>
    <n v="226872.05981221341"/>
    <n v="502072.05981221341"/>
    <n v="275200"/>
    <n v="780.601828125"/>
    <m/>
    <s v="2"/>
    <n v="780.62031250000007"/>
  </r>
  <r>
    <x v="1"/>
    <s v="Semi Detached"/>
    <n v="325000"/>
    <n v="1980"/>
    <n v="2023"/>
    <n v="6.2"/>
    <s v="15"/>
    <x v="1"/>
    <s v="No"/>
    <s v="Upsizer"/>
    <n v="164.14141414141415"/>
    <n v="1813.8080406042907"/>
    <n v="267892.41218128713"/>
    <n v="544142.41218128707"/>
    <n v="276250"/>
    <n v="792.60182769230767"/>
    <m/>
    <s v="2"/>
    <n v="792.62030769230773"/>
  </r>
  <r>
    <x v="5"/>
    <s v="Terraced"/>
    <n v="345000"/>
    <n v="2100"/>
    <n v="2024"/>
    <n v="5.3"/>
    <s v="10"/>
    <x v="1"/>
    <s v="No"/>
    <s v="First Timer"/>
    <n v="164.28571428571428"/>
    <n v="1869.8347143752296"/>
    <n v="250450.41431256878"/>
    <n v="560950.41431256873"/>
    <n v="310500"/>
    <n v="840.60182608695652"/>
    <m/>
    <s v="2"/>
    <n v="840.62028985507254"/>
  </r>
  <r>
    <x v="2"/>
    <s v="Semi Detached"/>
    <n v="305000"/>
    <n v="1850"/>
    <n v="2024"/>
    <n v="5.4"/>
    <n v="14"/>
    <x v="1"/>
    <s v="No"/>
    <s v="First Timer"/>
    <n v="164.86486486486487"/>
    <n v="1595.1247733617197"/>
    <n v="216237.43200851599"/>
    <n v="478537.43200851599"/>
    <n v="262300"/>
    <n v="740.60181967213111"/>
    <m/>
    <s v="2"/>
    <n v="740.62021857923503"/>
  </r>
  <r>
    <x v="2"/>
    <s v="Semi Detached"/>
    <n v="330000"/>
    <n v="2000"/>
    <n v="2023"/>
    <n v="6.3"/>
    <s v="14"/>
    <x v="1"/>
    <s v="No"/>
    <s v="Upsizer"/>
    <n v="165"/>
    <n v="1880.9226793416003"/>
    <n v="280476.80380247999"/>
    <n v="564276.80380247999"/>
    <n v="283800"/>
    <n v="800.6018181818182"/>
    <m/>
    <s v="2"/>
    <n v="800.62020202020199"/>
  </r>
  <r>
    <x v="0"/>
    <s v="Semi Detached"/>
    <n v="278000"/>
    <n v="1680"/>
    <n v="2024"/>
    <n v="5.4"/>
    <s v="12"/>
    <x v="1"/>
    <s v="No"/>
    <s v="Upsizer"/>
    <n v="165.47619047619048"/>
    <n v="1487.7290299474309"/>
    <n v="201678.70898422934"/>
    <n v="446318.70898422936"/>
    <n v="244640"/>
    <n v="672.60181294964036"/>
    <m/>
    <s v="2"/>
    <n v="672.62014388489206"/>
  </r>
  <r>
    <x v="1"/>
    <s v="Semi Detached"/>
    <n v="305000"/>
    <n v="1840"/>
    <n v="2024"/>
    <n v="5.2"/>
    <s v="15"/>
    <x v="1"/>
    <s v="No"/>
    <s v="Upsizer"/>
    <n v="165.7608695652174"/>
    <n v="1545.9116866629702"/>
    <n v="204523.50599889091"/>
    <n v="463773.50599889091"/>
    <n v="259250"/>
    <n v="736.60180983606563"/>
    <m/>
    <s v="2"/>
    <n v="736.62010928961752"/>
  </r>
  <r>
    <x v="6"/>
    <s v="Terraced"/>
    <n v="340000"/>
    <n v="2050"/>
    <n v="2024"/>
    <n v="5.3"/>
    <n v="10"/>
    <x v="1"/>
    <s v="No"/>
    <s v="First Timer"/>
    <n v="165.85365853658536"/>
    <n v="1842.7356605437044"/>
    <n v="246820.69816311129"/>
    <n v="552820.69816311123"/>
    <n v="306000"/>
    <n v="820.60180882352938"/>
    <m/>
    <s v="2"/>
    <n v="820.62009803921569"/>
  </r>
  <r>
    <x v="5"/>
    <s v="Terraced"/>
    <n v="340000"/>
    <n v="2050"/>
    <n v="2024"/>
    <n v="5.3"/>
    <s v="10"/>
    <x v="1"/>
    <s v="No"/>
    <s v="First Timer"/>
    <n v="165.85365853658536"/>
    <n v="1842.7356605437044"/>
    <n v="246820.69816311129"/>
    <n v="552820.69816311123"/>
    <n v="306000"/>
    <n v="820.60180882352938"/>
    <m/>
    <s v="2"/>
    <n v="820.62009803921569"/>
  </r>
  <r>
    <x v="6"/>
    <s v="Terraced"/>
    <n v="345000"/>
    <n v="2080"/>
    <n v="2024"/>
    <n v="5.3"/>
    <s v="10"/>
    <x v="1"/>
    <s v="No"/>
    <s v="First Timer"/>
    <n v="165.86538461538461"/>
    <n v="1869.8347143752296"/>
    <n v="250450.41431256878"/>
    <n v="560950.41431256873"/>
    <n v="310500"/>
    <n v="832.60180869565215"/>
    <m/>
    <s v="2"/>
    <n v="832.62009661835748"/>
  </r>
  <r>
    <x v="8"/>
    <s v="Flat"/>
    <n v="465000"/>
    <n v="2800"/>
    <n v="2024"/>
    <n v="5"/>
    <s v="12"/>
    <x v="0"/>
    <s v="No"/>
    <s v="First Timer"/>
    <n v="166.07142857142858"/>
    <n v="2392.1424498506508"/>
    <n v="308442.73495519522"/>
    <n v="717642.73495519522"/>
    <n v="409200"/>
    <n v="1120.3018064516129"/>
    <m/>
    <s v="1"/>
    <n v="1120.3200716845877"/>
  </r>
  <r>
    <x v="3"/>
    <s v="Semi Detached"/>
    <n v="382000"/>
    <n v="2300"/>
    <n v="2024"/>
    <n v="5.3"/>
    <s v="18"/>
    <x v="2"/>
    <s v="No"/>
    <s v="Upsizer"/>
    <n v="166.08695652173913"/>
    <n v="1886.3350271526472"/>
    <n v="252660.5081457941"/>
    <n v="565900.50814579404"/>
    <n v="313240"/>
    <n v="920.90180628272253"/>
    <m/>
    <s v="3"/>
    <n v="920.92006980802785"/>
  </r>
  <r>
    <x v="0"/>
    <s v="Semi Detached"/>
    <n v="270000"/>
    <n v="1620"/>
    <n v="2024"/>
    <n v="5.4"/>
    <s v="12"/>
    <x v="1"/>
    <s v="No"/>
    <s v="Upsizer"/>
    <n v="166.66666666666666"/>
    <n v="1444.916683761893"/>
    <n v="195875.00512856792"/>
    <n v="433475.00512856792"/>
    <n v="237600"/>
    <n v="648.60180000000003"/>
    <m/>
    <s v="2"/>
    <n v="648.62"/>
  </r>
  <r>
    <x v="8"/>
    <s v="Flat"/>
    <n v="450000"/>
    <n v="2700"/>
    <n v="2023"/>
    <n v="6"/>
    <s v="10"/>
    <x v="1"/>
    <s v="No"/>
    <s v="First Timer"/>
    <n v="166.66666666666666"/>
    <n v="2609.4206760163097"/>
    <n v="377826.20280489296"/>
    <n v="782826.20280489302"/>
    <n v="405000"/>
    <n v="1080.6017999999999"/>
    <m/>
    <s v="2"/>
    <n v="1080.6199999999999"/>
  </r>
  <r>
    <x v="0"/>
    <s v="Semi Detached"/>
    <n v="275000"/>
    <n v="1650"/>
    <n v="2023"/>
    <n v="6.5"/>
    <s v="12"/>
    <x v="1"/>
    <s v="No"/>
    <s v="Upsizer"/>
    <n v="166.66666666666666"/>
    <n v="1634.0013304612878"/>
    <n v="248200.39913838636"/>
    <n v="490200.39913838636"/>
    <n v="242000"/>
    <n v="660.60180000000003"/>
    <m/>
    <s v="2"/>
    <n v="660.62"/>
  </r>
  <r>
    <x v="0"/>
    <s v="Semi Detached"/>
    <n v="300000"/>
    <n v="1800"/>
    <n v="2023"/>
    <n v="6.5"/>
    <s v="12"/>
    <x v="1"/>
    <s v="No"/>
    <s v="Upsizer"/>
    <n v="166.66666666666666"/>
    <n v="1782.5469059577686"/>
    <n v="270764.07178733061"/>
    <n v="534764.07178733055"/>
    <n v="264000"/>
    <n v="720.60180000000003"/>
    <m/>
    <s v="2"/>
    <n v="720.62"/>
  </r>
  <r>
    <x v="1"/>
    <s v="Semi Detached"/>
    <n v="320000"/>
    <n v="1920"/>
    <n v="2024"/>
    <n v="5.5"/>
    <s v="12"/>
    <x v="1"/>
    <s v="No"/>
    <s v="Upsizer"/>
    <n v="166.66666666666666"/>
    <n v="1729.2703782646201"/>
    <n v="237181.11347938603"/>
    <n v="518781.11347938603"/>
    <n v="281600"/>
    <n v="768.60180000000003"/>
    <m/>
    <s v="2"/>
    <n v="768.62"/>
  </r>
  <r>
    <x v="6"/>
    <s v="Terraced"/>
    <n v="350000"/>
    <n v="2100"/>
    <n v="2023"/>
    <n v="6.1"/>
    <s v="10"/>
    <x v="1"/>
    <s v="No"/>
    <s v="First Timer"/>
    <n v="166.66666666666666"/>
    <n v="2048.8482353144273"/>
    <n v="299654.47059432813"/>
    <n v="614654.47059432813"/>
    <n v="315000"/>
    <n v="840.60180000000003"/>
    <m/>
    <s v="2"/>
    <n v="840.62"/>
  </r>
  <r>
    <x v="1"/>
    <s v="Semi Detached"/>
    <n v="325000"/>
    <n v="1950"/>
    <n v="2024"/>
    <n v="5.5"/>
    <s v="12"/>
    <x v="1"/>
    <s v="No"/>
    <s v="Upsizer"/>
    <n v="166.66666666666666"/>
    <n v="1756.290227925005"/>
    <n v="240887.06837750139"/>
    <n v="526887.06837750133"/>
    <n v="286000"/>
    <n v="780.60180000000003"/>
    <m/>
    <s v="2"/>
    <n v="780.62"/>
  </r>
  <r>
    <x v="8"/>
    <s v="Flat"/>
    <n v="432000"/>
    <n v="2590"/>
    <n v="2023"/>
    <n v="6.1"/>
    <s v="10"/>
    <x v="1"/>
    <s v="No"/>
    <s v="First Timer"/>
    <n v="166.79536679536679"/>
    <n v="2528.8641075880932"/>
    <n v="369859.23227642808"/>
    <n v="758659.23227642803"/>
    <n v="388800"/>
    <n v="1036.601798611111"/>
    <m/>
    <s v="2"/>
    <n v="1036.6199845679012"/>
  </r>
  <r>
    <x v="8"/>
    <s v="Flat"/>
    <n v="460000"/>
    <n v="2750"/>
    <n v="2024"/>
    <n v="5"/>
    <s v="12"/>
    <x v="1"/>
    <s v="No"/>
    <s v="First Timer"/>
    <n v="167.27272727272728"/>
    <n v="2366.4204880242992"/>
    <n v="305126.14640728984"/>
    <n v="709926.1464072899"/>
    <n v="404800"/>
    <n v="1100.6017934782608"/>
    <m/>
    <s v="2"/>
    <n v="1100.6199275362319"/>
  </r>
  <r>
    <x v="8"/>
    <s v="Flat"/>
    <n v="455000"/>
    <n v="2720"/>
    <n v="2024"/>
    <n v="5"/>
    <s v="10"/>
    <x v="1"/>
    <s v="No"/>
    <s v="First Timer"/>
    <n v="167.27941176470588"/>
    <n v="2393.8962199751745"/>
    <n v="308668.86599255237"/>
    <n v="718168.86599255237"/>
    <n v="409500"/>
    <n v="1088.6017934065933"/>
    <m/>
    <s v="2"/>
    <n v="1088.6199267399265"/>
  </r>
  <r>
    <x v="2"/>
    <s v="Semi Detached"/>
    <n v="340000"/>
    <n v="2030"/>
    <n v="2024"/>
    <n v="5.4"/>
    <s v="14"/>
    <x v="1"/>
    <s v="No"/>
    <s v="Upsizer"/>
    <n v="167.48768472906403"/>
    <n v="1778.1718785015889"/>
    <n v="241051.56355047668"/>
    <n v="533451.56355047668"/>
    <n v="292400"/>
    <n v="812.60179117647056"/>
    <m/>
    <s v="2"/>
    <n v="812.61990196078432"/>
  </r>
  <r>
    <x v="5"/>
    <s v="Terraced"/>
    <n v="335000"/>
    <n v="2000"/>
    <n v="2024"/>
    <n v="5.3"/>
    <s v="10"/>
    <x v="1"/>
    <s v="No"/>
    <s v="First Timer"/>
    <n v="167.5"/>
    <n v="1815.6366067121794"/>
    <n v="243190.98201365385"/>
    <n v="544690.98201365385"/>
    <n v="301500"/>
    <n v="800.60179104477618"/>
    <m/>
    <s v="2"/>
    <n v="800.6199004975125"/>
  </r>
  <r>
    <x v="0"/>
    <s v="Semi Detached"/>
    <n v="310000"/>
    <n v="1850"/>
    <n v="2023"/>
    <n v="6.5"/>
    <s v="12"/>
    <x v="1"/>
    <s v="No"/>
    <s v="Upsizer"/>
    <n v="167.56756756756758"/>
    <n v="1841.965136156361"/>
    <n v="279789.54084690835"/>
    <n v="552589.54084690835"/>
    <n v="272800"/>
    <n v="740.60179032258065"/>
    <m/>
    <s v="2"/>
    <n v="740.61989247311828"/>
  </r>
  <r>
    <x v="0"/>
    <s v="Semi Detached"/>
    <n v="285000"/>
    <n v="1700"/>
    <n v="2024"/>
    <n v="5.4"/>
    <s v="12"/>
    <x v="1"/>
    <s v="No"/>
    <s v="Upsizer"/>
    <n v="167.64705882352942"/>
    <n v="1525.1898328597761"/>
    <n v="206756.94985793286"/>
    <n v="457556.94985793286"/>
    <n v="250800"/>
    <n v="680.60178947368422"/>
    <m/>
    <s v="2"/>
    <n v="680.61988304093575"/>
  </r>
  <r>
    <x v="8"/>
    <s v="Flat"/>
    <n v="470000"/>
    <n v="2800"/>
    <n v="2024"/>
    <n v="5"/>
    <s v="10"/>
    <x v="1"/>
    <s v="No"/>
    <s v="First Timer"/>
    <n v="167.85714285714286"/>
    <n v="2472.8158755787517"/>
    <n v="318844.76267362549"/>
    <n v="741844.76267362549"/>
    <n v="423000"/>
    <n v="1120.6017872340424"/>
    <m/>
    <s v="2"/>
    <n v="1120.6198581560284"/>
  </r>
  <r>
    <x v="8"/>
    <s v="Flat"/>
    <n v="450000"/>
    <n v="2680"/>
    <n v="2024"/>
    <n v="5"/>
    <s v="12"/>
    <x v="1"/>
    <s v="No"/>
    <s v="First Timer"/>
    <n v="167.91044776119404"/>
    <n v="2314.9765643715969"/>
    <n v="298492.96931147907"/>
    <n v="694492.96931147901"/>
    <n v="396000"/>
    <n v="1072.6017866666666"/>
    <m/>
    <s v="2"/>
    <n v="1072.6198518518518"/>
  </r>
  <r>
    <x v="8"/>
    <s v="Flat"/>
    <n v="475000"/>
    <n v="2820"/>
    <n v="2023"/>
    <n v="6"/>
    <s v="10"/>
    <x v="1"/>
    <s v="No"/>
    <s v="First Timer"/>
    <n v="168.43971631205673"/>
    <n v="2754.3884913505494"/>
    <n v="398816.54740516481"/>
    <n v="826316.54740516481"/>
    <n v="427500"/>
    <n v="1128.6017810526314"/>
    <m/>
    <s v="2"/>
    <n v="1128.619789473684"/>
  </r>
  <r>
    <x v="8"/>
    <s v="Flat"/>
    <n v="438000"/>
    <n v="2600"/>
    <n v="2024"/>
    <n v="5"/>
    <s v="12"/>
    <x v="1"/>
    <s v="No"/>
    <s v="First Timer"/>
    <n v="168.46153846153845"/>
    <n v="2253.2438559883544"/>
    <n v="290533.15679650637"/>
    <n v="675973.15679650637"/>
    <n v="385440"/>
    <n v="1040.6017808219178"/>
    <m/>
    <s v="2"/>
    <n v="1040.6197869101977"/>
  </r>
  <r>
    <x v="8"/>
    <s v="Flat"/>
    <n v="455000"/>
    <n v="2700"/>
    <n v="2024"/>
    <n v="5"/>
    <n v="12"/>
    <x v="1"/>
    <s v="No"/>
    <s v="Upsizer"/>
    <n v="168.5185185185185"/>
    <n v="2340.6985261979485"/>
    <n v="301809.55785938457"/>
    <n v="702209.55785938457"/>
    <n v="400400"/>
    <n v="1080.60178021978"/>
    <m/>
    <s v="2"/>
    <n v="1080.6197802197801"/>
  </r>
  <r>
    <x v="0"/>
    <s v="Semi Detached"/>
    <n v="268000"/>
    <n v="1590"/>
    <n v="2023"/>
    <n v="6.6"/>
    <s v="12"/>
    <x v="1"/>
    <s v="No"/>
    <s v="Upsizer"/>
    <n v="168.55345911949686"/>
    <n v="1607.1767241959255"/>
    <n v="246313.01725877757"/>
    <n v="482153.01725877757"/>
    <n v="235840"/>
    <n v="636.60177985074631"/>
    <m/>
    <s v="2"/>
    <n v="636.61977611940301"/>
  </r>
  <r>
    <x v="0"/>
    <s v="Semi Detached"/>
    <n v="290000"/>
    <n v="1720"/>
    <n v="2023"/>
    <n v="6.5"/>
    <s v="12"/>
    <x v="1"/>
    <s v="No"/>
    <s v="Upsizer"/>
    <n v="168.6046511627907"/>
    <n v="1723.1286757591763"/>
    <n v="261738.60272775288"/>
    <n v="516938.60272775288"/>
    <n v="255200"/>
    <n v="688.6017793103448"/>
    <m/>
    <s v="2"/>
    <n v="688.61977011494253"/>
  </r>
  <r>
    <x v="3"/>
    <s v="Semi Detached"/>
    <n v="380000"/>
    <n v="2250"/>
    <n v="2024"/>
    <n v="5.3"/>
    <s v="18"/>
    <x v="2"/>
    <s v="No"/>
    <s v="Upsizer"/>
    <n v="168.88888888888889"/>
    <n v="1876.4589275340466"/>
    <n v="251337.67826021393"/>
    <n v="562937.67826021393"/>
    <n v="311600"/>
    <n v="900.90177631578945"/>
    <m/>
    <s v="3"/>
    <n v="900.91973684210529"/>
  </r>
  <r>
    <x v="8"/>
    <s v="Flat"/>
    <n v="490000"/>
    <n v="2900"/>
    <n v="2024"/>
    <n v="5"/>
    <s v="12"/>
    <x v="1"/>
    <s v="No"/>
    <s v="First Timer"/>
    <n v="168.9655172413793"/>
    <n v="2520.7522589824061"/>
    <n v="325025.67769472179"/>
    <n v="756225.67769472185"/>
    <n v="431200"/>
    <n v="1160.6017755102039"/>
    <m/>
    <s v="2"/>
    <n v="1160.6197278911563"/>
  </r>
  <r>
    <x v="8"/>
    <s v="Flat"/>
    <n v="500000"/>
    <n v="2950"/>
    <n v="2024"/>
    <n v="5"/>
    <s v="10"/>
    <x v="1"/>
    <s v="No"/>
    <s v="First Timer"/>
    <n v="169.4915254237288"/>
    <n v="2630.6551867859062"/>
    <n v="339196.55603577185"/>
    <n v="789196.55603577185"/>
    <n v="450000"/>
    <n v="1180.60177"/>
    <m/>
    <s v="2"/>
    <n v="1180.6196666666665"/>
  </r>
  <r>
    <x v="0"/>
    <s v="Semi Detached"/>
    <n v="285000"/>
    <n v="1680"/>
    <n v="2024"/>
    <n v="5.4"/>
    <s v="12"/>
    <x v="1"/>
    <s v="No"/>
    <s v="Upsizer"/>
    <n v="169.64285714285714"/>
    <n v="1525.1898328597761"/>
    <n v="206756.94985793286"/>
    <n v="457556.94985793286"/>
    <n v="250800"/>
    <n v="672.60176842105261"/>
    <m/>
    <s v="2"/>
    <n v="672.619649122807"/>
  </r>
  <r>
    <x v="8"/>
    <s v="Flat"/>
    <n v="436000"/>
    <n v="2570"/>
    <n v="2024"/>
    <n v="5.0999999999999996"/>
    <s v="10"/>
    <x v="1"/>
    <s v="No"/>
    <s v="First Timer"/>
    <n v="169.64980544747081"/>
    <n v="2316.8515254198355"/>
    <n v="302655.45762595063"/>
    <n v="695055.45762595069"/>
    <n v="392400"/>
    <n v="1028.6017683486239"/>
    <m/>
    <s v="2"/>
    <n v="1028.6196483180427"/>
  </r>
  <r>
    <x v="0"/>
    <s v="Semi Detached"/>
    <n v="280000"/>
    <n v="1650"/>
    <n v="2023"/>
    <n v="6.5"/>
    <s v="12"/>
    <x v="1"/>
    <s v="No"/>
    <s v="Upsizer"/>
    <n v="169.69696969696969"/>
    <n v="1663.710445560584"/>
    <n v="252713.1336681752"/>
    <n v="499113.1336681752"/>
    <n v="246400"/>
    <n v="660.60176785714293"/>
    <m/>
    <s v="2"/>
    <n v="660.61964285714294"/>
  </r>
  <r>
    <x v="8"/>
    <s v="Flat"/>
    <n v="510000"/>
    <n v="3000"/>
    <n v="2023"/>
    <n v="6"/>
    <s v="10"/>
    <x v="1"/>
    <s v="No"/>
    <s v="First Timer"/>
    <n v="170"/>
    <n v="2957.3434328184844"/>
    <n v="428203.02984554536"/>
    <n v="887203.0298455453"/>
    <n v="459000"/>
    <n v="1200.6017647058823"/>
    <m/>
    <s v="2"/>
    <n v="1200.6196078431371"/>
  </r>
  <r>
    <x v="8"/>
    <s v="Flat"/>
    <n v="460000"/>
    <n v="2700"/>
    <n v="2023"/>
    <n v="6"/>
    <s v="10"/>
    <x v="1"/>
    <s v="No"/>
    <s v="First Timer"/>
    <n v="170.37037037037038"/>
    <n v="2667.4078021500059"/>
    <n v="386222.34064500174"/>
    <n v="800222.34064500174"/>
    <n v="414000"/>
    <n v="1080.6017608695652"/>
    <m/>
    <s v="2"/>
    <n v="1080.6195652173913"/>
  </r>
  <r>
    <x v="3"/>
    <s v="Semi Detached"/>
    <n v="378000"/>
    <n v="2200"/>
    <n v="2024"/>
    <n v="5.3"/>
    <s v="18"/>
    <x v="2"/>
    <s v="No"/>
    <s v="Upsizer"/>
    <n v="171.81818181818181"/>
    <n v="1866.5828279154464"/>
    <n v="250014.84837463393"/>
    <n v="559974.84837463393"/>
    <n v="309960"/>
    <n v="880.90174603174603"/>
    <m/>
    <s v="3"/>
    <n v="880.91940035273365"/>
  </r>
  <r>
    <x v="8"/>
    <s v="Flat"/>
    <n v="470000"/>
    <n v="2720"/>
    <n v="2024"/>
    <n v="5"/>
    <s v="10"/>
    <x v="1"/>
    <s v="No"/>
    <s v="First Timer"/>
    <n v="172.79411764705881"/>
    <n v="2472.8158755787517"/>
    <n v="318844.76267362549"/>
    <n v="741844.76267362549"/>
    <n v="423000"/>
    <n v="1088.6017361702127"/>
    <m/>
    <s v="2"/>
    <n v="1088.6192907801417"/>
  </r>
  <r>
    <x v="3"/>
    <s v="Semi Detached"/>
    <n v="375000"/>
    <n v="2150"/>
    <n v="2024"/>
    <n v="5.3"/>
    <s v="18"/>
    <x v="2"/>
    <s v="No"/>
    <s v="Upsizer"/>
    <n v="174.41860465116278"/>
    <n v="1851.7686784875461"/>
    <n v="248030.60354626388"/>
    <n v="555530.60354626388"/>
    <n v="307500"/>
    <n v="860.90171999999995"/>
    <m/>
    <s v="3"/>
    <n v="860.91911111111108"/>
  </r>
  <r>
    <x v="8"/>
    <s v="Flat"/>
    <n v="470000"/>
    <n v="2680"/>
    <n v="2024"/>
    <n v="5"/>
    <s v="12"/>
    <x v="1"/>
    <s v="No"/>
    <s v="First Timer"/>
    <n v="175.37313432835822"/>
    <n v="2417.8644116770015"/>
    <n v="311759.32350310043"/>
    <n v="725359.32350310043"/>
    <n v="413600"/>
    <n v="1072.6017106382978"/>
    <m/>
    <s v="2"/>
    <n v="1072.6190070921984"/>
  </r>
  <r>
    <x v="6"/>
    <s v="Semi Detached"/>
    <n v="430000"/>
    <n v="2450"/>
    <n v="2024"/>
    <n v="5.2"/>
    <s v="15"/>
    <x v="2"/>
    <s v="No"/>
    <s v="Upsizer"/>
    <n v="175.51020408163265"/>
    <n v="2179.4820500494329"/>
    <n v="288344.61501482979"/>
    <n v="653844.61501482979"/>
    <n v="365500"/>
    <n v="980.90170930232557"/>
    <m/>
    <s v="3"/>
    <n v="980.91899224806195"/>
  </r>
  <r>
    <x v="6"/>
    <s v="Semi Detached"/>
    <n v="432000"/>
    <n v="2460"/>
    <n v="2024"/>
    <n v="5.2"/>
    <s v="15"/>
    <x v="2"/>
    <s v="No"/>
    <s v="Upsizer"/>
    <n v="175.60975609756099"/>
    <n v="2189.6191758636164"/>
    <n v="289685.7527590848"/>
    <n v="656885.7527590848"/>
    <n v="367200"/>
    <n v="984.90170833333332"/>
    <m/>
    <s v="3"/>
    <n v="984.91898148148141"/>
  </r>
  <r>
    <x v="6"/>
    <s v="Semi Detached"/>
    <n v="425000"/>
    <n v="2400"/>
    <n v="2024"/>
    <n v="5.2"/>
    <s v="15"/>
    <x v="2"/>
    <s v="No"/>
    <s v="Upsizer"/>
    <n v="177.08333333333334"/>
    <n v="2154.1392355139747"/>
    <n v="284991.77065419231"/>
    <n v="646241.77065419231"/>
    <n v="361250"/>
    <n v="960.90169411764703"/>
    <m/>
    <s v="3"/>
    <n v="960.91882352941172"/>
  </r>
  <r>
    <x v="3"/>
    <s v="Flat"/>
    <n v="400000"/>
    <n v="2250"/>
    <n v="2024"/>
    <n v="5.4"/>
    <s v="8"/>
    <x v="0"/>
    <s v="No"/>
    <s v="First Timer"/>
    <n v="177.77777777777777"/>
    <n v="2237.9180960621916"/>
    <n v="303375.42881865759"/>
    <n v="671375.42881865753"/>
    <n v="368000"/>
    <n v="900.30168749999996"/>
    <m/>
    <s v="1"/>
    <n v="900.31874999999991"/>
  </r>
  <r>
    <x v="6"/>
    <s v="Semi Detached"/>
    <n v="420000"/>
    <n v="2350"/>
    <n v="2024"/>
    <n v="5.2"/>
    <s v="15"/>
    <x v="2"/>
    <s v="No"/>
    <s v="Upsizer"/>
    <n v="178.72340425531914"/>
    <n v="2128.7964209785159"/>
    <n v="281638.9262935546"/>
    <n v="638638.9262935546"/>
    <n v="357000"/>
    <n v="940.90167857142853"/>
    <m/>
    <s v="3"/>
    <n v="940.91865079365073"/>
  </r>
  <r>
    <x v="0"/>
    <s v="Flat"/>
    <n v="394000"/>
    <n v="2200"/>
    <n v="2023"/>
    <n v="6.4"/>
    <n v="5"/>
    <x v="0"/>
    <s v="No"/>
    <s v="First Timer"/>
    <n v="179.09090909090909"/>
    <n v="2503.9617344327653"/>
    <n v="376888.52032982971"/>
    <n v="751188.52032982977"/>
    <n v="374300"/>
    <n v="880.30167512690355"/>
    <m/>
    <s v="1"/>
    <n v="880.3186125211505"/>
  </r>
  <r>
    <x v="6"/>
    <s v="Semi Detached"/>
    <n v="415000"/>
    <n v="2300"/>
    <n v="2024"/>
    <n v="5.2"/>
    <s v="15"/>
    <x v="2"/>
    <s v="No"/>
    <s v="Upsizer"/>
    <n v="180.43478260869566"/>
    <n v="2103.4536064430577"/>
    <n v="278286.08193291718"/>
    <n v="631036.08193291724"/>
    <n v="352750"/>
    <n v="920.90166265060236"/>
    <m/>
    <s v="3"/>
    <n v="920.91847389558234"/>
  </r>
  <r>
    <x v="6"/>
    <s v="Terraced"/>
    <n v="318000"/>
    <n v="1760"/>
    <n v="2023"/>
    <n v="6.4"/>
    <s v="21"/>
    <x v="1"/>
    <s v="No"/>
    <s v="First Timer"/>
    <n v="180.68181818181819"/>
    <n v="1680.5911486086011"/>
    <n v="252957.34458258038"/>
    <n v="504177.34458258038"/>
    <n v="251220"/>
    <n v="704.60166037735848"/>
    <m/>
    <s v="2"/>
    <n v="704.61844863731653"/>
  </r>
  <r>
    <x v="6"/>
    <s v="Terraced"/>
    <n v="318000"/>
    <n v="1760"/>
    <n v="2023"/>
    <n v="6.4"/>
    <n v="10"/>
    <x v="1"/>
    <s v="No"/>
    <s v="First Timer"/>
    <n v="180.68181818181819"/>
    <n v="1914.5975110730897"/>
    <n v="288179.25332192698"/>
    <n v="574379.25332192704"/>
    <n v="286200"/>
    <n v="704.60166037735848"/>
    <m/>
    <s v="2"/>
    <n v="704.61844863731653"/>
  </r>
  <r>
    <x v="7"/>
    <s v="Semi Detached"/>
    <n v="510000"/>
    <n v="2800"/>
    <n v="2024"/>
    <n v="5.3"/>
    <s v="15"/>
    <x v="2"/>
    <s v="No"/>
    <s v="Upsizer"/>
    <n v="182.14285714285714"/>
    <n v="2610.5421857702481"/>
    <n v="349662.65573107434"/>
    <n v="783162.65573107428"/>
    <n v="433500"/>
    <n v="1120.9016470588235"/>
    <m/>
    <s v="3"/>
    <n v="1120.9183006535948"/>
  </r>
  <r>
    <x v="7"/>
    <s v="Semi Detached"/>
    <n v="512000"/>
    <n v="2810"/>
    <n v="2024"/>
    <n v="5.3"/>
    <s v="15"/>
    <x v="2"/>
    <s v="No"/>
    <s v="Upsizer"/>
    <n v="182.20640569395019"/>
    <n v="2620.7796061066019"/>
    <n v="351033.88183198049"/>
    <n v="786233.88183198054"/>
    <n v="435200"/>
    <n v="1124.9016464843751"/>
    <m/>
    <s v="3"/>
    <n v="1124.9182942708335"/>
  </r>
  <r>
    <x v="3"/>
    <s v="Semi Detached"/>
    <n v="365000"/>
    <n v="2000"/>
    <n v="2024"/>
    <n v="5.3"/>
    <s v="18"/>
    <x v="2"/>
    <s v="No"/>
    <s v="Upsizer"/>
    <n v="182.5"/>
    <n v="1802.3881803945449"/>
    <n v="241416.45411836344"/>
    <n v="540716.45411836344"/>
    <n v="299300"/>
    <n v="800.90164383561637"/>
    <m/>
    <s v="3"/>
    <n v="800.91826484018259"/>
  </r>
  <r>
    <x v="8"/>
    <s v="Flat"/>
    <n v="490000"/>
    <n v="2680"/>
    <n v="2024"/>
    <n v="5"/>
    <n v="12"/>
    <x v="1"/>
    <s v="No"/>
    <s v="First Timer"/>
    <n v="182.83582089552237"/>
    <n v="2520.7522589824061"/>
    <n v="325025.67769472179"/>
    <n v="756225.67769472185"/>
    <n v="431200"/>
    <n v="1072.6016408163264"/>
    <m/>
    <s v="2"/>
    <n v="1072.6182312925168"/>
  </r>
  <r>
    <x v="6"/>
    <s v="Semi Detached"/>
    <n v="412000"/>
    <n v="2250"/>
    <n v="2024"/>
    <n v="5.2"/>
    <s v="15"/>
    <x v="2"/>
    <s v="No"/>
    <s v="Upsizer"/>
    <n v="183.11111111111111"/>
    <n v="2088.2479177217824"/>
    <n v="276274.37531653454"/>
    <n v="626474.37531653454"/>
    <n v="350200"/>
    <n v="900.90163834951454"/>
    <m/>
    <s v="3"/>
    <n v="900.91820388349515"/>
  </r>
  <r>
    <x v="7"/>
    <s v="Semi Detached"/>
    <n v="505000"/>
    <n v="2750"/>
    <n v="2024"/>
    <n v="5.3"/>
    <s v="15"/>
    <x v="2"/>
    <s v="No"/>
    <s v="Upsizer"/>
    <n v="183.63636363636363"/>
    <n v="2584.9486349293634"/>
    <n v="346234.59047880897"/>
    <n v="775484.59047880897"/>
    <n v="429250"/>
    <n v="1100.9016336633665"/>
    <m/>
    <s v="3"/>
    <n v="1100.9181518151815"/>
  </r>
  <r>
    <x v="3"/>
    <s v="Semi Detached"/>
    <n v="360000"/>
    <n v="1950"/>
    <n v="2024"/>
    <n v="5.3"/>
    <s v="18"/>
    <x v="2"/>
    <s v="No"/>
    <s v="Upsizer"/>
    <n v="184.61538461538461"/>
    <n v="1777.6979313480442"/>
    <n v="238109.37940441328"/>
    <n v="533309.37940441328"/>
    <n v="295200"/>
    <n v="780.90162499999997"/>
    <m/>
    <s v="3"/>
    <n v="780.9180555555555"/>
  </r>
  <r>
    <x v="8"/>
    <s v="Flat"/>
    <n v="495000"/>
    <n v="2680"/>
    <n v="2024"/>
    <n v="5"/>
    <n v="12"/>
    <x v="1"/>
    <s v="No"/>
    <s v="First Timer"/>
    <n v="184.70149253731344"/>
    <n v="2546.4742208087569"/>
    <n v="328342.26624262705"/>
    <n v="763942.26624262705"/>
    <n v="435600"/>
    <n v="1072.6016242424241"/>
    <m/>
    <s v="2"/>
    <n v="1072.6180471380471"/>
  </r>
  <r>
    <x v="7"/>
    <s v="Semi Detached"/>
    <n v="500000"/>
    <n v="2700"/>
    <n v="2024"/>
    <n v="5.3"/>
    <s v="15"/>
    <x v="2"/>
    <s v="No"/>
    <s v="Upsizer"/>
    <n v="185.18518518518519"/>
    <n v="2559.3550840884786"/>
    <n v="342806.52522654348"/>
    <n v="767806.52522654342"/>
    <n v="425000"/>
    <n v="1080.9016200000001"/>
    <m/>
    <s v="3"/>
    <n v="1080.9180000000001"/>
  </r>
  <r>
    <x v="7"/>
    <s v="Semi Detached"/>
    <n v="482000"/>
    <n v="2600"/>
    <n v="2024"/>
    <n v="5.3"/>
    <s v="15"/>
    <x v="2"/>
    <s v="No"/>
    <s v="Upsizer"/>
    <n v="185.38461538461539"/>
    <n v="2467.2183010612935"/>
    <n v="330465.49031838792"/>
    <n v="740165.49031838798"/>
    <n v="409700"/>
    <n v="1040.9016182572616"/>
    <m/>
    <s v="3"/>
    <n v="1040.9179806362381"/>
  </r>
  <r>
    <x v="6"/>
    <s v="Semi Detached"/>
    <n v="410000"/>
    <n v="2200"/>
    <n v="2024"/>
    <n v="5.2"/>
    <s v="15"/>
    <x v="2"/>
    <s v="No"/>
    <s v="Upsizer"/>
    <n v="186.36363636363637"/>
    <n v="2078.1107919075989"/>
    <n v="274933.23757227953"/>
    <n v="623433.23757227953"/>
    <n v="348500"/>
    <n v="880.90160975609751"/>
    <m/>
    <s v="3"/>
    <n v="880.91788617886175"/>
  </r>
  <r>
    <x v="3"/>
    <s v="Flat"/>
    <n v="420000"/>
    <n v="2250"/>
    <n v="2024"/>
    <n v="5.4"/>
    <s v="8"/>
    <x v="0"/>
    <s v="No"/>
    <s v="First Timer"/>
    <n v="186.66666666666666"/>
    <n v="2349.8140008653008"/>
    <n v="318544.20025959035"/>
    <n v="704944.20025959029"/>
    <n v="386400"/>
    <n v="900.30160714285705"/>
    <m/>
    <s v="1"/>
    <n v="900.31785714285706"/>
  </r>
  <r>
    <x v="3"/>
    <s v="Semi Detached"/>
    <n v="355000"/>
    <n v="1900"/>
    <n v="2024"/>
    <n v="5.3"/>
    <s v="18"/>
    <x v="2"/>
    <s v="No"/>
    <s v="Upsizer"/>
    <n v="186.84210526315789"/>
    <n v="1753.0076823015438"/>
    <n v="234802.30469046306"/>
    <n v="525902.304690463"/>
    <n v="291100"/>
    <n v="760.90160563380277"/>
    <m/>
    <s v="3"/>
    <n v="760.91784037558682"/>
  </r>
  <r>
    <x v="7"/>
    <s v="Semi Detached"/>
    <n v="480000"/>
    <n v="2550"/>
    <n v="2024"/>
    <n v="5.3"/>
    <s v="15"/>
    <x v="2"/>
    <s v="No"/>
    <s v="Upsizer"/>
    <n v="188.23529411764707"/>
    <n v="2456.9808807249387"/>
    <n v="329094.2642174816"/>
    <n v="737094.2642174816"/>
    <n v="408000"/>
    <n v="1020.90159375"/>
    <m/>
    <s v="3"/>
    <n v="1020.9177083333333"/>
  </r>
  <r>
    <x v="3"/>
    <s v="Semi Detached"/>
    <n v="350000"/>
    <n v="1850"/>
    <n v="2024"/>
    <n v="5.3"/>
    <s v="18"/>
    <x v="0"/>
    <s v="No"/>
    <s v="Upsizer"/>
    <n v="189.18918918918919"/>
    <n v="1728.3174332550429"/>
    <n v="231495.22997651284"/>
    <n v="518495.22997651284"/>
    <n v="287000"/>
    <n v="740.30158571428569"/>
    <m/>
    <s v="1"/>
    <n v="740.31761904761902"/>
  </r>
  <r>
    <x v="6"/>
    <s v="Semi Detached"/>
    <n v="408000"/>
    <n v="2150"/>
    <n v="2024"/>
    <n v="5.2"/>
    <s v="15"/>
    <x v="2"/>
    <s v="No"/>
    <s v="Upsizer"/>
    <n v="189.76744186046511"/>
    <n v="2067.9736660934154"/>
    <n v="273592.09982802451"/>
    <n v="620392.09982802451"/>
    <n v="346800"/>
    <n v="860.90158088235296"/>
    <m/>
    <s v="3"/>
    <n v="860.91756535947707"/>
  </r>
  <r>
    <x v="7"/>
    <s v="Semi Detached"/>
    <n v="478000"/>
    <n v="2500"/>
    <n v="2024"/>
    <n v="5.3"/>
    <s v="15"/>
    <x v="2"/>
    <s v="No"/>
    <s v="Upsizer"/>
    <n v="191.2"/>
    <n v="2446.7434603885854"/>
    <n v="327723.03811657557"/>
    <n v="734023.03811657557"/>
    <n v="406300"/>
    <n v="1000.9015690376568"/>
    <m/>
    <s v="3"/>
    <n v="1000.9174337517434"/>
  </r>
  <r>
    <x v="3"/>
    <s v="Semi Detached"/>
    <n v="345000"/>
    <n v="1800"/>
    <n v="2024"/>
    <n v="5.3"/>
    <n v="18"/>
    <x v="2"/>
    <s v="No"/>
    <s v="Upsizer"/>
    <n v="191.66666666666666"/>
    <n v="1703.6271842085423"/>
    <n v="228188.15526256268"/>
    <n v="511088.15526256268"/>
    <n v="282900"/>
    <n v="720.90156521739129"/>
    <m/>
    <s v="3"/>
    <n v="720.9173913043478"/>
  </r>
  <r>
    <x v="6"/>
    <s v="Semi Detached"/>
    <n v="405000"/>
    <n v="2100"/>
    <n v="2024"/>
    <n v="5.2"/>
    <s v="15"/>
    <x v="2"/>
    <s v="No"/>
    <s v="Upsizer"/>
    <n v="192.85714285714286"/>
    <n v="2052.7679773721406"/>
    <n v="271580.39321164205"/>
    <n v="615830.39321164205"/>
    <n v="344250"/>
    <n v="840.90155555555555"/>
    <m/>
    <s v="3"/>
    <n v="840.91728395061727"/>
  </r>
  <r>
    <x v="7"/>
    <s v="Semi Detached"/>
    <n v="475000"/>
    <n v="2450"/>
    <n v="2024"/>
    <n v="5.3"/>
    <s v="15"/>
    <x v="2"/>
    <s v="No"/>
    <s v="Upsizer"/>
    <n v="193.87755102040816"/>
    <n v="2431.387329884054"/>
    <n v="325666.19896521617"/>
    <n v="729416.19896521617"/>
    <n v="403750"/>
    <n v="980.90154736842101"/>
    <m/>
    <s v="3"/>
    <n v="980.91719298245607"/>
  </r>
  <r>
    <x v="3"/>
    <s v="Semi Detached"/>
    <n v="360000"/>
    <n v="1850"/>
    <n v="2024"/>
    <n v="5.4"/>
    <s v="14"/>
    <x v="1"/>
    <s v="No"/>
    <s v="Upsizer"/>
    <n v="194.59459459459458"/>
    <n v="1882.7702242958003"/>
    <n v="255231.06728874013"/>
    <n v="564831.06728874007"/>
    <n v="309600"/>
    <n v="740.60154166666666"/>
    <m/>
    <s v="2"/>
    <n v="740.61712962962963"/>
  </r>
  <r>
    <x v="4"/>
    <s v="Semi Detached"/>
    <n v="370000"/>
    <n v="1900"/>
    <n v="2023"/>
    <n v="6.1"/>
    <s v="18"/>
    <x v="2"/>
    <s v="No"/>
    <s v="Upsizer"/>
    <n v="194.73684210526315"/>
    <n v="1973.3985860139599"/>
    <n v="288619.57580418792"/>
    <n v="592019.57580418792"/>
    <n v="303400"/>
    <n v="760.90154054054051"/>
    <m/>
    <s v="3"/>
    <n v="760.91711711711707"/>
  </r>
  <r>
    <x v="4"/>
    <s v="Semi Detached"/>
    <n v="355000"/>
    <n v="1780"/>
    <n v="2023"/>
    <n v="6.1"/>
    <s v="18"/>
    <x v="2"/>
    <s v="No"/>
    <s v="Upsizer"/>
    <n v="199.43820224719101"/>
    <n v="1893.3959406350152"/>
    <n v="276918.7821905046"/>
    <n v="568018.7821905046"/>
    <n v="291100"/>
    <n v="712.90150422535214"/>
    <m/>
    <s v="3"/>
    <n v="712.91671361502347"/>
  </r>
  <r>
    <x v="3"/>
    <s v="Semi Detached"/>
    <n v="340000"/>
    <n v="1700"/>
    <n v="2023"/>
    <n v="6.1"/>
    <s v="14"/>
    <x v="1"/>
    <s v="No"/>
    <s v="Upsizer"/>
    <n v="200"/>
    <n v="1901.8515047807573"/>
    <n v="278155.45143422717"/>
    <n v="570555.45143422717"/>
    <n v="292400"/>
    <n v="680.60149999999999"/>
    <m/>
    <s v="2"/>
    <n v="680.61666666666667"/>
  </r>
  <r>
    <x v="7"/>
    <s v="Semi Detached"/>
    <n v="470000"/>
    <n v="2350"/>
    <n v="2023"/>
    <n v="6"/>
    <s v="15"/>
    <x v="2"/>
    <s v="No"/>
    <s v="Upsizer"/>
    <n v="200"/>
    <n v="2573.9840989346067"/>
    <n v="372695.22968038201"/>
    <n v="772195.22968038195"/>
    <n v="399500"/>
    <n v="940.90149999999994"/>
    <m/>
    <s v="3"/>
    <n v="940.91666666666663"/>
  </r>
  <r>
    <x v="6"/>
    <s v="Semi Detached"/>
    <n v="420000"/>
    <n v="2100"/>
    <n v="2024"/>
    <n v="5.2"/>
    <s v="15"/>
    <x v="2"/>
    <s v="No"/>
    <s v="Upsizer"/>
    <n v="200"/>
    <n v="2128.7964209785159"/>
    <n v="281638.9262935546"/>
    <n v="638638.9262935546"/>
    <n v="357000"/>
    <n v="840.90149999999994"/>
    <m/>
    <s v="3"/>
    <n v="840.91666666666663"/>
  </r>
  <r>
    <x v="7"/>
    <s v="Semi Detached"/>
    <n v="480000"/>
    <n v="2400"/>
    <n v="2024"/>
    <n v="5.3"/>
    <s v="15"/>
    <x v="2"/>
    <s v="No"/>
    <s v="Upsizer"/>
    <n v="200"/>
    <n v="2456.9808807249387"/>
    <n v="329094.2642174816"/>
    <n v="737094.2642174816"/>
    <n v="408000"/>
    <n v="960.90149999999994"/>
    <m/>
    <s v="3"/>
    <n v="960.91666666666663"/>
  </r>
  <r>
    <x v="6"/>
    <s v="Semi Detached"/>
    <n v="430000"/>
    <n v="2150"/>
    <n v="2024"/>
    <n v="5.2"/>
    <s v="15"/>
    <x v="2"/>
    <s v="No"/>
    <s v="Upsizer"/>
    <n v="200"/>
    <n v="2179.4820500494329"/>
    <n v="288344.61501482979"/>
    <n v="653844.61501482979"/>
    <n v="365500"/>
    <n v="860.90149999999994"/>
    <m/>
    <s v="3"/>
    <n v="860.91666666666663"/>
  </r>
  <r>
    <x v="7"/>
    <s v="Semi Detached"/>
    <n v="490000"/>
    <n v="2450"/>
    <n v="2024"/>
    <n v="5.3"/>
    <s v="15"/>
    <x v="2"/>
    <s v="No"/>
    <s v="Upsizer"/>
    <n v="200"/>
    <n v="2508.1679824067091"/>
    <n v="335950.39472201263"/>
    <n v="752450.39472201257"/>
    <n v="416500"/>
    <n v="980.90149999999994"/>
    <m/>
    <s v="3"/>
    <n v="980.91666666666663"/>
  </r>
  <r>
    <x v="6"/>
    <s v="Detached"/>
    <n v="290000"/>
    <n v="1450"/>
    <n v="2024"/>
    <n v="5.0999999999999996"/>
    <n v="20"/>
    <x v="2"/>
    <s v="Yes"/>
    <s v="Investor"/>
    <n v="200"/>
    <n v="1369.8000863848163"/>
    <n v="178940.02591544486"/>
    <n v="410940.02591544483"/>
    <n v="232000"/>
    <n v="580.90149999999994"/>
    <m/>
    <s v="3"/>
    <n v="580.91666666666663"/>
  </r>
  <r>
    <x v="7"/>
    <s v="Semi Detached"/>
    <n v="460000"/>
    <n v="2280"/>
    <n v="2024"/>
    <n v="5.3"/>
    <s v="15"/>
    <x v="2"/>
    <s v="No"/>
    <s v="Upsizer"/>
    <n v="201.75438596491227"/>
    <n v="2354.6066773613998"/>
    <n v="315382.00320841989"/>
    <n v="706382.00320841989"/>
    <n v="391000"/>
    <n v="912.90148695652169"/>
    <m/>
    <s v="3"/>
    <n v="912.91652173913042"/>
  </r>
  <r>
    <x v="7"/>
    <s v="Semi Detached"/>
    <n v="440000"/>
    <n v="2180"/>
    <n v="2023"/>
    <n v="6"/>
    <s v="15"/>
    <x v="2"/>
    <s v="No"/>
    <s v="Upsizer"/>
    <n v="201.83486238532109"/>
    <n v="2409.6872415558018"/>
    <n v="348906.17246674059"/>
    <n v="722906.17246674059"/>
    <n v="374000"/>
    <n v="872.90148636363631"/>
    <m/>
    <s v="3"/>
    <n v="872.91651515151511"/>
  </r>
  <r>
    <x v="6"/>
    <s v="Semi Detached"/>
    <n v="400000"/>
    <n v="1980"/>
    <n v="2024"/>
    <n v="5.2"/>
    <s v="15"/>
    <x v="2"/>
    <s v="No"/>
    <s v="Upsizer"/>
    <n v="202.02020202020202"/>
    <n v="2027.4251628366819"/>
    <n v="268227.54885100445"/>
    <n v="608227.54885100445"/>
    <n v="340000"/>
    <n v="792.90148499999998"/>
    <m/>
    <s v="3"/>
    <n v="792.91649999999993"/>
  </r>
  <r>
    <x v="5"/>
    <s v="Semi Detached"/>
    <n v="465000"/>
    <n v="2300"/>
    <n v="2024"/>
    <n v="5.2"/>
    <s v="15"/>
    <x v="2"/>
    <s v="No"/>
    <s v="Upsizer"/>
    <n v="202.17391304347825"/>
    <n v="2356.8817517976427"/>
    <n v="311814.52553929272"/>
    <n v="707064.52553929272"/>
    <n v="395250"/>
    <n v="920.9014838709677"/>
    <m/>
    <s v="3"/>
    <n v="920.91648745519706"/>
  </r>
  <r>
    <x v="7"/>
    <s v="Semi Detached"/>
    <n v="465000"/>
    <n v="2300"/>
    <n v="2024"/>
    <n v="5.3"/>
    <s v="15"/>
    <x v="2"/>
    <s v="No"/>
    <s v="Upsizer"/>
    <n v="202.17391304347825"/>
    <n v="2380.2002282022845"/>
    <n v="318810.06846068532"/>
    <n v="714060.06846068532"/>
    <n v="395250"/>
    <n v="920.9014838709677"/>
    <m/>
    <s v="3"/>
    <n v="920.91648745519706"/>
  </r>
  <r>
    <x v="7"/>
    <s v="Semi Detached"/>
    <n v="455000"/>
    <n v="2250"/>
    <n v="2023"/>
    <n v="6"/>
    <s v="15"/>
    <x v="2"/>
    <s v="No"/>
    <s v="Upsizer"/>
    <n v="202.22222222222223"/>
    <n v="2491.8356702452043"/>
    <n v="360800.70107356133"/>
    <n v="747550.70107356133"/>
    <n v="386750"/>
    <n v="900.90148351648349"/>
    <m/>
    <s v="3"/>
    <n v="900.91648351648348"/>
  </r>
  <r>
    <x v="4"/>
    <s v="Semi Detached"/>
    <n v="338000"/>
    <n v="1670"/>
    <n v="2024"/>
    <n v="5.3"/>
    <s v="18"/>
    <x v="2"/>
    <s v="No"/>
    <s v="Upsizer"/>
    <n v="202.39520958083833"/>
    <n v="1669.0608355434415"/>
    <n v="223558.25066303246"/>
    <n v="500718.25066303246"/>
    <n v="277160"/>
    <n v="668.90148224852067"/>
    <m/>
    <s v="3"/>
    <n v="668.91646942800787"/>
  </r>
  <r>
    <x v="6"/>
    <s v="Semi Detached"/>
    <n v="405000"/>
    <n v="2000"/>
    <n v="2023"/>
    <n v="6.1"/>
    <s v="15"/>
    <x v="2"/>
    <s v="No"/>
    <s v="Upsizer"/>
    <n v="202.5"/>
    <n v="2239.0984285936242"/>
    <n v="327479.52857808722"/>
    <n v="671729.52857808722"/>
    <n v="344250"/>
    <n v="800.90148148148148"/>
    <m/>
    <s v="3"/>
    <n v="800.91646090534982"/>
  </r>
  <r>
    <x v="6"/>
    <s v="Semi Detached"/>
    <n v="395000"/>
    <n v="1950"/>
    <n v="2024"/>
    <n v="5.2"/>
    <s v="15"/>
    <x v="2"/>
    <s v="No"/>
    <s v="Upsizer"/>
    <n v="202.56410256410257"/>
    <n v="2002.0823483012234"/>
    <n v="264874.70449036692"/>
    <n v="600624.70449036686"/>
    <n v="335750"/>
    <n v="780.90148101265822"/>
    <m/>
    <s v="3"/>
    <n v="780.91645569620255"/>
  </r>
  <r>
    <x v="4"/>
    <s v="Semi Detached"/>
    <n v="345000"/>
    <n v="1700"/>
    <n v="2024"/>
    <n v="5.3"/>
    <s v="18"/>
    <x v="2"/>
    <s v="No"/>
    <s v="Upsizer"/>
    <n v="202.94117647058823"/>
    <n v="1703.6271842085423"/>
    <n v="228188.15526256268"/>
    <n v="511088.15526256268"/>
    <n v="282900"/>
    <n v="680.90147826086957"/>
    <m/>
    <s v="3"/>
    <n v="680.91642512077294"/>
  </r>
  <r>
    <x v="3"/>
    <s v="Semi Detached"/>
    <n v="330000"/>
    <n v="1620"/>
    <n v="2024"/>
    <n v="5.4"/>
    <s v="14"/>
    <x v="1"/>
    <s v="No"/>
    <s v="Upsizer"/>
    <n v="203.7037037037037"/>
    <n v="1725.8727056044836"/>
    <n v="233961.81168134516"/>
    <n v="517761.81168134516"/>
    <n v="283800"/>
    <n v="648.60147272727272"/>
    <m/>
    <s v="2"/>
    <n v="648.61636363636364"/>
  </r>
  <r>
    <x v="7"/>
    <s v="Semi Detached"/>
    <n v="438000"/>
    <n v="2150"/>
    <n v="2024"/>
    <n v="5.3"/>
    <s v="15"/>
    <x v="2"/>
    <s v="No"/>
    <s v="Upsizer"/>
    <n v="203.72093023255815"/>
    <n v="2241.995053661507"/>
    <n v="300298.51609845203"/>
    <n v="672598.51609845203"/>
    <n v="372300"/>
    <n v="860.90147260273966"/>
    <m/>
    <s v="3"/>
    <n v="860.91636225266359"/>
  </r>
  <r>
    <x v="7"/>
    <s v="Semi Detached"/>
    <n v="432000"/>
    <n v="2120"/>
    <n v="2023"/>
    <n v="6.1"/>
    <s v="15"/>
    <x v="2"/>
    <s v="No"/>
    <s v="Upsizer"/>
    <n v="203.77358490566039"/>
    <n v="2388.3716571665327"/>
    <n v="349311.49714995979"/>
    <n v="716511.49714995979"/>
    <n v="367200"/>
    <n v="848.9014722222222"/>
    <m/>
    <s v="3"/>
    <n v="848.91635802469136"/>
  </r>
  <r>
    <x v="3"/>
    <s v="Semi Detached"/>
    <n v="322000"/>
    <n v="1580"/>
    <n v="2024"/>
    <n v="5.4"/>
    <s v="14"/>
    <x v="1"/>
    <s v="No"/>
    <s v="Upsizer"/>
    <n v="203.79746835443038"/>
    <n v="1684.0333672867991"/>
    <n v="228290.01018603978"/>
    <n v="505210.01018603978"/>
    <n v="276920"/>
    <n v="632.60147204968951"/>
    <m/>
    <s v="2"/>
    <n v="632.61635610766052"/>
  </r>
  <r>
    <x v="5"/>
    <s v="Semi Detached"/>
    <n v="470000"/>
    <n v="2300"/>
    <n v="2024"/>
    <n v="5.2"/>
    <s v="15"/>
    <x v="2"/>
    <s v="No"/>
    <s v="Upsizer"/>
    <n v="204.34782608695653"/>
    <n v="2382.2245663331014"/>
    <n v="315167.36989993032"/>
    <n v="714667.36989993032"/>
    <n v="399500"/>
    <n v="920.90146808510633"/>
    <m/>
    <s v="3"/>
    <n v="920.91631205673752"/>
  </r>
  <r>
    <x v="7"/>
    <s v="Semi Detached"/>
    <n v="460000"/>
    <n v="2250"/>
    <n v="2024"/>
    <n v="5.3"/>
    <s v="15"/>
    <x v="2"/>
    <s v="No"/>
    <s v="Upsizer"/>
    <n v="204.44444444444446"/>
    <n v="2354.6066773613998"/>
    <n v="315382.00320841989"/>
    <n v="706382.00320841989"/>
    <n v="391000"/>
    <n v="900.90146739130432"/>
    <m/>
    <s v="3"/>
    <n v="900.9163043478261"/>
  </r>
  <r>
    <x v="7"/>
    <s v="Semi Detached"/>
    <n v="450000"/>
    <n v="2200"/>
    <n v="2024"/>
    <n v="5.3"/>
    <s v="15"/>
    <x v="2"/>
    <s v="No"/>
    <s v="Upsizer"/>
    <n v="204.54545454545453"/>
    <n v="2303.4195756796303"/>
    <n v="308525.87270388898"/>
    <n v="691025.87270388892"/>
    <n v="382500"/>
    <n v="880.90146666666669"/>
    <m/>
    <s v="3"/>
    <n v="880.91629629629631"/>
  </r>
  <r>
    <x v="6"/>
    <s v="Semi Detached"/>
    <n v="385000"/>
    <n v="1880"/>
    <n v="2023"/>
    <n v="6.1"/>
    <s v="15"/>
    <x v="2"/>
    <s v="No"/>
    <s v="Upsizer"/>
    <n v="204.78723404255319"/>
    <n v="2128.5256666877663"/>
    <n v="311307.70000632992"/>
    <n v="638557.70000632992"/>
    <n v="327250"/>
    <n v="752.90146493506495"/>
    <m/>
    <s v="3"/>
    <n v="752.91627705627707"/>
  </r>
  <r>
    <x v="6"/>
    <s v="Semi Detached"/>
    <n v="390000"/>
    <n v="1900"/>
    <n v="2024"/>
    <n v="5.2"/>
    <s v="15"/>
    <x v="2"/>
    <s v="No"/>
    <s v="Upsizer"/>
    <n v="205.26315789473685"/>
    <n v="1976.7395337657649"/>
    <n v="261521.86012972938"/>
    <n v="593021.86012972938"/>
    <n v="331500"/>
    <n v="760.90146153846149"/>
    <m/>
    <s v="3"/>
    <n v="760.91623931623928"/>
  </r>
  <r>
    <x v="6"/>
    <s v="Semi Detached"/>
    <n v="380000"/>
    <n v="1850"/>
    <n v="2024"/>
    <n v="5.2"/>
    <s v="15"/>
    <x v="2"/>
    <s v="No"/>
    <s v="Upsizer"/>
    <n v="205.40540540540542"/>
    <n v="1926.0539046948477"/>
    <n v="254816.17140845419"/>
    <n v="577816.17140845419"/>
    <n v="323000"/>
    <n v="740.90146052631576"/>
    <m/>
    <s v="3"/>
    <n v="740.91622807017541"/>
  </r>
  <r>
    <x v="5"/>
    <s v="Semi Detached"/>
    <n v="455000"/>
    <n v="2200"/>
    <n v="2024"/>
    <n v="5.2"/>
    <s v="15"/>
    <x v="2"/>
    <s v="No"/>
    <s v="Upsizer"/>
    <n v="206.81818181818181"/>
    <n v="2306.1961227267257"/>
    <n v="305108.83681801753"/>
    <n v="691858.83681801753"/>
    <n v="386750"/>
    <n v="880.90145054945049"/>
    <m/>
    <s v="3"/>
    <n v="880.91611721611719"/>
  </r>
  <r>
    <x v="7"/>
    <s v="Semi Detached"/>
    <n v="455000"/>
    <n v="2200"/>
    <n v="2024"/>
    <n v="5.3"/>
    <s v="15"/>
    <x v="2"/>
    <s v="No"/>
    <s v="Upsizer"/>
    <n v="206.81818181818181"/>
    <n v="2329.013126520515"/>
    <n v="311953.93795615446"/>
    <n v="698703.93795615446"/>
    <n v="386750"/>
    <n v="880.90145054945049"/>
    <m/>
    <s v="3"/>
    <n v="880.91611721611719"/>
  </r>
  <r>
    <x v="7"/>
    <s v="Semi Detached"/>
    <n v="440000"/>
    <n v="2120"/>
    <n v="2023"/>
    <n v="6.1"/>
    <s v="15"/>
    <x v="2"/>
    <s v="No"/>
    <s v="Upsizer"/>
    <n v="207.54716981132074"/>
    <n v="2432.6007619288757"/>
    <n v="355780.22857866273"/>
    <n v="729780.22857866273"/>
    <n v="374000"/>
    <n v="848.90144545454541"/>
    <m/>
    <s v="3"/>
    <n v="848.91606060606057"/>
  </r>
  <r>
    <x v="7"/>
    <s v="Semi Detached"/>
    <n v="430000"/>
    <n v="2070"/>
    <n v="2024"/>
    <n v="5.3"/>
    <s v="15"/>
    <x v="2"/>
    <s v="No"/>
    <s v="Upsizer"/>
    <n v="207.72946859903382"/>
    <n v="2201.0453723160913"/>
    <n v="294813.61169482738"/>
    <n v="660313.61169482744"/>
    <n v="365500"/>
    <n v="828.90144418604643"/>
    <m/>
    <s v="3"/>
    <n v="828.91604651162788"/>
  </r>
  <r>
    <x v="6"/>
    <s v="Semi Detached"/>
    <n v="374000"/>
    <n v="1800"/>
    <n v="2024"/>
    <n v="5.2"/>
    <s v="15"/>
    <x v="2"/>
    <s v="No"/>
    <s v="Upsizer"/>
    <n v="207.77777777777777"/>
    <n v="1895.6425272522977"/>
    <n v="250792.75817568914"/>
    <n v="568692.75817568914"/>
    <n v="317900"/>
    <n v="720.90144385026736"/>
    <m/>
    <s v="3"/>
    <n v="720.91604278074863"/>
  </r>
  <r>
    <x v="6"/>
    <s v="Semi Detached"/>
    <n v="385000"/>
    <n v="1850"/>
    <n v="2024"/>
    <n v="5.2"/>
    <s v="15"/>
    <x v="2"/>
    <s v="No"/>
    <s v="Upsizer"/>
    <n v="208.1081081081081"/>
    <n v="1951.3967192303064"/>
    <n v="258169.01576909178"/>
    <n v="585419.01576909178"/>
    <n v="327250"/>
    <n v="740.90144155844155"/>
    <m/>
    <s v="3"/>
    <n v="740.91601731601725"/>
  </r>
  <r>
    <x v="7"/>
    <s v="Semi Detached"/>
    <n v="455000"/>
    <n v="2180"/>
    <n v="2023"/>
    <n v="6"/>
    <s v="15"/>
    <x v="2"/>
    <s v="No"/>
    <s v="Upsizer"/>
    <n v="208.71559633027522"/>
    <n v="2491.8356702452043"/>
    <n v="360800.70107356133"/>
    <n v="747550.70107356133"/>
    <n v="386750"/>
    <n v="872.90143736263735"/>
    <m/>
    <s v="3"/>
    <n v="872.91597069597071"/>
  </r>
  <r>
    <x v="7"/>
    <s v="Semi Detached"/>
    <n v="428000"/>
    <n v="2050"/>
    <n v="2024"/>
    <n v="5.3"/>
    <s v="15"/>
    <x v="2"/>
    <s v="No"/>
    <s v="Upsizer"/>
    <n v="208.78048780487805"/>
    <n v="2190.8079519797375"/>
    <n v="293442.38559392124"/>
    <n v="657242.38559392118"/>
    <n v="363800"/>
    <n v="820.90143691588787"/>
    <m/>
    <s v="3"/>
    <n v="820.91596573208722"/>
  </r>
  <r>
    <x v="4"/>
    <s v="Semi Detached"/>
    <n v="355000"/>
    <n v="1700"/>
    <n v="2024"/>
    <n v="5.3"/>
    <s v="18"/>
    <x v="2"/>
    <s v="No"/>
    <s v="Upsizer"/>
    <n v="208.8235294117647"/>
    <n v="1753.0076823015438"/>
    <n v="234802.30469046306"/>
    <n v="525902.304690463"/>
    <n v="291100"/>
    <n v="680.90143661971831"/>
    <m/>
    <s v="3"/>
    <n v="680.91596244131449"/>
  </r>
  <r>
    <x v="6"/>
    <s v="Semi Detached"/>
    <n v="372000"/>
    <n v="1780"/>
    <n v="2024"/>
    <n v="5.3"/>
    <s v="15"/>
    <x v="2"/>
    <s v="No"/>
    <s v="Upsizer"/>
    <n v="208.98876404494382"/>
    <n v="1904.1601825618277"/>
    <n v="255048.05476854835"/>
    <n v="571248.05476854835"/>
    <n v="316200"/>
    <n v="712.90143548387096"/>
    <m/>
    <s v="3"/>
    <n v="712.91594982078846"/>
  </r>
  <r>
    <x v="1"/>
    <s v="Detached"/>
    <n v="462000"/>
    <n v="2210"/>
    <n v="2024"/>
    <n v="5.4"/>
    <s v="20"/>
    <x v="2"/>
    <s v="Yes"/>
    <s v="Upsizer"/>
    <n v="209.0497737556561"/>
    <n v="2247.6481747407229"/>
    <n v="304694.45242221688"/>
    <n v="674294.45242221688"/>
    <n v="369600"/>
    <n v="884.90143506493507"/>
    <m/>
    <s v="3"/>
    <n v="884.91594516594512"/>
  </r>
  <r>
    <x v="1"/>
    <s v="Detached"/>
    <n v="460000"/>
    <n v="2200"/>
    <n v="2024"/>
    <n v="5.4"/>
    <s v="20"/>
    <x v="2"/>
    <s v="Yes"/>
    <s v="Upsizer"/>
    <n v="209.09090909090909"/>
    <n v="2237.9180960621916"/>
    <n v="303375.42881865759"/>
    <n v="671375.42881865753"/>
    <n v="368000"/>
    <n v="880.9014347826087"/>
    <m/>
    <s v="3"/>
    <n v="880.91594202898546"/>
  </r>
  <r>
    <x v="5"/>
    <s v="Semi Detached"/>
    <n v="435000"/>
    <n v="2080"/>
    <n v="2024"/>
    <n v="5.2"/>
    <s v="15"/>
    <x v="2"/>
    <s v="No"/>
    <s v="Upsizer"/>
    <n v="209.13461538461539"/>
    <n v="2204.8248645848917"/>
    <n v="291697.45937546744"/>
    <n v="661447.45937546738"/>
    <n v="369750"/>
    <n v="832.90143448275865"/>
    <m/>
    <s v="3"/>
    <n v="832.91593869731798"/>
  </r>
  <r>
    <x v="7"/>
    <s v="Semi Detached"/>
    <n v="450000"/>
    <n v="2150"/>
    <n v="2024"/>
    <n v="5.3"/>
    <s v="15"/>
    <x v="2"/>
    <s v="No"/>
    <s v="Upsizer"/>
    <n v="209.30232558139534"/>
    <n v="2303.4195756796303"/>
    <n v="308525.87270388898"/>
    <n v="691025.87270388892"/>
    <n v="382500"/>
    <n v="860.90143333333333"/>
    <m/>
    <s v="3"/>
    <n v="860.91592592592588"/>
  </r>
  <r>
    <x v="7"/>
    <s v="Semi Detached"/>
    <n v="450000"/>
    <n v="2150"/>
    <n v="2024"/>
    <n v="5.3"/>
    <s v="15"/>
    <x v="0"/>
    <s v="No"/>
    <s v="Upsizer"/>
    <n v="209.30232558139534"/>
    <n v="2303.4195756796303"/>
    <n v="308525.87270388898"/>
    <n v="691025.87270388892"/>
    <n v="382500"/>
    <n v="860.30143333333331"/>
    <m/>
    <s v="1"/>
    <n v="860.31592592592585"/>
  </r>
  <r>
    <x v="5"/>
    <s v="Semi Detached"/>
    <n v="440000"/>
    <n v="2100"/>
    <n v="2024"/>
    <n v="5.2"/>
    <s v="15"/>
    <x v="2"/>
    <s v="No"/>
    <s v="Upsizer"/>
    <n v="209.52380952380952"/>
    <n v="2230.1676791203499"/>
    <n v="295050.30373610486"/>
    <n v="669050.30373610486"/>
    <n v="374000"/>
    <n v="840.90143181818178"/>
    <m/>
    <s v="3"/>
    <n v="840.91590909090905"/>
  </r>
  <r>
    <x v="5"/>
    <s v="Semi Detached"/>
    <n v="415000"/>
    <n v="1980"/>
    <n v="2023"/>
    <n v="6.1"/>
    <s v="15"/>
    <x v="2"/>
    <s v="No"/>
    <s v="Upsizer"/>
    <n v="209.59595959595958"/>
    <n v="2294.3848095465532"/>
    <n v="335565.44286396599"/>
    <n v="688315.44286396599"/>
    <n v="352750"/>
    <n v="792.90143132530113"/>
    <m/>
    <s v="3"/>
    <n v="792.91590361445776"/>
  </r>
  <r>
    <x v="5"/>
    <s v="Semi Detached"/>
    <n v="430000"/>
    <n v="2050"/>
    <n v="2024"/>
    <n v="5.2"/>
    <s v="15"/>
    <x v="2"/>
    <s v="No"/>
    <s v="Upsizer"/>
    <n v="209.7560975609756"/>
    <n v="2179.4820500494329"/>
    <n v="288344.61501482979"/>
    <n v="653844.61501482979"/>
    <n v="365500"/>
    <n v="820.90143023255814"/>
    <m/>
    <s v="3"/>
    <n v="820.91589147286822"/>
  </r>
  <r>
    <x v="5"/>
    <s v="Semi Detached"/>
    <n v="420000"/>
    <n v="2000"/>
    <n v="2024"/>
    <n v="5.2"/>
    <s v="15"/>
    <x v="2"/>
    <s v="No"/>
    <s v="Upsizer"/>
    <n v="210"/>
    <n v="2128.7964209785159"/>
    <n v="281638.9262935546"/>
    <n v="638638.9262935546"/>
    <n v="357000"/>
    <n v="800.9014285714286"/>
    <m/>
    <s v="3"/>
    <n v="800.91587301587299"/>
  </r>
  <r>
    <x v="5"/>
    <s v="Semi Detached"/>
    <n v="410000"/>
    <n v="1950"/>
    <n v="2024"/>
    <n v="5.2"/>
    <s v="15"/>
    <x v="2"/>
    <s v="No"/>
    <s v="Upsizer"/>
    <n v="210.25641025641025"/>
    <n v="2078.1107919075989"/>
    <n v="274933.23757227953"/>
    <n v="623433.23757227953"/>
    <n v="348500"/>
    <n v="780.9014268292683"/>
    <m/>
    <s v="3"/>
    <n v="780.91585365853655"/>
  </r>
  <r>
    <x v="6"/>
    <s v="Semi Detached"/>
    <n v="390000"/>
    <n v="1850"/>
    <n v="2024"/>
    <n v="5.2"/>
    <s v="15"/>
    <x v="2"/>
    <s v="No"/>
    <s v="Upsizer"/>
    <n v="210.81081081081081"/>
    <n v="1976.7395337657649"/>
    <n v="261521.86012972938"/>
    <n v="593021.86012972938"/>
    <n v="331500"/>
    <n v="740.90142307692304"/>
    <m/>
    <s v="3"/>
    <n v="740.91581196581194"/>
  </r>
  <r>
    <x v="1"/>
    <s v="Detached"/>
    <n v="455000"/>
    <n v="2150"/>
    <n v="2024"/>
    <n v="5.4"/>
    <s v="20"/>
    <x v="2"/>
    <s v="Yes"/>
    <s v="Upsizer"/>
    <n v="211.62790697674419"/>
    <n v="2213.5928993658636"/>
    <n v="300077.86980975908"/>
    <n v="664077.86980975908"/>
    <n v="364000"/>
    <n v="860.90141758241759"/>
    <m/>
    <s v="3"/>
    <n v="860.91575091575089"/>
  </r>
  <r>
    <x v="5"/>
    <s v="Semi Detached"/>
    <n v="400000"/>
    <n v="1890"/>
    <n v="2024"/>
    <n v="5.3"/>
    <s v="15"/>
    <x v="2"/>
    <s v="No"/>
    <s v="Upsizer"/>
    <n v="211.64021164021165"/>
    <n v="2047.4840672707828"/>
    <n v="274245.22018123488"/>
    <n v="614245.22018123488"/>
    <n v="340000"/>
    <n v="756.90141749999998"/>
    <m/>
    <s v="3"/>
    <n v="756.91575"/>
  </r>
  <r>
    <x v="7"/>
    <s v="Semi Detached"/>
    <n v="445000"/>
    <n v="2100"/>
    <n v="2024"/>
    <n v="5.3"/>
    <s v="15"/>
    <x v="2"/>
    <s v="No"/>
    <s v="Upsizer"/>
    <n v="211.9047619047619"/>
    <n v="2277.8260248387455"/>
    <n v="305097.80745162355"/>
    <n v="683347.80745162349"/>
    <n v="378250"/>
    <n v="840.90141573033702"/>
    <m/>
    <s v="3"/>
    <n v="840.91573033707868"/>
  </r>
  <r>
    <x v="5"/>
    <s v="Semi Detached"/>
    <n v="405000"/>
    <n v="1910"/>
    <n v="2024"/>
    <n v="5.3"/>
    <s v="15"/>
    <x v="2"/>
    <s v="No"/>
    <s v="Upsizer"/>
    <n v="212.04188481675394"/>
    <n v="2073.0776181116676"/>
    <n v="277673.28543350031"/>
    <n v="621923.28543350031"/>
    <n v="344250"/>
    <n v="764.90141481481476"/>
    <m/>
    <s v="3"/>
    <n v="764.91572016460907"/>
  </r>
  <r>
    <x v="1"/>
    <s v="Detached"/>
    <n v="435000"/>
    <n v="2050"/>
    <n v="2024"/>
    <n v="5.4"/>
    <s v="20"/>
    <x v="2"/>
    <s v="Yes"/>
    <s v="Upsizer"/>
    <n v="212.19512195121951"/>
    <n v="2116.2921125805506"/>
    <n v="286887.63377416524"/>
    <n v="634887.6337741653"/>
    <n v="348000"/>
    <n v="820.90141379310342"/>
    <m/>
    <s v="3"/>
    <n v="820.9157088122605"/>
  </r>
  <r>
    <x v="6"/>
    <s v="Semi Detached"/>
    <n v="368000"/>
    <n v="1730"/>
    <n v="2023"/>
    <n v="6.1"/>
    <s v="15"/>
    <x v="2"/>
    <s v="No"/>
    <s v="Upsizer"/>
    <n v="212.71676300578034"/>
    <n v="2034.538819067787"/>
    <n v="297561.64572033612"/>
    <n v="610361.64572033612"/>
    <n v="312800"/>
    <n v="692.90141032608699"/>
    <m/>
    <s v="3"/>
    <n v="692.91567028985503"/>
  </r>
  <r>
    <x v="6"/>
    <s v="Semi Detached"/>
    <n v="400000"/>
    <n v="1880"/>
    <n v="2023"/>
    <n v="6.1"/>
    <s v="15"/>
    <x v="2"/>
    <s v="No"/>
    <s v="Upsizer"/>
    <n v="212.7659574468085"/>
    <n v="2211.4552381171598"/>
    <n v="323436.57143514795"/>
    <n v="663436.5714351479"/>
    <n v="340000"/>
    <n v="752.90140999999994"/>
    <m/>
    <s v="3"/>
    <n v="752.91566666666665"/>
  </r>
  <r>
    <x v="5"/>
    <s v="Detached"/>
    <n v="330000"/>
    <n v="1550"/>
    <n v="2024"/>
    <n v="5.0999999999999996"/>
    <n v="20"/>
    <x v="2"/>
    <s v="Yes"/>
    <s v="Investor"/>
    <n v="212.90322580645162"/>
    <n v="1558.7380293344459"/>
    <n v="203621.40880033374"/>
    <n v="467621.40880033374"/>
    <n v="264000"/>
    <n v="620.90140909090906"/>
    <m/>
    <s v="3"/>
    <n v="620.91565656565649"/>
  </r>
  <r>
    <x v="3"/>
    <s v="Semi Detached"/>
    <n v="345000"/>
    <n v="1620"/>
    <n v="2024"/>
    <n v="5.4"/>
    <s v="14"/>
    <x v="1"/>
    <s v="No"/>
    <s v="Upsizer"/>
    <n v="212.96296296296296"/>
    <n v="1804.3214649501419"/>
    <n v="244596.43948504259"/>
    <n v="541296.43948504259"/>
    <n v="296700"/>
    <n v="648.60140869565225"/>
    <m/>
    <s v="2"/>
    <n v="648.61565217391308"/>
  </r>
  <r>
    <x v="6"/>
    <s v="Semi Detached"/>
    <n v="405000"/>
    <n v="1900"/>
    <n v="2024"/>
    <n v="5.2"/>
    <s v="15"/>
    <x v="2"/>
    <s v="No"/>
    <s v="Upsizer"/>
    <n v="213.15789473684211"/>
    <n v="2052.7679773721406"/>
    <n v="271580.39321164205"/>
    <n v="615830.39321164205"/>
    <n v="344250"/>
    <n v="760.90140740740742"/>
    <m/>
    <s v="3"/>
    <n v="760.91563786008226"/>
  </r>
  <r>
    <x v="7"/>
    <s v="Semi Detached"/>
    <n v="423000"/>
    <n v="1980"/>
    <n v="2023"/>
    <n v="6"/>
    <s v="12"/>
    <x v="2"/>
    <s v="No"/>
    <s v="Upsizer"/>
    <n v="213.63636363636363"/>
    <n v="2398.3475368896575"/>
    <n v="347264.26106689719"/>
    <n v="719504.26106689719"/>
    <n v="372240"/>
    <n v="792.90140425531911"/>
    <m/>
    <s v="3"/>
    <n v="792.91560283687943"/>
  </r>
  <r>
    <x v="6"/>
    <s v="Semi Detached"/>
    <n v="375000"/>
    <n v="1750"/>
    <n v="2024"/>
    <n v="5.2"/>
    <s v="15"/>
    <x v="2"/>
    <s v="No"/>
    <s v="Upsizer"/>
    <n v="214.28571428571428"/>
    <n v="1900.7110901593892"/>
    <n v="251463.32704781677"/>
    <n v="570213.32704781671"/>
    <n v="318750"/>
    <n v="700.90139999999997"/>
    <m/>
    <s v="3"/>
    <n v="700.91555555555556"/>
  </r>
  <r>
    <x v="1"/>
    <s v="Detached"/>
    <n v="450000"/>
    <n v="2100"/>
    <n v="2024"/>
    <n v="5.4"/>
    <s v="20"/>
    <x v="2"/>
    <s v="Yes"/>
    <s v="Upsizer"/>
    <n v="214.28571428571428"/>
    <n v="2189.2677026695351"/>
    <n v="296780.31080086058"/>
    <n v="656780.31080086064"/>
    <n v="360000"/>
    <n v="840.90139999999997"/>
    <m/>
    <s v="3"/>
    <n v="840.91555555555556"/>
  </r>
  <r>
    <x v="5"/>
    <s v="Semi Detached"/>
    <n v="420000"/>
    <n v="1950"/>
    <n v="2024"/>
    <n v="5.2"/>
    <s v="15"/>
    <x v="2"/>
    <s v="No"/>
    <s v="Upsizer"/>
    <n v="215.38461538461539"/>
    <n v="2128.7964209785159"/>
    <n v="281638.9262935546"/>
    <n v="638638.9262935546"/>
    <n v="357000"/>
    <n v="780.90139285714281"/>
    <m/>
    <s v="3"/>
    <n v="780.91547619047617"/>
  </r>
  <r>
    <x v="1"/>
    <s v="Detached"/>
    <n v="432000"/>
    <n v="2000"/>
    <n v="2024"/>
    <n v="5.4"/>
    <s v="20"/>
    <x v="2"/>
    <s v="Yes"/>
    <s v="Upsizer"/>
    <n v="216"/>
    <n v="2101.6969945627538"/>
    <n v="284909.09836882621"/>
    <n v="630509.09836882621"/>
    <n v="345600"/>
    <n v="800.90138888888885"/>
    <m/>
    <s v="3"/>
    <n v="800.91543209876545"/>
  </r>
  <r>
    <x v="5"/>
    <s v="Semi Detached"/>
    <n v="430000"/>
    <n v="1980"/>
    <n v="2023"/>
    <n v="6.1"/>
    <s v="15"/>
    <x v="2"/>
    <s v="No"/>
    <s v="Upsizer"/>
    <n v="217.17171717171718"/>
    <n v="2377.3143809759467"/>
    <n v="347694.31429278402"/>
    <n v="713194.31429278408"/>
    <n v="365500"/>
    <n v="792.90138139534884"/>
    <m/>
    <s v="3"/>
    <n v="792.91534883720931"/>
  </r>
  <r>
    <x v="5"/>
    <s v="Semi Detached"/>
    <n v="398000"/>
    <n v="1830"/>
    <n v="2023"/>
    <n v="6.1"/>
    <s v="15"/>
    <x v="2"/>
    <s v="No"/>
    <s v="Upsizer"/>
    <n v="217.4863387978142"/>
    <n v="2200.3979619265738"/>
    <n v="321819.38857797207"/>
    <n v="660119.38857797207"/>
    <n v="338300"/>
    <n v="732.90137939698491"/>
    <m/>
    <s v="3"/>
    <n v="732.91532663316582"/>
  </r>
  <r>
    <x v="3"/>
    <s v="Semi Detached"/>
    <n v="355000"/>
    <n v="1620"/>
    <n v="2024"/>
    <n v="5.4"/>
    <n v="14"/>
    <x v="1"/>
    <s v="No"/>
    <s v="Upsizer"/>
    <n v="219.1358024691358"/>
    <n v="1856.6206378472473"/>
    <n v="251686.19135417423"/>
    <n v="556986.19135417417"/>
    <n v="305300"/>
    <n v="648.60136901408453"/>
    <m/>
    <s v="2"/>
    <n v="648.61521126760567"/>
  </r>
  <r>
    <x v="8"/>
    <s v="Terraced"/>
    <n v="670000"/>
    <n v="3050"/>
    <n v="2024"/>
    <n v="5.0999999999999996"/>
    <s v="15"/>
    <x v="2"/>
    <s v="No"/>
    <s v="Upsizer"/>
    <n v="219.67213114754099"/>
    <n v="3362.5049534316927"/>
    <n v="439251.48602950783"/>
    <n v="1008751.4860295078"/>
    <n v="569500"/>
    <n v="1220.9013656716418"/>
    <m/>
    <s v="3"/>
    <n v="1220.9151741293533"/>
  </r>
  <r>
    <x v="5"/>
    <s v="Semi Detached"/>
    <n v="440000"/>
    <n v="2000"/>
    <n v="2024"/>
    <n v="5.2"/>
    <s v="15"/>
    <x v="2"/>
    <s v="No"/>
    <s v="Upsizer"/>
    <n v="220"/>
    <n v="2230.1676791203499"/>
    <n v="295050.30373610486"/>
    <n v="669050.30373610486"/>
    <n v="374000"/>
    <n v="800.90136363636361"/>
    <m/>
    <s v="3"/>
    <n v="800.91515151515148"/>
  </r>
  <r>
    <x v="8"/>
    <s v="Terraced"/>
    <n v="660000"/>
    <n v="3000"/>
    <n v="2024"/>
    <n v="5.0999999999999996"/>
    <s v="15"/>
    <x v="2"/>
    <s v="No"/>
    <s v="Upsizer"/>
    <n v="220"/>
    <n v="3312.3183123356976"/>
    <n v="432695.49370070931"/>
    <n v="993695.49370070931"/>
    <n v="561000"/>
    <n v="1200.9013636363638"/>
    <m/>
    <s v="3"/>
    <n v="1200.9151515151516"/>
  </r>
  <r>
    <x v="8"/>
    <s v="Terraced"/>
    <n v="650000"/>
    <n v="2950"/>
    <n v="2024"/>
    <n v="5.0999999999999996"/>
    <s v="15"/>
    <x v="2"/>
    <s v="No"/>
    <s v="Upsizer"/>
    <n v="220.33898305084745"/>
    <n v="3262.131671239702"/>
    <n v="426139.50137191045"/>
    <n v="978639.50137191045"/>
    <n v="552500"/>
    <n v="1180.9013615384617"/>
    <m/>
    <s v="3"/>
    <n v="1180.9151282051282"/>
  </r>
  <r>
    <x v="1"/>
    <s v="Detached"/>
    <n v="430000"/>
    <n v="1950"/>
    <n v="2024"/>
    <n v="5.4"/>
    <s v="20"/>
    <x v="2"/>
    <s v="Yes"/>
    <s v="Upsizer"/>
    <n v="220.51282051282053"/>
    <n v="2091.9669158842225"/>
    <n v="283590.07476526673"/>
    <n v="627590.07476526673"/>
    <n v="344000"/>
    <n v="780.90136046511623"/>
    <m/>
    <s v="3"/>
    <n v="780.91511627906971"/>
  </r>
  <r>
    <x v="8"/>
    <s v="Terraced"/>
    <n v="675000"/>
    <n v="3060"/>
    <n v="2024"/>
    <n v="5.0999999999999996"/>
    <s v="15"/>
    <x v="2"/>
    <s v="No"/>
    <s v="Upsizer"/>
    <n v="220.58823529411765"/>
    <n v="3387.5982739796905"/>
    <n v="442529.48219390714"/>
    <n v="1016279.4821939071"/>
    <n v="573750"/>
    <n v="1224.9013600000001"/>
    <m/>
    <s v="3"/>
    <n v="1224.9151111111112"/>
  </r>
  <r>
    <x v="1"/>
    <s v="Detached"/>
    <n v="428000"/>
    <n v="1900"/>
    <n v="2024"/>
    <n v="5.4"/>
    <s v="20"/>
    <x v="2"/>
    <s v="Yes"/>
    <s v="Upsizer"/>
    <n v="225.26315789473685"/>
    <n v="2082.2368372056912"/>
    <n v="282271.05116170744"/>
    <n v="624671.05116170738"/>
    <n v="342400"/>
    <n v="760.9013317757009"/>
    <m/>
    <s v="3"/>
    <n v="760.91479750778819"/>
  </r>
  <r>
    <x v="6"/>
    <s v="Detached"/>
    <n v="330000"/>
    <n v="1450"/>
    <n v="2024"/>
    <n v="5.0999999999999996"/>
    <n v="20"/>
    <x v="2"/>
    <s v="Yes"/>
    <s v="Investor"/>
    <n v="227.58620689655172"/>
    <n v="1558.7380293344459"/>
    <n v="203621.40880033374"/>
    <n v="467621.40880033374"/>
    <n v="264000"/>
    <n v="580.90131818181817"/>
    <m/>
    <s v="3"/>
    <n v="580.91464646464647"/>
  </r>
  <r>
    <x v="1"/>
    <s v="Detached"/>
    <n v="425000"/>
    <n v="1850"/>
    <n v="2024"/>
    <n v="5.4"/>
    <s v="20"/>
    <x v="2"/>
    <s v="Yes"/>
    <s v="Upsizer"/>
    <n v="229.72972972972974"/>
    <n v="2067.6417191878941"/>
    <n v="280292.51575636823"/>
    <n v="620292.51575636817"/>
    <n v="340000"/>
    <n v="740.90130588235297"/>
    <m/>
    <s v="3"/>
    <n v="740.91450980392153"/>
  </r>
  <r>
    <x v="8"/>
    <s v="Terraced"/>
    <n v="640000"/>
    <n v="2750"/>
    <n v="2024"/>
    <n v="5.0999999999999996"/>
    <s v="15"/>
    <x v="2"/>
    <s v="No"/>
    <s v="Upsizer"/>
    <n v="232.72727272727272"/>
    <n v="3211.9450301437064"/>
    <n v="419583.50904311193"/>
    <n v="963583.50904311193"/>
    <n v="544000"/>
    <n v="1100.9012890625002"/>
    <m/>
    <s v="3"/>
    <n v="1100.9143229166668"/>
  </r>
  <r>
    <x v="8"/>
    <s v="Terraced"/>
    <n v="620000"/>
    <n v="2650"/>
    <n v="2024"/>
    <n v="5.0999999999999996"/>
    <s v="15"/>
    <x v="2"/>
    <s v="No"/>
    <s v="Upsizer"/>
    <n v="233.96226415094338"/>
    <n v="3111.5717479517161"/>
    <n v="406471.52438551467"/>
    <n v="933471.52438551467"/>
    <n v="527000"/>
    <n v="1060.9012822580646"/>
    <m/>
    <s v="3"/>
    <n v="1060.9142473118281"/>
  </r>
  <r>
    <x v="8"/>
    <s v="Terraced"/>
    <n v="610000"/>
    <n v="2600"/>
    <n v="2024"/>
    <n v="5.0999999999999996"/>
    <s v="15"/>
    <x v="2"/>
    <s v="No"/>
    <s v="Upsizer"/>
    <n v="234.61538461538461"/>
    <n v="3061.3851068557206"/>
    <n v="399915.5320567161"/>
    <n v="918415.53205671604"/>
    <n v="518500"/>
    <n v="1040.9012786885246"/>
    <m/>
    <s v="3"/>
    <n v="1040.9142076502733"/>
  </r>
  <r>
    <x v="8"/>
    <s v="Terraced"/>
    <n v="635000"/>
    <n v="2700"/>
    <n v="2024"/>
    <n v="5.0999999999999996"/>
    <s v="15"/>
    <x v="2"/>
    <s v="No"/>
    <s v="Upsizer"/>
    <n v="235.18518518518519"/>
    <n v="3186.8517095957091"/>
    <n v="416305.51287871273"/>
    <n v="956055.51287871273"/>
    <n v="539750"/>
    <n v="1080.9012755905512"/>
    <m/>
    <s v="3"/>
    <n v="1080.9141732283465"/>
  </r>
  <r>
    <x v="8"/>
    <s v="Terraced"/>
    <n v="600000"/>
    <n v="2550"/>
    <n v="2023"/>
    <n v="6.1"/>
    <s v="15"/>
    <x v="2"/>
    <s v="No"/>
    <s v="Upsizer"/>
    <n v="235.29411764705881"/>
    <n v="3317.1828571757396"/>
    <n v="485154.8571527219"/>
    <n v="995154.85715272184"/>
    <n v="510000"/>
    <n v="1020.9012749999999"/>
    <m/>
    <s v="3"/>
    <n v="1020.9141666666667"/>
  </r>
  <r>
    <x v="8"/>
    <s v="Terraced"/>
    <n v="630000"/>
    <n v="2650"/>
    <n v="2024"/>
    <n v="5.0999999999999996"/>
    <s v="15"/>
    <x v="2"/>
    <s v="No"/>
    <s v="Upsizer"/>
    <n v="237.73584905660377"/>
    <n v="3161.7583890477113"/>
    <n v="413027.51671431342"/>
    <n v="948527.51671431342"/>
    <n v="535500"/>
    <n v="1060.9012619047619"/>
    <m/>
    <s v="3"/>
    <n v="1060.9140211640213"/>
  </r>
  <r>
    <x v="8"/>
    <s v="Terraced"/>
    <n v="585000"/>
    <n v="2460"/>
    <n v="2023"/>
    <n v="6.1"/>
    <s v="15"/>
    <x v="2"/>
    <s v="No"/>
    <s v="Upsizer"/>
    <n v="237.80487804878049"/>
    <n v="3234.2532857463461"/>
    <n v="473025.98572390387"/>
    <n v="970275.98572390387"/>
    <n v="497250"/>
    <n v="984.90126153846154"/>
    <m/>
    <s v="3"/>
    <n v="984.91401709401703"/>
  </r>
  <r>
    <x v="8"/>
    <s v="Terraced"/>
    <n v="580000"/>
    <n v="2430"/>
    <n v="2024"/>
    <n v="5.0999999999999996"/>
    <s v="15"/>
    <x v="2"/>
    <s v="No"/>
    <s v="Upsizer"/>
    <n v="238.68312757201647"/>
    <n v="2910.8251835677343"/>
    <n v="380247.5550703202"/>
    <n v="873247.55507032014"/>
    <n v="493000"/>
    <n v="972.90125689655167"/>
    <m/>
    <s v="3"/>
    <n v="972.91396551724131"/>
  </r>
  <r>
    <x v="8"/>
    <s v="Terraced"/>
    <n v="575000"/>
    <n v="2400"/>
    <n v="2023"/>
    <n v="6"/>
    <s v="15"/>
    <x v="2"/>
    <s v="No"/>
    <s v="Upsizer"/>
    <n v="239.58333333333334"/>
    <n v="3149.0230997604231"/>
    <n v="455956.92992812698"/>
    <n v="944706.92992812698"/>
    <n v="488750"/>
    <n v="960.90125217391301"/>
    <m/>
    <s v="3"/>
    <n v="960.91391304347826"/>
  </r>
  <r>
    <x v="8"/>
    <s v="Terraced"/>
    <n v="625000"/>
    <n v="2600"/>
    <n v="2024"/>
    <n v="5.0999999999999996"/>
    <s v="15"/>
    <x v="2"/>
    <s v="No"/>
    <s v="Upsizer"/>
    <n v="240.38461538461539"/>
    <n v="3136.6650684997135"/>
    <n v="409749.52054991398"/>
    <n v="940999.52054991398"/>
    <n v="531250"/>
    <n v="1040.9012480000001"/>
    <m/>
    <s v="3"/>
    <n v="1040.9138666666668"/>
  </r>
  <r>
    <x v="8"/>
    <s v="Terraced"/>
    <n v="570000"/>
    <n v="2350"/>
    <n v="2024"/>
    <n v="5.0999999999999996"/>
    <s v="15"/>
    <x v="2"/>
    <s v="No"/>
    <s v="Upsizer"/>
    <n v="242.55319148936169"/>
    <n v="2860.6385424717387"/>
    <n v="373691.56274152157"/>
    <n v="858191.56274152151"/>
    <n v="484500"/>
    <n v="940.90123684210528"/>
    <m/>
    <s v="3"/>
    <n v="940.91374269005848"/>
  </r>
  <r>
    <x v="8"/>
    <s v="Terraced"/>
    <n v="560000"/>
    <n v="2300"/>
    <n v="2024"/>
    <n v="5.0999999999999996"/>
    <s v="15"/>
    <x v="2"/>
    <s v="No"/>
    <s v="Upsizer"/>
    <n v="243.47826086956522"/>
    <n v="2810.4519013757431"/>
    <n v="367135.57041272288"/>
    <n v="843135.57041272288"/>
    <n v="476000"/>
    <n v="920.90123214285711"/>
    <m/>
    <s v="3"/>
    <n v="920.91369047619048"/>
  </r>
  <r>
    <x v="8"/>
    <s v="Terraced"/>
    <n v="565000"/>
    <n v="2320"/>
    <n v="2023"/>
    <n v="6.1"/>
    <s v="15"/>
    <x v="2"/>
    <s v="No"/>
    <s v="Upsizer"/>
    <n v="243.5344827586207"/>
    <n v="3123.6805238404881"/>
    <n v="456854.15715214645"/>
    <n v="937104.15715214645"/>
    <n v="480250"/>
    <n v="928.90123185840707"/>
    <m/>
    <s v="3"/>
    <n v="928.91368731563421"/>
  </r>
  <r>
    <x v="1"/>
    <s v="Detached"/>
    <n v="415000"/>
    <n v="1700"/>
    <n v="2024"/>
    <n v="5.4"/>
    <s v="20"/>
    <x v="2"/>
    <s v="Yes"/>
    <s v="Upsizer"/>
    <n v="244.11764705882354"/>
    <n v="2018.9913257952378"/>
    <n v="273697.39773857145"/>
    <n v="605697.39773857151"/>
    <n v="332000"/>
    <n v="680.90122891566261"/>
    <m/>
    <s v="3"/>
    <n v="680.91365461847386"/>
  </r>
  <r>
    <x v="8"/>
    <s v="Terraced"/>
    <n v="605000"/>
    <n v="2450"/>
    <n v="2024"/>
    <n v="5.0999999999999996"/>
    <s v="15"/>
    <x v="2"/>
    <s v="No"/>
    <s v="Upsizer"/>
    <n v="246.9387755102041"/>
    <n v="3036.2917863077228"/>
    <n v="396637.53589231684"/>
    <n v="910887.53589231684"/>
    <n v="514250"/>
    <n v="980.90121487603301"/>
    <m/>
    <s v="3"/>
    <n v="980.91349862258949"/>
  </r>
  <r>
    <x v="8"/>
    <s v="Terraced"/>
    <n v="575000"/>
    <n v="2320"/>
    <n v="2023"/>
    <n v="6.1"/>
    <s v="15"/>
    <x v="2"/>
    <s v="No"/>
    <s v="Upsizer"/>
    <n v="247.84482758620689"/>
    <n v="3178.9669047934176"/>
    <n v="464940.07143802533"/>
    <n v="953690.07143802533"/>
    <n v="488750"/>
    <n v="928.90121043478257"/>
    <m/>
    <s v="3"/>
    <n v="928.91344927536227"/>
  </r>
  <r>
    <x v="8"/>
    <s v="Terraced"/>
    <n v="595000"/>
    <n v="2400"/>
    <n v="2024"/>
    <n v="5.0999999999999996"/>
    <s v="15"/>
    <x v="2"/>
    <s v="No"/>
    <s v="Upsizer"/>
    <n v="247.91666666666666"/>
    <n v="2986.1051452117272"/>
    <n v="390081.54356351821"/>
    <n v="895831.54356351821"/>
    <n v="505750"/>
    <n v="960.90121008403355"/>
    <m/>
    <s v="3"/>
    <n v="960.91344537815121"/>
  </r>
  <r>
    <x v="7"/>
    <s v="Flat"/>
    <n v="298000"/>
    <n v="1200"/>
    <n v="2024"/>
    <n v="5.4"/>
    <s v="12"/>
    <x v="1"/>
    <s v="No"/>
    <s v="First Timer"/>
    <n v="248.33333333333334"/>
    <n v="1594.7598954112746"/>
    <n v="216187.96862338245"/>
    <n v="478427.96862338245"/>
    <n v="262240"/>
    <n v="480.60120805369132"/>
    <m/>
    <s v="2"/>
    <n v="480.61342281879195"/>
  </r>
  <r>
    <x v="1"/>
    <s v="Detached"/>
    <n v="410000"/>
    <n v="1650"/>
    <n v="2024"/>
    <n v="5.4"/>
    <s v="20"/>
    <x v="2"/>
    <s v="Yes"/>
    <s v="Upsizer"/>
    <n v="248.4848484848485"/>
    <n v="1994.6661290989098"/>
    <n v="270399.83872967301"/>
    <n v="598399.83872967307"/>
    <n v="328000"/>
    <n v="660.90120731707316"/>
    <m/>
    <s v="3"/>
    <n v="660.91341463414631"/>
  </r>
  <r>
    <x v="8"/>
    <s v="Terraced"/>
    <n v="585000"/>
    <n v="2350"/>
    <n v="2024"/>
    <n v="5.0999999999999996"/>
    <s v="15"/>
    <x v="2"/>
    <s v="No"/>
    <s v="Upsizer"/>
    <n v="248.93617021276594"/>
    <n v="2935.918504115732"/>
    <n v="383525.55123471946"/>
    <n v="880775.55123471946"/>
    <n v="497250"/>
    <n v="940.90120512820511"/>
    <m/>
    <s v="3"/>
    <n v="940.91339031339032"/>
  </r>
  <r>
    <x v="7"/>
    <s v="Detached"/>
    <n v="685000"/>
    <n v="2750"/>
    <n v="2024"/>
    <n v="5.3"/>
    <s v="22"/>
    <x v="3"/>
    <s v="Yes"/>
    <s v="Investor"/>
    <n v="249.09090909090909"/>
    <n v="3217.5609915964096"/>
    <n v="430968.29747892288"/>
    <n v="965268.29747892288"/>
    <n v="534300"/>
    <n v="1101.2012043795621"/>
    <m/>
    <s v="4"/>
    <n v="1101.2133819951339"/>
  </r>
  <r>
    <x v="8"/>
    <s v="Terraced"/>
    <n v="556000"/>
    <n v="2230"/>
    <n v="2024"/>
    <n v="5.2"/>
    <s v="15"/>
    <x v="2"/>
    <s v="No"/>
    <s v="Upsizer"/>
    <n v="249.32735426008969"/>
    <n v="2818.1209763429879"/>
    <n v="372836.29290289618"/>
    <n v="845436.29290289618"/>
    <n v="472600"/>
    <n v="892.90120323741007"/>
    <m/>
    <s v="3"/>
    <n v="892.91336930455634"/>
  </r>
  <r>
    <x v="0"/>
    <s v="Terraced"/>
    <n v="225000"/>
    <n v="900"/>
    <n v="2024"/>
    <n v="5.4"/>
    <s v="6"/>
    <x v="0"/>
    <s v="No"/>
    <s v="First Timer"/>
    <n v="250"/>
    <n v="1286.194775318352"/>
    <n v="174358.43259550561"/>
    <n v="385858.43259550561"/>
    <n v="211500"/>
    <n v="360.30119999999999"/>
    <m/>
    <s v="1"/>
    <n v="360.31333333333333"/>
  </r>
  <r>
    <x v="7"/>
    <s v="Detached"/>
    <n v="690000"/>
    <n v="2760"/>
    <n v="2024"/>
    <n v="5.3"/>
    <s v="22"/>
    <x v="3"/>
    <s v="Yes"/>
    <s v="Investor"/>
    <n v="250"/>
    <n v="3241.0468382503977"/>
    <n v="434114.05147511931"/>
    <n v="972314.05147511931"/>
    <n v="538200"/>
    <n v="1105.2012"/>
    <m/>
    <s v="4"/>
    <n v="1105.2133333333334"/>
  </r>
  <r>
    <x v="8"/>
    <s v="Terraced"/>
    <n v="552000"/>
    <n v="2200"/>
    <n v="2023"/>
    <n v="6"/>
    <s v="15"/>
    <x v="2"/>
    <s v="No"/>
    <s v="Upsizer"/>
    <n v="250.90909090909091"/>
    <n v="3023.062175770006"/>
    <n v="437718.6527310019"/>
    <n v="906918.65273100184"/>
    <n v="469200"/>
    <n v="880.9011956521739"/>
    <m/>
    <s v="3"/>
    <n v="880.91328502415456"/>
  </r>
  <r>
    <x v="8"/>
    <s v="Terraced"/>
    <n v="565000"/>
    <n v="2250"/>
    <n v="2024"/>
    <n v="5.0999999999999996"/>
    <s v="15"/>
    <x v="2"/>
    <s v="No"/>
    <s v="Upsizer"/>
    <n v="251.11111111111111"/>
    <n v="2835.5452219237409"/>
    <n v="370413.56657712231"/>
    <n v="850663.56657712231"/>
    <n v="480250"/>
    <n v="900.90119469026547"/>
    <m/>
    <s v="3"/>
    <n v="900.91327433628317"/>
  </r>
  <r>
    <x v="8"/>
    <s v="Terraced"/>
    <n v="548000"/>
    <n v="2180"/>
    <n v="2024"/>
    <n v="5"/>
    <s v="15"/>
    <x v="2"/>
    <s v="No"/>
    <s v="Upsizer"/>
    <n v="251.37614678899084"/>
    <n v="2723.0204133441666"/>
    <n v="351106.12400325004"/>
    <n v="816906.12400325004"/>
    <n v="465800"/>
    <n v="872.90119343065692"/>
    <m/>
    <s v="3"/>
    <n v="872.91326034063263"/>
  </r>
  <r>
    <x v="7"/>
    <s v="Detached"/>
    <n v="680000"/>
    <n v="2700"/>
    <n v="2024"/>
    <n v="5.3"/>
    <s v="22"/>
    <x v="3"/>
    <s v="Yes"/>
    <s v="Investor"/>
    <n v="251.85185185185185"/>
    <n v="3194.075144942421"/>
    <n v="427822.54348272632"/>
    <n v="958222.54348272632"/>
    <n v="530400"/>
    <n v="1081.2011911764707"/>
    <m/>
    <s v="4"/>
    <n v="1081.2132352941178"/>
  </r>
  <r>
    <x v="8"/>
    <s v="Terraced"/>
    <n v="580000"/>
    <n v="2300"/>
    <n v="2024"/>
    <n v="5.0999999999999996"/>
    <s v="15"/>
    <x v="2"/>
    <s v="No"/>
    <s v="Upsizer"/>
    <n v="252.17391304347825"/>
    <n v="2910.8251835677343"/>
    <n v="380247.5550703202"/>
    <n v="873247.55507032014"/>
    <n v="493000"/>
    <n v="920.9011896551724"/>
    <m/>
    <s v="3"/>
    <n v="920.91321839080456"/>
  </r>
  <r>
    <x v="1"/>
    <s v="Detached"/>
    <n v="405000"/>
    <n v="1600"/>
    <n v="2024"/>
    <n v="5.4"/>
    <s v="20"/>
    <x v="2"/>
    <s v="Yes"/>
    <s v="Upsizer"/>
    <n v="253.125"/>
    <n v="1970.3409324025815"/>
    <n v="267102.27972077456"/>
    <n v="591102.27972077462"/>
    <n v="324000"/>
    <n v="640.90118518518511"/>
    <m/>
    <s v="3"/>
    <n v="640.91316872427979"/>
  </r>
  <r>
    <x v="7"/>
    <s v="Detached"/>
    <n v="675000"/>
    <n v="2650"/>
    <n v="2024"/>
    <n v="5.3"/>
    <s v="22"/>
    <x v="3"/>
    <s v="Yes"/>
    <s v="Investor"/>
    <n v="254.71698113207546"/>
    <n v="3170.5892982884329"/>
    <n v="424676.78948652989"/>
    <n v="951176.78948652989"/>
    <n v="526500"/>
    <n v="1061.2011777777777"/>
    <m/>
    <s v="4"/>
    <n v="1061.2130864197532"/>
  </r>
  <r>
    <x v="0"/>
    <s v="Flat"/>
    <n v="190000"/>
    <n v="740"/>
    <n v="2024"/>
    <n v="5.4"/>
    <s v="8"/>
    <x v="0"/>
    <s v="No"/>
    <s v="First Timer"/>
    <n v="256.75675675675677"/>
    <n v="1063.0110956295409"/>
    <n v="144103.3286888623"/>
    <n v="318903.32868886227"/>
    <n v="174800"/>
    <n v="296.30116842105264"/>
    <m/>
    <s v="1"/>
    <n v="296.31298245614039"/>
  </r>
  <r>
    <x v="1"/>
    <s v="Detached"/>
    <n v="400000"/>
    <n v="1550"/>
    <n v="2024"/>
    <n v="5.4"/>
    <s v="20"/>
    <x v="0"/>
    <s v="Yes"/>
    <s v="Upsizer"/>
    <n v="258.06451612903226"/>
    <n v="1946.0157357062535"/>
    <n v="263804.72071187611"/>
    <n v="583804.72071187617"/>
    <n v="320000"/>
    <n v="620.30116249999992"/>
    <m/>
    <s v="1"/>
    <n v="620.31291666666664"/>
  </r>
  <r>
    <x v="1"/>
    <s v="Detached"/>
    <n v="440000"/>
    <n v="1700"/>
    <n v="2023"/>
    <n v="6.2"/>
    <s v="20"/>
    <x v="2"/>
    <s v="Yes"/>
    <s v="Investor"/>
    <n v="258.8235294117647"/>
    <n v="2311.1689784351502"/>
    <n v="341350.6935305451"/>
    <n v="693350.6935305451"/>
    <n v="352000"/>
    <n v="680.90115909090912"/>
    <m/>
    <s v="3"/>
    <n v="680.91287878787875"/>
  </r>
  <r>
    <x v="1"/>
    <s v="Detached"/>
    <n v="430000"/>
    <n v="1650"/>
    <n v="2023"/>
    <n v="6.2"/>
    <s v="20"/>
    <x v="2"/>
    <s v="Yes"/>
    <s v="Investor"/>
    <n v="260.60606060606062"/>
    <n v="2258.6424107434423"/>
    <n v="333592.72322303272"/>
    <n v="677592.72322303266"/>
    <n v="344000"/>
    <n v="660.90115116279071"/>
    <m/>
    <s v="3"/>
    <n v="660.91279069767438"/>
  </r>
  <r>
    <x v="4"/>
    <s v="Detached"/>
    <n v="550000"/>
    <n v="2100"/>
    <n v="2024"/>
    <n v="5.2"/>
    <s v="20"/>
    <x v="2"/>
    <s v="Yes"/>
    <s v="Investor"/>
    <n v="261.90476190476193"/>
    <n v="2623.726681318059"/>
    <n v="347118.00439541752"/>
    <n v="787118.00439541752"/>
    <n v="440000"/>
    <n v="840.90114545454549"/>
    <m/>
    <s v="3"/>
    <n v="840.91272727272724"/>
  </r>
  <r>
    <x v="4"/>
    <s v="Detached"/>
    <n v="552000"/>
    <n v="2105"/>
    <n v="2024"/>
    <n v="5.2"/>
    <s v="20"/>
    <x v="2"/>
    <s v="Yes"/>
    <s v="Investor"/>
    <n v="262.23277909738715"/>
    <n v="2633.2675056137609"/>
    <n v="348380.25168412819"/>
    <n v="789980.25168412819"/>
    <n v="441600"/>
    <n v="842.90114402173913"/>
    <m/>
    <s v="3"/>
    <n v="842.91271135265697"/>
  </r>
  <r>
    <x v="2"/>
    <s v="Detached"/>
    <n v="420000"/>
    <n v="1600"/>
    <n v="2024"/>
    <n v="5.3"/>
    <s v="18"/>
    <x v="1"/>
    <s v="Yes"/>
    <s v="Investor"/>
    <n v="262.5"/>
    <n v="2073.9809199060514"/>
    <n v="277794.27597181546"/>
    <n v="622194.27597181546"/>
    <n v="344400"/>
    <n v="640.60114285714292"/>
    <m/>
    <s v="2"/>
    <n v="640.61269841269848"/>
  </r>
  <r>
    <x v="1"/>
    <s v="Detached"/>
    <n v="420000"/>
    <n v="1600"/>
    <n v="2023"/>
    <n v="6.2"/>
    <s v="20"/>
    <x v="2"/>
    <s v="Yes"/>
    <s v="Upsizer"/>
    <n v="262.5"/>
    <n v="2206.1158430517344"/>
    <n v="325834.75291552034"/>
    <n v="661834.75291552034"/>
    <n v="336000"/>
    <n v="640.90114285714287"/>
    <m/>
    <s v="3"/>
    <n v="640.91269841269843"/>
  </r>
  <r>
    <x v="1"/>
    <s v="Detached"/>
    <n v="395000"/>
    <n v="1500"/>
    <n v="2024"/>
    <n v="5.4"/>
    <s v="20"/>
    <x v="2"/>
    <s v="Yes"/>
    <s v="Upsizer"/>
    <n v="263.33333333333331"/>
    <n v="1921.6905390099253"/>
    <n v="260507.16170297767"/>
    <n v="576507.16170297773"/>
    <n v="316000"/>
    <n v="600.90113924050627"/>
    <m/>
    <s v="3"/>
    <n v="600.91265822784806"/>
  </r>
  <r>
    <x v="4"/>
    <s v="Detached"/>
    <n v="545000"/>
    <n v="2050"/>
    <n v="2024"/>
    <n v="5.2"/>
    <s v="20"/>
    <x v="2"/>
    <s v="Yes"/>
    <s v="Investor"/>
    <n v="265.85365853658539"/>
    <n v="2599.8746205788038"/>
    <n v="343962.38617364102"/>
    <n v="779962.38617364108"/>
    <n v="436000"/>
    <n v="820.90112844036696"/>
    <m/>
    <s v="3"/>
    <n v="820.91253822629972"/>
  </r>
  <r>
    <x v="1"/>
    <s v="Detached"/>
    <n v="405000"/>
    <n v="1520"/>
    <n v="2023"/>
    <n v="6.2"/>
    <s v="20"/>
    <x v="2"/>
    <s v="Yes"/>
    <s v="Investor"/>
    <n v="266.44736842105266"/>
    <n v="2127.3259915141725"/>
    <n v="314197.79745425179"/>
    <n v="638197.79745425179"/>
    <n v="324000"/>
    <n v="608.90112592592595"/>
    <m/>
    <s v="3"/>
    <n v="608.91251028806585"/>
  </r>
  <r>
    <x v="1"/>
    <s v="Detached"/>
    <n v="400000"/>
    <n v="1500"/>
    <n v="2024"/>
    <n v="5.4"/>
    <s v="20"/>
    <x v="2"/>
    <s v="Yes"/>
    <s v="Investor"/>
    <n v="266.66666666666669"/>
    <n v="1946.0157357062535"/>
    <n v="263804.72071187611"/>
    <n v="583804.72071187617"/>
    <n v="320000"/>
    <n v="600.90112499999998"/>
    <m/>
    <s v="3"/>
    <n v="600.91250000000002"/>
  </r>
  <r>
    <x v="1"/>
    <s v="Detached"/>
    <n v="395000"/>
    <n v="1480"/>
    <n v="2023"/>
    <n v="6.2"/>
    <s v="20"/>
    <x v="2"/>
    <s v="Yes"/>
    <s v="Upsizer"/>
    <n v="266.89189189189187"/>
    <n v="2074.7994238224646"/>
    <n v="306439.82714673935"/>
    <n v="622439.82714673935"/>
    <n v="316000"/>
    <n v="592.90112405063292"/>
    <m/>
    <s v="3"/>
    <n v="592.91248945147674"/>
  </r>
  <r>
    <x v="1"/>
    <s v="Detached"/>
    <n v="390000"/>
    <n v="1450"/>
    <n v="2024"/>
    <n v="5.4"/>
    <s v="20"/>
    <x v="2"/>
    <s v="Yes"/>
    <s v="Investor"/>
    <n v="268.9655172413793"/>
    <n v="1897.3653423135972"/>
    <n v="257209.60269407916"/>
    <n v="569209.60269407916"/>
    <n v="312000"/>
    <n v="580.90111538461531"/>
    <m/>
    <s v="3"/>
    <n v="580.91239316239319"/>
  </r>
  <r>
    <x v="2"/>
    <s v="Detached"/>
    <n v="405000"/>
    <n v="1500"/>
    <n v="2023"/>
    <n v="6.3"/>
    <s v="18"/>
    <x v="1"/>
    <s v="Yes"/>
    <s v="Investor"/>
    <n v="270"/>
    <n v="2201.0374270942407"/>
    <n v="328211.22812827211"/>
    <n v="660311.22812827211"/>
    <n v="332100"/>
    <n v="600.60111111111109"/>
    <m/>
    <s v="2"/>
    <n v="600.61234567901238"/>
  </r>
  <r>
    <x v="4"/>
    <s v="Detached"/>
    <n v="540000"/>
    <n v="2000"/>
    <n v="2024"/>
    <n v="5.2"/>
    <s v="20"/>
    <x v="2"/>
    <s v="Yes"/>
    <s v="Investor"/>
    <n v="270"/>
    <n v="2576.0225598395486"/>
    <n v="340806.76795186452"/>
    <n v="772806.76795186452"/>
    <n v="432000"/>
    <n v="800.90111111111105"/>
    <m/>
    <s v="3"/>
    <n v="800.91234567901233"/>
  </r>
  <r>
    <x v="0"/>
    <s v="Flat"/>
    <n v="200000"/>
    <n v="740"/>
    <n v="2024"/>
    <n v="5.4"/>
    <s v="8"/>
    <x v="0"/>
    <s v="No"/>
    <s v="First Timer"/>
    <n v="270.27027027027026"/>
    <n v="1118.9590480310958"/>
    <n v="151687.71440932879"/>
    <n v="335687.71440932876"/>
    <n v="184000"/>
    <n v="296.30110999999999"/>
    <m/>
    <s v="1"/>
    <n v="296.31233333333336"/>
  </r>
  <r>
    <x v="1"/>
    <s v="Detached"/>
    <n v="385000"/>
    <n v="1420"/>
    <n v="2023"/>
    <n v="6.2"/>
    <s v="20"/>
    <x v="2"/>
    <s v="Yes"/>
    <s v="Investor"/>
    <n v="271.12676056338029"/>
    <n v="2022.2728561307565"/>
    <n v="298681.85683922691"/>
    <n v="606681.85683922691"/>
    <n v="308000"/>
    <n v="568.90110649350652"/>
    <m/>
    <s v="3"/>
    <n v="568.91229437229435"/>
  </r>
  <r>
    <x v="1"/>
    <s v="Detached"/>
    <n v="380000"/>
    <n v="1400"/>
    <n v="2024"/>
    <n v="5.4"/>
    <s v="20"/>
    <x v="2"/>
    <s v="Yes"/>
    <s v="Upsizer"/>
    <n v="271.42857142857144"/>
    <n v="1848.7149489209407"/>
    <n v="250614.48467628227"/>
    <n v="554614.48467628227"/>
    <n v="304000"/>
    <n v="560.90110526315789"/>
    <m/>
    <s v="3"/>
    <n v="560.91228070175441"/>
  </r>
  <r>
    <x v="4"/>
    <s v="Detached"/>
    <n v="530000"/>
    <n v="1950"/>
    <n v="2024"/>
    <n v="5.2"/>
    <s v="20"/>
    <x v="2"/>
    <s v="Yes"/>
    <s v="Investor"/>
    <n v="271.79487179487177"/>
    <n v="2528.3184383610383"/>
    <n v="334495.53150831145"/>
    <n v="758495.5315083114"/>
    <n v="424000"/>
    <n v="780.90110377358485"/>
    <m/>
    <s v="3"/>
    <n v="780.91226415094343"/>
  </r>
  <r>
    <x v="2"/>
    <s v="Detached"/>
    <n v="398000"/>
    <n v="1460"/>
    <n v="2024"/>
    <n v="5.3"/>
    <s v="18"/>
    <x v="1"/>
    <s v="Yes"/>
    <s v="Investor"/>
    <n v="272.60273972602738"/>
    <n v="1965.3438241014489"/>
    <n v="263243.1472304347"/>
    <n v="589603.1472304347"/>
    <n v="326360"/>
    <n v="584.60110050251262"/>
    <m/>
    <s v="2"/>
    <n v="584.61222780569517"/>
  </r>
  <r>
    <x v="1"/>
    <s v="Detached"/>
    <n v="374000"/>
    <n v="1360"/>
    <n v="2024"/>
    <n v="5.4"/>
    <s v="20"/>
    <x v="2"/>
    <s v="Yes"/>
    <s v="Investor"/>
    <n v="275"/>
    <n v="1819.5247128853471"/>
    <n v="246657.41386560415"/>
    <n v="545857.41386560421"/>
    <n v="299200"/>
    <n v="544.90109090909084"/>
    <m/>
    <s v="3"/>
    <n v="544.91212121212118"/>
  </r>
  <r>
    <x v="4"/>
    <s v="Detached"/>
    <n v="525000"/>
    <n v="1900"/>
    <n v="2024"/>
    <n v="5.2"/>
    <s v="20"/>
    <x v="2"/>
    <s v="Yes"/>
    <s v="Investor"/>
    <n v="276.31578947368422"/>
    <n v="2504.4663776217835"/>
    <n v="331339.91328653501"/>
    <n v="751339.91328653507"/>
    <n v="420000"/>
    <n v="760.90108571428573"/>
    <m/>
    <s v="3"/>
    <n v="760.91206349206345"/>
  </r>
  <r>
    <x v="0"/>
    <s v="Detached"/>
    <n v="310000"/>
    <n v="1120"/>
    <n v="2023"/>
    <n v="6.6"/>
    <n v="25"/>
    <x v="2"/>
    <s v="Yes"/>
    <s v="Investor"/>
    <n v="276.78571428571428"/>
    <n v="1584.4156562735443"/>
    <n v="242824.6968820632"/>
    <n v="475324.69688206317"/>
    <n v="232500"/>
    <n v="448.90108387096774"/>
    <m/>
    <s v="3"/>
    <n v="448.91204301075265"/>
  </r>
  <r>
    <x v="6"/>
    <s v="Detached"/>
    <n v="410000"/>
    <n v="1480"/>
    <n v="2024"/>
    <n v="5.0999999999999996"/>
    <n v="20"/>
    <x v="2"/>
    <s v="Yes"/>
    <s v="Investor"/>
    <n v="277.02702702702703"/>
    <n v="1936.6139152337055"/>
    <n v="252984.17457011162"/>
    <n v="580984.17457011156"/>
    <n v="328000"/>
    <n v="592.90108292682919"/>
    <m/>
    <s v="3"/>
    <n v="592.91203252032517"/>
  </r>
  <r>
    <x v="2"/>
    <s v="Detached"/>
    <n v="405000"/>
    <n v="1460"/>
    <n v="2024"/>
    <n v="5.3"/>
    <s v="18"/>
    <x v="1"/>
    <s v="Yes"/>
    <s v="Investor"/>
    <n v="277.39726027397262"/>
    <n v="1999.9101727665497"/>
    <n v="267873.05182996497"/>
    <n v="599973.05182996497"/>
    <n v="332100"/>
    <n v="584.60108148148151"/>
    <m/>
    <s v="2"/>
    <n v="584.61201646090535"/>
  </r>
  <r>
    <x v="2"/>
    <s v="Detached"/>
    <n v="392000"/>
    <n v="1410"/>
    <n v="2023"/>
    <n v="6.4"/>
    <s v="18"/>
    <x v="1"/>
    <s v="Yes"/>
    <s v="Investor"/>
    <n v="278.01418439716315"/>
    <n v="2150.3432004169599"/>
    <n v="323662.96012508811"/>
    <n v="645102.96012508811"/>
    <n v="321440"/>
    <n v="564.60107908163263"/>
    <m/>
    <s v="2"/>
    <n v="564.61198979591836"/>
  </r>
  <r>
    <x v="1"/>
    <s v="Detached"/>
    <n v="370000"/>
    <n v="1330"/>
    <n v="2023"/>
    <n v="6.5"/>
    <s v="20"/>
    <x v="2"/>
    <s v="Yes"/>
    <s v="Upsizer"/>
    <n v="278.19548872180451"/>
    <n v="1998.6131975890132"/>
    <n v="303583.95927670406"/>
    <n v="599583.95927670412"/>
    <n v="296000"/>
    <n v="532.90107837837832"/>
    <m/>
    <s v="3"/>
    <n v="532.91198198198197"/>
  </r>
  <r>
    <x v="1"/>
    <s v="Detached"/>
    <n v="405000"/>
    <n v="1450"/>
    <n v="2024"/>
    <n v="5.4"/>
    <s v="20"/>
    <x v="2"/>
    <s v="Yes"/>
    <s v="Investor"/>
    <n v="279.31034482758622"/>
    <n v="1970.3409324025815"/>
    <n v="267102.27972077456"/>
    <n v="591102.27972077462"/>
    <n v="324000"/>
    <n v="580.90107407407402"/>
    <m/>
    <s v="3"/>
    <n v="580.91193415637861"/>
  </r>
  <r>
    <x v="0"/>
    <s v="Detached"/>
    <n v="365000"/>
    <n v="1300"/>
    <n v="2024"/>
    <n v="5.4"/>
    <s v="25"/>
    <x v="2"/>
    <s v="Yes"/>
    <s v="Investor"/>
    <n v="280.76923076923077"/>
    <n v="1664.7556489049591"/>
    <n v="225676.69467148773"/>
    <n v="499426.69467148773"/>
    <n v="273750"/>
    <n v="520.90106849315066"/>
    <m/>
    <s v="3"/>
    <n v="520.91187214611875"/>
  </r>
  <r>
    <x v="2"/>
    <s v="Detached"/>
    <n v="410000"/>
    <n v="1460"/>
    <n v="2024"/>
    <n v="5.3"/>
    <n v="18"/>
    <x v="1"/>
    <s v="Yes"/>
    <s v="Investor"/>
    <n v="280.82191780821915"/>
    <n v="2024.6004218130504"/>
    <n v="271180.12654391507"/>
    <n v="607380.12654391513"/>
    <n v="336200"/>
    <n v="584.60106829268295"/>
    <m/>
    <s v="2"/>
    <n v="584.6118699186992"/>
  </r>
  <r>
    <x v="1"/>
    <s v="Detached"/>
    <n v="368000"/>
    <n v="1310"/>
    <n v="2024"/>
    <n v="5.3"/>
    <s v="18"/>
    <x v="2"/>
    <s v="Yes"/>
    <s v="Investor"/>
    <n v="280.91603053435114"/>
    <n v="1817.2023298224453"/>
    <n v="243400.69894673361"/>
    <n v="545160.69894673361"/>
    <n v="301760"/>
    <n v="524.90106793478253"/>
    <m/>
    <s v="3"/>
    <n v="524.91186594202895"/>
  </r>
  <r>
    <x v="4"/>
    <s v="Detached"/>
    <n v="520000"/>
    <n v="1850"/>
    <n v="2024"/>
    <n v="5.2"/>
    <s v="20"/>
    <x v="2"/>
    <s v="Yes"/>
    <s v="Investor"/>
    <n v="281.08108108108109"/>
    <n v="2480.6143168825283"/>
    <n v="328184.29506475839"/>
    <n v="744184.29506475839"/>
    <n v="416000"/>
    <n v="740.9010673076923"/>
    <m/>
    <s v="3"/>
    <n v="740.91185897435901"/>
  </r>
  <r>
    <x v="1"/>
    <s v="Detached"/>
    <n v="400000"/>
    <n v="1420"/>
    <n v="2023"/>
    <n v="6.2"/>
    <s v="20"/>
    <x v="2"/>
    <s v="Yes"/>
    <s v="Investor"/>
    <n v="281.6901408450704"/>
    <n v="2101.0627076683186"/>
    <n v="310318.81230049557"/>
    <n v="630318.81230049557"/>
    <n v="320000"/>
    <n v="568.90106500000002"/>
    <m/>
    <s v="3"/>
    <n v="568.91183333333333"/>
  </r>
  <r>
    <x v="1"/>
    <s v="Detached"/>
    <n v="395000"/>
    <n v="1400"/>
    <n v="2024"/>
    <n v="5.4"/>
    <s v="20"/>
    <x v="2"/>
    <s v="Yes"/>
    <s v="Upsizer"/>
    <n v="282.14285714285717"/>
    <n v="1921.6905390099253"/>
    <n v="260507.16170297767"/>
    <n v="576507.16170297773"/>
    <n v="316000"/>
    <n v="560.90106329113917"/>
    <m/>
    <s v="3"/>
    <n v="560.9118143459915"/>
  </r>
  <r>
    <x v="6"/>
    <s v="Detached"/>
    <n v="610000"/>
    <n v="2150"/>
    <n v="2024"/>
    <n v="5.0999999999999996"/>
    <s v="20"/>
    <x v="2"/>
    <s v="Yes"/>
    <s v="Investor"/>
    <n v="283.72093023255815"/>
    <n v="2881.3036299818546"/>
    <n v="376391.08899455628"/>
    <n v="864391.08899455634"/>
    <n v="488000"/>
    <n v="860.90105737704914"/>
    <m/>
    <s v="3"/>
    <n v="860.91174863387971"/>
  </r>
  <r>
    <x v="1"/>
    <s v="Flat"/>
    <n v="210000"/>
    <n v="740"/>
    <n v="2023"/>
    <n v="6.6"/>
    <s v="5"/>
    <x v="0"/>
    <s v="No"/>
    <s v="First Timer"/>
    <n v="283.7837837837838"/>
    <n v="1359.5308534476219"/>
    <n v="208359.25603428652"/>
    <n v="407859.25603428652"/>
    <n v="199500"/>
    <n v="296.30105714285713"/>
    <m/>
    <s v="1"/>
    <n v="296.31174603174605"/>
  </r>
  <r>
    <x v="6"/>
    <s v="Detached"/>
    <n v="615000"/>
    <n v="2160"/>
    <n v="2024"/>
    <n v="5.0999999999999996"/>
    <s v="20"/>
    <x v="2"/>
    <s v="Yes"/>
    <s v="Investor"/>
    <n v="284.72222222222223"/>
    <n v="2904.9208728505582"/>
    <n v="379476.26185516745"/>
    <n v="871476.26185516745"/>
    <n v="492000"/>
    <n v="864.90105365853651"/>
    <m/>
    <s v="3"/>
    <n v="864.91170731707314"/>
  </r>
  <r>
    <x v="6"/>
    <s v="Detached"/>
    <n v="600000"/>
    <n v="2100"/>
    <n v="2024"/>
    <n v="5.0999999999999996"/>
    <s v="20"/>
    <x v="2"/>
    <s v="Yes"/>
    <s v="Investor"/>
    <n v="285.71428571428572"/>
    <n v="2834.0691442444472"/>
    <n v="370220.74327333405"/>
    <n v="850220.74327333411"/>
    <n v="480000"/>
    <n v="840.90104999999994"/>
    <m/>
    <s v="3"/>
    <n v="840.91166666666663"/>
  </r>
  <r>
    <x v="4"/>
    <s v="Detached"/>
    <n v="515000"/>
    <n v="1800"/>
    <n v="2024"/>
    <n v="5.2"/>
    <s v="20"/>
    <x v="2"/>
    <s v="Yes"/>
    <s v="Investor"/>
    <n v="286.11111111111109"/>
    <n v="2456.7622561432736"/>
    <n v="325028.67684298189"/>
    <n v="737028.67684298195"/>
    <n v="412000"/>
    <n v="720.90104854368928"/>
    <m/>
    <s v="3"/>
    <n v="720.91165048543689"/>
  </r>
  <r>
    <x v="2"/>
    <s v="Detached"/>
    <n v="420000"/>
    <n v="1460"/>
    <n v="2024"/>
    <n v="5.3"/>
    <n v="18"/>
    <x v="1"/>
    <s v="Yes"/>
    <s v="Investor"/>
    <n v="287.67123287671234"/>
    <n v="2073.9809199060514"/>
    <n v="277794.27597181546"/>
    <n v="622194.27597181546"/>
    <n v="344400"/>
    <n v="584.60104285714283"/>
    <m/>
    <s v="2"/>
    <n v="584.61158730158729"/>
  </r>
  <r>
    <x v="6"/>
    <s v="Detached"/>
    <n v="590000"/>
    <n v="2050"/>
    <n v="2024"/>
    <n v="5.0999999999999996"/>
    <s v="20"/>
    <x v="2"/>
    <s v="Yes"/>
    <s v="Investor"/>
    <n v="287.80487804878049"/>
    <n v="2786.8346585070399"/>
    <n v="364050.39755211194"/>
    <n v="836050.39755211188"/>
    <n v="472000"/>
    <n v="820.90104237288131"/>
    <m/>
    <s v="3"/>
    <n v="820.91158192090393"/>
  </r>
  <r>
    <x v="5"/>
    <s v="Detached"/>
    <n v="650000"/>
    <n v="2250"/>
    <n v="2024"/>
    <n v="5.0999999999999996"/>
    <s v="20"/>
    <x v="2"/>
    <s v="Yes"/>
    <s v="Investor"/>
    <n v="288.88888888888891"/>
    <n v="3070.2415729314844"/>
    <n v="401072.47187944531"/>
    <n v="921072.47187944525"/>
    <n v="520000"/>
    <n v="900.90103846153841"/>
    <m/>
    <s v="3"/>
    <n v="900.91153846153838"/>
  </r>
  <r>
    <x v="5"/>
    <s v="Detached"/>
    <n v="655000"/>
    <n v="2260"/>
    <n v="2024"/>
    <n v="5.0999999999999996"/>
    <s v="20"/>
    <x v="2"/>
    <s v="Yes"/>
    <s v="Investor"/>
    <n v="289.82300884955754"/>
    <n v="3093.8588158001876"/>
    <n v="404157.6447400563"/>
    <n v="928157.64474005625"/>
    <n v="524000"/>
    <n v="904.90103511450377"/>
    <m/>
    <s v="3"/>
    <n v="904.91150127226456"/>
  </r>
  <r>
    <x v="5"/>
    <s v="Detached"/>
    <n v="640000"/>
    <n v="2200"/>
    <n v="2024"/>
    <n v="5.0999999999999996"/>
    <s v="20"/>
    <x v="2"/>
    <s v="Yes"/>
    <s v="Investor"/>
    <n v="290.90909090909093"/>
    <n v="3023.007087194077"/>
    <n v="394902.12615822308"/>
    <n v="906902.12615822302"/>
    <n v="512000"/>
    <n v="880.90103124999996"/>
    <m/>
    <s v="3"/>
    <n v="880.91145833333326"/>
  </r>
  <r>
    <x v="4"/>
    <s v="Detached"/>
    <n v="510000"/>
    <n v="1750"/>
    <n v="2024"/>
    <n v="5.2"/>
    <s v="20"/>
    <x v="2"/>
    <s v="Yes"/>
    <s v="Investor"/>
    <n v="291.42857142857144"/>
    <n v="2432.9101954040184"/>
    <n v="321873.05862120533"/>
    <n v="729873.05862120539"/>
    <n v="408000"/>
    <n v="700.90102941176474"/>
    <m/>
    <s v="3"/>
    <n v="700.91143790849674"/>
  </r>
  <r>
    <x v="5"/>
    <s v="Detached"/>
    <n v="630000"/>
    <n v="2150"/>
    <n v="2024"/>
    <n v="5.0999999999999996"/>
    <s v="20"/>
    <x v="2"/>
    <s v="Yes"/>
    <s v="Investor"/>
    <n v="293.02325581395348"/>
    <n v="2975.7726014566697"/>
    <n v="388731.78043700085"/>
    <n v="892731.78043700079"/>
    <n v="504000"/>
    <n v="860.90102380952374"/>
    <m/>
    <s v="3"/>
    <n v="860.91137566137559"/>
  </r>
  <r>
    <x v="3"/>
    <s v="Flat"/>
    <n v="218000"/>
    <n v="740"/>
    <n v="2023"/>
    <n v="6.5"/>
    <s v="8"/>
    <x v="0"/>
    <s v="No"/>
    <s v="First Timer"/>
    <n v="294.59459459459458"/>
    <n v="1354.1954827988261"/>
    <n v="205698.64483964781"/>
    <n v="406258.64483964781"/>
    <n v="200560"/>
    <n v="296.30101834862387"/>
    <m/>
    <s v="1"/>
    <n v="296.3113149847095"/>
  </r>
  <r>
    <x v="6"/>
    <s v="Detached"/>
    <n v="575000"/>
    <n v="1950"/>
    <n v="2024"/>
    <n v="5.0999999999999996"/>
    <s v="20"/>
    <x v="2"/>
    <s v="Yes"/>
    <s v="Investor"/>
    <n v="294.87179487179486"/>
    <n v="2715.9829299009284"/>
    <n v="354794.87897027849"/>
    <n v="814794.87897027843"/>
    <n v="460000"/>
    <n v="780.90101739130432"/>
    <m/>
    <s v="3"/>
    <n v="780.9113043478261"/>
  </r>
  <r>
    <x v="1"/>
    <s v="Detached"/>
    <n v="415000"/>
    <n v="1400"/>
    <n v="2024"/>
    <n v="5.0999999999999996"/>
    <n v="20"/>
    <x v="2"/>
    <s v="Yes"/>
    <s v="Upsizer"/>
    <n v="296.42857142857144"/>
    <n v="1960.2311581024092"/>
    <n v="256069.34743072273"/>
    <n v="588069.34743072279"/>
    <n v="332000"/>
    <n v="560.9010120481928"/>
    <m/>
    <s v="3"/>
    <n v="560.91124497991962"/>
  </r>
  <r>
    <x v="0"/>
    <s v="Detached"/>
    <n v="350000"/>
    <n v="1180"/>
    <n v="2024"/>
    <n v="5.4"/>
    <s v="25"/>
    <x v="2"/>
    <s v="Yes"/>
    <s v="Investor"/>
    <n v="296.61016949152543"/>
    <n v="1596.341033196536"/>
    <n v="216402.30995896086"/>
    <n v="478902.30995896086"/>
    <n v="262500"/>
    <n v="472.90101142857139"/>
    <m/>
    <s v="3"/>
    <n v="472.91123809523805"/>
  </r>
  <r>
    <x v="1"/>
    <s v="Flat"/>
    <n v="220000"/>
    <n v="740"/>
    <n v="2023"/>
    <n v="6.6"/>
    <s v="5"/>
    <x v="0"/>
    <s v="No"/>
    <s v="First Timer"/>
    <n v="297.29729729729729"/>
    <n v="1424.2704178975087"/>
    <n v="218281.12536925255"/>
    <n v="427281.12536925252"/>
    <n v="209000"/>
    <n v="296.30100909090908"/>
    <m/>
    <s v="1"/>
    <n v="296.31121212121212"/>
  </r>
  <r>
    <x v="6"/>
    <s v="Detached"/>
    <n v="570000"/>
    <n v="1900"/>
    <n v="2024"/>
    <n v="5.0999999999999996"/>
    <s v="20"/>
    <x v="2"/>
    <s v="Yes"/>
    <s v="Investor"/>
    <n v="300"/>
    <n v="2692.3656870322247"/>
    <n v="351709.70610966737"/>
    <n v="807709.70610966743"/>
    <n v="456000"/>
    <n v="760.90099999999995"/>
    <m/>
    <s v="3"/>
    <n v="760.91111111111104"/>
  </r>
  <r>
    <x v="5"/>
    <s v="Detached"/>
    <n v="615000"/>
    <n v="2050"/>
    <n v="2024"/>
    <n v="5.0999999999999996"/>
    <s v="20"/>
    <x v="2"/>
    <s v="Yes"/>
    <s v="Investor"/>
    <n v="300"/>
    <n v="2904.9208728505582"/>
    <n v="379476.26185516745"/>
    <n v="871476.26185516745"/>
    <n v="492000"/>
    <n v="820.90099999999995"/>
    <m/>
    <s v="3"/>
    <n v="820.91111111111104"/>
  </r>
  <r>
    <x v="4"/>
    <s v="Detached"/>
    <n v="500000"/>
    <n v="1650"/>
    <n v="2023"/>
    <n v="6.2"/>
    <s v="20"/>
    <x v="2"/>
    <s v="Yes"/>
    <s v="Investor"/>
    <n v="303.030303030303"/>
    <n v="2626.328384585398"/>
    <n v="387898.5153756194"/>
    <n v="787898.5153756194"/>
    <n v="400000"/>
    <n v="660.90098999999998"/>
    <m/>
    <s v="3"/>
    <n v="660.91099999999994"/>
  </r>
  <r>
    <x v="0"/>
    <s v="Detached"/>
    <n v="340000"/>
    <n v="1120"/>
    <n v="2023"/>
    <n v="6.6"/>
    <s v="25"/>
    <x v="2"/>
    <s v="Yes"/>
    <s v="Investor"/>
    <n v="303.57142857142856"/>
    <n v="1737.7462036548552"/>
    <n v="266323.86109645641"/>
    <n v="521323.86109645641"/>
    <n v="255000"/>
    <n v="448.90098823529411"/>
    <m/>
    <s v="3"/>
    <n v="448.91098039215683"/>
  </r>
  <r>
    <x v="7"/>
    <s v="Detached"/>
    <n v="670000"/>
    <n v="2200"/>
    <n v="2024"/>
    <n v="5.3"/>
    <s v="22"/>
    <x v="3"/>
    <s v="Yes"/>
    <s v="Investor"/>
    <n v="304.54545454545456"/>
    <n v="3147.1034516344444"/>
    <n v="421531.03549033328"/>
    <n v="944131.03549033334"/>
    <n v="522600"/>
    <n v="881.20098507462694"/>
    <m/>
    <s v="4"/>
    <n v="881.21094527363186"/>
  </r>
  <r>
    <x v="5"/>
    <s v="Detached"/>
    <n v="610000"/>
    <n v="2000"/>
    <n v="2024"/>
    <n v="5.0999999999999996"/>
    <s v="20"/>
    <x v="2"/>
    <s v="Yes"/>
    <s v="Investor"/>
    <n v="305"/>
    <n v="2881.3036299818546"/>
    <n v="376391.08899455628"/>
    <n v="864391.08899455634"/>
    <n v="488000"/>
    <n v="800.90098360655736"/>
    <m/>
    <s v="3"/>
    <n v="800.9109289617486"/>
  </r>
  <r>
    <x v="6"/>
    <s v="Detached"/>
    <n v="565000"/>
    <n v="1850"/>
    <n v="2024"/>
    <n v="5.0999999999999996"/>
    <s v="20"/>
    <x v="2"/>
    <s v="Yes"/>
    <s v="Investor"/>
    <n v="305.40540540540542"/>
    <n v="2668.7484441635211"/>
    <n v="348624.53324905626"/>
    <n v="800624.5332490562"/>
    <n v="452000"/>
    <n v="740.90098230088495"/>
    <m/>
    <s v="3"/>
    <n v="740.9109144542773"/>
  </r>
  <r>
    <x v="0"/>
    <s v="Detached"/>
    <n v="330000"/>
    <n v="1080"/>
    <n v="2024"/>
    <n v="5.4"/>
    <s v="25"/>
    <x v="2"/>
    <s v="Yes"/>
    <s v="Investor"/>
    <n v="305.55555555555554"/>
    <n v="1505.1215455853053"/>
    <n v="204036.46367559163"/>
    <n v="451536.46367559163"/>
    <n v="247500"/>
    <n v="432.90098181818178"/>
    <m/>
    <s v="3"/>
    <n v="432.91090909090906"/>
  </r>
  <r>
    <x v="6"/>
    <s v="Detached"/>
    <n v="540000"/>
    <n v="1750"/>
    <n v="2024"/>
    <n v="5.0999999999999996"/>
    <s v="20"/>
    <x v="2"/>
    <s v="Yes"/>
    <s v="Investor"/>
    <n v="308.57142857142856"/>
    <n v="2550.6622298200023"/>
    <n v="333198.66894600063"/>
    <n v="765198.66894600063"/>
    <n v="432000"/>
    <n v="700.90097222222221"/>
    <m/>
    <s v="3"/>
    <n v="700.91080246913577"/>
  </r>
  <r>
    <x v="7"/>
    <s v="Detached"/>
    <n v="665000"/>
    <n v="2150"/>
    <n v="2024"/>
    <n v="5.3"/>
    <s v="22"/>
    <x v="3"/>
    <s v="Yes"/>
    <s v="Investor"/>
    <n v="309.30232558139534"/>
    <n v="3123.6176049804562"/>
    <n v="418385.28149413684"/>
    <n v="937085.2814941369"/>
    <n v="518700"/>
    <n v="861.20096992481206"/>
    <m/>
    <s v="4"/>
    <n v="861.21077694235589"/>
  </r>
  <r>
    <x v="4"/>
    <s v="Detached"/>
    <n v="495000"/>
    <n v="1600"/>
    <n v="2023"/>
    <n v="6.2"/>
    <s v="20"/>
    <x v="2"/>
    <s v="Yes"/>
    <s v="Investor"/>
    <n v="309.375"/>
    <n v="2600.0651007395441"/>
    <n v="384019.53022186318"/>
    <n v="780019.53022186318"/>
    <n v="396000"/>
    <n v="640.9009696969697"/>
    <m/>
    <s v="3"/>
    <n v="640.91077441077437"/>
  </r>
  <r>
    <x v="4"/>
    <s v="Detached"/>
    <n v="495000"/>
    <n v="1600"/>
    <n v="2024"/>
    <n v="5.2"/>
    <s v="20"/>
    <x v="2"/>
    <s v="Yes"/>
    <s v="Investor"/>
    <n v="309.375"/>
    <n v="2361.3540131862528"/>
    <n v="312406.20395587577"/>
    <n v="708406.20395587571"/>
    <n v="396000"/>
    <n v="640.9009696969697"/>
    <m/>
    <s v="3"/>
    <n v="640.91077441077437"/>
  </r>
  <r>
    <x v="5"/>
    <s v="Detached"/>
    <n v="605000"/>
    <n v="1950"/>
    <n v="2024"/>
    <n v="5.0999999999999996"/>
    <s v="20"/>
    <x v="2"/>
    <s v="Yes"/>
    <s v="Investor"/>
    <n v="310.25641025641028"/>
    <n v="2857.6863871131504"/>
    <n v="373305.91613394511"/>
    <n v="857305.91613394511"/>
    <n v="484000"/>
    <n v="780.90096694214878"/>
    <m/>
    <s v="3"/>
    <n v="780.91074380165287"/>
  </r>
  <r>
    <x v="0"/>
    <s v="Terraced"/>
    <n v="230000"/>
    <n v="740"/>
    <n v="2024"/>
    <n v="5.3"/>
    <s v="6"/>
    <x v="0"/>
    <s v="No"/>
    <s v="First Timer"/>
    <n v="310.81081081081084"/>
    <n v="1301.9589863057151"/>
    <n v="174387.69589171454"/>
    <n v="390587.69589171454"/>
    <n v="216200"/>
    <n v="296.30096521739131"/>
    <m/>
    <s v="1"/>
    <n v="296.31072463768118"/>
  </r>
  <r>
    <x v="2"/>
    <s v="Flat"/>
    <n v="230000"/>
    <n v="740"/>
    <n v="2023"/>
    <n v="6.4"/>
    <s v="5"/>
    <x v="0"/>
    <s v="No"/>
    <s v="First Timer"/>
    <n v="310.81081081081084"/>
    <n v="1461.7035505571982"/>
    <n v="220011.06516715951"/>
    <n v="438511.06516715954"/>
    <n v="218500"/>
    <n v="296.30096521739131"/>
    <m/>
    <s v="1"/>
    <n v="296.31072463768118"/>
  </r>
  <r>
    <x v="6"/>
    <s v="Detached"/>
    <n v="560000"/>
    <n v="1800"/>
    <n v="2024"/>
    <n v="5.0999999999999996"/>
    <s v="20"/>
    <x v="2"/>
    <s v="Yes"/>
    <s v="Investor"/>
    <n v="311.11111111111109"/>
    <n v="2645.1312012948174"/>
    <n v="345539.36038844514"/>
    <n v="793539.3603884452"/>
    <n v="448000"/>
    <n v="720.90096428571428"/>
    <m/>
    <s v="3"/>
    <n v="720.91071428571422"/>
  </r>
  <r>
    <x v="0"/>
    <s v="Detached"/>
    <n v="350000"/>
    <n v="1120"/>
    <n v="2023"/>
    <n v="6.6"/>
    <s v="25"/>
    <x v="2"/>
    <s v="Yes"/>
    <s v="Investor"/>
    <n v="312.5"/>
    <n v="1788.856386115292"/>
    <n v="274156.91583458742"/>
    <n v="536656.91583458742"/>
    <n v="262500"/>
    <n v="448.90096"/>
    <m/>
    <s v="3"/>
    <n v="448.91066666666666"/>
  </r>
  <r>
    <x v="6"/>
    <s v="Detached"/>
    <n v="550000"/>
    <n v="1750"/>
    <n v="2024"/>
    <n v="5.0999999999999996"/>
    <s v="20"/>
    <x v="2"/>
    <s v="Yes"/>
    <s v="Investor"/>
    <n v="314.28571428571428"/>
    <n v="2597.8967155574096"/>
    <n v="339369.01466722286"/>
    <n v="779369.01466722286"/>
    <n v="440000"/>
    <n v="700.90095454545451"/>
    <m/>
    <s v="3"/>
    <n v="700.91060606060603"/>
  </r>
  <r>
    <x v="7"/>
    <s v="Detached"/>
    <n v="660000"/>
    <n v="2100"/>
    <n v="2024"/>
    <n v="5.3"/>
    <s v="22"/>
    <x v="3"/>
    <s v="Yes"/>
    <s v="Investor"/>
    <n v="314.28571428571428"/>
    <n v="3100.1317583264672"/>
    <n v="415239.52749794006"/>
    <n v="930039.52749794"/>
    <n v="514800"/>
    <n v="841.20095454545458"/>
    <m/>
    <s v="4"/>
    <n v="841.2106060606061"/>
  </r>
  <r>
    <x v="5"/>
    <s v="Detached"/>
    <n v="600000"/>
    <n v="1900"/>
    <n v="2024"/>
    <n v="5.0999999999999996"/>
    <s v="20"/>
    <x v="2"/>
    <s v="Yes"/>
    <s v="Investor"/>
    <n v="315.78947368421052"/>
    <n v="2834.0691442444472"/>
    <n v="370220.74327333405"/>
    <n v="850220.74327333411"/>
    <n v="480000"/>
    <n v="760.90094999999997"/>
    <m/>
    <s v="3"/>
    <n v="760.91055555555556"/>
  </r>
  <r>
    <x v="4"/>
    <s v="Detached"/>
    <n v="490000"/>
    <n v="1550"/>
    <n v="2024"/>
    <n v="5.2"/>
    <s v="20"/>
    <x v="2"/>
    <s v="Yes"/>
    <s v="Investor"/>
    <n v="316.12903225806451"/>
    <n v="2337.5019524469981"/>
    <n v="309250.58573409927"/>
    <n v="701250.58573409927"/>
    <n v="392000"/>
    <n v="620.90094897959182"/>
    <m/>
    <s v="3"/>
    <n v="620.91054421768706"/>
  </r>
  <r>
    <x v="4"/>
    <s v="Detached"/>
    <n v="445000"/>
    <n v="1400"/>
    <n v="2023"/>
    <n v="6.1"/>
    <s v="20"/>
    <x v="2"/>
    <s v="Yes"/>
    <s v="Investor"/>
    <n v="317.85714285714283"/>
    <n v="2315.5237199109083"/>
    <n v="338657.11597327248"/>
    <n v="694657.11597327248"/>
    <n v="356000"/>
    <n v="560.90094382022471"/>
    <m/>
    <s v="3"/>
    <n v="560.91048689138574"/>
  </r>
  <r>
    <x v="7"/>
    <s v="Detached"/>
    <n v="655000"/>
    <n v="2050"/>
    <n v="2024"/>
    <n v="5.3"/>
    <s v="22"/>
    <x v="3"/>
    <s v="Yes"/>
    <s v="Investor"/>
    <n v="319.51219512195121"/>
    <n v="3076.6459116724791"/>
    <n v="412093.77350174362"/>
    <n v="922993.77350174356"/>
    <n v="510900"/>
    <n v="821.20093893129774"/>
    <m/>
    <s v="4"/>
    <n v="821.21043256997461"/>
  </r>
  <r>
    <x v="7"/>
    <s v="Detached"/>
    <n v="640000"/>
    <n v="2000"/>
    <n v="2024"/>
    <n v="5.3"/>
    <s v="22"/>
    <x v="3"/>
    <s v="Yes"/>
    <s v="Investor"/>
    <n v="320"/>
    <n v="3006.1883717105138"/>
    <n v="402656.51151315408"/>
    <n v="901856.51151315402"/>
    <n v="499200"/>
    <n v="801.20093750000001"/>
    <m/>
    <s v="4"/>
    <n v="801.21041666666667"/>
  </r>
  <r>
    <x v="4"/>
    <s v="Detached"/>
    <n v="480000"/>
    <n v="1500"/>
    <n v="2024"/>
    <n v="5.2"/>
    <s v="20"/>
    <x v="2"/>
    <s v="Yes"/>
    <s v="Investor"/>
    <n v="320"/>
    <n v="2289.7978309684877"/>
    <n v="302939.34929054626"/>
    <n v="686939.34929054626"/>
    <n v="384000"/>
    <n v="600.90093749999994"/>
    <m/>
    <s v="3"/>
    <n v="600.91041666666661"/>
  </r>
  <r>
    <x v="4"/>
    <s v="Detached"/>
    <n v="475000"/>
    <n v="1480"/>
    <n v="2023"/>
    <n v="6.2"/>
    <s v="20"/>
    <x v="2"/>
    <s v="Yes"/>
    <s v="Investor"/>
    <n v="320.94594594594594"/>
    <n v="2495.0119653561283"/>
    <n v="368503.58960683853"/>
    <n v="748503.58960683853"/>
    <n v="380000"/>
    <n v="592.90093473684203"/>
    <m/>
    <s v="3"/>
    <n v="592.91038596491228"/>
  </r>
  <r>
    <x v="6"/>
    <s v="Detached"/>
    <n v="530000"/>
    <n v="1650"/>
    <n v="2023"/>
    <n v="6"/>
    <s v="20"/>
    <x v="2"/>
    <s v="Yes"/>
    <s v="Investor"/>
    <n v="321.21212121212119"/>
    <n v="2731.8379422985563"/>
    <n v="395551.38268956693"/>
    <n v="819551.38268956693"/>
    <n v="424000"/>
    <n v="660.90093396226416"/>
    <m/>
    <s v="3"/>
    <n v="660.91037735849056"/>
  </r>
  <r>
    <x v="7"/>
    <s v="Detached"/>
    <n v="630000"/>
    <n v="1950"/>
    <n v="2024"/>
    <n v="5.3"/>
    <s v="22"/>
    <x v="3"/>
    <s v="Yes"/>
    <s v="Investor"/>
    <n v="323.07692307692309"/>
    <n v="2959.2166784025371"/>
    <n v="396365.00352076109"/>
    <n v="887765.00352076115"/>
    <n v="491400"/>
    <n v="781.20092857142856"/>
    <m/>
    <s v="4"/>
    <n v="781.21031746031747"/>
  </r>
  <r>
    <x v="4"/>
    <s v="Detached"/>
    <n v="460000"/>
    <n v="1420"/>
    <n v="2023"/>
    <n v="6.1"/>
    <s v="20"/>
    <x v="2"/>
    <s v="Yes"/>
    <s v="Investor"/>
    <n v="323.94366197183098"/>
    <n v="2393.5750812562201"/>
    <n v="350072.52437686606"/>
    <n v="718072.52437686606"/>
    <n v="368000"/>
    <n v="568.90092608695647"/>
    <m/>
    <s v="3"/>
    <n v="568.91028985507239"/>
  </r>
  <r>
    <x v="4"/>
    <s v="Detached"/>
    <n v="470000"/>
    <n v="1450"/>
    <n v="2024"/>
    <n v="5.2"/>
    <s v="20"/>
    <x v="2"/>
    <s v="Yes"/>
    <s v="Investor"/>
    <n v="324.13793103448273"/>
    <n v="2242.0937094899778"/>
    <n v="296628.11284699314"/>
    <n v="672628.11284699314"/>
    <n v="376000"/>
    <n v="580.90092553191482"/>
    <m/>
    <s v="3"/>
    <n v="580.91028368794321"/>
  </r>
  <r>
    <x v="3"/>
    <s v="Detached"/>
    <n v="470000"/>
    <n v="1450"/>
    <n v="2024"/>
    <n v="5.3"/>
    <s v="22"/>
    <x v="2"/>
    <s v="Yes"/>
    <s v="Investor"/>
    <n v="324.13793103448273"/>
    <n v="2207.6695854749087"/>
    <n v="295700.87564247259"/>
    <n v="662300.87564247265"/>
    <n v="366600"/>
    <n v="580.90092553191482"/>
    <m/>
    <s v="3"/>
    <n v="580.91028368794321"/>
  </r>
  <r>
    <x v="2"/>
    <s v="Flat"/>
    <n v="240000"/>
    <n v="740"/>
    <n v="2024"/>
    <n v="5.4"/>
    <s v="5"/>
    <x v="0"/>
    <s v="No"/>
    <s v="First Timer"/>
    <n v="324.32432432432432"/>
    <n v="1386.5362116907056"/>
    <n v="187960.8635072117"/>
    <n v="415960.86350721167"/>
    <n v="228000"/>
    <n v="296.30092500000001"/>
    <m/>
    <s v="1"/>
    <n v="296.3102777777778"/>
  </r>
  <r>
    <x v="0"/>
    <s v="Terraced"/>
    <n v="240000"/>
    <n v="740"/>
    <n v="2023"/>
    <n v="6.6"/>
    <s v="6"/>
    <x v="0"/>
    <s v="No"/>
    <s v="First Timer"/>
    <n v="324.32432432432432"/>
    <n v="1537.3942884099422"/>
    <n v="235618.28652298258"/>
    <n v="461218.28652298258"/>
    <n v="225600"/>
    <n v="296.30092500000001"/>
    <m/>
    <s v="1"/>
    <n v="296.3102777777778"/>
  </r>
  <r>
    <x v="0"/>
    <s v="Terraced"/>
    <n v="240000"/>
    <n v="740"/>
    <n v="2024"/>
    <n v="5.3"/>
    <s v="6"/>
    <x v="0"/>
    <s v="No"/>
    <s v="First Timer"/>
    <n v="324.32432432432432"/>
    <n v="1358.56589875379"/>
    <n v="181969.76962613699"/>
    <n v="407569.76962613699"/>
    <n v="225600"/>
    <n v="296.30092500000001"/>
    <m/>
    <s v="1"/>
    <n v="296.3102777777778"/>
  </r>
  <r>
    <x v="2"/>
    <s v="Flat"/>
    <n v="240000"/>
    <n v="740"/>
    <n v="2023"/>
    <n v="6.4"/>
    <s v="5"/>
    <x v="0"/>
    <s v="No"/>
    <s v="First Timer"/>
    <n v="324.32432432432432"/>
    <n v="1525.2558788422934"/>
    <n v="229576.76365268818"/>
    <n v="457576.76365268818"/>
    <n v="228000"/>
    <n v="296.30092500000001"/>
    <m/>
    <s v="1"/>
    <n v="296.3102777777778"/>
  </r>
  <r>
    <x v="4"/>
    <s v="Detached"/>
    <n v="455000"/>
    <n v="1400"/>
    <n v="2023"/>
    <n v="6.2"/>
    <s v="20"/>
    <x v="2"/>
    <s v="Yes"/>
    <s v="Investor"/>
    <n v="325"/>
    <n v="2389.9588299727125"/>
    <n v="352987.64899181371"/>
    <n v="716987.64899181365"/>
    <n v="364000"/>
    <n v="560.90092307692305"/>
    <m/>
    <s v="3"/>
    <n v="560.91025641025635"/>
  </r>
  <r>
    <x v="4"/>
    <s v="Detached"/>
    <n v="455000"/>
    <n v="1400"/>
    <n v="2024"/>
    <n v="5.0999999999999996"/>
    <s v="20"/>
    <x v="2"/>
    <s v="Yes"/>
    <s v="Investor"/>
    <n v="325"/>
    <n v="2149.169101052039"/>
    <n v="280750.7303156117"/>
    <n v="644750.7303156117"/>
    <n v="364000"/>
    <n v="560.90092307692305"/>
    <m/>
    <s v="3"/>
    <n v="560.91025641025635"/>
  </r>
  <r>
    <x v="7"/>
    <s v="Detached"/>
    <n v="650000"/>
    <n v="2000"/>
    <n v="2024"/>
    <n v="5.3"/>
    <s v="22"/>
    <x v="3"/>
    <s v="Yes"/>
    <s v="Investor"/>
    <n v="325"/>
    <n v="3053.1600650184905"/>
    <n v="408948.01950554707"/>
    <n v="915948.01950554713"/>
    <n v="507000"/>
    <n v="801.20092307692312"/>
    <m/>
    <s v="4"/>
    <n v="801.21025641025642"/>
  </r>
  <r>
    <x v="5"/>
    <s v="Detached"/>
    <n v="570000"/>
    <n v="1750"/>
    <n v="2024"/>
    <n v="5.0999999999999996"/>
    <s v="22"/>
    <x v="2"/>
    <s v="Yes"/>
    <s v="Upsizer"/>
    <n v="325.71428571428572"/>
    <n v="2625.0565448564194"/>
    <n v="342916.96345692576"/>
    <n v="787516.9634569257"/>
    <n v="444600"/>
    <n v="700.90092105263159"/>
    <m/>
    <s v="3"/>
    <n v="700.9102339181286"/>
  </r>
  <r>
    <x v="5"/>
    <s v="Detached"/>
    <n v="580000"/>
    <n v="1780"/>
    <n v="2023"/>
    <n v="6.1"/>
    <s v="20"/>
    <x v="2"/>
    <s v="Yes"/>
    <s v="Investor"/>
    <n v="325.84269662921349"/>
    <n v="3017.9859720187123"/>
    <n v="441395.79160561366"/>
    <n v="905395.79160561366"/>
    <n v="464000"/>
    <n v="712.90092068965509"/>
    <m/>
    <s v="3"/>
    <n v="712.91022988505745"/>
  </r>
  <r>
    <x v="4"/>
    <s v="Detached"/>
    <n v="450000"/>
    <n v="1380"/>
    <n v="2024"/>
    <n v="5.2"/>
    <s v="20"/>
    <x v="2"/>
    <s v="Yes"/>
    <s v="Investor"/>
    <n v="326.08695652173913"/>
    <n v="2146.6854665329574"/>
    <n v="284005.63995988719"/>
    <n v="644005.63995988714"/>
    <n v="360000"/>
    <n v="552.90091999999993"/>
    <m/>
    <s v="3"/>
    <n v="552.91022222222216"/>
  </r>
  <r>
    <x v="7"/>
    <s v="Detached"/>
    <n v="620000"/>
    <n v="1900"/>
    <n v="2024"/>
    <n v="5.3"/>
    <s v="22"/>
    <x v="3"/>
    <s v="Yes"/>
    <s v="Investor"/>
    <n v="326.31578947368422"/>
    <n v="2912.2449850945604"/>
    <n v="390073.4955283681"/>
    <n v="873673.49552836805"/>
    <n v="483600"/>
    <n v="761.20091935483879"/>
    <m/>
    <s v="4"/>
    <n v="761.21021505376348"/>
  </r>
  <r>
    <x v="6"/>
    <s v="Detached"/>
    <n v="540000"/>
    <n v="1650"/>
    <n v="2024"/>
    <n v="5.0999999999999996"/>
    <s v="20"/>
    <x v="2"/>
    <s v="Yes"/>
    <s v="Investor"/>
    <n v="327.27272727272725"/>
    <n v="2550.6622298200023"/>
    <n v="333198.66894600063"/>
    <n v="765198.66894600063"/>
    <n v="432000"/>
    <n v="660.9009166666666"/>
    <m/>
    <s v="3"/>
    <n v="660.91018518518513"/>
  </r>
  <r>
    <x v="5"/>
    <s v="Detached"/>
    <n v="590000"/>
    <n v="1800"/>
    <n v="2024"/>
    <n v="5.0999999999999996"/>
    <s v="20"/>
    <x v="2"/>
    <s v="Yes"/>
    <s v="Investor"/>
    <n v="327.77777777777777"/>
    <n v="2786.8346585070399"/>
    <n v="364050.39755211194"/>
    <n v="836050.39755211188"/>
    <n v="472000"/>
    <n v="720.90091525423725"/>
    <m/>
    <s v="3"/>
    <n v="720.91016949152538"/>
  </r>
  <r>
    <x v="3"/>
    <s v="Detached"/>
    <n v="460000"/>
    <n v="1400"/>
    <n v="2023"/>
    <n v="6.2"/>
    <s v="22"/>
    <x v="2"/>
    <s v="Yes"/>
    <s v="Investor"/>
    <n v="328.57142857142856"/>
    <n v="2355.8165609731022"/>
    <n v="347944.96829193062"/>
    <n v="706744.96829193062"/>
    <n v="358800"/>
    <n v="560.90091304347823"/>
    <m/>
    <s v="3"/>
    <n v="560.91014492753618"/>
  </r>
  <r>
    <x v="6"/>
    <s v="Detached"/>
    <n v="520000"/>
    <n v="1580"/>
    <n v="2024"/>
    <n v="5.0999999999999996"/>
    <s v="20"/>
    <x v="2"/>
    <s v="Yes"/>
    <s v="Investor"/>
    <n v="329.11392405063293"/>
    <n v="2456.1932583451871"/>
    <n v="320857.97750355618"/>
    <n v="736857.97750355618"/>
    <n v="416000"/>
    <n v="632.90091153846151"/>
    <m/>
    <s v="3"/>
    <n v="632.91012820512822"/>
  </r>
  <r>
    <x v="5"/>
    <s v="Detached"/>
    <n v="560000"/>
    <n v="1700"/>
    <n v="2024"/>
    <n v="5.0999999999999996"/>
    <s v="20"/>
    <x v="2"/>
    <s v="Yes"/>
    <s v="Investor"/>
    <n v="329.41176470588238"/>
    <n v="2645.1312012948174"/>
    <n v="345539.36038844514"/>
    <n v="793539.3603884452"/>
    <n v="448000"/>
    <n v="680.90091071428571"/>
    <m/>
    <s v="3"/>
    <n v="680.91011904761899"/>
  </r>
  <r>
    <x v="4"/>
    <s v="Detached"/>
    <n v="435000"/>
    <n v="1320"/>
    <n v="2024"/>
    <n v="5.0999999999999996"/>
    <n v="10"/>
    <x v="2"/>
    <s v="Yes"/>
    <s v="Investor"/>
    <n v="329.54545454545456"/>
    <n v="2311.5376457743773"/>
    <n v="301961.29373231315"/>
    <n v="693461.29373231321"/>
    <n v="391500"/>
    <n v="528.90091034482759"/>
    <m/>
    <s v="3"/>
    <n v="528.91011494252871"/>
  </r>
  <r>
    <x v="4"/>
    <s v="Detached"/>
    <n v="435000"/>
    <n v="1320"/>
    <n v="2024"/>
    <n v="5.0999999999999996"/>
    <s v="20"/>
    <x v="2"/>
    <s v="Yes"/>
    <s v="Investor"/>
    <n v="329.54545454545456"/>
    <n v="2054.7001295772243"/>
    <n v="268410.03887316718"/>
    <n v="616410.03887316724"/>
    <n v="348000"/>
    <n v="528.90091034482759"/>
    <m/>
    <s v="3"/>
    <n v="528.91011494252871"/>
  </r>
  <r>
    <x v="4"/>
    <s v="Detached"/>
    <n v="442000"/>
    <n v="1340"/>
    <n v="2024"/>
    <n v="5.2"/>
    <s v="20"/>
    <x v="2"/>
    <s v="Yes"/>
    <s v="Investor"/>
    <n v="329.85074626865674"/>
    <n v="2108.5221693501489"/>
    <n v="278956.65080504469"/>
    <n v="632556.65080504469"/>
    <n v="353600"/>
    <n v="536.90090950226238"/>
    <m/>
    <s v="3"/>
    <n v="536.91010558069377"/>
  </r>
  <r>
    <x v="5"/>
    <s v="Detached"/>
    <n v="555000"/>
    <n v="1680"/>
    <n v="2024"/>
    <n v="5.0999999999999996"/>
    <s v="20"/>
    <x v="2"/>
    <s v="Yes"/>
    <s v="Investor"/>
    <n v="330.35714285714283"/>
    <n v="2621.5139584261137"/>
    <n v="342454.18752783403"/>
    <n v="786454.18752783397"/>
    <n v="444000"/>
    <n v="672.90090810810807"/>
    <m/>
    <s v="3"/>
    <n v="672.91009009009008"/>
  </r>
  <r>
    <x v="6"/>
    <s v="Detached"/>
    <n v="530000"/>
    <n v="1600"/>
    <n v="2024"/>
    <n v="5.0999999999999996"/>
    <s v="20"/>
    <x v="2"/>
    <s v="Yes"/>
    <s v="Investor"/>
    <n v="331.25"/>
    <n v="2503.4277440825945"/>
    <n v="327028.32322477829"/>
    <n v="751028.32322477829"/>
    <n v="424000"/>
    <n v="640.90090566037736"/>
    <m/>
    <s v="3"/>
    <n v="640.91006289308177"/>
  </r>
  <r>
    <x v="5"/>
    <s v="Detached"/>
    <n v="580000"/>
    <n v="1750"/>
    <n v="2024"/>
    <n v="5.0999999999999996"/>
    <s v="20"/>
    <x v="2"/>
    <s v="Yes"/>
    <s v="Investor"/>
    <n v="331.42857142857144"/>
    <n v="2739.6001727696325"/>
    <n v="357880.05183088972"/>
    <n v="821880.05183088966"/>
    <n v="464000"/>
    <n v="700.90090517241379"/>
    <m/>
    <s v="3"/>
    <n v="700.91005747126439"/>
  </r>
  <r>
    <x v="6"/>
    <s v="Detached"/>
    <n v="515000"/>
    <n v="1550"/>
    <n v="2023"/>
    <n v="6"/>
    <s v="20"/>
    <x v="2"/>
    <s v="Yes"/>
    <s v="Investor"/>
    <n v="332.25806451612902"/>
    <n v="2654.5217741202955"/>
    <n v="384356.53223608865"/>
    <n v="796356.53223608865"/>
    <n v="412000"/>
    <n v="620.90090291262129"/>
    <m/>
    <s v="3"/>
    <n v="620.91003236245956"/>
  </r>
  <r>
    <x v="5"/>
    <s v="Detached"/>
    <n v="550000"/>
    <n v="1650"/>
    <n v="2023"/>
    <n v="6.1"/>
    <s v="20"/>
    <x v="2"/>
    <s v="Yes"/>
    <s v="Investor"/>
    <n v="333.33333333333331"/>
    <n v="2861.8832493280888"/>
    <n v="418564.97479842661"/>
    <n v="858564.97479842661"/>
    <n v="440000"/>
    <n v="660.90089999999998"/>
    <m/>
    <s v="3"/>
    <n v="660.91"/>
  </r>
  <r>
    <x v="3"/>
    <s v="Detached"/>
    <n v="450000"/>
    <n v="1350"/>
    <n v="2023"/>
    <n v="6.2"/>
    <s v="22"/>
    <x v="2"/>
    <s v="Yes"/>
    <s v="Investor"/>
    <n v="333.33333333333331"/>
    <n v="2304.6031574736871"/>
    <n v="340380.94724210619"/>
    <n v="691380.94724210619"/>
    <n v="351000"/>
    <n v="540.90089999999998"/>
    <m/>
    <s v="3"/>
    <n v="540.91"/>
  </r>
  <r>
    <x v="4"/>
    <s v="Detached"/>
    <n v="460000"/>
    <n v="1380"/>
    <n v="2024"/>
    <n v="5.2"/>
    <s v="20"/>
    <x v="2"/>
    <s v="Yes"/>
    <s v="Investor"/>
    <n v="333.33333333333331"/>
    <n v="2194.3895880114674"/>
    <n v="290316.87640344008"/>
    <n v="658316.87640344002"/>
    <n v="368000"/>
    <n v="552.90089999999998"/>
    <m/>
    <s v="3"/>
    <n v="552.91"/>
  </r>
  <r>
    <x v="6"/>
    <s v="Terraced"/>
    <n v="300000"/>
    <n v="900"/>
    <n v="2024"/>
    <n v="5.3"/>
    <s v="10"/>
    <x v="1"/>
    <s v="No"/>
    <s v="First Timer"/>
    <n v="333.33333333333331"/>
    <n v="1625.9432298915037"/>
    <n v="217782.96896745113"/>
    <n v="487782.96896745113"/>
    <n v="270000"/>
    <n v="360.60090000000002"/>
    <m/>
    <s v="2"/>
    <n v="360.61"/>
  </r>
  <r>
    <x v="5"/>
    <s v="Detached"/>
    <n v="570000"/>
    <n v="1700"/>
    <n v="2024"/>
    <n v="5.0999999999999996"/>
    <s v="20"/>
    <x v="2"/>
    <s v="Yes"/>
    <s v="Investor"/>
    <n v="335.29411764705884"/>
    <n v="2692.3656870322247"/>
    <n v="351709.70610966737"/>
    <n v="807709.70610966743"/>
    <n v="456000"/>
    <n v="680.90089473684213"/>
    <m/>
    <s v="3"/>
    <n v="680.90994152046778"/>
  </r>
  <r>
    <x v="6"/>
    <s v="Detached"/>
    <n v="520000"/>
    <n v="1550"/>
    <n v="2024"/>
    <n v="5.0999999999999996"/>
    <s v="20"/>
    <x v="2"/>
    <s v="Yes"/>
    <s v="Investor"/>
    <n v="335.48387096774195"/>
    <n v="2456.1932583451871"/>
    <n v="320857.97750355618"/>
    <n v="736857.97750355618"/>
    <n v="416000"/>
    <n v="620.90089423076915"/>
    <m/>
    <s v="3"/>
    <n v="620.90993589743584"/>
  </r>
  <r>
    <x v="6"/>
    <s v="Detached"/>
    <n v="510000"/>
    <n v="1520"/>
    <n v="2024"/>
    <n v="5.0999999999999996"/>
    <s v="20"/>
    <x v="2"/>
    <s v="Yes"/>
    <s v="Investor"/>
    <n v="335.5263157894737"/>
    <n v="2408.9587726077798"/>
    <n v="314687.63178233395"/>
    <n v="722687.63178233395"/>
    <n v="408000"/>
    <n v="608.900894117647"/>
    <m/>
    <s v="3"/>
    <n v="608.90993464052281"/>
  </r>
  <r>
    <x v="4"/>
    <s v="Detached"/>
    <n v="470000"/>
    <n v="1400"/>
    <n v="2023"/>
    <n v="6.2"/>
    <s v="20"/>
    <x v="2"/>
    <s v="Yes"/>
    <s v="Investor"/>
    <n v="335.71428571428572"/>
    <n v="2468.7486815102743"/>
    <n v="364624.60445308225"/>
    <n v="740624.6044530822"/>
    <n v="376000"/>
    <n v="560.90089361702121"/>
    <m/>
    <s v="3"/>
    <n v="560.90992907801422"/>
  </r>
  <r>
    <x v="4"/>
    <s v="Detached"/>
    <n v="470000"/>
    <n v="1400"/>
    <n v="2024"/>
    <n v="5.0999999999999996"/>
    <n v="20"/>
    <x v="2"/>
    <s v="Yes"/>
    <s v="Investor"/>
    <n v="335.71428571428572"/>
    <n v="2220.02082965815"/>
    <n v="290006.24889744504"/>
    <n v="666006.24889744504"/>
    <n v="376000"/>
    <n v="560.90089361702121"/>
    <m/>
    <s v="3"/>
    <n v="560.90992907801422"/>
  </r>
  <r>
    <x v="5"/>
    <s v="Detached"/>
    <n v="545000"/>
    <n v="1620"/>
    <n v="2024"/>
    <n v="5.2"/>
    <s v="22"/>
    <x v="2"/>
    <s v="Yes"/>
    <s v="Upsizer"/>
    <n v="336.41975308641975"/>
    <n v="2534.8777550643335"/>
    <n v="335363.32651929994"/>
    <n v="760463.3265193"/>
    <n v="425100"/>
    <n v="648.90089174311925"/>
    <m/>
    <s v="3"/>
    <n v="648.90990825688073"/>
  </r>
  <r>
    <x v="6"/>
    <s v="Detached"/>
    <n v="505000"/>
    <n v="1500"/>
    <n v="2023"/>
    <n v="6"/>
    <s v="20"/>
    <x v="2"/>
    <s v="Yes"/>
    <s v="Investor"/>
    <n v="336.66666666666669"/>
    <n v="2602.9776620014545"/>
    <n v="376893.29860043636"/>
    <n v="780893.29860043642"/>
    <n v="404000"/>
    <n v="600.90089108910888"/>
    <m/>
    <s v="3"/>
    <n v="600.909900990099"/>
  </r>
  <r>
    <x v="3"/>
    <s v="Detached"/>
    <n v="445000"/>
    <n v="1320"/>
    <n v="2024"/>
    <n v="5.3"/>
    <s v="22"/>
    <x v="2"/>
    <s v="Yes"/>
    <s v="Investor"/>
    <n v="337.12121212121212"/>
    <n v="2090.2403522049667"/>
    <n v="279972.10566149"/>
    <n v="627072.10566149"/>
    <n v="347100"/>
    <n v="528.90088988764046"/>
    <m/>
    <s v="3"/>
    <n v="528.90988764044937"/>
  </r>
  <r>
    <x v="5"/>
    <s v="Detached"/>
    <n v="540000"/>
    <n v="1600"/>
    <n v="2023"/>
    <n v="6.1"/>
    <s v="20"/>
    <x v="2"/>
    <s v="Yes"/>
    <s v="Investor"/>
    <n v="337.5"/>
    <n v="2809.8490084312148"/>
    <n v="410954.70252936438"/>
    <n v="842954.70252936438"/>
    <n v="432000"/>
    <n v="640.90088888888886"/>
    <m/>
    <s v="3"/>
    <n v="640.90987654320986"/>
  </r>
  <r>
    <x v="6"/>
    <s v="Detached"/>
    <n v="500000"/>
    <n v="1480"/>
    <n v="2024"/>
    <n v="5.0999999999999996"/>
    <s v="20"/>
    <x v="2"/>
    <s v="Yes"/>
    <s v="Investor"/>
    <n v="337.83783783783781"/>
    <n v="2361.7242868703725"/>
    <n v="308517.28606111172"/>
    <n v="708517.28606111172"/>
    <n v="400000"/>
    <n v="592.90088800000001"/>
    <m/>
    <s v="3"/>
    <n v="592.90986666666663"/>
  </r>
  <r>
    <x v="3"/>
    <s v="Detached"/>
    <n v="440000"/>
    <n v="1300"/>
    <n v="2023"/>
    <n v="6.2"/>
    <s v="22"/>
    <x v="2"/>
    <s v="Yes"/>
    <s v="Investor"/>
    <n v="338.46153846153845"/>
    <n v="2253.3897539742716"/>
    <n v="332816.92619228142"/>
    <n v="676016.92619228142"/>
    <n v="343200"/>
    <n v="520.90088636363635"/>
    <m/>
    <s v="3"/>
    <n v="520.90984848484845"/>
  </r>
  <r>
    <x v="5"/>
    <s v="Detached"/>
    <n v="535000"/>
    <n v="1580"/>
    <n v="2024"/>
    <n v="5.0999999999999996"/>
    <s v="20"/>
    <x v="2"/>
    <s v="Yes"/>
    <s v="Investor"/>
    <n v="338.60759493670884"/>
    <n v="2527.0449869512986"/>
    <n v="330113.49608538963"/>
    <n v="758113.49608538963"/>
    <n v="428000"/>
    <n v="632.90088598130842"/>
    <m/>
    <s v="3"/>
    <n v="632.90984423676014"/>
  </r>
  <r>
    <x v="7"/>
    <s v="Detached"/>
    <n v="610000"/>
    <n v="1800"/>
    <n v="2023"/>
    <n v="6"/>
    <s v="22"/>
    <x v="3"/>
    <s v="Yes"/>
    <s v="Investor"/>
    <n v="338.88888888888891"/>
    <n v="3065.58606826805"/>
    <n v="443875.82048041502"/>
    <n v="919675.82048041502"/>
    <n v="475800"/>
    <n v="721.20088524590165"/>
    <m/>
    <s v="4"/>
    <n v="721.20983606557377"/>
  </r>
  <r>
    <x v="5"/>
    <s v="Detached"/>
    <n v="560000"/>
    <n v="1650"/>
    <n v="2024"/>
    <n v="5.0999999999999996"/>
    <s v="20"/>
    <x v="2"/>
    <s v="Yes"/>
    <s v="Investor"/>
    <n v="339.39393939393938"/>
    <n v="2645.1312012948174"/>
    <n v="345539.36038844514"/>
    <n v="793539.3603884452"/>
    <n v="448000"/>
    <n v="660.90088392857137"/>
    <m/>
    <s v="3"/>
    <n v="660.90982142857138"/>
  </r>
  <r>
    <x v="7"/>
    <s v="Detached"/>
    <n v="605000"/>
    <n v="1780"/>
    <n v="2024"/>
    <n v="5.3"/>
    <s v="22"/>
    <x v="3"/>
    <s v="Yes"/>
    <s v="Investor"/>
    <n v="339.88764044943821"/>
    <n v="2841.7874451325952"/>
    <n v="380636.23353977845"/>
    <n v="852536.23353977851"/>
    <n v="471900"/>
    <n v="713.20088264462811"/>
    <m/>
    <s v="4"/>
    <n v="713.2098071625345"/>
  </r>
  <r>
    <x v="6"/>
    <s v="Detached"/>
    <n v="510000"/>
    <n v="1500"/>
    <n v="2024"/>
    <n v="5.0999999999999996"/>
    <s v="20"/>
    <x v="0"/>
    <s v="Yes"/>
    <s v="Investor"/>
    <n v="340"/>
    <n v="2408.9587726077798"/>
    <n v="314687.63178233395"/>
    <n v="722687.63178233395"/>
    <n v="408000"/>
    <n v="600.30088235294113"/>
    <m/>
    <s v="1"/>
    <n v="600.30980392156857"/>
  </r>
  <r>
    <x v="7"/>
    <s v="Detached"/>
    <n v="630000"/>
    <n v="1850"/>
    <n v="2024"/>
    <n v="5.3"/>
    <s v="22"/>
    <x v="3"/>
    <s v="Yes"/>
    <s v="Investor"/>
    <n v="340.54054054054052"/>
    <n v="2959.2166784025371"/>
    <n v="396365.00352076109"/>
    <n v="887765.00352076115"/>
    <n v="491400"/>
    <n v="741.200880952381"/>
    <m/>
    <s v="4"/>
    <n v="741.20978835978838"/>
  </r>
  <r>
    <x v="6"/>
    <s v="Detached"/>
    <n v="495000"/>
    <n v="1450"/>
    <n v="2023"/>
    <n v="6.2"/>
    <s v="20"/>
    <x v="2"/>
    <s v="Yes"/>
    <s v="Investor"/>
    <n v="341.37931034482756"/>
    <n v="2600.0651007395441"/>
    <n v="384019.53022186318"/>
    <n v="780019.53022186318"/>
    <n v="396000"/>
    <n v="580.90087878787881"/>
    <m/>
    <s v="3"/>
    <n v="580.90976430976434"/>
  </r>
  <r>
    <x v="5"/>
    <s v="Detached"/>
    <n v="530000"/>
    <n v="1550"/>
    <n v="2023"/>
    <n v="6.1"/>
    <s v="20"/>
    <x v="2"/>
    <s v="Yes"/>
    <s v="Investor"/>
    <n v="341.93548387096774"/>
    <n v="2757.8147675343403"/>
    <n v="403344.43026030209"/>
    <n v="827344.43026030203"/>
    <n v="424000"/>
    <n v="620.90087735849056"/>
    <m/>
    <s v="3"/>
    <n v="620.90974842767298"/>
  </r>
  <r>
    <x v="4"/>
    <s v="Detached"/>
    <n v="438000"/>
    <n v="1280"/>
    <n v="2023"/>
    <n v="6.2"/>
    <s v="20"/>
    <x v="2"/>
    <s v="Yes"/>
    <s v="Investor"/>
    <n v="342.1875"/>
    <n v="2300.6636648968088"/>
    <n v="339799.09946904256"/>
    <n v="690199.09946904262"/>
    <n v="350400"/>
    <n v="512.9008767123288"/>
    <m/>
    <s v="3"/>
    <n v="512.90974124809736"/>
  </r>
  <r>
    <x v="7"/>
    <s v="Detached"/>
    <n v="600000"/>
    <n v="1750"/>
    <n v="2024"/>
    <n v="5.3"/>
    <s v="22"/>
    <x v="3"/>
    <s v="Yes"/>
    <s v="Investor"/>
    <n v="342.85714285714283"/>
    <n v="2818.3015984786066"/>
    <n v="377490.4795435819"/>
    <n v="845490.47954358184"/>
    <n v="468000"/>
    <n v="701.200875"/>
    <m/>
    <s v="4"/>
    <n v="701.20972222222224"/>
  </r>
  <r>
    <x v="4"/>
    <s v="Detached"/>
    <n v="480000"/>
    <n v="1400"/>
    <n v="2024"/>
    <n v="5.0999999999999996"/>
    <n v="20"/>
    <x v="2"/>
    <s v="Yes"/>
    <s v="Investor"/>
    <n v="342.85714285714283"/>
    <n v="2267.2553153955578"/>
    <n v="296176.59461866738"/>
    <n v="680176.59461866738"/>
    <n v="384000"/>
    <n v="560.90087499999993"/>
    <m/>
    <s v="3"/>
    <n v="560.90972222222217"/>
  </r>
  <r>
    <x v="5"/>
    <s v="Detached"/>
    <n v="525000"/>
    <n v="1530"/>
    <n v="2024"/>
    <n v="5.0999999999999996"/>
    <s v="22"/>
    <x v="2"/>
    <s v="Yes"/>
    <s v="Upsizer"/>
    <n v="343.13725490196077"/>
    <n v="2417.8152386835436"/>
    <n v="315844.57160506304"/>
    <n v="725344.57160506304"/>
    <n v="409500"/>
    <n v="612.90087428571428"/>
    <m/>
    <s v="3"/>
    <n v="612.90971428571424"/>
  </r>
  <r>
    <x v="5"/>
    <s v="Detached"/>
    <n v="512000"/>
    <n v="1490"/>
    <n v="2023"/>
    <n v="6.2"/>
    <s v="22"/>
    <x v="2"/>
    <s v="Yes"/>
    <s v="Upsizer"/>
    <n v="343.62416107382552"/>
    <n v="2622.1262591700615"/>
    <n v="387277.8777510185"/>
    <n v="786637.8777510185"/>
    <n v="399360"/>
    <n v="596.90087304687495"/>
    <m/>
    <s v="3"/>
    <n v="596.90970052083333"/>
  </r>
  <r>
    <x v="5"/>
    <s v="Detached"/>
    <n v="550000"/>
    <n v="1600"/>
    <n v="2024"/>
    <n v="5.0999999999999996"/>
    <s v="20"/>
    <x v="0"/>
    <s v="Yes"/>
    <s v="Investor"/>
    <n v="343.75"/>
    <n v="2597.8967155574096"/>
    <n v="339369.01466722286"/>
    <n v="779369.01466722286"/>
    <n v="440000"/>
    <n v="640.30087272727269"/>
    <m/>
    <s v="1"/>
    <n v="640.30969696969692"/>
  </r>
  <r>
    <x v="7"/>
    <s v="Detached"/>
    <n v="620000"/>
    <n v="1800"/>
    <n v="2024"/>
    <n v="5.3"/>
    <s v="22"/>
    <x v="3"/>
    <s v="Yes"/>
    <s v="Investor"/>
    <n v="344.44444444444446"/>
    <n v="2912.2449850945604"/>
    <n v="390073.4955283681"/>
    <n v="873673.49552836805"/>
    <n v="483600"/>
    <n v="721.20087096774193"/>
    <m/>
    <s v="4"/>
    <n v="721.20967741935488"/>
  </r>
  <r>
    <x v="6"/>
    <s v="Detached"/>
    <n v="510000"/>
    <n v="1480"/>
    <n v="2024"/>
    <n v="5.0999999999999996"/>
    <s v="20"/>
    <x v="2"/>
    <s v="Yes"/>
    <s v="Investor"/>
    <n v="344.59459459459458"/>
    <n v="2408.9587726077798"/>
    <n v="314687.63178233395"/>
    <n v="722687.63178233395"/>
    <n v="408000"/>
    <n v="592.90087058823531"/>
    <m/>
    <s v="3"/>
    <n v="592.90967320261439"/>
  </r>
  <r>
    <x v="3"/>
    <s v="Detached"/>
    <n v="435000"/>
    <n v="1260"/>
    <n v="2024"/>
    <n v="5.3"/>
    <s v="22"/>
    <x v="2"/>
    <s v="Yes"/>
    <s v="Investor"/>
    <n v="345.23809523809524"/>
    <n v="2043.2686588969898"/>
    <n v="273680.59766909684"/>
    <n v="612980.5976690969"/>
    <n v="339300"/>
    <n v="504.90086896551719"/>
    <m/>
    <s v="3"/>
    <n v="504.90965517241375"/>
  </r>
  <r>
    <x v="5"/>
    <s v="Detached"/>
    <n v="520000"/>
    <n v="1500"/>
    <n v="2024"/>
    <n v="5.0999999999999996"/>
    <s v="20"/>
    <x v="2"/>
    <s v="Yes"/>
    <s v="Investor"/>
    <n v="346.66666666666669"/>
    <n v="2456.1932583451871"/>
    <n v="320857.97750355618"/>
    <n v="736857.97750355618"/>
    <n v="416000"/>
    <n v="600.90086538461537"/>
    <m/>
    <s v="3"/>
    <n v="600.90961538461534"/>
  </r>
  <r>
    <x v="6"/>
    <s v="Detached"/>
    <n v="520000"/>
    <n v="1500"/>
    <n v="2023"/>
    <n v="6"/>
    <s v="20"/>
    <x v="2"/>
    <s v="Yes"/>
    <s v="Investor"/>
    <n v="346.66666666666669"/>
    <n v="2680.2938301797158"/>
    <n v="388088.14905391465"/>
    <n v="804088.14905391471"/>
    <n v="416000"/>
    <n v="600.90086538461537"/>
    <m/>
    <s v="3"/>
    <n v="600.90961538461534"/>
  </r>
  <r>
    <x v="3"/>
    <s v="Detached"/>
    <n v="430000"/>
    <n v="1240"/>
    <n v="2023"/>
    <n v="6.2"/>
    <s v="22"/>
    <x v="2"/>
    <s v="Yes"/>
    <s v="Investor"/>
    <n v="346.77419354838707"/>
    <n v="2202.1763504748565"/>
    <n v="325252.90514245693"/>
    <n v="660652.90514245699"/>
    <n v="335400"/>
    <n v="496.90086511627902"/>
    <m/>
    <s v="3"/>
    <n v="496.90961240310077"/>
  </r>
  <r>
    <x v="7"/>
    <s v="Detached"/>
    <n v="590000"/>
    <n v="1700"/>
    <n v="2024"/>
    <n v="5.3"/>
    <s v="22"/>
    <x v="3"/>
    <s v="Yes"/>
    <s v="Investor"/>
    <n v="347.05882352941177"/>
    <n v="2771.3299051706299"/>
    <n v="371198.97155118891"/>
    <n v="831398.97155118897"/>
    <n v="460200"/>
    <n v="681.20086440677971"/>
    <m/>
    <s v="4"/>
    <n v="681.20960451977408"/>
  </r>
  <r>
    <x v="5"/>
    <s v="Terraced"/>
    <n v="330000"/>
    <n v="950"/>
    <n v="2024"/>
    <n v="5.3"/>
    <n v="10"/>
    <x v="1"/>
    <s v="No"/>
    <s v="First Timer"/>
    <n v="347.36842105263156"/>
    <n v="1788.5375528806542"/>
    <n v="239561.26586419623"/>
    <n v="536561.26586419623"/>
    <n v="297000"/>
    <n v="380.60086363636367"/>
    <m/>
    <s v="2"/>
    <n v="380.60959595959599"/>
  </r>
  <r>
    <x v="6"/>
    <s v="Detached"/>
    <n v="490000"/>
    <n v="1410"/>
    <n v="2024"/>
    <n v="5.0999999999999996"/>
    <s v="20"/>
    <x v="2"/>
    <s v="Yes"/>
    <s v="Investor"/>
    <n v="347.51773049645391"/>
    <n v="2314.4898011329651"/>
    <n v="302346.94033988949"/>
    <n v="694346.94033988949"/>
    <n v="392000"/>
    <n v="564.90086326530604"/>
    <m/>
    <s v="3"/>
    <n v="564.90959183673465"/>
  </r>
  <r>
    <x v="5"/>
    <s v="Detached"/>
    <n v="550000"/>
    <n v="1580"/>
    <n v="2024"/>
    <n v="5.0999999999999996"/>
    <s v="20"/>
    <x v="2"/>
    <s v="Yes"/>
    <s v="Investor"/>
    <n v="348.1012658227848"/>
    <n v="2597.8967155574096"/>
    <n v="339369.01466722286"/>
    <n v="779369.01466722286"/>
    <n v="440000"/>
    <n v="632.90086181818185"/>
    <m/>
    <s v="3"/>
    <n v="632.90957575757568"/>
  </r>
  <r>
    <x v="7"/>
    <s v="Detached"/>
    <n v="585000"/>
    <n v="1680"/>
    <n v="2023"/>
    <n v="6"/>
    <s v="22"/>
    <x v="3"/>
    <s v="Yes"/>
    <s v="Investor"/>
    <n v="348.21428571428572"/>
    <n v="2939.9472949783753"/>
    <n v="425684.18849351257"/>
    <n v="881984.18849351257"/>
    <n v="456300"/>
    <n v="673.2008615384616"/>
    <m/>
    <s v="4"/>
    <n v="673.20957264957269"/>
  </r>
  <r>
    <x v="5"/>
    <s v="Detached"/>
    <n v="540000"/>
    <n v="1550"/>
    <n v="2023"/>
    <n v="6.1"/>
    <s v="20"/>
    <x v="2"/>
    <s v="Yes"/>
    <s v="Investor"/>
    <n v="348.38709677419354"/>
    <n v="2809.8490084312148"/>
    <n v="410954.70252936438"/>
    <n v="842954.70252936438"/>
    <n v="432000"/>
    <n v="620.90086111111111"/>
    <m/>
    <s v="3"/>
    <n v="620.9095679012346"/>
  </r>
  <r>
    <x v="7"/>
    <s v="Detached"/>
    <n v="610000"/>
    <n v="1750"/>
    <n v="2024"/>
    <n v="5.3"/>
    <s v="22"/>
    <x v="3"/>
    <s v="Yes"/>
    <s v="Investor"/>
    <n v="348.57142857142856"/>
    <n v="2865.2732917865833"/>
    <n v="383781.98753597494"/>
    <n v="859581.98753597494"/>
    <n v="475800"/>
    <n v="701.20086065573776"/>
    <m/>
    <s v="4"/>
    <n v="701.2095628415301"/>
  </r>
  <r>
    <x v="5"/>
    <s v="Detached"/>
    <n v="560000"/>
    <n v="1600"/>
    <n v="2023"/>
    <n v="6.1"/>
    <s v="20"/>
    <x v="2"/>
    <s v="Yes"/>
    <s v="Investor"/>
    <n v="350"/>
    <n v="2913.9174902249633"/>
    <n v="426175.24706748902"/>
    <n v="874175.24706748896"/>
    <n v="448000"/>
    <n v="640.90085714285715"/>
    <m/>
    <s v="3"/>
    <n v="640.90952380952376"/>
  </r>
  <r>
    <x v="2"/>
    <s v="Semi Detached"/>
    <n v="315000"/>
    <n v="900"/>
    <n v="2024"/>
    <n v="5.4"/>
    <s v="14"/>
    <x v="1"/>
    <s v="No"/>
    <s v="Upsizer"/>
    <n v="350"/>
    <n v="1647.4239462588253"/>
    <n v="223327.18387764756"/>
    <n v="494227.18387764756"/>
    <n v="270900"/>
    <n v="360.60085714285714"/>
    <m/>
    <s v="2"/>
    <n v="360.60952380952381"/>
  </r>
  <r>
    <x v="3"/>
    <s v="Detached"/>
    <n v="410000"/>
    <n v="1170"/>
    <n v="2024"/>
    <n v="5.2"/>
    <s v="22"/>
    <x v="2"/>
    <s v="Yes"/>
    <s v="Investor"/>
    <n v="350.4273504273504"/>
    <n v="1906.9722561034437"/>
    <n v="252291.67683103302"/>
    <n v="572091.67683103308"/>
    <n v="319800"/>
    <n v="468.90085609756096"/>
    <m/>
    <s v="3"/>
    <n v="468.90951219512192"/>
  </r>
  <r>
    <x v="6"/>
    <s v="Detached"/>
    <n v="488000"/>
    <n v="1390"/>
    <n v="2023"/>
    <n v="6"/>
    <s v="20"/>
    <x v="2"/>
    <s v="Yes"/>
    <s v="Investor"/>
    <n v="351.07913669064749"/>
    <n v="2515.3526713994252"/>
    <n v="364205.80141982751"/>
    <n v="754605.80141982751"/>
    <n v="390400"/>
    <n v="556.90085450819674"/>
    <m/>
    <s v="3"/>
    <n v="556.90949453551912"/>
  </r>
  <r>
    <x v="7"/>
    <s v="Detached"/>
    <n v="590000"/>
    <n v="1680"/>
    <n v="2023"/>
    <n v="6"/>
    <s v="22"/>
    <x v="3"/>
    <s v="Yes"/>
    <s v="Investor"/>
    <n v="351.1904761904762"/>
    <n v="2965.0750496363103"/>
    <n v="429322.51489089313"/>
    <n v="889522.51489089313"/>
    <n v="460200"/>
    <n v="673.20085423728813"/>
    <m/>
    <s v="4"/>
    <n v="673.2094915254238"/>
  </r>
  <r>
    <x v="3"/>
    <s v="Detached"/>
    <n v="425000"/>
    <n v="1210"/>
    <n v="2024"/>
    <n v="5.3"/>
    <s v="22"/>
    <x v="2"/>
    <s v="Yes"/>
    <s v="Investor"/>
    <n v="351.23966942148758"/>
    <n v="1996.2969655890133"/>
    <n v="267389.08967670397"/>
    <n v="598889.08967670402"/>
    <n v="331500"/>
    <n v="484.90085411764704"/>
    <m/>
    <s v="3"/>
    <n v="484.90949019607842"/>
  </r>
  <r>
    <x v="1"/>
    <s v="Terraced"/>
    <n v="260000"/>
    <n v="740"/>
    <n v="2023"/>
    <n v="6.5"/>
    <s v="10"/>
    <x v="0"/>
    <s v="No"/>
    <s v="First Timer"/>
    <n v="351.35135135135135"/>
    <n v="1579.9847575534768"/>
    <n v="239995.42726604303"/>
    <n v="473995.42726604303"/>
    <n v="234000"/>
    <n v="296.30085384615387"/>
    <m/>
    <s v="1"/>
    <n v="296.30948717948718"/>
  </r>
  <r>
    <x v="3"/>
    <s v="Flat"/>
    <n v="260000"/>
    <n v="740"/>
    <n v="2024"/>
    <n v="5.4"/>
    <s v="5"/>
    <x v="0"/>
    <s v="No"/>
    <s v="First Timer"/>
    <n v="351.35135135135135"/>
    <n v="1502.0808959982644"/>
    <n v="203624.26879947932"/>
    <n v="450624.26879947935"/>
    <n v="247000"/>
    <n v="296.30085384615387"/>
    <m/>
    <s v="1"/>
    <n v="296.30948717948718"/>
  </r>
  <r>
    <x v="4"/>
    <s v="Flat"/>
    <n v="260000"/>
    <n v="740"/>
    <n v="2023"/>
    <n v="5.4"/>
    <s v="7"/>
    <x v="0"/>
    <s v="No"/>
    <s v="First Timer"/>
    <n v="351.35135135135135"/>
    <n v="1470.4581402930376"/>
    <n v="199337.4420879113"/>
    <n v="441137.4420879113"/>
    <n v="241799.99999999997"/>
    <n v="296.30085384615387"/>
    <m/>
    <s v="1"/>
    <n v="296.30948717948718"/>
  </r>
  <r>
    <x v="4"/>
    <s v="Flat"/>
    <n v="260000"/>
    <n v="740"/>
    <n v="2024"/>
    <n v="5.3"/>
    <s v="7"/>
    <x v="0"/>
    <s v="No"/>
    <s v="First Timer"/>
    <n v="351.35135135135135"/>
    <n v="1456.12249254728"/>
    <n v="195036.74776418402"/>
    <n v="436836.74776418402"/>
    <n v="241799.99999999997"/>
    <n v="296.30085384615387"/>
    <m/>
    <s v="1"/>
    <n v="296.30948717948718"/>
  </r>
  <r>
    <x v="7"/>
    <s v="Detached"/>
    <n v="580000"/>
    <n v="1650"/>
    <n v="2024"/>
    <n v="5.3"/>
    <s v="22"/>
    <x v="3"/>
    <s v="Yes"/>
    <s v="Investor"/>
    <n v="351.5151515151515"/>
    <n v="2724.3582118626532"/>
    <n v="364907.46355879592"/>
    <n v="817307.46355879586"/>
    <n v="452400"/>
    <n v="661.20085344827589"/>
    <m/>
    <s v="4"/>
    <n v="661.20948275862077"/>
  </r>
  <r>
    <x v="6"/>
    <s v="Detached"/>
    <n v="510000"/>
    <n v="1450"/>
    <n v="2023"/>
    <n v="6.2"/>
    <s v="20"/>
    <x v="2"/>
    <s v="Yes"/>
    <s v="Investor"/>
    <n v="351.72413793103448"/>
    <n v="2678.8549522771059"/>
    <n v="395656.48568313173"/>
    <n v="803656.48568313173"/>
    <n v="408000"/>
    <n v="580.90085294117648"/>
    <m/>
    <s v="3"/>
    <n v="580.90947712418301"/>
  </r>
  <r>
    <x v="5"/>
    <s v="Detached"/>
    <n v="518000"/>
    <n v="1470"/>
    <n v="2024"/>
    <n v="5.2"/>
    <s v="20"/>
    <x v="2"/>
    <s v="Yes"/>
    <s v="Investor"/>
    <n v="352.38095238095241"/>
    <n v="2471.0734925868264"/>
    <n v="326922.0477760479"/>
    <n v="741322.04777604784"/>
    <n v="414400"/>
    <n v="588.90085135135132"/>
    <m/>
    <s v="3"/>
    <n v="588.90945945945941"/>
  </r>
  <r>
    <x v="3"/>
    <s v="Detached"/>
    <n v="420000"/>
    <n v="1190"/>
    <n v="2024"/>
    <n v="5.3"/>
    <s v="22"/>
    <x v="2"/>
    <s v="Yes"/>
    <s v="Investor"/>
    <n v="352.94117647058823"/>
    <n v="1972.8111189350248"/>
    <n v="264243.33568050747"/>
    <n v="591843.33568050747"/>
    <n v="327600"/>
    <n v="476.90084999999999"/>
    <m/>
    <s v="3"/>
    <n v="476.90944444444443"/>
  </r>
  <r>
    <x v="5"/>
    <s v="Detached"/>
    <n v="540000"/>
    <n v="1530"/>
    <n v="2024"/>
    <n v="5.0999999999999996"/>
    <s v="22"/>
    <x v="2"/>
    <s v="Yes"/>
    <s v="Upsizer"/>
    <n v="352.94117647058823"/>
    <n v="2486.8956740745025"/>
    <n v="324868.70222235069"/>
    <n v="746068.70222235075"/>
    <n v="421200"/>
    <n v="612.90084999999999"/>
    <m/>
    <s v="3"/>
    <n v="612.90944444444438"/>
  </r>
  <r>
    <x v="7"/>
    <s v="Detached"/>
    <n v="600000"/>
    <n v="1700"/>
    <n v="2024"/>
    <n v="5.3"/>
    <s v="22"/>
    <x v="3"/>
    <s v="Yes"/>
    <s v="Investor"/>
    <n v="352.94117647058823"/>
    <n v="2818.3015984786066"/>
    <n v="377490.4795435819"/>
    <n v="845490.47954358184"/>
    <n v="468000"/>
    <n v="681.20085000000006"/>
    <m/>
    <s v="4"/>
    <n v="681.20944444444444"/>
  </r>
  <r>
    <x v="3"/>
    <s v="Detached"/>
    <n v="440000"/>
    <n v="1240"/>
    <n v="2023"/>
    <n v="6.2"/>
    <s v="22"/>
    <x v="2"/>
    <s v="Yes"/>
    <s v="Investor"/>
    <n v="354.83870967741933"/>
    <n v="2253.3897539742716"/>
    <n v="332816.92619228142"/>
    <n v="676016.92619228142"/>
    <n v="343200"/>
    <n v="496.90084545454545"/>
    <m/>
    <s v="3"/>
    <n v="496.90939393939391"/>
  </r>
  <r>
    <x v="5"/>
    <s v="Detached"/>
    <n v="550000"/>
    <n v="1550"/>
    <n v="2024"/>
    <n v="5.0999999999999996"/>
    <n v="20"/>
    <x v="2"/>
    <s v="Yes"/>
    <s v="Investor"/>
    <n v="354.83870967741933"/>
    <n v="2597.8967155574096"/>
    <n v="339369.01466722286"/>
    <n v="779369.01466722286"/>
    <n v="440000"/>
    <n v="620.90084545454545"/>
    <m/>
    <s v="3"/>
    <n v="620.90939393939391"/>
  </r>
  <r>
    <x v="1"/>
    <s v="Terraced"/>
    <n v="285000"/>
    <n v="800"/>
    <n v="2024"/>
    <n v="5.5"/>
    <n v="10"/>
    <x v="0"/>
    <s v="No"/>
    <s v="First Timer"/>
    <n v="356.25"/>
    <n v="1575.1344177019712"/>
    <n v="216040.32531059135"/>
    <n v="472540.32531059138"/>
    <n v="256500"/>
    <n v="320.30084210526314"/>
    <m/>
    <s v="1"/>
    <n v="320.30935672514619"/>
  </r>
  <r>
    <x v="3"/>
    <s v="Detached"/>
    <n v="450000"/>
    <n v="1260"/>
    <n v="2024"/>
    <n v="5.3"/>
    <s v="22"/>
    <x v="2"/>
    <s v="Yes"/>
    <s v="Investor"/>
    <n v="357.14285714285717"/>
    <n v="2113.7261988589553"/>
    <n v="283117.85965768655"/>
    <n v="634117.85965768655"/>
    <n v="351000"/>
    <n v="504.90083999999996"/>
    <m/>
    <s v="3"/>
    <n v="504.90933333333334"/>
  </r>
  <r>
    <x v="5"/>
    <s v="Detached"/>
    <n v="508000"/>
    <n v="1420"/>
    <n v="2023"/>
    <n v="6.2"/>
    <s v="20"/>
    <x v="2"/>
    <s v="Yes"/>
    <s v="Investor"/>
    <n v="357.74647887323943"/>
    <n v="2668.3496387387645"/>
    <n v="394104.89162162936"/>
    <n v="800504.89162162936"/>
    <n v="406400"/>
    <n v="568.90083858267712"/>
    <m/>
    <s v="3"/>
    <n v="568.90931758530178"/>
  </r>
  <r>
    <x v="7"/>
    <s v="Detached"/>
    <n v="610000"/>
    <n v="1700"/>
    <n v="2024"/>
    <n v="5.3"/>
    <s v="22"/>
    <x v="3"/>
    <s v="Yes"/>
    <s v="Investor"/>
    <n v="358.8235294117647"/>
    <n v="2865.2732917865833"/>
    <n v="383781.98753597494"/>
    <n v="859581.98753597494"/>
    <n v="475800"/>
    <n v="681.20083606557387"/>
    <m/>
    <s v="4"/>
    <n v="681.20928961748643"/>
  </r>
  <r>
    <x v="7"/>
    <s v="Detached"/>
    <n v="575000"/>
    <n v="1600"/>
    <n v="2024"/>
    <n v="5.3"/>
    <s v="22"/>
    <x v="3"/>
    <s v="Yes"/>
    <s v="Investor"/>
    <n v="359.375"/>
    <n v="2700.8723652086651"/>
    <n v="361761.70956259943"/>
    <n v="810261.70956259943"/>
    <n v="448500"/>
    <n v="641.20083478260869"/>
    <m/>
    <s v="4"/>
    <n v="641.20927536231886"/>
  </r>
  <r>
    <x v="3"/>
    <s v="Detached"/>
    <n v="435000"/>
    <n v="1210"/>
    <n v="2024"/>
    <n v="5.3"/>
    <s v="22"/>
    <x v="2"/>
    <s v="Yes"/>
    <s v="Investor"/>
    <n v="359.50413223140498"/>
    <n v="2043.2686588969898"/>
    <n v="273680.59766909684"/>
    <n v="612980.5976690969"/>
    <n v="339300"/>
    <n v="484.90083448275863"/>
    <m/>
    <s v="3"/>
    <n v="484.90927203065132"/>
  </r>
  <r>
    <x v="5"/>
    <s v="Detached"/>
    <n v="540000"/>
    <n v="1500"/>
    <n v="2024"/>
    <n v="5.0999999999999996"/>
    <s v="20"/>
    <x v="2"/>
    <s v="Yes"/>
    <s v="Investor"/>
    <n v="360"/>
    <n v="2550.6622298200023"/>
    <n v="333198.66894600063"/>
    <n v="765198.66894600063"/>
    <n v="432000"/>
    <n v="600.90083333333337"/>
    <m/>
    <s v="3"/>
    <n v="600.90925925925922"/>
  </r>
  <r>
    <x v="7"/>
    <s v="Detached"/>
    <n v="570000"/>
    <n v="1580"/>
    <n v="2023"/>
    <n v="6.1"/>
    <s v="22"/>
    <x v="3"/>
    <s v="Yes"/>
    <s v="Investor"/>
    <n v="360.75949367088606"/>
    <n v="2891.8029378437918"/>
    <n v="422940.88135313755"/>
    <n v="867540.88135313755"/>
    <n v="444600"/>
    <n v="633.20083157894737"/>
    <m/>
    <s v="4"/>
    <n v="633.20923976608196"/>
  </r>
  <r>
    <x v="7"/>
    <s v="Detached"/>
    <n v="600000"/>
    <n v="1650"/>
    <n v="2024"/>
    <n v="5.3"/>
    <s v="22"/>
    <x v="3"/>
    <s v="Yes"/>
    <s v="Investor"/>
    <n v="363.63636363636363"/>
    <n v="2818.3015984786066"/>
    <n v="377490.4795435819"/>
    <n v="845490.47954358184"/>
    <n v="468000"/>
    <n v="661.20082500000001"/>
    <m/>
    <s v="4"/>
    <n v="661.20916666666676"/>
  </r>
  <r>
    <x v="3"/>
    <s v="Detached"/>
    <n v="412000"/>
    <n v="1130"/>
    <n v="2023"/>
    <n v="6.3"/>
    <s v="22"/>
    <x v="2"/>
    <s v="Yes"/>
    <s v="Investor"/>
    <n v="364.60176991150445"/>
    <n v="2129.8566322523493"/>
    <n v="317596.98967570462"/>
    <n v="638956.98967570462"/>
    <n v="321360"/>
    <n v="452.90082281553396"/>
    <m/>
    <s v="3"/>
    <n v="452.90914239482197"/>
  </r>
  <r>
    <x v="1"/>
    <s v="Terraced"/>
    <n v="270000"/>
    <n v="740"/>
    <n v="2023"/>
    <n v="6.5"/>
    <s v="10"/>
    <x v="0"/>
    <s v="No"/>
    <s v="First Timer"/>
    <n v="364.86486486486484"/>
    <n v="1640.7534020747644"/>
    <n v="249226.02062242929"/>
    <n v="492226.02062242932"/>
    <n v="243000"/>
    <n v="296.30082222222222"/>
    <m/>
    <s v="1"/>
    <n v="296.30913580246914"/>
  </r>
  <r>
    <x v="3"/>
    <s v="Flat"/>
    <n v="270000"/>
    <n v="740"/>
    <n v="2024"/>
    <n v="5.4"/>
    <s v="5"/>
    <x v="0"/>
    <s v="No"/>
    <s v="First Timer"/>
    <n v="364.86486486486484"/>
    <n v="1559.8532381520438"/>
    <n v="211455.97144561316"/>
    <n v="467955.97144561319"/>
    <n v="256500"/>
    <n v="296.30082222222222"/>
    <m/>
    <s v="1"/>
    <n v="296.30913580246914"/>
  </r>
  <r>
    <x v="0"/>
    <s v="Detached"/>
    <n v="410000"/>
    <n v="1120"/>
    <n v="2024"/>
    <n v="5.4"/>
    <n v="25"/>
    <x v="2"/>
    <s v="Yes"/>
    <s v="Investor"/>
    <n v="366.07142857142856"/>
    <n v="1869.9994960302279"/>
    <n v="253499.84880906832"/>
    <n v="560999.84880906832"/>
    <n v="307500"/>
    <n v="448.90081951219508"/>
    <m/>
    <s v="3"/>
    <n v="448.90910569105688"/>
  </r>
  <r>
    <x v="6"/>
    <s v="Detached"/>
    <n v="480000"/>
    <n v="1300"/>
    <n v="2024"/>
    <n v="5.2"/>
    <s v="20"/>
    <x v="2"/>
    <s v="Yes"/>
    <s v="Investor"/>
    <n v="369.23076923076923"/>
    <n v="2289.7978309684877"/>
    <n v="302939.34929054626"/>
    <n v="686939.34929054626"/>
    <n v="384000"/>
    <n v="520.90081250000003"/>
    <m/>
    <s v="3"/>
    <n v="520.90902777777774"/>
  </r>
  <r>
    <x v="7"/>
    <s v="Detached"/>
    <n v="568000"/>
    <n v="1520"/>
    <n v="2024"/>
    <n v="5.3"/>
    <s v="22"/>
    <x v="3"/>
    <s v="Yes"/>
    <s v="Investor"/>
    <n v="373.68421052631578"/>
    <n v="2667.9921798930814"/>
    <n v="357357.65396792436"/>
    <n v="800397.65396792442"/>
    <n v="443040"/>
    <n v="609.2008028169015"/>
    <m/>
    <s v="4"/>
    <n v="609.20892018779352"/>
  </r>
  <r>
    <x v="1"/>
    <s v="Terraced"/>
    <n v="282000"/>
    <n v="750"/>
    <n v="2024"/>
    <n v="5.5"/>
    <n v="10"/>
    <x v="0"/>
    <s v="No"/>
    <s v="First Timer"/>
    <n v="376"/>
    <n v="1558.5540554103713"/>
    <n v="213766.2166231114"/>
    <n v="467566.2166231114"/>
    <n v="253800"/>
    <n v="300.30079787234041"/>
    <m/>
    <s v="1"/>
    <n v="300.30886524822694"/>
  </r>
  <r>
    <x v="8"/>
    <s v="Detached"/>
    <n v="920000"/>
    <n v="2350"/>
    <n v="2024"/>
    <n v="5.0999999999999996"/>
    <s v="20"/>
    <x v="3"/>
    <s v="Yes"/>
    <s v="Investor"/>
    <n v="391.48936170212767"/>
    <n v="4345.5726878414853"/>
    <n v="567671.80635244562"/>
    <n v="1303671.8063524456"/>
    <n v="736000"/>
    <n v="941.20076630434789"/>
    <m/>
    <s v="4"/>
    <n v="941.20851449275369"/>
  </r>
  <r>
    <x v="0"/>
    <s v="Semi Detached"/>
    <n v="290000"/>
    <n v="740"/>
    <n v="2023"/>
    <n v="6.5"/>
    <s v="12"/>
    <x v="1"/>
    <s v="No"/>
    <s v="Upsizer"/>
    <n v="391.89189189189187"/>
    <n v="1723.1286757591763"/>
    <n v="261738.60272775288"/>
    <n v="516938.60272775288"/>
    <n v="255200"/>
    <n v="296.60076551724143"/>
    <m/>
    <s v="2"/>
    <n v="296.60850574712646"/>
  </r>
  <r>
    <x v="8"/>
    <s v="Detached"/>
    <n v="925000"/>
    <n v="2360"/>
    <n v="2024"/>
    <n v="5.0999999999999996"/>
    <s v="20"/>
    <x v="3"/>
    <s v="Yes"/>
    <s v="Investor"/>
    <n v="391.94915254237287"/>
    <n v="4369.1899307101894"/>
    <n v="570756.97921305685"/>
    <n v="1310756.9792130569"/>
    <n v="740000"/>
    <n v="945.20076540540549"/>
    <m/>
    <s v="4"/>
    <n v="945.2085045045045"/>
  </r>
  <r>
    <x v="8"/>
    <s v="Detached"/>
    <n v="910000"/>
    <n v="2300"/>
    <n v="2024"/>
    <n v="5.0999999999999996"/>
    <s v="20"/>
    <x v="3"/>
    <s v="Yes"/>
    <s v="Investor"/>
    <n v="395.6521739130435"/>
    <n v="4298.3382021040779"/>
    <n v="561501.4606312234"/>
    <n v="1289501.4606312234"/>
    <n v="728000"/>
    <n v="921.20075824175831"/>
    <m/>
    <s v="4"/>
    <n v="921.20842490842494"/>
  </r>
  <r>
    <x v="1"/>
    <s v="Terraced"/>
    <n v="280000"/>
    <n v="700"/>
    <n v="2024"/>
    <n v="5.5"/>
    <n v="10"/>
    <x v="0"/>
    <s v="No"/>
    <s v="First Timer"/>
    <n v="400"/>
    <n v="1547.5004805493052"/>
    <n v="212250.14416479153"/>
    <n v="464250.14416479156"/>
    <n v="252000"/>
    <n v="280.30074999999999"/>
    <m/>
    <s v="1"/>
    <n v="280.30833333333334"/>
  </r>
  <r>
    <x v="8"/>
    <s v="Detached"/>
    <n v="900000"/>
    <n v="2250"/>
    <n v="2024"/>
    <n v="5.0999999999999996"/>
    <s v="20"/>
    <x v="3"/>
    <s v="Yes"/>
    <s v="Investor"/>
    <n v="400"/>
    <n v="4251.1037163666706"/>
    <n v="555331.11491000117"/>
    <n v="1275331.1149100012"/>
    <n v="720000"/>
    <n v="901.20075000000008"/>
    <m/>
    <s v="4"/>
    <n v="901.20833333333337"/>
  </r>
  <r>
    <x v="8"/>
    <s v="Detached"/>
    <n v="890000"/>
    <n v="2200"/>
    <n v="2024"/>
    <n v="5.0999999999999996"/>
    <s v="20"/>
    <x v="3"/>
    <s v="Yes"/>
    <s v="Investor"/>
    <n v="404.54545454545456"/>
    <n v="4203.8692306292633"/>
    <n v="549160.76918877882"/>
    <n v="1261160.7691887789"/>
    <n v="712000"/>
    <n v="881.20074157303372"/>
    <m/>
    <s v="4"/>
    <n v="881.20823970037463"/>
  </r>
  <r>
    <x v="6"/>
    <s v="Flat"/>
    <n v="300000"/>
    <n v="740"/>
    <n v="2024"/>
    <n v="5.2"/>
    <s v="12"/>
    <x v="1"/>
    <s v="No"/>
    <s v="First Timer"/>
    <n v="405.40540540540542"/>
    <n v="1574.2360087908353"/>
    <n v="208270.80263725057"/>
    <n v="472270.80263725057"/>
    <n v="264000"/>
    <n v="296.60074000000003"/>
    <m/>
    <s v="2"/>
    <n v="296.60822222222225"/>
  </r>
  <r>
    <x v="2"/>
    <s v="Terraced"/>
    <n v="300000"/>
    <n v="740"/>
    <n v="2024"/>
    <n v="5.4"/>
    <s v="10"/>
    <x v="0"/>
    <s v="No"/>
    <s v="First Timer"/>
    <n v="405.40540540540542"/>
    <n v="1641.9507770021514"/>
    <n v="222585.23310064548"/>
    <n v="492585.23310064548"/>
    <n v="270000"/>
    <n v="296.30074000000002"/>
    <m/>
    <s v="1"/>
    <n v="296.30822222222224"/>
  </r>
  <r>
    <x v="0"/>
    <s v="Semi Detached"/>
    <n v="300000"/>
    <n v="740"/>
    <n v="2023"/>
    <n v="6.5"/>
    <s v="12"/>
    <x v="1"/>
    <s v="No"/>
    <s v="Upsizer"/>
    <n v="405.40540540540542"/>
    <n v="1782.5469059577686"/>
    <n v="270764.07178733061"/>
    <n v="534764.07178733055"/>
    <n v="264000"/>
    <n v="296.60074000000003"/>
    <m/>
    <s v="2"/>
    <n v="296.60822222222225"/>
  </r>
  <r>
    <x v="8"/>
    <s v="Detached"/>
    <n v="885000"/>
    <n v="2150"/>
    <n v="2024"/>
    <n v="5.0999999999999996"/>
    <s v="20"/>
    <x v="3"/>
    <s v="Yes"/>
    <s v="Investor"/>
    <n v="411.62790697674421"/>
    <n v="4180.25198776056"/>
    <n v="546075.59632816783"/>
    <n v="1254075.5963281677"/>
    <n v="708000"/>
    <n v="861.20072881355941"/>
    <m/>
    <s v="4"/>
    <n v="861.20809792843693"/>
  </r>
  <r>
    <x v="3"/>
    <s v="Terraced"/>
    <n v="305000"/>
    <n v="740"/>
    <n v="2023"/>
    <n v="6.5"/>
    <s v="10"/>
    <x v="1"/>
    <s v="No"/>
    <s v="First Timer"/>
    <n v="412.16216216216219"/>
    <n v="1853.4436578992709"/>
    <n v="281533.09736978123"/>
    <n v="556033.09736978123"/>
    <n v="274500"/>
    <n v="296.60072786885246"/>
    <m/>
    <s v="2"/>
    <n v="296.608087431694"/>
  </r>
  <r>
    <x v="4"/>
    <s v="Terraced"/>
    <n v="310000"/>
    <n v="740"/>
    <n v="2023"/>
    <n v="6.4"/>
    <s v="10"/>
    <x v="1"/>
    <s v="No"/>
    <s v="First Timer"/>
    <n v="418.91891891891891"/>
    <n v="1866.4315359517541"/>
    <n v="280929.46078552632"/>
    <n v="559929.46078552632"/>
    <n v="279000"/>
    <n v="296.60071612903226"/>
    <m/>
    <s v="2"/>
    <n v="296.60795698924733"/>
  </r>
  <r>
    <x v="5"/>
    <s v="Flat"/>
    <n v="310000"/>
    <n v="740"/>
    <n v="2023"/>
    <n v="6"/>
    <s v="10"/>
    <x v="1"/>
    <s v="No"/>
    <s v="First Timer"/>
    <n v="418.91891891891891"/>
    <n v="1797.6009101445688"/>
    <n v="260280.27304337075"/>
    <n v="539280.27304337081"/>
    <n v="279000"/>
    <n v="296.60071612903226"/>
    <m/>
    <s v="2"/>
    <n v="296.60795698924733"/>
  </r>
  <r>
    <x v="3"/>
    <s v="Terraced"/>
    <n v="310000"/>
    <n v="740"/>
    <n v="2024"/>
    <n v="5.4"/>
    <s v="10"/>
    <x v="1"/>
    <s v="No"/>
    <s v="First Timer"/>
    <n v="418.91891891891891"/>
    <n v="1696.6824695688897"/>
    <n v="230004.74087066698"/>
    <n v="509004.74087066698"/>
    <n v="279000"/>
    <n v="296.60071612903226"/>
    <m/>
    <s v="2"/>
    <n v="296.60795698924733"/>
  </r>
  <r>
    <x v="3"/>
    <s v="Terraced"/>
    <n v="310000"/>
    <n v="740"/>
    <n v="2023"/>
    <n v="6.5"/>
    <s v="10"/>
    <x v="1"/>
    <s v="No"/>
    <s v="First Timer"/>
    <n v="418.91891891891891"/>
    <n v="1883.8279801599144"/>
    <n v="286148.39404797443"/>
    <n v="565148.39404797438"/>
    <n v="279000"/>
    <n v="296.60071612903226"/>
    <m/>
    <s v="2"/>
    <n v="296.60795698924733"/>
  </r>
  <r>
    <x v="6"/>
    <s v="Flat"/>
    <n v="310000"/>
    <n v="740"/>
    <n v="2024"/>
    <n v="5.2"/>
    <s v="12"/>
    <x v="1"/>
    <s v="No"/>
    <s v="First Timer"/>
    <n v="418.91891891891891"/>
    <n v="1626.7105424171966"/>
    <n v="215213.16272515891"/>
    <n v="488013.16272515891"/>
    <n v="272800"/>
    <n v="296.60071612903226"/>
    <m/>
    <s v="2"/>
    <n v="296.60795698924733"/>
  </r>
  <r>
    <x v="2"/>
    <s v="Terraced"/>
    <n v="310000"/>
    <n v="740"/>
    <n v="2024"/>
    <n v="5.4"/>
    <s v="10"/>
    <x v="0"/>
    <s v="No"/>
    <s v="First Timer"/>
    <n v="418.91891891891891"/>
    <n v="1696.6824695688897"/>
    <n v="230004.74087066698"/>
    <n v="509004.74087066698"/>
    <n v="279000"/>
    <n v="296.30071612903225"/>
    <m/>
    <s v="1"/>
    <n v="296.30795698924732"/>
  </r>
  <r>
    <x v="8"/>
    <s v="Detached"/>
    <n v="880000"/>
    <n v="2100"/>
    <n v="2024"/>
    <n v="5.0999999999999996"/>
    <s v="20"/>
    <x v="3"/>
    <s v="Yes"/>
    <s v="Investor"/>
    <n v="419.04761904761904"/>
    <n v="4156.6347448918559"/>
    <n v="542990.4234675566"/>
    <n v="1246990.4234675565"/>
    <n v="704000"/>
    <n v="841.20071590909095"/>
    <m/>
    <s v="4"/>
    <n v="841.20795454545464"/>
  </r>
  <r>
    <x v="8"/>
    <s v="Detached"/>
    <n v="875000"/>
    <n v="2050"/>
    <n v="2024"/>
    <n v="5.0999999999999996"/>
    <s v="20"/>
    <x v="3"/>
    <s v="Yes"/>
    <s v="Investor"/>
    <n v="426.82926829268291"/>
    <n v="4133.0175020231518"/>
    <n v="539905.25060694548"/>
    <n v="1239905.2506069455"/>
    <n v="700000"/>
    <n v="821.20070285714291"/>
    <m/>
    <s v="4"/>
    <n v="821.2078095238096"/>
  </r>
  <r>
    <x v="1"/>
    <s v="Terraced"/>
    <n v="278000"/>
    <n v="650"/>
    <n v="2024"/>
    <n v="5.5"/>
    <n v="10"/>
    <x v="0"/>
    <s v="No"/>
    <s v="First Timer"/>
    <n v="427.69230769230768"/>
    <n v="1536.4469056882385"/>
    <n v="210734.07170647156"/>
    <n v="460934.07170647156"/>
    <n v="250200"/>
    <n v="260.30070143884893"/>
    <m/>
    <s v="1"/>
    <n v="260.30779376498805"/>
  </r>
  <r>
    <x v="2"/>
    <s v="Semi Detached"/>
    <n v="320000"/>
    <n v="740"/>
    <n v="2024"/>
    <n v="5.5"/>
    <s v="12"/>
    <x v="1"/>
    <s v="No"/>
    <s v="Upsizer"/>
    <n v="432.43243243243245"/>
    <n v="1729.2703782646201"/>
    <n v="237181.11347938603"/>
    <n v="518781.11347938603"/>
    <n v="281600"/>
    <n v="296.60069375"/>
    <m/>
    <s v="2"/>
    <n v="296.60770833333333"/>
  </r>
  <r>
    <x v="4"/>
    <s v="Terraced"/>
    <n v="320000"/>
    <n v="740"/>
    <n v="2023"/>
    <n v="6.4"/>
    <s v="10"/>
    <x v="1"/>
    <s v="No"/>
    <s v="First Timer"/>
    <n v="432.43243243243245"/>
    <n v="1926.6390048534236"/>
    <n v="289991.70145602722"/>
    <n v="577991.70145602722"/>
    <n v="288000"/>
    <n v="296.60069375"/>
    <m/>
    <s v="2"/>
    <n v="296.60770833333333"/>
  </r>
  <r>
    <x v="5"/>
    <s v="Flat"/>
    <n v="320000"/>
    <n v="740"/>
    <n v="2023"/>
    <n v="6"/>
    <s v="10"/>
    <x v="1"/>
    <s v="No"/>
    <s v="First Timer"/>
    <n v="432.43243243243245"/>
    <n v="1855.5880362782648"/>
    <n v="268676.4108834794"/>
    <n v="556676.4108834794"/>
    <n v="288000"/>
    <n v="296.60069375"/>
    <m/>
    <s v="2"/>
    <n v="296.60770833333333"/>
  </r>
  <r>
    <x v="8"/>
    <s v="Detached"/>
    <n v="870000"/>
    <n v="2000"/>
    <n v="2024"/>
    <n v="5.0999999999999996"/>
    <s v="20"/>
    <x v="3"/>
    <s v="Yes"/>
    <s v="Investor"/>
    <n v="435"/>
    <n v="4109.4002591544486"/>
    <n v="536820.07774633437"/>
    <n v="1232820.0777463345"/>
    <n v="696000"/>
    <n v="801.20068965517248"/>
    <m/>
    <s v="4"/>
    <n v="801.20766283524904"/>
  </r>
  <r>
    <x v="1"/>
    <s v="Semi Detached"/>
    <n v="330000"/>
    <n v="740"/>
    <n v="2024"/>
    <n v="5.5"/>
    <s v="12"/>
    <x v="1"/>
    <s v="No"/>
    <s v="Upsizer"/>
    <n v="445.94594594594594"/>
    <n v="1783.3100775853898"/>
    <n v="244593.02327561693"/>
    <n v="534993.02327561693"/>
    <n v="290400"/>
    <n v="296.60067272727275"/>
    <m/>
    <s v="2"/>
    <n v="296.60747474747478"/>
  </r>
  <r>
    <x v="2"/>
    <s v="Semi Detached"/>
    <n v="330000"/>
    <n v="740"/>
    <n v="2024"/>
    <n v="5.5"/>
    <s v="12"/>
    <x v="1"/>
    <s v="No"/>
    <s v="Upsizer"/>
    <n v="445.94594594594594"/>
    <n v="1783.3100775853898"/>
    <n v="244593.02327561693"/>
    <n v="534993.02327561693"/>
    <n v="290400"/>
    <n v="296.60067272727275"/>
    <m/>
    <s v="2"/>
    <n v="296.60747474747478"/>
  </r>
  <r>
    <x v="8"/>
    <s v="Detached"/>
    <n v="890000"/>
    <n v="1950"/>
    <n v="2024"/>
    <n v="5"/>
    <s v="20"/>
    <x v="3"/>
    <s v="Yes"/>
    <s v="Investor"/>
    <n v="456.41025641025641"/>
    <n v="4162.2810955368113"/>
    <n v="536684.32866104343"/>
    <n v="1248684.3286610434"/>
    <n v="712000"/>
    <n v="781.2006573033708"/>
    <m/>
    <s v="4"/>
    <n v="781.20730337078658"/>
  </r>
  <r>
    <x v="1"/>
    <s v="Terraced"/>
    <n v="275000"/>
    <n v="600"/>
    <n v="2024"/>
    <n v="5.5"/>
    <n v="10"/>
    <x v="0"/>
    <s v="No"/>
    <s v="First Timer"/>
    <n v="458.33333333333331"/>
    <n v="1519.8665433966389"/>
    <n v="208459.96301899166"/>
    <n v="455959.96301899164"/>
    <n v="247500"/>
    <n v="240.30065454545456"/>
    <m/>
    <s v="1"/>
    <n v="240.30727272727273"/>
  </r>
  <r>
    <x v="8"/>
    <s v="Detached"/>
    <n v="850000"/>
    <n v="1850"/>
    <n v="2024"/>
    <n v="5.0999999999999996"/>
    <s v="20"/>
    <x v="3"/>
    <s v="Yes"/>
    <s v="Investor"/>
    <n v="459.45945945945948"/>
    <n v="4014.9312876796334"/>
    <n v="524479.38630388991"/>
    <n v="1204479.38630389"/>
    <n v="680000"/>
    <n v="741.20065294117649"/>
    <m/>
    <s v="4"/>
    <n v="741.20725490196082"/>
  </r>
  <r>
    <x v="8"/>
    <s v="Detached"/>
    <n v="880000"/>
    <n v="1900"/>
    <n v="2024"/>
    <n v="5"/>
    <s v="20"/>
    <x v="3"/>
    <s v="Yes"/>
    <s v="Investor"/>
    <n v="463.15789473684208"/>
    <n v="4115.5138922161732"/>
    <n v="530654.16766485199"/>
    <n v="1234654.167664852"/>
    <n v="704000"/>
    <n v="761.20064772727278"/>
    <m/>
    <s v="4"/>
    <n v="761.20719696969707"/>
  </r>
  <r>
    <x v="8"/>
    <s v="Detached"/>
    <n v="840000"/>
    <n v="1800"/>
    <n v="2024"/>
    <n v="5.0999999999999996"/>
    <s v="20"/>
    <x v="3"/>
    <s v="Yes"/>
    <s v="Investor"/>
    <n v="466.66666666666669"/>
    <n v="3967.6968019422261"/>
    <n v="518309.04058266769"/>
    <n v="1190309.0405826676"/>
    <n v="672000"/>
    <n v="721.20064285714295"/>
    <m/>
    <s v="4"/>
    <n v="721.20714285714291"/>
  </r>
  <r>
    <x v="8"/>
    <s v="Detached"/>
    <n v="870000"/>
    <n v="1850"/>
    <n v="2023"/>
    <n v="6"/>
    <s v="20"/>
    <x v="3"/>
    <s v="Yes"/>
    <s v="Investor"/>
    <n v="470.27027027027026"/>
    <n v="4484.3377543391398"/>
    <n v="649301.32630174188"/>
    <n v="1345301.3263017419"/>
    <n v="696000"/>
    <n v="741.20063793103452"/>
    <m/>
    <s v="4"/>
    <n v="741.20708812260546"/>
  </r>
  <r>
    <x v="8"/>
    <s v="Detached"/>
    <n v="860000"/>
    <n v="1820"/>
    <n v="2024"/>
    <n v="5"/>
    <s v="20"/>
    <x v="3"/>
    <s v="Yes"/>
    <s v="Investor"/>
    <n v="472.52747252747253"/>
    <n v="4021.9794855748964"/>
    <n v="518593.84567246889"/>
    <n v="1206593.8456724689"/>
    <n v="688000"/>
    <n v="729.20063488372102"/>
    <m/>
    <s v="4"/>
    <n v="729.20705426356596"/>
  </r>
  <r>
    <x v="8"/>
    <s v="Detached"/>
    <n v="830000"/>
    <n v="1750"/>
    <n v="2024"/>
    <n v="5.0999999999999996"/>
    <s v="20"/>
    <x v="3"/>
    <s v="Yes"/>
    <s v="Investor"/>
    <n v="474.28571428571428"/>
    <n v="3920.4623162048183"/>
    <n v="512138.69486144546"/>
    <n v="1176138.6948614456"/>
    <n v="664000"/>
    <n v="701.20063253012052"/>
    <m/>
    <s v="4"/>
    <n v="701.20702811244985"/>
  </r>
  <r>
    <x v="8"/>
    <s v="Detached"/>
    <n v="845000"/>
    <n v="1780"/>
    <n v="2024"/>
    <n v="5"/>
    <s v="20"/>
    <x v="3"/>
    <s v="Yes"/>
    <s v="Investor"/>
    <n v="474.71910112359552"/>
    <n v="3951.8286805939383"/>
    <n v="509548.6041781815"/>
    <n v="1185548.6041781814"/>
    <n v="676000"/>
    <n v="713.20063195266277"/>
    <m/>
    <s v="4"/>
    <n v="713.20702169625247"/>
  </r>
  <r>
    <x v="6"/>
    <s v="Semi Detached"/>
    <n v="380000"/>
    <n v="800"/>
    <n v="2024"/>
    <n v="5.2"/>
    <s v="15"/>
    <x v="2"/>
    <s v="No"/>
    <s v="Upsizer"/>
    <n v="475"/>
    <n v="1926.0539046948477"/>
    <n v="254816.17140845419"/>
    <n v="577816.17140845419"/>
    <n v="323000"/>
    <n v="320.90063157894735"/>
    <m/>
    <s v="3"/>
    <n v="320.90701754385964"/>
  </r>
  <r>
    <x v="8"/>
    <s v="Detached"/>
    <n v="840000"/>
    <n v="1750"/>
    <n v="2024"/>
    <n v="5"/>
    <s v="20"/>
    <x v="3"/>
    <s v="Yes"/>
    <s v="Investor"/>
    <n v="480"/>
    <n v="3928.4450789336197"/>
    <n v="506533.52368008601"/>
    <n v="1178533.523680086"/>
    <n v="672000"/>
    <n v="701.20062500000006"/>
    <m/>
    <s v="4"/>
    <n v="701.2069444444445"/>
  </r>
  <r>
    <x v="8"/>
    <s v="Detached"/>
    <n v="820000"/>
    <n v="1700"/>
    <n v="2024"/>
    <n v="5.0999999999999996"/>
    <s v="20"/>
    <x v="3"/>
    <s v="Yes"/>
    <s v="Investor"/>
    <n v="482.35294117647061"/>
    <n v="3873.227830467411"/>
    <n v="505968.34914022323"/>
    <n v="1161968.3491402231"/>
    <n v="656000"/>
    <n v="681.20062195121955"/>
    <m/>
    <s v="4"/>
    <n v="681.20691056910573"/>
  </r>
  <r>
    <x v="8"/>
    <s v="Detached"/>
    <n v="830000"/>
    <n v="1720"/>
    <n v="2023"/>
    <n v="6"/>
    <s v="20"/>
    <x v="3"/>
    <s v="Yes"/>
    <s v="Investor"/>
    <n v="482.55813953488371"/>
    <n v="4278.1613058637768"/>
    <n v="619448.39175913297"/>
    <n v="1283448.391759133"/>
    <n v="664000"/>
    <n v="689.20062168674701"/>
    <m/>
    <s v="4"/>
    <n v="689.2069076305221"/>
  </r>
  <r>
    <x v="8"/>
    <s v="Detached"/>
    <n v="825000"/>
    <n v="1700"/>
    <n v="2024"/>
    <n v="5"/>
    <s v="20"/>
    <x v="3"/>
    <s v="Yes"/>
    <s v="Investor"/>
    <n v="485.29411764705884"/>
    <n v="3858.294273952662"/>
    <n v="497488.28218579851"/>
    <n v="1157488.2821857985"/>
    <n v="660000"/>
    <n v="681.20061818181819"/>
    <m/>
    <s v="4"/>
    <n v="681.20686868686869"/>
  </r>
  <r>
    <x v="4"/>
    <s v="Semi Detached"/>
    <n v="360000"/>
    <n v="740"/>
    <n v="2024"/>
    <n v="5.3"/>
    <s v="18"/>
    <x v="2"/>
    <s v="No"/>
    <s v="Upsizer"/>
    <n v="486.48648648648651"/>
    <n v="1777.6979313480442"/>
    <n v="238109.37940441328"/>
    <n v="533309.37940441328"/>
    <n v="295200"/>
    <n v="296.90061666666662"/>
    <m/>
    <s v="3"/>
    <n v="296.90685185185185"/>
  </r>
  <r>
    <x v="6"/>
    <s v="Terraced"/>
    <n v="360000"/>
    <n v="740"/>
    <n v="2024"/>
    <n v="5.3"/>
    <s v="10"/>
    <x v="1"/>
    <s v="No"/>
    <s v="First Timer"/>
    <n v="486.48648648648651"/>
    <n v="1951.1318758698046"/>
    <n v="261339.56276094128"/>
    <n v="585339.56276094122"/>
    <n v="324000"/>
    <n v="296.60061666666667"/>
    <m/>
    <s v="2"/>
    <n v="296.6068518518519"/>
  </r>
  <r>
    <x v="3"/>
    <s v="Semi Detached"/>
    <n v="360000"/>
    <n v="740"/>
    <n v="2024"/>
    <n v="5.4"/>
    <s v="14"/>
    <x v="1"/>
    <s v="No"/>
    <s v="Upsizer"/>
    <n v="486.48648648648651"/>
    <n v="1882.7702242958003"/>
    <n v="255231.06728874013"/>
    <n v="564831.06728874007"/>
    <n v="309600"/>
    <n v="296.60061666666667"/>
    <m/>
    <s v="2"/>
    <n v="296.6068518518519"/>
  </r>
  <r>
    <x v="8"/>
    <s v="Detached"/>
    <n v="820000"/>
    <n v="1680"/>
    <n v="2023"/>
    <n v="6.1"/>
    <s v="20"/>
    <x v="3"/>
    <s v="Yes"/>
    <s v="Investor"/>
    <n v="488.09523809523807"/>
    <n v="4266.8077535436969"/>
    <n v="624042.3260631091"/>
    <n v="1280042.3260631091"/>
    <n v="656000"/>
    <n v="673.2006146341464"/>
    <m/>
    <s v="4"/>
    <n v="673.20682926829272"/>
  </r>
  <r>
    <x v="8"/>
    <s v="Detached"/>
    <n v="810000"/>
    <n v="1650"/>
    <n v="2024"/>
    <n v="5.0999999999999996"/>
    <s v="20"/>
    <x v="3"/>
    <s v="Yes"/>
    <s v="Investor"/>
    <n v="490.90909090909093"/>
    <n v="3825.9933447300036"/>
    <n v="499798.00341900112"/>
    <n v="1147798.0034190011"/>
    <n v="648000"/>
    <n v="661.20061111111113"/>
    <m/>
    <s v="4"/>
    <n v="661.20679012345681"/>
  </r>
  <r>
    <x v="8"/>
    <s v="Detached"/>
    <n v="815000"/>
    <n v="1650"/>
    <n v="2024"/>
    <n v="5"/>
    <s v="20"/>
    <x v="3"/>
    <s v="Yes"/>
    <s v="Investor"/>
    <n v="493.93939393939394"/>
    <n v="3811.5270706320239"/>
    <n v="491458.12118960707"/>
    <n v="1143458.1211896071"/>
    <n v="652000"/>
    <n v="661.20060736196319"/>
    <m/>
    <s v="4"/>
    <n v="661.20674846625775"/>
  </r>
  <r>
    <x v="8"/>
    <s v="Detached"/>
    <n v="810000"/>
    <n v="1620"/>
    <n v="2023"/>
    <n v="6"/>
    <s v="20"/>
    <x v="3"/>
    <s v="Yes"/>
    <s v="Investor"/>
    <n v="500"/>
    <n v="4175.0730816260957"/>
    <n v="604521.92448782874"/>
    <n v="1252521.9244878287"/>
    <n v="648000"/>
    <n v="649.20060000000001"/>
    <m/>
    <s v="4"/>
    <n v="649.20666666666671"/>
  </r>
  <r>
    <x v="8"/>
    <s v="Detached"/>
    <n v="825000"/>
    <n v="1650"/>
    <n v="2024"/>
    <n v="5"/>
    <s v="20"/>
    <x v="3"/>
    <s v="Yes"/>
    <s v="Investor"/>
    <n v="500"/>
    <n v="3858.294273952662"/>
    <n v="497488.28218579851"/>
    <n v="1157488.2821857985"/>
    <n v="660000"/>
    <n v="661.20060000000001"/>
    <m/>
    <s v="4"/>
    <n v="661.20666666666671"/>
  </r>
  <r>
    <x v="8"/>
    <s v="Detached"/>
    <n v="840000"/>
    <n v="1680"/>
    <n v="2023"/>
    <n v="6.1"/>
    <s v="20"/>
    <x v="3"/>
    <s v="Yes"/>
    <s v="Investor"/>
    <n v="500"/>
    <n v="4370.876235337445"/>
    <n v="639262.87060123356"/>
    <n v="1311262.8706012336"/>
    <n v="672000"/>
    <n v="673.20060000000001"/>
    <m/>
    <s v="4"/>
    <n v="673.20666666666671"/>
  </r>
  <r>
    <x v="4"/>
    <s v="Semi Detached"/>
    <n v="370000"/>
    <n v="740"/>
    <n v="2024"/>
    <n v="5.3"/>
    <s v="18"/>
    <x v="2"/>
    <s v="No"/>
    <s v="Upsizer"/>
    <n v="500"/>
    <n v="1827.0784294410455"/>
    <n v="244723.52883231355"/>
    <n v="548123.5288323136"/>
    <n v="303400"/>
    <n v="296.9006"/>
    <m/>
    <s v="3"/>
    <n v="296.90666666666664"/>
  </r>
  <r>
    <x v="6"/>
    <s v="Terraced"/>
    <n v="370000"/>
    <n v="740"/>
    <n v="2024"/>
    <n v="5.3"/>
    <s v="10"/>
    <x v="1"/>
    <s v="No"/>
    <s v="First Timer"/>
    <n v="500"/>
    <n v="2005.3299835328546"/>
    <n v="268598.99505985627"/>
    <n v="601598.99505985621"/>
    <n v="333000"/>
    <n v="296.60060000000004"/>
    <m/>
    <s v="2"/>
    <n v="296.60666666666668"/>
  </r>
  <r>
    <x v="8"/>
    <s v="Detached"/>
    <n v="805000"/>
    <n v="1600"/>
    <n v="2024"/>
    <n v="5"/>
    <s v="20"/>
    <x v="3"/>
    <s v="Yes"/>
    <s v="Investor"/>
    <n v="503.125"/>
    <n v="3764.7598673113853"/>
    <n v="485427.96019341564"/>
    <n v="1129427.9601934156"/>
    <n v="644000"/>
    <n v="641.20059627329192"/>
    <m/>
    <s v="4"/>
    <n v="641.20662525879925"/>
  </r>
  <r>
    <x v="5"/>
    <s v="Detached"/>
    <n v="770000"/>
    <n v="1530"/>
    <n v="2024"/>
    <n v="5.0999999999999996"/>
    <n v="22"/>
    <x v="2"/>
    <s v="Yes"/>
    <s v="Upsizer"/>
    <n v="503.26797385620915"/>
    <n v="3546.1290167358643"/>
    <n v="463238.70502075914"/>
    <n v="1063838.7050207593"/>
    <n v="600600"/>
    <n v="612.90059610389608"/>
    <m/>
    <s v="3"/>
    <n v="612.90662337662332"/>
  </r>
  <r>
    <x v="8"/>
    <s v="Detached"/>
    <n v="830000"/>
    <n v="1620"/>
    <n v="2023"/>
    <n v="6"/>
    <s v="20"/>
    <x v="3"/>
    <s v="Yes"/>
    <s v="Investor"/>
    <n v="512.34567901234573"/>
    <n v="4278.1613058637768"/>
    <n v="619448.39175913297"/>
    <n v="1283448.391759133"/>
    <n v="664000"/>
    <n v="649.20058554216871"/>
    <m/>
    <s v="4"/>
    <n v="649.20650602409648"/>
  </r>
  <r>
    <x v="8"/>
    <s v="Detached"/>
    <n v="860000"/>
    <n v="1620"/>
    <n v="2024"/>
    <n v="5.0999999999999996"/>
    <n v="20"/>
    <x v="3"/>
    <s v="Yes"/>
    <s v="Investor"/>
    <n v="530.8641975308642"/>
    <n v="4062.1657734170408"/>
    <n v="530649.73202511214"/>
    <n v="1218649.732025112"/>
    <n v="688000"/>
    <n v="649.20056511627911"/>
    <m/>
    <s v="4"/>
    <n v="649.20627906976745"/>
  </r>
  <r>
    <x v="7"/>
    <s v="Terraced"/>
    <n v="400000"/>
    <n v="740"/>
    <n v="2024"/>
    <n v="5.4"/>
    <s v="10"/>
    <x v="1"/>
    <s v="No"/>
    <s v="First Timer"/>
    <n v="540.54054054054052"/>
    <n v="2189.2677026695351"/>
    <n v="296780.31080086058"/>
    <n v="656780.31080086064"/>
    <n v="360000"/>
    <n v="296.60055500000004"/>
    <m/>
    <s v="2"/>
    <n v="296.6061666666667"/>
  </r>
  <r>
    <x v="3"/>
    <s v="Semi Detached"/>
    <n v="400000"/>
    <n v="740"/>
    <n v="2024"/>
    <n v="5.2"/>
    <s v="15"/>
    <x v="1"/>
    <s v="No"/>
    <s v="Upsizer"/>
    <n v="540.54054054054052"/>
    <n v="2027.4251628366819"/>
    <n v="268227.54885100445"/>
    <n v="608227.54885100445"/>
    <n v="340000"/>
    <n v="296.60055500000004"/>
    <m/>
    <s v="2"/>
    <n v="296.6061666666667"/>
  </r>
  <r>
    <x v="8"/>
    <s v="Detached"/>
    <n v="900000"/>
    <n v="1650"/>
    <n v="2024"/>
    <n v="5.0999999999999996"/>
    <n v="20"/>
    <x v="3"/>
    <s v="Yes"/>
    <s v="Investor"/>
    <n v="545.4545454545455"/>
    <n v="4251.1037163666706"/>
    <n v="555331.11491000117"/>
    <n v="1275331.1149100012"/>
    <n v="720000"/>
    <n v="661.20055000000002"/>
    <m/>
    <s v="4"/>
    <n v="661.20611111111111"/>
  </r>
  <r>
    <x v="8"/>
    <s v="Flat"/>
    <n v="470000"/>
    <n v="850"/>
    <n v="2024"/>
    <n v="5"/>
    <s v="12"/>
    <x v="1"/>
    <s v="No"/>
    <s v="First Timer"/>
    <n v="552.94117647058829"/>
    <n v="2417.8644116770015"/>
    <n v="311759.32350310043"/>
    <n v="725359.32350310043"/>
    <n v="413600"/>
    <n v="340.60054255319153"/>
    <m/>
    <s v="2"/>
    <n v="340.60602836879434"/>
  </r>
  <r>
    <x v="6"/>
    <s v="Semi Detached"/>
    <n v="410000"/>
    <n v="740"/>
    <n v="2024"/>
    <n v="5.2"/>
    <s v="15"/>
    <x v="2"/>
    <s v="No"/>
    <s v="Upsizer"/>
    <n v="554.05405405405406"/>
    <n v="2078.1107919075989"/>
    <n v="274933.23757227953"/>
    <n v="623433.23757227953"/>
    <n v="348500"/>
    <n v="296.90054146341458"/>
    <m/>
    <s v="3"/>
    <n v="296.90601626016257"/>
  </r>
  <r>
    <x v="7"/>
    <s v="Terraced"/>
    <n v="410000"/>
    <n v="740"/>
    <n v="2024"/>
    <n v="5.4"/>
    <s v="10"/>
    <x v="1"/>
    <s v="No"/>
    <s v="First Timer"/>
    <n v="554.05405405405406"/>
    <n v="2243.9993952362734"/>
    <n v="304199.81857088202"/>
    <n v="673199.81857088208"/>
    <n v="369000"/>
    <n v="296.60054146341463"/>
    <m/>
    <s v="2"/>
    <n v="296.60601626016262"/>
  </r>
  <r>
    <x v="1"/>
    <s v="Detached"/>
    <n v="420000"/>
    <n v="740"/>
    <n v="2024"/>
    <n v="5.4"/>
    <s v="20"/>
    <x v="2"/>
    <s v="Yes"/>
    <s v="Upsizer"/>
    <n v="567.56756756756761"/>
    <n v="2043.316522491566"/>
    <n v="276994.9567474699"/>
    <n v="612994.95674746996"/>
    <n v="336000"/>
    <n v="296.90052857142854"/>
    <m/>
    <s v="3"/>
    <n v="296.905873015873"/>
  </r>
  <r>
    <x v="6"/>
    <s v="Semi Detached"/>
    <n v="420000"/>
    <n v="740"/>
    <n v="2024"/>
    <n v="5.2"/>
    <s v="15"/>
    <x v="2"/>
    <s v="No"/>
    <s v="Upsizer"/>
    <n v="567.56756756756761"/>
    <n v="2128.7964209785159"/>
    <n v="281638.9262935546"/>
    <n v="638638.9262935546"/>
    <n v="357000"/>
    <n v="296.90052857142854"/>
    <m/>
    <s v="3"/>
    <n v="296.905873015873"/>
  </r>
  <r>
    <x v="8"/>
    <s v="Detached"/>
    <n v="920000"/>
    <n v="1620"/>
    <n v="2024"/>
    <n v="5.0999999999999996"/>
    <n v="20"/>
    <x v="3"/>
    <s v="Yes"/>
    <s v="Investor"/>
    <n v="567.90123456790127"/>
    <n v="4345.5726878414853"/>
    <n v="567671.80635244562"/>
    <n v="1303671.8063524456"/>
    <n v="736000"/>
    <n v="649.20052826086965"/>
    <m/>
    <s v="4"/>
    <n v="649.20586956521743"/>
  </r>
  <r>
    <x v="8"/>
    <s v="Detached"/>
    <n v="950000"/>
    <n v="1650"/>
    <n v="2024"/>
    <n v="5.0999999999999996"/>
    <n v="20"/>
    <x v="3"/>
    <s v="Yes"/>
    <s v="Investor"/>
    <n v="575.75757575757575"/>
    <n v="4487.2761450537082"/>
    <n v="586182.84351611242"/>
    <n v="1346182.8435161123"/>
    <n v="760000"/>
    <n v="661.20052105263164"/>
    <m/>
    <s v="4"/>
    <n v="661.20578947368426"/>
  </r>
  <r>
    <x v="1"/>
    <s v="Detached"/>
    <n v="430000"/>
    <n v="740"/>
    <n v="2023"/>
    <n v="6.2"/>
    <s v="22"/>
    <x v="2"/>
    <s v="Yes"/>
    <s v="Investor"/>
    <n v="581.08108108108104"/>
    <n v="2202.1763504748565"/>
    <n v="325252.90514245693"/>
    <n v="660652.90514245699"/>
    <n v="335400"/>
    <n v="296.90051627906973"/>
    <m/>
    <s v="3"/>
    <n v="296.90573643410852"/>
  </r>
  <r>
    <x v="2"/>
    <s v="Terraced"/>
    <n v="265000"/>
    <n v="450"/>
    <n v="2024"/>
    <n v="4.5"/>
    <s v="10"/>
    <x v="2"/>
    <s v="No"/>
    <s v="First Timer"/>
    <n v="588.88888888888891"/>
    <n v="1325.6604599393438"/>
    <n v="159198.13798180319"/>
    <n v="397698.13798180316"/>
    <n v="238500"/>
    <n v="180.90050943396227"/>
    <m/>
    <s v="3"/>
    <n v="180.90566037735849"/>
  </r>
  <r>
    <x v="1"/>
    <s v="Terraced"/>
    <n v="265000"/>
    <n v="450"/>
    <n v="2024"/>
    <n v="5.5"/>
    <n v="10"/>
    <x v="0"/>
    <s v="No"/>
    <s v="First Timer"/>
    <n v="588.88888888888891"/>
    <n v="1464.5986690913066"/>
    <n v="200879.60072739198"/>
    <n v="439379.60072739201"/>
    <n v="238500"/>
    <n v="180.30050943396228"/>
    <m/>
    <s v="1"/>
    <n v="180.30566037735849"/>
  </r>
  <r>
    <x v="7"/>
    <s v="Semi Detached"/>
    <n v="440000"/>
    <n v="740"/>
    <n v="2023"/>
    <n v="6.1"/>
    <s v="15"/>
    <x v="2"/>
    <s v="No"/>
    <s v="Upsizer"/>
    <n v="594.59459459459458"/>
    <n v="2432.6007619288757"/>
    <n v="355780.22857866273"/>
    <n v="729780.22857866273"/>
    <n v="374000"/>
    <n v="296.90050454545451"/>
    <m/>
    <s v="3"/>
    <n v="296.90560606060603"/>
  </r>
  <r>
    <x v="5"/>
    <s v="Semi Detached"/>
    <n v="440000"/>
    <n v="740"/>
    <n v="2024"/>
    <n v="5.2"/>
    <s v="15"/>
    <x v="2"/>
    <s v="No"/>
    <s v="Upsizer"/>
    <n v="594.59459459459458"/>
    <n v="2230.1676791203499"/>
    <n v="295050.30373610486"/>
    <n v="669050.30373610486"/>
    <n v="374000"/>
    <n v="296.90050454545451"/>
    <m/>
    <s v="3"/>
    <n v="296.90560606060603"/>
  </r>
  <r>
    <x v="1"/>
    <s v="Detached"/>
    <n v="440000"/>
    <n v="740"/>
    <n v="2023"/>
    <n v="6.2"/>
    <s v="20"/>
    <x v="2"/>
    <s v="Yes"/>
    <s v="Investor"/>
    <n v="594.59459459459458"/>
    <n v="2311.1689784351502"/>
    <n v="341350.6935305451"/>
    <n v="693350.6935305451"/>
    <n v="352000"/>
    <n v="296.90050454545451"/>
    <m/>
    <s v="3"/>
    <n v="296.90560606060603"/>
  </r>
  <r>
    <x v="6"/>
    <s v="Terraced"/>
    <n v="300000"/>
    <n v="500"/>
    <n v="2024"/>
    <n v="5.3"/>
    <s v="10"/>
    <x v="1"/>
    <s v="No"/>
    <s v="First Timer"/>
    <n v="600"/>
    <n v="1625.9432298915037"/>
    <n v="217782.96896745113"/>
    <n v="487782.96896745113"/>
    <n v="270000"/>
    <n v="200.60049999999998"/>
    <m/>
    <s v="2"/>
    <n v="200.60555555555555"/>
  </r>
  <r>
    <x v="3"/>
    <s v="Detached"/>
    <n v="450000"/>
    <n v="740"/>
    <n v="2024"/>
    <n v="5.3"/>
    <s v="22"/>
    <x v="2"/>
    <s v="Yes"/>
    <s v="Investor"/>
    <n v="608.10810810810813"/>
    <n v="2113.7261988589553"/>
    <n v="283117.85965768655"/>
    <n v="634117.85965768655"/>
    <n v="351000"/>
    <n v="296.90049333333332"/>
    <m/>
    <s v="3"/>
    <n v="296.90548148148144"/>
  </r>
  <r>
    <x v="5"/>
    <s v="Semi Detached"/>
    <n v="450000"/>
    <n v="740"/>
    <n v="2023"/>
    <n v="6.1"/>
    <s v="15"/>
    <x v="2"/>
    <s v="No"/>
    <s v="Upsizer"/>
    <n v="608.10810810810813"/>
    <n v="2487.8871428818047"/>
    <n v="363866.14286454138"/>
    <n v="746366.14286454138"/>
    <n v="382500"/>
    <n v="296.90049333333332"/>
    <m/>
    <s v="3"/>
    <n v="296.90548148148144"/>
  </r>
  <r>
    <x v="7"/>
    <s v="Semi Detached"/>
    <n v="450000"/>
    <n v="740"/>
    <n v="2023"/>
    <n v="6.1"/>
    <s v="15"/>
    <x v="2"/>
    <s v="No"/>
    <s v="Upsizer"/>
    <n v="608.10810810810813"/>
    <n v="2487.8871428818047"/>
    <n v="363866.14286454138"/>
    <n v="746366.14286454138"/>
    <n v="382500"/>
    <n v="296.90049333333332"/>
    <m/>
    <s v="3"/>
    <n v="296.90548148148144"/>
  </r>
  <r>
    <x v="8"/>
    <s v="Detached"/>
    <n v="792000"/>
    <n v="1300"/>
    <n v="2024"/>
    <n v="5"/>
    <s v="20"/>
    <x v="3"/>
    <s v="Yes"/>
    <s v="Investor"/>
    <n v="609.23076923076928"/>
    <n v="3703.9625029945555"/>
    <n v="477588.75089836656"/>
    <n v="1111188.7508983666"/>
    <n v="633600"/>
    <n v="521.2004924242425"/>
    <m/>
    <s v="4"/>
    <n v="521.20547138047141"/>
  </r>
  <r>
    <x v="8"/>
    <s v="Flat"/>
    <n v="460000"/>
    <n v="750"/>
    <n v="2024"/>
    <n v="5"/>
    <s v="5"/>
    <x v="1"/>
    <s v="No"/>
    <s v="First Timer"/>
    <n v="613.33333333333337"/>
    <n v="2554.6584813898685"/>
    <n v="329397.54441696056"/>
    <n v="766397.54441696056"/>
    <n v="437000"/>
    <n v="300.60048913043482"/>
    <m/>
    <s v="2"/>
    <n v="300.60543478260871"/>
  </r>
  <r>
    <x v="8"/>
    <s v="Detached"/>
    <n v="795000"/>
    <n v="1290"/>
    <n v="2024"/>
    <n v="5.0999999999999996"/>
    <s v="20"/>
    <x v="3"/>
    <s v="Yes"/>
    <s v="Investor"/>
    <n v="616.27906976744191"/>
    <n v="3755.1416161238922"/>
    <n v="490542.48483716766"/>
    <n v="1126542.4848371677"/>
    <n v="636000"/>
    <n v="517.20048679245292"/>
    <m/>
    <s v="4"/>
    <n v="517.20540880503154"/>
  </r>
  <r>
    <x v="5"/>
    <s v="Semi Detached"/>
    <n v="460000"/>
    <n v="740"/>
    <n v="2024"/>
    <n v="5.2"/>
    <s v="15"/>
    <x v="2"/>
    <s v="No"/>
    <s v="Upsizer"/>
    <n v="621.62162162162167"/>
    <n v="2331.5389372621844"/>
    <n v="308461.68117865513"/>
    <n v="699461.68117865513"/>
    <n v="391000"/>
    <n v="296.90048260869565"/>
    <m/>
    <s v="3"/>
    <n v="296.90536231884056"/>
  </r>
  <r>
    <x v="3"/>
    <s v="Detached"/>
    <n v="460000"/>
    <n v="740"/>
    <n v="2024"/>
    <n v="5.3"/>
    <s v="22"/>
    <x v="2"/>
    <s v="Yes"/>
    <s v="Investor"/>
    <n v="621.62162162162167"/>
    <n v="2160.697892166932"/>
    <n v="289409.36765007948"/>
    <n v="648209.36765007954"/>
    <n v="358800"/>
    <n v="296.90048260869565"/>
    <m/>
    <s v="3"/>
    <n v="296.90536231884056"/>
  </r>
  <r>
    <x v="8"/>
    <s v="Detached"/>
    <n v="788000"/>
    <n v="1260"/>
    <n v="2023"/>
    <n v="6.2"/>
    <s v="20"/>
    <x v="3"/>
    <s v="Yes"/>
    <s v="Investor"/>
    <n v="625.39682539682542"/>
    <n v="4139.093534106587"/>
    <n v="611328.06023197598"/>
    <n v="1241728.060231976"/>
    <n v="630400"/>
    <n v="505.20047969543145"/>
    <m/>
    <s v="4"/>
    <n v="505.20532994923855"/>
  </r>
  <r>
    <x v="7"/>
    <s v="Semi Detached"/>
    <n v="480000"/>
    <n v="740"/>
    <n v="2024"/>
    <n v="5.3"/>
    <s v="15"/>
    <x v="2"/>
    <s v="No"/>
    <s v="Upsizer"/>
    <n v="648.64864864864865"/>
    <n v="2456.9808807249387"/>
    <n v="329094.2642174816"/>
    <n v="737094.2642174816"/>
    <n v="408000"/>
    <n v="296.9004625"/>
    <m/>
    <s v="3"/>
    <n v="296.90513888888887"/>
  </r>
  <r>
    <x v="2"/>
    <s v="Terraced"/>
    <n v="260000"/>
    <n v="400"/>
    <n v="2024"/>
    <n v="5.4"/>
    <n v="10"/>
    <x v="0"/>
    <s v="No"/>
    <s v="First Timer"/>
    <n v="650"/>
    <n v="1423.0240067351979"/>
    <n v="192907.20202055937"/>
    <n v="426907.20202055934"/>
    <n v="234000"/>
    <n v="160.30046153846155"/>
    <m/>
    <s v="1"/>
    <n v="160.30512820512823"/>
  </r>
  <r>
    <x v="1"/>
    <s v="Terraced"/>
    <n v="260000"/>
    <n v="400"/>
    <n v="2024"/>
    <n v="5.5"/>
    <n v="10"/>
    <x v="0"/>
    <s v="No"/>
    <s v="First Timer"/>
    <n v="650"/>
    <n v="1436.9647319386402"/>
    <n v="197089.419581592"/>
    <n v="431089.41958159197"/>
    <n v="234000"/>
    <n v="160.30046153846155"/>
    <m/>
    <s v="1"/>
    <n v="160.30512820512823"/>
  </r>
  <r>
    <x v="8"/>
    <s v="Detached"/>
    <n v="785000"/>
    <n v="1200"/>
    <n v="2023"/>
    <n v="6.1"/>
    <s v="18"/>
    <x v="2"/>
    <s v="Yes"/>
    <s v="Investor"/>
    <n v="654.16666666666663"/>
    <n v="4186.8051081647518"/>
    <n v="612341.53244942543"/>
    <n v="1256041.5324494254"/>
    <n v="643700"/>
    <n v="480.90045859872612"/>
    <m/>
    <s v="3"/>
    <n v="480.90509554140124"/>
  </r>
  <r>
    <x v="4"/>
    <s v="Detached"/>
    <n v="490000"/>
    <n v="740"/>
    <n v="2024"/>
    <n v="5.2"/>
    <s v="22"/>
    <x v="2"/>
    <s v="Yes"/>
    <s v="Investor"/>
    <n v="662.16216216216219"/>
    <n v="2279.0644036358231"/>
    <n v="301519.32109074685"/>
    <n v="683719.3210907469"/>
    <n v="382200"/>
    <n v="296.90045306122448"/>
    <m/>
    <s v="3"/>
    <n v="296.90503401360542"/>
  </r>
  <r>
    <x v="7"/>
    <s v="Semi Detached"/>
    <n v="490000"/>
    <n v="740"/>
    <n v="2024"/>
    <n v="5.3"/>
    <s v="15"/>
    <x v="2"/>
    <s v="No"/>
    <s v="Upsizer"/>
    <n v="662.16216216216219"/>
    <n v="2508.1679824067091"/>
    <n v="335950.39472201263"/>
    <n v="752450.39472201257"/>
    <n v="416500"/>
    <n v="296.90045306122448"/>
    <m/>
    <s v="3"/>
    <n v="296.90503401360542"/>
  </r>
  <r>
    <x v="8"/>
    <s v="Flat"/>
    <n v="500000"/>
    <n v="740"/>
    <n v="2023"/>
    <n v="6"/>
    <s v="10"/>
    <x v="1"/>
    <s v="No"/>
    <s v="First Timer"/>
    <n v="675.67567567567562"/>
    <n v="2899.3563066847887"/>
    <n v="419806.89200543659"/>
    <n v="869806.89200543659"/>
    <n v="450000"/>
    <n v="296.60044400000004"/>
    <m/>
    <s v="2"/>
    <n v="296.60493333333335"/>
  </r>
  <r>
    <x v="4"/>
    <s v="Detached"/>
    <n v="500000"/>
    <n v="740"/>
    <n v="2024"/>
    <n v="5.2"/>
    <s v="20"/>
    <x v="2"/>
    <s v="Yes"/>
    <s v="Investor"/>
    <n v="675.67567567567562"/>
    <n v="2385.2060739255085"/>
    <n v="315561.82217765239"/>
    <n v="715561.82217765239"/>
    <n v="400000"/>
    <n v="296.90044399999999"/>
    <m/>
    <s v="3"/>
    <n v="296.9049333333333"/>
  </r>
  <r>
    <x v="8"/>
    <s v="Flat"/>
    <n v="520000"/>
    <n v="740"/>
    <n v="2023"/>
    <n v="6"/>
    <s v="10"/>
    <x v="1"/>
    <s v="No"/>
    <s v="First Timer"/>
    <n v="702.70270270270271"/>
    <n v="3015.3305589521801"/>
    <n v="436599.16768565407"/>
    <n v="904599.16768565401"/>
    <n v="468000"/>
    <n v="296.60042692307695"/>
    <m/>
    <s v="2"/>
    <n v="296.60474358974363"/>
  </r>
  <r>
    <x v="1"/>
    <s v="Terraced"/>
    <n v="255000"/>
    <n v="350"/>
    <n v="2024"/>
    <n v="5.5"/>
    <n v="10"/>
    <x v="0"/>
    <s v="No"/>
    <s v="First Timer"/>
    <n v="728.57142857142856"/>
    <n v="1409.3307947859744"/>
    <n v="193299.2384357923"/>
    <n v="422799.23843579227"/>
    <n v="229500"/>
    <n v="140.3004117647059"/>
    <m/>
    <s v="1"/>
    <n v="140.30457516339871"/>
  </r>
  <r>
    <x v="8"/>
    <s v="Terraced"/>
    <n v="600000"/>
    <n v="740"/>
    <n v="2024"/>
    <n v="5.0999999999999996"/>
    <s v="15"/>
    <x v="2"/>
    <s v="No"/>
    <s v="Upsizer"/>
    <n v="810.81081081081084"/>
    <n v="3011.198465759725"/>
    <n v="393359.53972791746"/>
    <n v="903359.53972791741"/>
    <n v="510000"/>
    <n v="296.90036999999995"/>
    <m/>
    <s v="3"/>
    <n v="296.90411111111109"/>
  </r>
  <r>
    <x v="8"/>
    <s v="Terraced"/>
    <n v="600000"/>
    <n v="740"/>
    <n v="2023"/>
    <n v="6.1"/>
    <s v="15"/>
    <x v="2"/>
    <s v="No"/>
    <s v="Upsizer"/>
    <n v="810.81081081081084"/>
    <n v="3317.1828571757396"/>
    <n v="485154.8571527219"/>
    <n v="995154.85715272184"/>
    <n v="510000"/>
    <n v="296.90036999999995"/>
    <m/>
    <s v="3"/>
    <n v="296.90411111111109"/>
  </r>
  <r>
    <x v="8"/>
    <s v="Terraced"/>
    <n v="610000"/>
    <n v="740"/>
    <n v="2024"/>
    <n v="5.0999999999999996"/>
    <s v="15"/>
    <x v="2"/>
    <s v="No"/>
    <s v="Upsizer"/>
    <n v="824.32432432432438"/>
    <n v="3061.3851068557206"/>
    <n v="399915.5320567161"/>
    <n v="918415.53205671604"/>
    <n v="518500"/>
    <n v="296.9003639344262"/>
    <m/>
    <s v="3"/>
    <n v="296.90404371584697"/>
  </r>
  <r>
    <x v="7"/>
    <s v="Detached"/>
    <n v="620000"/>
    <n v="740"/>
    <n v="2024"/>
    <n v="5.3"/>
    <s v="22"/>
    <x v="3"/>
    <s v="Yes"/>
    <s v="Investor"/>
    <n v="837.83783783783781"/>
    <n v="2912.2449850945604"/>
    <n v="390073.4955283681"/>
    <n v="873673.49552836805"/>
    <n v="483600"/>
    <n v="297.20035806451614"/>
    <m/>
    <s v="4"/>
    <n v="297.20397849462364"/>
  </r>
  <r>
    <x v="7"/>
    <s v="Detached"/>
    <n v="620000"/>
    <n v="740"/>
    <n v="2023"/>
    <n v="6"/>
    <s v="22"/>
    <x v="3"/>
    <s v="Yes"/>
    <s v="Investor"/>
    <n v="837.83783783783781"/>
    <n v="3115.8415775839194"/>
    <n v="451152.47327517584"/>
    <n v="934752.47327517578"/>
    <n v="483600"/>
    <n v="297.20035806451614"/>
    <m/>
    <s v="4"/>
    <n v="297.20397849462364"/>
  </r>
  <r>
    <x v="7"/>
    <s v="Detached"/>
    <n v="630000"/>
    <n v="740"/>
    <n v="2024"/>
    <n v="5.3"/>
    <s v="22"/>
    <x v="3"/>
    <s v="Yes"/>
    <s v="Investor"/>
    <n v="851.35135135135135"/>
    <n v="2959.2166784025371"/>
    <n v="396365.00352076109"/>
    <n v="887765.00352076115"/>
    <n v="491400"/>
    <n v="297.20035238095238"/>
    <m/>
    <s v="4"/>
    <n v="297.20391534391536"/>
  </r>
  <r>
    <x v="7"/>
    <s v="Flat"/>
    <n v="315000"/>
    <n v="350"/>
    <n v="2024"/>
    <n v="5.2"/>
    <n v="12"/>
    <x v="1"/>
    <s v="No"/>
    <s v="First Timer"/>
    <n v="900"/>
    <n v="1652.9478092303773"/>
    <n v="218684.34276911308"/>
    <n v="495884.34276911308"/>
    <n v="277200"/>
    <n v="140.60033333333334"/>
    <m/>
    <s v="2"/>
    <n v="140.6037037037037"/>
  </r>
  <r>
    <x v="5"/>
    <s v="Detached"/>
    <n v="700000"/>
    <n v="740"/>
    <n v="2024"/>
    <n v="5.0999999999999996"/>
    <s v="22"/>
    <x v="2"/>
    <s v="Yes"/>
    <s v="Upsizer"/>
    <n v="945.94594594594594"/>
    <n v="3223.7536515780585"/>
    <n v="421126.09547341755"/>
    <n v="967126.09547341755"/>
    <n v="546000"/>
    <n v="296.90031714285715"/>
    <m/>
    <s v="3"/>
    <n v="296.90352380952379"/>
  </r>
  <r>
    <x v="1"/>
    <s v="Terraced"/>
    <n v="245000"/>
    <n v="250"/>
    <n v="2024"/>
    <n v="5.5"/>
    <n v="10"/>
    <x v="0"/>
    <s v="No"/>
    <s v="First Timer"/>
    <n v="980"/>
    <n v="1354.0629204806419"/>
    <n v="185718.87614419256"/>
    <n v="406218.87614419253"/>
    <n v="220500"/>
    <n v="100.30030612244897"/>
    <m/>
    <s v="1"/>
    <n v="100.30340136054421"/>
  </r>
  <r>
    <x v="7"/>
    <s v="Detached"/>
    <n v="590000"/>
    <n v="600"/>
    <n v="2024"/>
    <n v="5.3"/>
    <s v="22"/>
    <x v="3"/>
    <s v="Yes"/>
    <s v="Investor"/>
    <n v="983.33333333333337"/>
    <n v="2771.3299051706299"/>
    <n v="371198.97155118891"/>
    <n v="831398.97155118897"/>
    <n v="460200"/>
    <n v="241.20030508474576"/>
    <m/>
    <s v="4"/>
    <n v="241.20338983050846"/>
  </r>
  <r>
    <x v="6"/>
    <s v="Detached"/>
    <n v="500000"/>
    <n v="450"/>
    <n v="2024"/>
    <n v="5.0999999999999996"/>
    <s v="20"/>
    <x v="2"/>
    <s v="Yes"/>
    <s v="Investor"/>
    <n v="1111.1111111111111"/>
    <n v="2361.7242868703725"/>
    <n v="308517.28606111172"/>
    <n v="708517.28606111172"/>
    <n v="400000"/>
    <n v="180.90027000000001"/>
    <m/>
    <s v="3"/>
    <n v="180.90299999999999"/>
  </r>
  <r>
    <x v="4"/>
    <s v="Detached"/>
    <n v="460000"/>
    <n v="400"/>
    <n v="2024"/>
    <n v="5.2"/>
    <s v="20"/>
    <x v="2"/>
    <s v="Yes"/>
    <s v="Investor"/>
    <n v="1150"/>
    <n v="2194.3895880114674"/>
    <n v="290316.87640344008"/>
    <n v="658316.87640344002"/>
    <n v="368000"/>
    <n v="160.90026086956522"/>
    <m/>
    <s v="3"/>
    <n v="160.90289855072464"/>
  </r>
  <r>
    <x v="3"/>
    <s v="Flat"/>
    <n v="230000"/>
    <n v="150"/>
    <n v="2024"/>
    <n v="5.4"/>
    <n v="8"/>
    <x v="0"/>
    <s v="No"/>
    <s v="First Timer"/>
    <n v="1533.3333333333333"/>
    <n v="1286.8029052357601"/>
    <n v="174440.87157072802"/>
    <n v="386040.87157072802"/>
    <n v="211600"/>
    <n v="60.300195652173912"/>
    <m/>
    <s v="1"/>
    <n v="60.302173913043475"/>
  </r>
  <r>
    <x v="8"/>
    <s v="Terraced"/>
    <n v="575000"/>
    <n v="300"/>
    <n v="2024"/>
    <n v="5.0999999999999996"/>
    <n v="15"/>
    <x v="2"/>
    <s v="No"/>
    <s v="Upsizer"/>
    <n v="1916.6666666666667"/>
    <n v="2885.7318630197365"/>
    <n v="376969.55890592095"/>
    <n v="865719.55890592095"/>
    <n v="488750"/>
    <n v="120.90015652173913"/>
    <m/>
    <s v="3"/>
    <n v="120.90173913043479"/>
  </r>
  <r>
    <x v="9"/>
    <m/>
    <m/>
    <m/>
    <m/>
    <m/>
    <m/>
    <x v="4"/>
    <m/>
    <m/>
    <m/>
    <m/>
    <m/>
    <m/>
    <m/>
    <m/>
    <m/>
    <m/>
    <m/>
  </r>
  <r>
    <x v="9"/>
    <m/>
    <m/>
    <m/>
    <m/>
    <m/>
    <m/>
    <x v="4"/>
    <m/>
    <m/>
    <m/>
    <m/>
    <m/>
    <m/>
    <m/>
    <m/>
    <m/>
    <m/>
    <m/>
  </r>
  <r>
    <x v="9"/>
    <m/>
    <m/>
    <m/>
    <m/>
    <m/>
    <m/>
    <x v="4"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B419A8-DA68-456D-90EE-5C9A47DA9093}" name="PivotTable1" cacheId="10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9">
  <location ref="A3:B13" firstHeaderRow="1" firstDataRow="1" firstDataCol="1"/>
  <pivotFields count="10">
    <pivotField axis="axisRow" compact="0" outline="0" showAll="0">
      <items count="10">
        <item x="4"/>
        <item x="8"/>
        <item x="0"/>
        <item x="7"/>
        <item x="2"/>
        <item x="1"/>
        <item x="6"/>
        <item x="5"/>
        <item x="3"/>
        <item t="default"/>
      </items>
    </pivotField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Average of Average_Price" fld="2" subtotal="average" baseField="0" baseItem="0"/>
  </dataFields>
  <chartFormats count="9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DD2AA0-CD76-440C-AE75-4546ABB5760F}" name="PivotTable4" cacheId="10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23:B28" firstHeaderRow="1" firstDataRow="1" firstDataCol="1"/>
  <pivotFields count="10">
    <pivotField compact="0" outline="0" showAll="0"/>
    <pivotField axis="axisRow" compact="0" outline="0" showAll="0">
      <items count="5">
        <item x="0"/>
        <item x="1"/>
        <item x="3"/>
        <item x="2"/>
        <item t="default"/>
      </items>
    </pivotField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Average_Price" fld="2" subtotal="average" baseField="0" baseItem="0"/>
  </dataFields>
  <chartFormats count="20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3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2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" format="13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" format="14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3" format="15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4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7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4" format="18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4" format="19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4" format="20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4C66C0-E57F-48FE-96A1-FA3044EEA8C8}" name="PivotTable3" cacheId="10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8">
  <location ref="A3:C8" firstHeaderRow="0" firstDataRow="1" firstDataCol="1"/>
  <pivotFields count="10">
    <pivotField compact="0" outline="0" showAll="0"/>
    <pivotField axis="axisRow" compact="0" outline="0" showAll="0">
      <items count="5">
        <item x="0"/>
        <item x="1"/>
        <item x="3"/>
        <item x="2"/>
        <item t="default"/>
      </items>
    </pivotField>
    <pivotField dataField="1"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Sales_Volume" fld="3" subtotal="average" baseField="0" baseItem="0"/>
    <dataField name="Sum of Average_Price" fld="2" baseField="0" baseItem="0"/>
  </dataFields>
  <formats count="3">
    <format dxfId="23">
      <pivotArea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format>
    <format dxfId="24">
      <pivotArea outline="0" fieldPosition="0">
        <references count="2">
          <reference field="4294967294" count="1" selected="0">
            <x v="0"/>
          </reference>
          <reference field="1" count="3" selected="0">
            <x v="1"/>
            <x v="2"/>
            <x v="3"/>
          </reference>
        </references>
      </pivotArea>
    </format>
    <format dxfId="25">
      <pivotArea field="1" grandRow="1" outline="0" axis="axisRow" fieldPosition="0">
        <references count="1">
          <reference field="4294967294" count="1" selected="0">
            <x v="0"/>
          </reference>
        </references>
      </pivotArea>
    </format>
  </formats>
  <chartFormats count="5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11">
      <pivotArea type="data" outline="0" fieldPosition="0">
        <references count="2">
          <reference field="4294967294" count="1" selected="0">
            <x v="1"/>
          </reference>
          <reference field="1" count="1" selected="0">
            <x v="0"/>
          </reference>
        </references>
      </pivotArea>
    </chartFormat>
    <chartFormat chart="0" format="12">
      <pivotArea type="data" outline="0" fieldPosition="0">
        <references count="2">
          <reference field="4294967294" count="1" selected="0">
            <x v="1"/>
          </reference>
          <reference field="1" count="1" selected="0">
            <x v="1"/>
          </reference>
        </references>
      </pivotArea>
    </chartFormat>
    <chartFormat chart="0" format="13">
      <pivotArea type="data" outline="0" fieldPosition="0">
        <references count="2">
          <reference field="4294967294" count="1" selected="0">
            <x v="1"/>
          </reference>
          <reference field="1" count="1" selected="0">
            <x v="2"/>
          </reference>
        </references>
      </pivotArea>
    </chartFormat>
    <chartFormat chart="0" format="14">
      <pivotArea type="data" outline="0" fieldPosition="0">
        <references count="2">
          <reference field="4294967294" count="1" selected="0">
            <x v="1"/>
          </reference>
          <reference field="1" count="1" selected="0">
            <x v="3"/>
          </reference>
        </references>
      </pivotArea>
    </chartFormat>
    <chartFormat chart="4" format="1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6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4" format="17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4" format="18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4" format="19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4" format="2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21">
      <pivotArea type="data" outline="0" fieldPosition="0">
        <references count="2">
          <reference field="4294967294" count="1" selected="0">
            <x v="1"/>
          </reference>
          <reference field="1" count="1" selected="0">
            <x v="0"/>
          </reference>
        </references>
      </pivotArea>
    </chartFormat>
    <chartFormat chart="4" format="22">
      <pivotArea type="data" outline="0" fieldPosition="0">
        <references count="2">
          <reference field="4294967294" count="1" selected="0">
            <x v="1"/>
          </reference>
          <reference field="1" count="1" selected="0">
            <x v="1"/>
          </reference>
        </references>
      </pivotArea>
    </chartFormat>
    <chartFormat chart="4" format="23">
      <pivotArea type="data" outline="0" fieldPosition="0">
        <references count="2">
          <reference field="4294967294" count="1" selected="0">
            <x v="1"/>
          </reference>
          <reference field="1" count="1" selected="0">
            <x v="2"/>
          </reference>
        </references>
      </pivotArea>
    </chartFormat>
    <chartFormat chart="4" format="24">
      <pivotArea type="data" outline="0" fieldPosition="0">
        <references count="2">
          <reference field="4294967294" count="1" selected="0">
            <x v="1"/>
          </reference>
          <reference field="1" count="1" selected="0">
            <x v="3"/>
          </reference>
        </references>
      </pivotArea>
    </chartFormat>
    <chartFormat chart="5" format="2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6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5" format="27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5" format="28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5" format="29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5" format="3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31">
      <pivotArea type="data" outline="0" fieldPosition="0">
        <references count="2">
          <reference field="4294967294" count="1" selected="0">
            <x v="1"/>
          </reference>
          <reference field="1" count="1" selected="0">
            <x v="0"/>
          </reference>
        </references>
      </pivotArea>
    </chartFormat>
    <chartFormat chart="5" format="32">
      <pivotArea type="data" outline="0" fieldPosition="0">
        <references count="2">
          <reference field="4294967294" count="1" selected="0">
            <x v="1"/>
          </reference>
          <reference field="1" count="1" selected="0">
            <x v="1"/>
          </reference>
        </references>
      </pivotArea>
    </chartFormat>
    <chartFormat chart="5" format="33">
      <pivotArea type="data" outline="0" fieldPosition="0">
        <references count="2">
          <reference field="4294967294" count="1" selected="0">
            <x v="1"/>
          </reference>
          <reference field="1" count="1" selected="0">
            <x v="2"/>
          </reference>
        </references>
      </pivotArea>
    </chartFormat>
    <chartFormat chart="5" format="34">
      <pivotArea type="data" outline="0" fieldPosition="0">
        <references count="2">
          <reference field="4294967294" count="1" selected="0">
            <x v="1"/>
          </reference>
          <reference field="1" count="1" selected="0">
            <x v="3"/>
          </reference>
        </references>
      </pivotArea>
    </chartFormat>
    <chartFormat chart="6" format="3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36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6" format="37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6" format="38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6" format="39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6" format="4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41">
      <pivotArea type="data" outline="0" fieldPosition="0">
        <references count="2">
          <reference field="4294967294" count="1" selected="0">
            <x v="1"/>
          </reference>
          <reference field="1" count="1" selected="0">
            <x v="0"/>
          </reference>
        </references>
      </pivotArea>
    </chartFormat>
    <chartFormat chart="6" format="42">
      <pivotArea type="data" outline="0" fieldPosition="0">
        <references count="2">
          <reference field="4294967294" count="1" selected="0">
            <x v="1"/>
          </reference>
          <reference field="1" count="1" selected="0">
            <x v="1"/>
          </reference>
        </references>
      </pivotArea>
    </chartFormat>
    <chartFormat chart="6" format="43">
      <pivotArea type="data" outline="0" fieldPosition="0">
        <references count="2">
          <reference field="4294967294" count="1" selected="0">
            <x v="1"/>
          </reference>
          <reference field="1" count="1" selected="0">
            <x v="2"/>
          </reference>
        </references>
      </pivotArea>
    </chartFormat>
    <chartFormat chart="6" format="44">
      <pivotArea type="data" outline="0" fieldPosition="0">
        <references count="2">
          <reference field="4294967294" count="1" selected="0">
            <x v="1"/>
          </reference>
          <reference field="1" count="1" selected="0">
            <x v="3"/>
          </reference>
        </references>
      </pivotArea>
    </chartFormat>
    <chartFormat chart="7" format="4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46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7" format="47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7" format="48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7" format="49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7" format="5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51">
      <pivotArea type="data" outline="0" fieldPosition="0">
        <references count="2">
          <reference field="4294967294" count="1" selected="0">
            <x v="1"/>
          </reference>
          <reference field="1" count="1" selected="0">
            <x v="0"/>
          </reference>
        </references>
      </pivotArea>
    </chartFormat>
    <chartFormat chart="7" format="52">
      <pivotArea type="data" outline="0" fieldPosition="0">
        <references count="2">
          <reference field="4294967294" count="1" selected="0">
            <x v="1"/>
          </reference>
          <reference field="1" count="1" selected="0">
            <x v="1"/>
          </reference>
        </references>
      </pivotArea>
    </chartFormat>
    <chartFormat chart="7" format="53">
      <pivotArea type="data" outline="0" fieldPosition="0">
        <references count="2">
          <reference field="4294967294" count="1" selected="0">
            <x v="1"/>
          </reference>
          <reference field="1" count="1" selected="0">
            <x v="2"/>
          </reference>
        </references>
      </pivotArea>
    </chartFormat>
    <chartFormat chart="7" format="54">
      <pivotArea type="data" outline="0" fieldPosition="0">
        <references count="2">
          <reference field="4294967294" count="1" selected="0">
            <x v="1"/>
          </reference>
          <reference field="1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EF27CD-E491-4457-8A9B-0F1BDC582BB3}" name="PivotTable5" cacheId="10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D14" firstHeaderRow="1" firstDataRow="2" firstDataCol="1"/>
  <pivotFields count="10">
    <pivotField axis="axisRow" compact="0" outline="0" showAll="0">
      <items count="10">
        <item x="4"/>
        <item x="8"/>
        <item x="0"/>
        <item x="7"/>
        <item x="2"/>
        <item x="1"/>
        <item x="6"/>
        <item x="5"/>
        <item x="3"/>
        <item t="default"/>
      </items>
    </pivotField>
    <pivotField compact="0" outline="0" showAll="0"/>
    <pivotField dataField="1" compact="0" outline="0" showAll="0"/>
    <pivotField compact="0" outline="0" showAll="0"/>
    <pivotField axis="axisCol"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4"/>
  </colFields>
  <colItems count="3">
    <i>
      <x/>
    </i>
    <i>
      <x v="1"/>
    </i>
    <i t="grand">
      <x/>
    </i>
  </colItems>
  <dataFields count="1">
    <dataField name="Average of Average_Price" fld="2" subtotal="average" baseField="0" baseItem="0"/>
  </dataFields>
  <formats count="3">
    <format dxfId="20">
      <pivotArea outline="0" fieldPosition="0">
        <references count="2">
          <reference field="0" count="0" selected="0"/>
          <reference field="4" count="1" selected="0">
            <x v="1"/>
          </reference>
        </references>
      </pivotArea>
    </format>
    <format dxfId="21">
      <pivotArea outline="0" fieldPosition="0">
        <references count="2">
          <reference field="0" count="0" selected="0"/>
          <reference field="4" count="1" selected="0">
            <x v="0"/>
          </reference>
        </references>
      </pivotArea>
    </format>
    <format dxfId="22">
      <pivotArea field="4" grandRow="1" outline="0" axis="axisCol" fieldPosition="0">
        <references count="1">
          <reference field="4" count="0" selected="0"/>
        </references>
      </pivotArea>
    </format>
  </formats>
  <chartFormats count="55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0" format="2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4" count="1" selected="0">
            <x v="1"/>
          </reference>
        </references>
      </pivotArea>
    </chartFormat>
    <chartFormat chart="0" format="3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4" count="1" selected="0">
            <x v="1"/>
          </reference>
        </references>
      </pivotArea>
    </chartFormat>
    <chartFormat chart="0" format="4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4" count="1" selected="0">
            <x v="1"/>
          </reference>
        </references>
      </pivotArea>
    </chartFormat>
    <chartFormat chart="0" format="5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4" count="1" selected="0">
            <x v="1"/>
          </reference>
        </references>
      </pivotArea>
    </chartFormat>
    <chartFormat chart="0" format="6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4" count="1" selected="0">
            <x v="1"/>
          </reference>
        </references>
      </pivotArea>
    </chartFormat>
    <chartFormat chart="0" format="7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4" count="1" selected="0">
            <x v="1"/>
          </reference>
        </references>
      </pivotArea>
    </chartFormat>
    <chartFormat chart="0" format="8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4" count="1" selected="0">
            <x v="1"/>
          </reference>
        </references>
      </pivotArea>
    </chartFormat>
    <chartFormat chart="0" format="9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4" count="1" selected="0">
            <x v="1"/>
          </reference>
        </references>
      </pivotArea>
    </chartFormat>
    <chartFormat chart="0" format="10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4" count="1" selected="0">
            <x v="1"/>
          </reference>
        </references>
      </pivotArea>
    </chartFormat>
    <chartFormat chart="1" format="1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" format="1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" format="13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4" count="1" selected="0">
            <x v="1"/>
          </reference>
        </references>
      </pivotArea>
    </chartFormat>
    <chartFormat chart="1" format="14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4" count="1" selected="0">
            <x v="1"/>
          </reference>
        </references>
      </pivotArea>
    </chartFormat>
    <chartFormat chart="1" format="15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4" count="1" selected="0">
            <x v="1"/>
          </reference>
        </references>
      </pivotArea>
    </chartFormat>
    <chartFormat chart="1" format="16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4" count="1" selected="0">
            <x v="1"/>
          </reference>
        </references>
      </pivotArea>
    </chartFormat>
    <chartFormat chart="1" format="17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4" count="1" selected="0">
            <x v="1"/>
          </reference>
        </references>
      </pivotArea>
    </chartFormat>
    <chartFormat chart="1" format="18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4" count="1" selected="0">
            <x v="1"/>
          </reference>
        </references>
      </pivotArea>
    </chartFormat>
    <chartFormat chart="1" format="19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4" count="1" selected="0">
            <x v="1"/>
          </reference>
        </references>
      </pivotArea>
    </chartFormat>
    <chartFormat chart="1" format="20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4" count="1" selected="0">
            <x v="1"/>
          </reference>
        </references>
      </pivotArea>
    </chartFormat>
    <chartFormat chart="1" format="21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4" count="1" selected="0">
            <x v="1"/>
          </reference>
        </references>
      </pivotArea>
    </chartFormat>
    <chartFormat chart="2" format="2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2" format="2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2" format="24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4" count="1" selected="0">
            <x v="1"/>
          </reference>
        </references>
      </pivotArea>
    </chartFormat>
    <chartFormat chart="2" format="25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4" count="1" selected="0">
            <x v="1"/>
          </reference>
        </references>
      </pivotArea>
    </chartFormat>
    <chartFormat chart="2" format="26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4" count="1" selected="0">
            <x v="1"/>
          </reference>
        </references>
      </pivotArea>
    </chartFormat>
    <chartFormat chart="2" format="27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4" count="1" selected="0">
            <x v="1"/>
          </reference>
        </references>
      </pivotArea>
    </chartFormat>
    <chartFormat chart="2" format="28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4" count="1" selected="0">
            <x v="1"/>
          </reference>
        </references>
      </pivotArea>
    </chartFormat>
    <chartFormat chart="2" format="29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4" count="1" selected="0">
            <x v="1"/>
          </reference>
        </references>
      </pivotArea>
    </chartFormat>
    <chartFormat chart="2" format="30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4" count="1" selected="0">
            <x v="1"/>
          </reference>
        </references>
      </pivotArea>
    </chartFormat>
    <chartFormat chart="2" format="31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4" count="1" selected="0">
            <x v="1"/>
          </reference>
        </references>
      </pivotArea>
    </chartFormat>
    <chartFormat chart="2" format="32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4" count="1" selected="0">
            <x v="1"/>
          </reference>
        </references>
      </pivotArea>
    </chartFormat>
    <chartFormat chart="3" format="3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3" format="3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3" format="35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4" count="1" selected="0">
            <x v="1"/>
          </reference>
        </references>
      </pivotArea>
    </chartFormat>
    <chartFormat chart="3" format="36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4" count="1" selected="0">
            <x v="1"/>
          </reference>
        </references>
      </pivotArea>
    </chartFormat>
    <chartFormat chart="3" format="37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4" count="1" selected="0">
            <x v="1"/>
          </reference>
        </references>
      </pivotArea>
    </chartFormat>
    <chartFormat chart="3" format="38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4" count="1" selected="0">
            <x v="1"/>
          </reference>
        </references>
      </pivotArea>
    </chartFormat>
    <chartFormat chart="3" format="39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4" count="1" selected="0">
            <x v="1"/>
          </reference>
        </references>
      </pivotArea>
    </chartFormat>
    <chartFormat chart="3" format="40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4" count="1" selected="0">
            <x v="1"/>
          </reference>
        </references>
      </pivotArea>
    </chartFormat>
    <chartFormat chart="3" format="41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4" count="1" selected="0">
            <x v="1"/>
          </reference>
        </references>
      </pivotArea>
    </chartFormat>
    <chartFormat chart="3" format="42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4" count="1" selected="0">
            <x v="1"/>
          </reference>
        </references>
      </pivotArea>
    </chartFormat>
    <chartFormat chart="3" format="43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4" count="1" selected="0">
            <x v="1"/>
          </reference>
        </references>
      </pivotArea>
    </chartFormat>
    <chartFormat chart="4" format="4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4" format="4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4" format="46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4" count="1" selected="0">
            <x v="1"/>
          </reference>
        </references>
      </pivotArea>
    </chartFormat>
    <chartFormat chart="4" format="47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4" count="1" selected="0">
            <x v="1"/>
          </reference>
        </references>
      </pivotArea>
    </chartFormat>
    <chartFormat chart="4" format="48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4" count="1" selected="0">
            <x v="1"/>
          </reference>
        </references>
      </pivotArea>
    </chartFormat>
    <chartFormat chart="4" format="49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4" count="1" selected="0">
            <x v="1"/>
          </reference>
        </references>
      </pivotArea>
    </chartFormat>
    <chartFormat chart="4" format="50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4" count="1" selected="0">
            <x v="1"/>
          </reference>
        </references>
      </pivotArea>
    </chartFormat>
    <chartFormat chart="4" format="51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4" count="1" selected="0">
            <x v="1"/>
          </reference>
        </references>
      </pivotArea>
    </chartFormat>
    <chartFormat chart="4" format="52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4" count="1" selected="0">
            <x v="1"/>
          </reference>
        </references>
      </pivotArea>
    </chartFormat>
    <chartFormat chart="4" format="53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4" count="1" selected="0">
            <x v="1"/>
          </reference>
        </references>
      </pivotArea>
    </chartFormat>
    <chartFormat chart="4" format="54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CB53B6-B744-4491-8625-24AD5DCC047E}" name="PivotTable2" cacheId="10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D9" firstHeaderRow="1" firstDataRow="2" firstDataCol="1"/>
  <pivotFields count="11">
    <pivotField compact="0" outline="0" showAll="0"/>
    <pivotField axis="axisRow" compact="0" outline="0" showAll="0">
      <items count="5">
        <item x="0"/>
        <item x="1"/>
        <item x="3"/>
        <item x="2"/>
        <item t="default"/>
      </items>
    </pivotField>
    <pivotField dataField="1" compact="0" outline="0" showAll="0"/>
    <pivotField compact="0" outline="0" showAll="0"/>
    <pivotField axis="axisCol"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4"/>
  </colFields>
  <colItems count="3">
    <i>
      <x/>
    </i>
    <i>
      <x v="1"/>
    </i>
    <i t="grand">
      <x/>
    </i>
  </colItems>
  <dataFields count="1">
    <dataField name="Average of Average_Price" fld="2" subtotal="average" baseField="0" baseItem="0"/>
  </dataFields>
  <formats count="3">
    <format dxfId="17">
      <pivotArea outline="0" fieldPosition="0">
        <references count="1">
          <reference field="4" count="1" selected="0">
            <x v="0"/>
          </reference>
        </references>
      </pivotArea>
    </format>
    <format dxfId="18">
      <pivotArea outline="0" fieldPosition="0">
        <references count="2">
          <reference field="1" count="3" selected="0">
            <x v="1"/>
            <x v="2"/>
            <x v="3"/>
          </reference>
          <reference field="4" count="1" selected="0">
            <x v="1"/>
          </reference>
        </references>
      </pivotArea>
    </format>
    <format dxfId="19">
      <pivotArea field="4" grandRow="1" outline="0" axis="axisCol" fieldPosition="0">
        <references count="1">
          <reference field="4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25FD51-440D-447A-A9FB-6215A9060B54}" name="PivotTable1" cacheId="10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3">
  <location ref="A3:B13" firstHeaderRow="1" firstDataRow="1" firstDataCol="1"/>
  <pivotFields count="11">
    <pivotField axis="axisRow" compact="0" outline="0" showAll="0">
      <items count="10">
        <item x="4"/>
        <item x="8"/>
        <item x="0"/>
        <item x="7"/>
        <item x="2"/>
        <item x="1"/>
        <item x="6"/>
        <item x="5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5">
        <item x="3"/>
        <item x="0"/>
        <item x="1"/>
        <item x="2"/>
        <item t="default"/>
      </items>
    </pivotField>
    <pivotField compact="0" outline="0" showAll="0"/>
    <pivotField compact="0" outline="0" showAll="0"/>
    <pivotField dataField="1" compact="0" outline="0" showAll="0"/>
  </pivotFields>
  <rowFields count="1">
    <field x="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Average of Affordability_Index" fld="10" subtotal="average" baseField="0" baseItem="0" numFmtId="2"/>
  </dataFields>
  <formats count="1">
    <format dxfId="16">
      <pivotArea outline="0" collapsedLevelsAreSubtotals="1" fieldPosition="0"/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761FCA-752C-44B9-A713-60F29E695628}" name="PivotTable2" cacheId="10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B13" firstHeaderRow="1" firstDataRow="1" firstDataCol="1"/>
  <pivotFields count="15">
    <pivotField axis="axisRow" compact="0" outline="0" showAll="0">
      <items count="10">
        <item x="3"/>
        <item x="5"/>
        <item x="8"/>
        <item x="0"/>
        <item x="2"/>
        <item x="7"/>
        <item x="6"/>
        <item x="4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2" outline="0" showAll="0"/>
    <pivotField dataField="1" compact="0" numFmtId="8" outline="0" showAll="0"/>
    <pivotField compact="0" numFmtId="8" outline="0" showAll="0"/>
    <pivotField compact="0" numFmtId="8" outline="0" showAll="0"/>
    <pivotField compact="0" outline="0" showAll="0"/>
  </pivotFields>
  <rowFields count="1">
    <field x="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Average of Monthly_Mortgage_cost" fld="11" subtotal="average" baseField="0" baseItem="0" numFmtId="8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1C258B-5403-4052-A026-F715B2331537}" name="PivotTable3" cacheId="10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2">
  <location ref="A3:K9" firstHeaderRow="1" firstDataRow="3" firstDataCol="1"/>
  <pivotFields count="15">
    <pivotField compact="0" outline="0" showAll="0"/>
    <pivotField axis="axisCol" compact="0" outline="0" showAll="0">
      <items count="5">
        <item x="3"/>
        <item x="0"/>
        <item x="2"/>
        <item x="1"/>
        <item t="default"/>
      </items>
    </pivotField>
    <pivotField dataField="1"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0"/>
        <item x="2"/>
        <item x="1"/>
        <item t="default"/>
      </items>
    </pivotField>
    <pivotField compact="0" numFmtId="2" outline="0" showAll="0"/>
    <pivotField compact="0" numFmtId="8" outline="0" showAll="0"/>
    <pivotField compact="0" numFmtId="8" outline="0" showAll="0"/>
    <pivotField compact="0" numFmtId="8" outline="0" showAll="0"/>
    <pivotField compact="0" outline="0" showAll="0"/>
  </pivotFields>
  <rowFields count="1">
    <field x="9"/>
  </rowFields>
  <rowItems count="4">
    <i>
      <x/>
    </i>
    <i>
      <x v="1"/>
    </i>
    <i>
      <x v="2"/>
    </i>
    <i t="grand">
      <x/>
    </i>
  </rowItems>
  <colFields count="2">
    <field x="1"/>
    <field x="-2"/>
  </colFields>
  <colItems count="10">
    <i>
      <x/>
      <x/>
    </i>
    <i r="1" i="1">
      <x v="1"/>
    </i>
    <i>
      <x v="1"/>
      <x/>
    </i>
    <i r="1" i="1">
      <x v="1"/>
    </i>
    <i>
      <x v="2"/>
      <x/>
    </i>
    <i r="1" i="1">
      <x v="1"/>
    </i>
    <i>
      <x v="3"/>
      <x/>
    </i>
    <i r="1" i="1">
      <x v="1"/>
    </i>
    <i t="grand">
      <x/>
    </i>
    <i t="grand" i="1">
      <x/>
    </i>
  </colItems>
  <dataFields count="2">
    <dataField name="Average of Sales_Volume" fld="3" subtotal="average" baseField="0" baseItem="0"/>
    <dataField name="Average of Average_Price" fld="2" subtotal="average" baseField="0" baseItem="0"/>
  </dataFields>
  <chartFormats count="21">
    <chartFormat chart="0" format="1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7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0"/>
          </reference>
        </references>
      </pivotArea>
    </chartFormat>
    <chartFormat chart="0" format="1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19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1"/>
          </reference>
        </references>
      </pivotArea>
    </chartFormat>
    <chartFormat chart="0" format="2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21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2"/>
          </reference>
        </references>
      </pivotArea>
    </chartFormat>
    <chartFormat chart="0" format="2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23" series="1">
      <pivotArea type="data" outline="0" fieldPosition="0">
        <references count="2">
          <reference field="4294967294" count="1" selected="0">
            <x v="1"/>
          </reference>
          <reference field="1" count="1" selected="0">
            <x v="3"/>
          </reference>
        </references>
      </pivotArea>
    </chartFormat>
    <chartFormat chart="0" format="24">
      <pivotArea type="data" outline="0" fieldPosition="0">
        <references count="3">
          <reference field="4294967294" count="1" selected="0">
            <x v="1"/>
          </reference>
          <reference field="1" count="1" selected="0">
            <x v="3"/>
          </reference>
          <reference field="9" count="1" selected="0">
            <x v="0"/>
          </reference>
        </references>
      </pivotArea>
    </chartFormat>
    <chartFormat chart="0" format="25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9" count="1" selected="0">
            <x v="0"/>
          </reference>
        </references>
      </pivotArea>
    </chartFormat>
    <chartFormat chart="0" format="26">
      <pivotArea type="data" outline="0" fieldPosition="0">
        <references count="3">
          <reference field="4294967294" count="1" selected="0">
            <x v="1"/>
          </reference>
          <reference field="1" count="1" selected="0">
            <x v="1"/>
          </reference>
          <reference field="9" count="1" selected="0">
            <x v="0"/>
          </reference>
        </references>
      </pivotArea>
    </chartFormat>
    <chartFormat chart="0" format="27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9" count="1" selected="0">
            <x v="0"/>
          </reference>
        </references>
      </pivotArea>
    </chartFormat>
    <chartFormat chart="0" format="28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9" count="1" selected="0">
            <x v="1"/>
          </reference>
        </references>
      </pivotArea>
    </chartFormat>
    <chartFormat chart="0" format="29">
      <pivotArea type="data" outline="0" fieldPosition="0">
        <references count="3">
          <reference field="4294967294" count="1" selected="0">
            <x v="1"/>
          </reference>
          <reference field="1" count="1" selected="0">
            <x v="0"/>
          </reference>
          <reference field="9" count="1" selected="0">
            <x v="1"/>
          </reference>
        </references>
      </pivotArea>
    </chartFormat>
    <chartFormat chart="0" format="30">
      <pivotArea type="data" outline="0" fieldPosition="0">
        <references count="3">
          <reference field="4294967294" count="1" selected="0">
            <x v="1"/>
          </reference>
          <reference field="1" count="1" selected="0">
            <x v="2"/>
          </reference>
          <reference field="9" count="1" selected="0">
            <x v="2"/>
          </reference>
        </references>
      </pivotArea>
    </chartFormat>
    <chartFormat chart="0" format="31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9" count="1" selected="0">
            <x v="2"/>
          </reference>
        </references>
      </pivotArea>
    </chartFormat>
    <chartFormat chart="0" format="32">
      <pivotArea type="data" outline="0" fieldPosition="0">
        <references count="3">
          <reference field="4294967294" count="1" selected="0">
            <x v="1"/>
          </reference>
          <reference field="1" count="1" selected="0">
            <x v="0"/>
          </reference>
          <reference field="9" count="1" selected="0">
            <x v="2"/>
          </reference>
        </references>
      </pivotArea>
    </chartFormat>
    <chartFormat chart="0" format="33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9" count="1" selected="0">
            <x v="2"/>
          </reference>
        </references>
      </pivotArea>
    </chartFormat>
    <chartFormat chart="0" format="34">
      <pivotArea type="data" outline="0" fieldPosition="0">
        <references count="3">
          <reference field="4294967294" count="1" selected="0">
            <x v="1"/>
          </reference>
          <reference field="1" count="1" selected="0">
            <x v="3"/>
          </reference>
          <reference field="9" count="1" selected="0">
            <x v="2"/>
          </reference>
        </references>
      </pivotArea>
    </chartFormat>
    <chartFormat chart="0" format="35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9" count="1" selected="0">
            <x v="2"/>
          </reference>
        </references>
      </pivotArea>
    </chartFormat>
    <chartFormat chart="0" format="36">
      <pivotArea type="data" outline="0" fieldPosition="0">
        <references count="3">
          <reference field="4294967294" count="1" selected="0">
            <x v="1"/>
          </reference>
          <reference field="1" count="1" selected="0">
            <x v="2"/>
          </reference>
          <reference field="9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BE2048-4F93-4C96-A9A2-D10A418FFFBB}" name="PivotTable4" cacheId="10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9">
  <location ref="A3:F8" firstHeaderRow="1" firstDataRow="2" firstDataCol="1"/>
  <pivotFields count="15">
    <pivotField compact="0" outline="0" showAll="0"/>
    <pivotField axis="axisCol" compact="0" outline="0" showAll="0">
      <items count="5">
        <item x="3"/>
        <item x="0"/>
        <item x="2"/>
        <item x="1"/>
        <item t="default"/>
      </items>
    </pivotField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0"/>
        <item x="2"/>
        <item x="1"/>
        <item t="default"/>
      </items>
    </pivotField>
    <pivotField compact="0" numFmtId="2" outline="0" showAll="0"/>
    <pivotField compact="0" numFmtId="8" outline="0" showAll="0"/>
    <pivotField compact="0" numFmtId="8" outline="0" showAll="0"/>
    <pivotField compact="0" numFmtId="8" outline="0" showAll="0"/>
    <pivotField compact="0" outline="0" showAll="0"/>
  </pivotFields>
  <rowFields count="1">
    <field x="9"/>
  </rowFields>
  <rowItems count="4">
    <i>
      <x/>
    </i>
    <i>
      <x v="1"/>
    </i>
    <i>
      <x v="2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1">
    <dataField name="Count of Sales_Volume" fld="3" subtotal="count" baseField="0" baseItem="0"/>
  </dataFields>
  <chartFormats count="90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4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9" count="1" selected="0">
            <x v="0"/>
          </reference>
        </references>
      </pivotArea>
    </chartFormat>
    <chartFormat chart="0" format="5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9" count="1" selected="0">
            <x v="0"/>
          </reference>
        </references>
      </pivotArea>
    </chartFormat>
    <chartFormat chart="0" format="6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9" count="1" selected="0">
            <x v="1"/>
          </reference>
        </references>
      </pivotArea>
    </chartFormat>
    <chartFormat chart="0" format="7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9" count="1" selected="0">
            <x v="2"/>
          </reference>
        </references>
      </pivotArea>
    </chartFormat>
    <chartFormat chart="0" format="8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9" count="1" selected="0">
            <x v="2"/>
          </reference>
        </references>
      </pivotArea>
    </chartFormat>
    <chartFormat chart="0" format="9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9" count="1" selected="0">
            <x v="2"/>
          </reference>
        </references>
      </pivotArea>
    </chartFormat>
    <chartFormat chart="1" format="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" format="11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9" count="1" selected="0">
            <x v="1"/>
          </reference>
        </references>
      </pivotArea>
    </chartFormat>
    <chartFormat chart="1" format="12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9" count="1" selected="0">
            <x v="2"/>
          </reference>
        </references>
      </pivotArea>
    </chartFormat>
    <chartFormat chart="1" format="1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" format="14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9" count="1" selected="0">
            <x v="0"/>
          </reference>
        </references>
      </pivotArea>
    </chartFormat>
    <chartFormat chart="1" format="1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" format="16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9" count="1" selected="0">
            <x v="2"/>
          </reference>
        </references>
      </pivotArea>
    </chartFormat>
    <chartFormat chart="1" format="1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" format="18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9" count="1" selected="0">
            <x v="0"/>
          </reference>
        </references>
      </pivotArea>
    </chartFormat>
    <chartFormat chart="1" format="19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9" count="1" selected="0">
            <x v="2"/>
          </reference>
        </references>
      </pivotArea>
    </chartFormat>
    <chartFormat chart="2" format="2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" format="21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9" count="1" selected="0">
            <x v="1"/>
          </reference>
        </references>
      </pivotArea>
    </chartFormat>
    <chartFormat chart="2" format="22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9" count="1" selected="0">
            <x v="2"/>
          </reference>
        </references>
      </pivotArea>
    </chartFormat>
    <chartFormat chart="2" format="2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" format="24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9" count="1" selected="0">
            <x v="0"/>
          </reference>
        </references>
      </pivotArea>
    </chartFormat>
    <chartFormat chart="2" format="2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2" format="26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9" count="1" selected="0">
            <x v="2"/>
          </reference>
        </references>
      </pivotArea>
    </chartFormat>
    <chartFormat chart="2" format="2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2" format="28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9" count="1" selected="0">
            <x v="0"/>
          </reference>
        </references>
      </pivotArea>
    </chartFormat>
    <chartFormat chart="2" format="29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9" count="1" selected="0">
            <x v="2"/>
          </reference>
        </references>
      </pivotArea>
    </chartFormat>
    <chartFormat chart="3" format="3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" format="31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9" count="1" selected="0">
            <x v="1"/>
          </reference>
        </references>
      </pivotArea>
    </chartFormat>
    <chartFormat chart="3" format="32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9" count="1" selected="0">
            <x v="2"/>
          </reference>
        </references>
      </pivotArea>
    </chartFormat>
    <chartFormat chart="3" format="3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" format="34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9" count="1" selected="0">
            <x v="0"/>
          </reference>
        </references>
      </pivotArea>
    </chartFormat>
    <chartFormat chart="3" format="3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3" format="36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9" count="1" selected="0">
            <x v="2"/>
          </reference>
        </references>
      </pivotArea>
    </chartFormat>
    <chartFormat chart="3" format="3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3" format="38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9" count="1" selected="0">
            <x v="0"/>
          </reference>
        </references>
      </pivotArea>
    </chartFormat>
    <chartFormat chart="3" format="39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9" count="1" selected="0">
            <x v="2"/>
          </reference>
        </references>
      </pivotArea>
    </chartFormat>
    <chartFormat chart="4" format="4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4" format="41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9" count="1" selected="0">
            <x v="1"/>
          </reference>
        </references>
      </pivotArea>
    </chartFormat>
    <chartFormat chart="4" format="42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9" count="1" selected="0">
            <x v="2"/>
          </reference>
        </references>
      </pivotArea>
    </chartFormat>
    <chartFormat chart="4" format="4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4" format="44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9" count="1" selected="0">
            <x v="0"/>
          </reference>
        </references>
      </pivotArea>
    </chartFormat>
    <chartFormat chart="4" format="4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4" format="46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9" count="1" selected="0">
            <x v="2"/>
          </reference>
        </references>
      </pivotArea>
    </chartFormat>
    <chartFormat chart="4" format="4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4" format="48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9" count="1" selected="0">
            <x v="0"/>
          </reference>
        </references>
      </pivotArea>
    </chartFormat>
    <chartFormat chart="4" format="49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9" count="1" selected="0">
            <x v="2"/>
          </reference>
        </references>
      </pivotArea>
    </chartFormat>
    <chartFormat chart="5" format="5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5" format="51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9" count="1" selected="0">
            <x v="1"/>
          </reference>
        </references>
      </pivotArea>
    </chartFormat>
    <chartFormat chart="5" format="52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9" count="1" selected="0">
            <x v="2"/>
          </reference>
        </references>
      </pivotArea>
    </chartFormat>
    <chartFormat chart="5" format="5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5" format="54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9" count="1" selected="0">
            <x v="0"/>
          </reference>
        </references>
      </pivotArea>
    </chartFormat>
    <chartFormat chart="5" format="5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5" format="56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9" count="1" selected="0">
            <x v="2"/>
          </reference>
        </references>
      </pivotArea>
    </chartFormat>
    <chartFormat chart="5" format="5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5" format="58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9" count="1" selected="0">
            <x v="0"/>
          </reference>
        </references>
      </pivotArea>
    </chartFormat>
    <chartFormat chart="5" format="59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9" count="1" selected="0">
            <x v="2"/>
          </reference>
        </references>
      </pivotArea>
    </chartFormat>
    <chartFormat chart="6" format="6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6" format="61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9" count="1" selected="0">
            <x v="1"/>
          </reference>
        </references>
      </pivotArea>
    </chartFormat>
    <chartFormat chart="6" format="62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9" count="1" selected="0">
            <x v="2"/>
          </reference>
        </references>
      </pivotArea>
    </chartFormat>
    <chartFormat chart="6" format="6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6" format="64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9" count="1" selected="0">
            <x v="0"/>
          </reference>
        </references>
      </pivotArea>
    </chartFormat>
    <chartFormat chart="6" format="6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6" format="66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9" count="1" selected="0">
            <x v="2"/>
          </reference>
        </references>
      </pivotArea>
    </chartFormat>
    <chartFormat chart="6" format="6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6" format="68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9" count="1" selected="0">
            <x v="0"/>
          </reference>
        </references>
      </pivotArea>
    </chartFormat>
    <chartFormat chart="6" format="69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9" count="1" selected="0">
            <x v="2"/>
          </reference>
        </references>
      </pivotArea>
    </chartFormat>
    <chartFormat chart="7" format="7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7" format="71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9" count="1" selected="0">
            <x v="1"/>
          </reference>
        </references>
      </pivotArea>
    </chartFormat>
    <chartFormat chart="7" format="72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9" count="1" selected="0">
            <x v="2"/>
          </reference>
        </references>
      </pivotArea>
    </chartFormat>
    <chartFormat chart="7" format="7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7" format="74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9" count="1" selected="0">
            <x v="0"/>
          </reference>
        </references>
      </pivotArea>
    </chartFormat>
    <chartFormat chart="7" format="7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7" format="76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9" count="1" selected="0">
            <x v="2"/>
          </reference>
        </references>
      </pivotArea>
    </chartFormat>
    <chartFormat chart="7" format="7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7" format="78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9" count="1" selected="0">
            <x v="0"/>
          </reference>
        </references>
      </pivotArea>
    </chartFormat>
    <chartFormat chart="7" format="79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9" count="1" selected="0">
            <x v="2"/>
          </reference>
        </references>
      </pivotArea>
    </chartFormat>
    <chartFormat chart="8" format="8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8" format="81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9" count="1" selected="0">
            <x v="1"/>
          </reference>
        </references>
      </pivotArea>
    </chartFormat>
    <chartFormat chart="8" format="82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9" count="1" selected="0">
            <x v="2"/>
          </reference>
        </references>
      </pivotArea>
    </chartFormat>
    <chartFormat chart="8" format="8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8" format="84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9" count="1" selected="0">
            <x v="0"/>
          </reference>
        </references>
      </pivotArea>
    </chartFormat>
    <chartFormat chart="8" format="8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8" format="86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9" count="1" selected="0">
            <x v="2"/>
          </reference>
        </references>
      </pivotArea>
    </chartFormat>
    <chartFormat chart="8" format="8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8" format="88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9" count="1" selected="0">
            <x v="0"/>
          </reference>
        </references>
      </pivotArea>
    </chartFormat>
    <chartFormat chart="8" format="89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9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AFB3B0-7520-49CE-923D-27E02121EA86}" name="PivotTable5" cacheId="10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2">
  <location ref="A3:F8" firstHeaderRow="1" firstDataRow="2" firstDataCol="1"/>
  <pivotFields count="15">
    <pivotField compact="0" outline="0" showAll="0"/>
    <pivotField axis="axisCol" compact="0" outline="0" showAll="0">
      <items count="5">
        <item x="3"/>
        <item x="0"/>
        <item x="2"/>
        <item x="1"/>
        <item t="default"/>
      </items>
    </pivotField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0"/>
        <item x="2"/>
        <item x="1"/>
        <item t="default"/>
      </items>
    </pivotField>
    <pivotField compact="0" numFmtId="2" outline="0" showAll="0"/>
    <pivotField compact="0" numFmtId="8" outline="0" showAll="0"/>
    <pivotField compact="0" numFmtId="8" outline="0" showAll="0"/>
    <pivotField compact="0" numFmtId="8" outline="0" showAll="0"/>
    <pivotField compact="0" outline="0" showAll="0"/>
  </pivotFields>
  <rowFields count="1">
    <field x="9"/>
  </rowFields>
  <rowItems count="4">
    <i>
      <x/>
    </i>
    <i>
      <x v="1"/>
    </i>
    <i>
      <x v="2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1">
    <dataField name="Average of Average_Price" fld="2" subtotal="average" baseField="0" baseItem="0"/>
  </dataFields>
  <chartFormats count="9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9B5ABB-EA99-4AE1-8F59-D9300D9A7107}" name="PivotTable6" cacheId="10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C8" firstHeaderRow="0" firstDataRow="1" firstDataCol="1"/>
  <pivotFields count="15">
    <pivotField compact="0" outline="0" showAll="0"/>
    <pivotField compact="0" outline="0" showAll="0"/>
    <pivotField dataField="1"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5">
        <item x="3"/>
        <item x="2"/>
        <item x="1"/>
        <item x="0"/>
        <item t="default"/>
      </items>
    </pivotField>
    <pivotField compact="0" outline="0" showAll="0"/>
    <pivotField compact="0" outline="0" showAll="0"/>
    <pivotField compact="0" numFmtId="2" outline="0" showAll="0"/>
    <pivotField compact="0" numFmtId="8" outline="0" showAll="0"/>
    <pivotField compact="0" numFmtId="8" outline="0" showAll="0"/>
    <pivotField compact="0" numFmtId="8" outline="0" showAll="0"/>
    <pivotField compact="0" outline="0" showAll="0"/>
  </pivotFields>
  <rowFields count="1">
    <field x="7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Average_Price" fld="2" subtotal="average" baseField="0" baseItem="0"/>
    <dataField name="Average of Sales_Volume" fld="3" subtotal="average" baseField="0" baseItem="0"/>
  </dataFields>
  <chartFormats count="3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1"/>
          </reference>
          <reference field="7" count="1" selected="0">
            <x v="0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1"/>
          </reference>
          <reference field="7" count="1" selected="0">
            <x v="1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1"/>
          </reference>
          <reference field="7" count="1" selected="0">
            <x v="2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1"/>
          </reference>
          <reference field="7" count="1" selected="0">
            <x v="3"/>
          </reference>
        </references>
      </pivotArea>
    </chartFormat>
    <chartFormat chart="1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8">
      <pivotArea type="data" outline="0" fieldPosition="0">
        <references count="2">
          <reference field="4294967294" count="1" selected="0">
            <x v="1"/>
          </reference>
          <reference field="7" count="1" selected="0">
            <x v="0"/>
          </reference>
        </references>
      </pivotArea>
    </chartFormat>
    <chartFormat chart="1" format="9">
      <pivotArea type="data" outline="0" fieldPosition="0">
        <references count="2">
          <reference field="4294967294" count="1" selected="0">
            <x v="1"/>
          </reference>
          <reference field="7" count="1" selected="0">
            <x v="1"/>
          </reference>
        </references>
      </pivotArea>
    </chartFormat>
    <chartFormat chart="1" format="10">
      <pivotArea type="data" outline="0" fieldPosition="0">
        <references count="2">
          <reference field="4294967294" count="1" selected="0">
            <x v="1"/>
          </reference>
          <reference field="7" count="1" selected="0">
            <x v="2"/>
          </reference>
        </references>
      </pivotArea>
    </chartFormat>
    <chartFormat chart="1" format="11">
      <pivotArea type="data" outline="0" fieldPosition="0">
        <references count="2">
          <reference field="4294967294" count="1" selected="0">
            <x v="1"/>
          </reference>
          <reference field="7" count="1" selected="0">
            <x v="3"/>
          </reference>
        </references>
      </pivotArea>
    </chartFormat>
    <chartFormat chart="2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14">
      <pivotArea type="data" outline="0" fieldPosition="0">
        <references count="2">
          <reference field="4294967294" count="1" selected="0">
            <x v="1"/>
          </reference>
          <reference field="7" count="1" selected="0">
            <x v="0"/>
          </reference>
        </references>
      </pivotArea>
    </chartFormat>
    <chartFormat chart="2" format="15">
      <pivotArea type="data" outline="0" fieldPosition="0">
        <references count="2">
          <reference field="4294967294" count="1" selected="0">
            <x v="1"/>
          </reference>
          <reference field="7" count="1" selected="0">
            <x v="1"/>
          </reference>
        </references>
      </pivotArea>
    </chartFormat>
    <chartFormat chart="2" format="16">
      <pivotArea type="data" outline="0" fieldPosition="0">
        <references count="2">
          <reference field="4294967294" count="1" selected="0">
            <x v="1"/>
          </reference>
          <reference field="7" count="1" selected="0">
            <x v="2"/>
          </reference>
        </references>
      </pivotArea>
    </chartFormat>
    <chartFormat chart="2" format="17">
      <pivotArea type="data" outline="0" fieldPosition="0">
        <references count="2">
          <reference field="4294967294" count="1" selected="0">
            <x v="1"/>
          </reference>
          <reference field="7" count="1" selected="0">
            <x v="3"/>
          </reference>
        </references>
      </pivotArea>
    </chartFormat>
    <chartFormat chart="3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20">
      <pivotArea type="data" outline="0" fieldPosition="0">
        <references count="2">
          <reference field="4294967294" count="1" selected="0">
            <x v="1"/>
          </reference>
          <reference field="7" count="1" selected="0">
            <x v="0"/>
          </reference>
        </references>
      </pivotArea>
    </chartFormat>
    <chartFormat chart="3" format="21">
      <pivotArea type="data" outline="0" fieldPosition="0">
        <references count="2">
          <reference field="4294967294" count="1" selected="0">
            <x v="1"/>
          </reference>
          <reference field="7" count="1" selected="0">
            <x v="1"/>
          </reference>
        </references>
      </pivotArea>
    </chartFormat>
    <chartFormat chart="3" format="22">
      <pivotArea type="data" outline="0" fieldPosition="0">
        <references count="2">
          <reference field="4294967294" count="1" selected="0">
            <x v="1"/>
          </reference>
          <reference field="7" count="1" selected="0">
            <x v="2"/>
          </reference>
        </references>
      </pivotArea>
    </chartFormat>
    <chartFormat chart="3" format="23">
      <pivotArea type="data" outline="0" fieldPosition="0">
        <references count="2">
          <reference field="4294967294" count="1" selected="0">
            <x v="1"/>
          </reference>
          <reference field="7" count="1" selected="0">
            <x v="3"/>
          </reference>
        </references>
      </pivotArea>
    </chartFormat>
    <chartFormat chart="4" format="2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26">
      <pivotArea type="data" outline="0" fieldPosition="0">
        <references count="2">
          <reference field="4294967294" count="1" selected="0">
            <x v="1"/>
          </reference>
          <reference field="7" count="1" selected="0">
            <x v="0"/>
          </reference>
        </references>
      </pivotArea>
    </chartFormat>
    <chartFormat chart="4" format="27">
      <pivotArea type="data" outline="0" fieldPosition="0">
        <references count="2">
          <reference field="4294967294" count="1" selected="0">
            <x v="1"/>
          </reference>
          <reference field="7" count="1" selected="0">
            <x v="1"/>
          </reference>
        </references>
      </pivotArea>
    </chartFormat>
    <chartFormat chart="4" format="28">
      <pivotArea type="data" outline="0" fieldPosition="0">
        <references count="2">
          <reference field="4294967294" count="1" selected="0">
            <x v="1"/>
          </reference>
          <reference field="7" count="1" selected="0">
            <x v="2"/>
          </reference>
        </references>
      </pivotArea>
    </chartFormat>
    <chartFormat chart="4" format="29">
      <pivotArea type="data" outline="0" fieldPosition="0">
        <references count="2">
          <reference field="4294967294" count="1" selected="0">
            <x v="1"/>
          </reference>
          <reference field="7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ED0662-55FE-4529-A4C9-66FA2BA463DF}" name="PivotTable7" cacheId="1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B13" firstHeaderRow="1" firstDataRow="1" firstDataCol="1"/>
  <pivotFields count="16">
    <pivotField axis="axisRow" compact="0" outline="0" showAll="0">
      <items count="10">
        <item x="3"/>
        <item x="5"/>
        <item x="8"/>
        <item x="0"/>
        <item x="2"/>
        <item x="7"/>
        <item x="6"/>
        <item x="4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2" outline="0" showAll="0"/>
    <pivotField compact="0" numFmtId="8" outline="0" showAll="0"/>
    <pivotField compact="0" numFmtId="8" outline="0" showAll="0"/>
    <pivotField compact="0" numFmtId="8" outline="0" showAll="0"/>
    <pivotField compact="0" outline="0" showAll="0"/>
    <pivotField dataField="1" compact="0" outline="0" showAll="0"/>
  </pivotFields>
  <rowFields count="1">
    <field x="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Average of Investment_Score" fld="15" subtotal="average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0A2AAF-F613-48F8-B189-CACB139A34D0}" name="PivotTable1" cacheId="1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3">
  <location ref="A3:F14" firstHeaderRow="1" firstDataRow="2" firstDataCol="1"/>
  <pivotFields count="16">
    <pivotField axis="axisRow" compact="0" outline="0" showAll="0">
      <items count="10">
        <item x="3"/>
        <item x="5"/>
        <item x="8"/>
        <item x="0"/>
        <item x="2"/>
        <item x="7"/>
        <item x="6"/>
        <item x="4"/>
        <item x="1"/>
        <item t="default"/>
      </items>
    </pivotField>
    <pivotField axis="axisCol" compact="0" outline="0" showAll="0">
      <items count="5">
        <item x="3"/>
        <item x="0"/>
        <item x="2"/>
        <item x="1"/>
        <item t="default"/>
      </items>
    </pivotField>
    <pivotField dataField="1" compact="0" outline="0" showAll="0"/>
    <pivotField compact="0" outline="0" showAll="0"/>
    <pivotField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compact="0" outline="0" showAll="0">
      <items count="5">
        <item x="3"/>
        <item x="2"/>
        <item x="1"/>
        <item x="0"/>
        <item t="default"/>
      </items>
    </pivotField>
    <pivotField compact="0" outline="0" showAll="0"/>
    <pivotField compact="0" outline="0" showAll="0">
      <items count="4">
        <item x="0"/>
        <item x="2"/>
        <item x="1"/>
        <item t="default"/>
      </items>
    </pivotField>
    <pivotField compact="0" numFmtId="2" outline="0" showAll="0"/>
    <pivotField compact="0" numFmtId="8" outline="0" showAll="0"/>
    <pivotField compact="0" numFmtId="8" outline="0" showAll="0"/>
    <pivotField compact="0" numFmtId="8" outline="0" showAll="0"/>
    <pivotField compact="0" outline="0" showAll="0"/>
    <pivotField compact="0" outline="0" showAll="0"/>
  </pivotFields>
  <rowFields count="1">
    <field x="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1">
    <dataField name="Average of Average_Price" fld="2" subtotal="average" baseField="0" baseItem="0"/>
  </dataFields>
  <chartFormats count="14">
    <chartFormat chart="2" format="1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" format="1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" format="2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2" format="2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2" format="2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2" format="2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2" format="2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2" format="2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2" format="2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2" format="2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" format="3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2" format="3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2" format="3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FCD27E-3A60-4C2A-B738-941232254BDE}" name="PivotTable1" cacheId="1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C24" firstHeaderRow="1" firstDataRow="1" firstDataCol="2"/>
  <pivotFields count="16">
    <pivotField axis="axisRow" compact="0" outline="0" showAll="0">
      <items count="10">
        <item x="3"/>
        <item x="5"/>
        <item x="8"/>
        <item x="0"/>
        <item x="2"/>
        <item x="7"/>
        <item x="6"/>
        <item x="4"/>
        <item x="1"/>
        <item t="default"/>
      </items>
    </pivotField>
    <pivotField compact="0" outline="0" showAll="0"/>
    <pivotField dataField="1" compact="0" outline="0" showAll="0"/>
    <pivotField compact="0" outline="0" showAll="0"/>
    <pivotField axis="axisRow"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2" outline="0" showAll="0"/>
    <pivotField compact="0" numFmtId="8" outline="0" showAll="0"/>
    <pivotField compact="0" numFmtId="8" outline="0" showAll="0"/>
    <pivotField compact="0" numFmtId="8" outline="0" showAll="0"/>
    <pivotField compact="0" outline="0" showAll="0"/>
    <pivotField compact="0" outline="0" showAll="0"/>
  </pivotFields>
  <rowFields count="2">
    <field x="4"/>
    <field x="0"/>
  </rowFields>
  <rowItems count="21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t="default">
      <x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t="default">
      <x v="1"/>
    </i>
    <i t="grand">
      <x/>
    </i>
  </rowItems>
  <colItems count="1">
    <i/>
  </colItems>
  <dataFields count="1">
    <dataField name="Average of Average_Price" fld="2" subtotal="average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EF29F9-8396-441B-A41D-50A9D601C10A}" name="PivotTable1" cacheId="1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B13" firstHeaderRow="1" firstDataRow="1" firstDataCol="1"/>
  <pivotFields count="16">
    <pivotField axis="axisRow" compact="0" outline="0" showAll="0">
      <items count="10">
        <item x="3"/>
        <item x="5"/>
        <item x="8"/>
        <item x="0"/>
        <item x="2"/>
        <item x="7"/>
        <item x="6"/>
        <item x="4"/>
        <item x="1"/>
        <item t="default"/>
      </items>
    </pivotField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2" outline="0" showAll="0"/>
    <pivotField compact="0" numFmtId="8" outline="0" showAll="0"/>
    <pivotField compact="0" numFmtId="8" outline="0" showAll="0"/>
    <pivotField compact="0" numFmtId="8" outline="0" showAll="0"/>
    <pivotField compact="0" outline="0" showAll="0"/>
    <pivotField compact="0" outline="0" showAll="0"/>
  </pivotFields>
  <rowFields count="1">
    <field x="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Average of Sales_Volume" fld="3" subtotal="average" baseField="0" baseItem="0"/>
  </dataFields>
  <chartFormats count="1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5DF0B6-B729-4E14-BC0E-AFA1D4B2E7DD}" name="PivotTable2" cacheId="1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B14" firstHeaderRow="1" firstDataRow="1" firstDataCol="1"/>
  <pivotFields count="19">
    <pivotField axis="axisRow" compact="0" outline="0" showAll="0">
      <items count="11">
        <item x="3"/>
        <item x="5"/>
        <item x="8"/>
        <item x="0"/>
        <item x="2"/>
        <item x="7"/>
        <item x="6"/>
        <item x="4"/>
        <item x="1"/>
        <item x="9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Average of Investment_Score_1" fld="18" subtotal="average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D8BB61A-3CB8-4D57-AD00-10D38F5F5184}" name="Table1" displayName="Table1" ref="A1:P800" totalsRowShown="0" headerRowDxfId="15" tableBorderDxfId="14">
  <autoFilter ref="A1:P800" xr:uid="{AD8BB61A-3CB8-4D57-AD00-10D38F5F5184}"/>
  <tableColumns count="16">
    <tableColumn id="1" xr3:uid="{7C71B113-F528-439D-B5F1-5BA81E8267B7}" name="Region" dataDxfId="13"/>
    <tableColumn id="2" xr3:uid="{FC9E7722-DE9F-4CE3-918C-94BD3C8238BD}" name="Property_Type" dataDxfId="12"/>
    <tableColumn id="3" xr3:uid="{CA629EE8-736F-4156-9868-FE9BDCB34FFB}" name="Average_Price" dataDxfId="11"/>
    <tableColumn id="4" xr3:uid="{D363F5C5-B1C1-4873-9F1D-26A73542BC1F}" name="Sales_Volume" dataDxfId="10"/>
    <tableColumn id="5" xr3:uid="{BE582F84-8038-4813-AA67-AA36CF75A5BF}" name="Year" dataDxfId="9"/>
    <tableColumn id="6" xr3:uid="{9BE9B580-B16D-4E09-9555-5D3801605ACE}" name="Mortgage_Rate" dataDxfId="8"/>
    <tableColumn id="7" xr3:uid="{924AA93F-B8A8-49F9-B5A1-E3DBAEFE2113}" name="Deposit_Percent" dataDxfId="7"/>
    <tableColumn id="8" xr3:uid="{A92BA147-4036-4B21-B9C1-BFDC9AD09FA9}" name="Energy_Rating" dataDxfId="6"/>
    <tableColumn id="9" xr3:uid="{D180CA3F-8B43-49D8-AA44-0078EDB44785}" name="New_Build" dataDxfId="5"/>
    <tableColumn id="10" xr3:uid="{A3D08663-5404-46AC-8314-F160CFAE6815}" name="Buyer_Type" dataDxfId="4"/>
    <tableColumn id="11" xr3:uid="{0E60635D-0E41-44D3-8D64-8501528C1C7C}" name="Affordability_Index" dataDxfId="3">
      <calculatedColumnFormula>C2/D2</calculatedColumnFormula>
    </tableColumn>
    <tableColumn id="12" xr3:uid="{E1093817-425B-41F2-8285-782F26FBADF8}" name="Monthly_Mortgage_cost" dataDxfId="2">
      <calculatedColumnFormula>PMT(F2/100/12, 300, -(C2 *
(1 - G2/100)))</calculatedColumnFormula>
    </tableColumn>
    <tableColumn id="13" xr3:uid="{F1E158FF-9ED2-4E20-8D20-6135D5EE4612}" name="Total Interest Paid" dataDxfId="1">
      <calculatedColumnFormula>-CUMIPMT(F2/1200,300,O2,1,300,0)</calculatedColumnFormula>
    </tableColumn>
    <tableColumn id="14" xr3:uid="{BA094979-C379-40EB-B107-384ABB9DB05A}" name="25-Year total cost" dataDxfId="0">
      <calculatedColumnFormula>O2+M2</calculatedColumnFormula>
    </tableColumn>
    <tableColumn id="15" xr3:uid="{CAA165FB-4B5A-420E-B1BB-2CCA18DB41F5}" name="Loan Amount">
      <calculatedColumnFormula>C2*(1-G2/100)</calculatedColumnFormula>
    </tableColumn>
    <tableColumn id="16" xr3:uid="{C196CAA8-1CB8-4B99-91E8-69F9047312DA}" name="Investment_Sco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7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8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ivotTable" Target="../pivotTables/pivotTable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ivotTable" Target="../pivotTables/pivotTable10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ivotTable" Target="../pivotTables/pivotTable11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ivotTable" Target="../pivotTables/pivotTable12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ivotTable" Target="../pivotTables/pivotTable13.x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ivotTable" Target="../pivotTables/pivotTable14.x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ivotTable" Target="../pivotTables/pivotTable15.x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ivotTable" Target="../pivotTables/pivotTable16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2841F-4211-40A7-BCFD-60C6662FA921}">
  <dimension ref="A1:J800"/>
  <sheetViews>
    <sheetView topLeftCell="A2" workbookViewId="0"/>
  </sheetViews>
  <sheetFormatPr defaultRowHeight="14.45"/>
  <cols>
    <col min="1" max="1" width="13.5703125" customWidth="1"/>
    <col min="2" max="2" width="16.7109375" customWidth="1"/>
    <col min="6" max="6" width="13.85546875" bestFit="1" customWidth="1"/>
    <col min="7" max="7" width="14.85546875" bestFit="1" customWidth="1"/>
  </cols>
  <sheetData>
    <row r="1" spans="1:10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>
      <c r="A2" s="3" t="s">
        <v>10</v>
      </c>
      <c r="B2" s="4" t="s">
        <v>11</v>
      </c>
      <c r="C2" s="4">
        <v>785000</v>
      </c>
      <c r="D2" s="4">
        <v>1200</v>
      </c>
      <c r="E2" s="4">
        <v>2023</v>
      </c>
      <c r="F2" s="4">
        <v>6.1</v>
      </c>
      <c r="G2" s="4" t="s">
        <v>12</v>
      </c>
      <c r="H2" s="4" t="s">
        <v>13</v>
      </c>
      <c r="I2" s="4" t="s">
        <v>14</v>
      </c>
      <c r="J2" s="4" t="s">
        <v>15</v>
      </c>
    </row>
    <row r="3" spans="1:10">
      <c r="A3" s="5" t="s">
        <v>16</v>
      </c>
      <c r="B3" s="6" t="s">
        <v>17</v>
      </c>
      <c r="C3" s="6">
        <v>298000</v>
      </c>
      <c r="D3" s="6">
        <v>1200</v>
      </c>
      <c r="E3" s="6">
        <v>2024</v>
      </c>
      <c r="F3" s="6">
        <v>5.4</v>
      </c>
      <c r="G3" s="6" t="s">
        <v>18</v>
      </c>
      <c r="H3" s="6" t="s">
        <v>19</v>
      </c>
      <c r="I3" s="6" t="s">
        <v>20</v>
      </c>
      <c r="J3" s="6" t="s">
        <v>21</v>
      </c>
    </row>
    <row r="4" spans="1:10">
      <c r="A4" s="3" t="s">
        <v>22</v>
      </c>
      <c r="B4" s="4" t="s">
        <v>23</v>
      </c>
      <c r="C4" s="4">
        <v>252000</v>
      </c>
      <c r="D4" s="4">
        <v>1990</v>
      </c>
      <c r="E4" s="4">
        <v>2023</v>
      </c>
      <c r="F4" s="4">
        <v>6.3</v>
      </c>
      <c r="G4" s="4" t="s">
        <v>24</v>
      </c>
      <c r="H4" s="4" t="s">
        <v>25</v>
      </c>
      <c r="I4" s="4" t="s">
        <v>20</v>
      </c>
      <c r="J4" s="4" t="s">
        <v>21</v>
      </c>
    </row>
    <row r="5" spans="1:10">
      <c r="A5" s="5" t="s">
        <v>26</v>
      </c>
      <c r="B5" s="6" t="s">
        <v>27</v>
      </c>
      <c r="C5" s="6">
        <v>305000</v>
      </c>
      <c r="D5" s="6">
        <v>1840</v>
      </c>
      <c r="E5" s="6">
        <v>2024</v>
      </c>
      <c r="F5" s="6">
        <v>5.2</v>
      </c>
      <c r="G5" s="6" t="s">
        <v>28</v>
      </c>
      <c r="H5" s="6" t="s">
        <v>19</v>
      </c>
      <c r="I5" s="6" t="s">
        <v>20</v>
      </c>
      <c r="J5" s="6" t="s">
        <v>29</v>
      </c>
    </row>
    <row r="6" spans="1:10">
      <c r="A6" s="3" t="s">
        <v>30</v>
      </c>
      <c r="B6" s="4" t="s">
        <v>17</v>
      </c>
      <c r="C6" s="4">
        <v>218000</v>
      </c>
      <c r="D6" s="4">
        <v>740</v>
      </c>
      <c r="E6" s="4">
        <v>2023</v>
      </c>
      <c r="F6" s="4">
        <v>6.5</v>
      </c>
      <c r="G6" s="4" t="s">
        <v>31</v>
      </c>
      <c r="H6" s="4" t="s">
        <v>25</v>
      </c>
      <c r="I6" s="4" t="s">
        <v>20</v>
      </c>
      <c r="J6" s="4" t="s">
        <v>21</v>
      </c>
    </row>
    <row r="7" spans="1:10">
      <c r="A7" s="5" t="s">
        <v>32</v>
      </c>
      <c r="B7" s="6" t="s">
        <v>11</v>
      </c>
      <c r="C7" s="6">
        <v>435000</v>
      </c>
      <c r="D7" s="6">
        <v>1320</v>
      </c>
      <c r="E7" s="6">
        <v>2024</v>
      </c>
      <c r="F7" s="6">
        <v>5.0999999999999996</v>
      </c>
      <c r="G7" s="7">
        <v>10</v>
      </c>
      <c r="H7" s="6" t="s">
        <v>13</v>
      </c>
      <c r="I7" s="6" t="s">
        <v>14</v>
      </c>
      <c r="J7" s="6" t="s">
        <v>15</v>
      </c>
    </row>
    <row r="8" spans="1:10">
      <c r="A8" s="3" t="s">
        <v>33</v>
      </c>
      <c r="B8" s="4" t="s">
        <v>23</v>
      </c>
      <c r="C8" s="4">
        <v>318000</v>
      </c>
      <c r="D8" s="4">
        <v>1760</v>
      </c>
      <c r="E8" s="4">
        <v>2023</v>
      </c>
      <c r="F8" s="4">
        <v>6.4</v>
      </c>
      <c r="G8" s="4" t="s">
        <v>34</v>
      </c>
      <c r="H8" s="4" t="s">
        <v>19</v>
      </c>
      <c r="I8" s="4" t="s">
        <v>20</v>
      </c>
      <c r="J8" s="4" t="s">
        <v>21</v>
      </c>
    </row>
    <row r="9" spans="1:10">
      <c r="A9" s="5" t="s">
        <v>35</v>
      </c>
      <c r="B9" s="6" t="s">
        <v>17</v>
      </c>
      <c r="C9" s="6">
        <v>168000</v>
      </c>
      <c r="D9" s="6">
        <v>1880</v>
      </c>
      <c r="E9" s="6">
        <v>2024</v>
      </c>
      <c r="F9" s="6">
        <v>5.3</v>
      </c>
      <c r="G9" s="6" t="s">
        <v>36</v>
      </c>
      <c r="H9" s="6" t="s">
        <v>25</v>
      </c>
      <c r="I9" s="6" t="s">
        <v>20</v>
      </c>
      <c r="J9" s="6" t="s">
        <v>21</v>
      </c>
    </row>
    <row r="10" spans="1:10">
      <c r="A10" s="3" t="s">
        <v>37</v>
      </c>
      <c r="B10" s="4" t="s">
        <v>11</v>
      </c>
      <c r="C10" s="4">
        <v>512000</v>
      </c>
      <c r="D10" s="4">
        <v>1490</v>
      </c>
      <c r="E10" s="4">
        <v>2023</v>
      </c>
      <c r="F10" s="4">
        <v>6.2</v>
      </c>
      <c r="G10" s="4" t="s">
        <v>38</v>
      </c>
      <c r="H10" s="4" t="s">
        <v>13</v>
      </c>
      <c r="I10" s="4" t="s">
        <v>14</v>
      </c>
      <c r="J10" s="4" t="s">
        <v>29</v>
      </c>
    </row>
    <row r="11" spans="1:10">
      <c r="A11" s="5" t="s">
        <v>10</v>
      </c>
      <c r="B11" s="6" t="s">
        <v>17</v>
      </c>
      <c r="C11" s="6">
        <v>438000</v>
      </c>
      <c r="D11" s="6">
        <v>2600</v>
      </c>
      <c r="E11" s="6">
        <v>2024</v>
      </c>
      <c r="F11" s="6">
        <v>5</v>
      </c>
      <c r="G11" s="6" t="s">
        <v>18</v>
      </c>
      <c r="H11" s="6" t="s">
        <v>19</v>
      </c>
      <c r="I11" s="6" t="s">
        <v>20</v>
      </c>
      <c r="J11" s="6" t="s">
        <v>21</v>
      </c>
    </row>
    <row r="12" spans="1:10">
      <c r="A12" s="3" t="s">
        <v>16</v>
      </c>
      <c r="B12" s="4" t="s">
        <v>27</v>
      </c>
      <c r="C12" s="4">
        <v>428000</v>
      </c>
      <c r="D12" s="4">
        <v>2050</v>
      </c>
      <c r="E12" s="4">
        <v>2024</v>
      </c>
      <c r="F12" s="4">
        <v>5.3</v>
      </c>
      <c r="G12" s="4" t="s">
        <v>28</v>
      </c>
      <c r="H12" s="4" t="s">
        <v>13</v>
      </c>
      <c r="I12" s="4" t="s">
        <v>20</v>
      </c>
      <c r="J12" s="4" t="s">
        <v>29</v>
      </c>
    </row>
    <row r="13" spans="1:10">
      <c r="A13" s="5" t="s">
        <v>22</v>
      </c>
      <c r="B13" s="6" t="s">
        <v>11</v>
      </c>
      <c r="C13" s="6">
        <v>392000</v>
      </c>
      <c r="D13" s="6">
        <v>1410</v>
      </c>
      <c r="E13" s="6">
        <v>2023</v>
      </c>
      <c r="F13" s="6">
        <v>6.4</v>
      </c>
      <c r="G13" s="6" t="s">
        <v>12</v>
      </c>
      <c r="H13" s="6" t="s">
        <v>19</v>
      </c>
      <c r="I13" s="6" t="s">
        <v>14</v>
      </c>
      <c r="J13" s="6" t="s">
        <v>15</v>
      </c>
    </row>
    <row r="14" spans="1:10">
      <c r="A14" s="3" t="s">
        <v>26</v>
      </c>
      <c r="B14" s="4" t="s">
        <v>23</v>
      </c>
      <c r="C14" s="4">
        <v>240000</v>
      </c>
      <c r="D14" s="4">
        <v>2140</v>
      </c>
      <c r="E14" s="4">
        <v>2024</v>
      </c>
      <c r="F14" s="4">
        <v>5.5</v>
      </c>
      <c r="G14" s="4" t="s">
        <v>24</v>
      </c>
      <c r="H14" s="4" t="s">
        <v>25</v>
      </c>
      <c r="I14" s="4" t="s">
        <v>20</v>
      </c>
      <c r="J14" s="4" t="s">
        <v>21</v>
      </c>
    </row>
    <row r="15" spans="1:10">
      <c r="A15" s="5" t="s">
        <v>30</v>
      </c>
      <c r="B15" s="6" t="s">
        <v>27</v>
      </c>
      <c r="C15" s="6">
        <v>322000</v>
      </c>
      <c r="D15" s="6">
        <v>1580</v>
      </c>
      <c r="E15" s="6">
        <v>2024</v>
      </c>
      <c r="F15" s="6">
        <v>5.4</v>
      </c>
      <c r="G15" s="6" t="s">
        <v>39</v>
      </c>
      <c r="H15" s="6" t="s">
        <v>19</v>
      </c>
      <c r="I15" s="6" t="s">
        <v>20</v>
      </c>
      <c r="J15" s="6" t="s">
        <v>29</v>
      </c>
    </row>
    <row r="16" spans="1:10">
      <c r="A16" s="3" t="s">
        <v>32</v>
      </c>
      <c r="B16" s="4" t="s">
        <v>17</v>
      </c>
      <c r="C16" s="4">
        <v>228000</v>
      </c>
      <c r="D16" s="4">
        <v>2100</v>
      </c>
      <c r="E16" s="4">
        <v>2023</v>
      </c>
      <c r="F16" s="4">
        <v>6.6</v>
      </c>
      <c r="G16" s="4" t="s">
        <v>40</v>
      </c>
      <c r="H16" s="4" t="s">
        <v>25</v>
      </c>
      <c r="I16" s="4" t="s">
        <v>20</v>
      </c>
      <c r="J16" s="4" t="s">
        <v>21</v>
      </c>
    </row>
    <row r="17" spans="1:10">
      <c r="A17" s="5" t="s">
        <v>33</v>
      </c>
      <c r="B17" s="6" t="s">
        <v>11</v>
      </c>
      <c r="C17" s="6">
        <v>480000</v>
      </c>
      <c r="D17" s="6">
        <v>1300</v>
      </c>
      <c r="E17" s="6">
        <v>2024</v>
      </c>
      <c r="F17" s="6">
        <v>5.2</v>
      </c>
      <c r="G17" s="6" t="s">
        <v>41</v>
      </c>
      <c r="H17" s="6" t="s">
        <v>13</v>
      </c>
      <c r="I17" s="6" t="s">
        <v>14</v>
      </c>
      <c r="J17" s="6" t="s">
        <v>15</v>
      </c>
    </row>
    <row r="18" spans="1:10">
      <c r="A18" s="3" t="s">
        <v>35</v>
      </c>
      <c r="B18" s="4" t="s">
        <v>23</v>
      </c>
      <c r="C18" s="4">
        <v>212000</v>
      </c>
      <c r="D18" s="4">
        <v>1820</v>
      </c>
      <c r="E18" s="4">
        <v>2023</v>
      </c>
      <c r="F18" s="4">
        <v>6.7</v>
      </c>
      <c r="G18" s="4" t="s">
        <v>42</v>
      </c>
      <c r="H18" s="4" t="s">
        <v>25</v>
      </c>
      <c r="I18" s="4" t="s">
        <v>20</v>
      </c>
      <c r="J18" s="4" t="s">
        <v>21</v>
      </c>
    </row>
    <row r="19" spans="1:10">
      <c r="A19" s="5" t="s">
        <v>37</v>
      </c>
      <c r="B19" s="6" t="s">
        <v>17</v>
      </c>
      <c r="C19" s="6">
        <v>273000</v>
      </c>
      <c r="D19" s="6">
        <v>2430</v>
      </c>
      <c r="E19" s="6">
        <v>2024</v>
      </c>
      <c r="F19" s="6">
        <v>5.0999999999999996</v>
      </c>
      <c r="G19" s="6" t="s">
        <v>24</v>
      </c>
      <c r="H19" s="6" t="s">
        <v>19</v>
      </c>
      <c r="I19" s="6" t="s">
        <v>20</v>
      </c>
      <c r="J19" s="6" t="s">
        <v>21</v>
      </c>
    </row>
    <row r="20" spans="1:10">
      <c r="A20" s="3" t="s">
        <v>10</v>
      </c>
      <c r="B20" s="4" t="s">
        <v>23</v>
      </c>
      <c r="C20" s="4">
        <v>548000</v>
      </c>
      <c r="D20" s="4">
        <v>2180</v>
      </c>
      <c r="E20" s="4">
        <v>2024</v>
      </c>
      <c r="F20" s="4">
        <v>5</v>
      </c>
      <c r="G20" s="4" t="s">
        <v>28</v>
      </c>
      <c r="H20" s="4" t="s">
        <v>13</v>
      </c>
      <c r="I20" s="4" t="s">
        <v>20</v>
      </c>
      <c r="J20" s="4" t="s">
        <v>29</v>
      </c>
    </row>
    <row r="21" spans="1:10">
      <c r="A21" s="5" t="s">
        <v>16</v>
      </c>
      <c r="B21" s="6" t="s">
        <v>11</v>
      </c>
      <c r="C21" s="6">
        <v>568000</v>
      </c>
      <c r="D21" s="6">
        <v>1520</v>
      </c>
      <c r="E21" s="6">
        <v>2024</v>
      </c>
      <c r="F21" s="6">
        <v>5.3</v>
      </c>
      <c r="G21" s="6" t="s">
        <v>38</v>
      </c>
      <c r="H21" s="6" t="s">
        <v>43</v>
      </c>
      <c r="I21" s="6" t="s">
        <v>14</v>
      </c>
      <c r="J21" s="6" t="s">
        <v>15</v>
      </c>
    </row>
    <row r="22" spans="1:10">
      <c r="A22" s="3" t="s">
        <v>22</v>
      </c>
      <c r="B22" s="4" t="s">
        <v>17</v>
      </c>
      <c r="C22" s="4">
        <v>205000</v>
      </c>
      <c r="D22" s="4">
        <v>2460</v>
      </c>
      <c r="E22" s="4">
        <v>2024</v>
      </c>
      <c r="F22" s="4">
        <v>5.4</v>
      </c>
      <c r="G22" s="4" t="s">
        <v>36</v>
      </c>
      <c r="H22" s="4" t="s">
        <v>25</v>
      </c>
      <c r="I22" s="4" t="s">
        <v>20</v>
      </c>
      <c r="J22" s="4" t="s">
        <v>21</v>
      </c>
    </row>
    <row r="23" spans="1:10">
      <c r="A23" s="5" t="s">
        <v>26</v>
      </c>
      <c r="B23" s="6" t="s">
        <v>11</v>
      </c>
      <c r="C23" s="6">
        <v>370000</v>
      </c>
      <c r="D23" s="6">
        <v>1330</v>
      </c>
      <c r="E23" s="6">
        <v>2023</v>
      </c>
      <c r="F23" s="6">
        <v>6.5</v>
      </c>
      <c r="G23" s="6" t="s">
        <v>41</v>
      </c>
      <c r="H23" s="6" t="s">
        <v>13</v>
      </c>
      <c r="I23" s="6" t="s">
        <v>14</v>
      </c>
      <c r="J23" s="6" t="s">
        <v>29</v>
      </c>
    </row>
    <row r="24" spans="1:10">
      <c r="A24" s="3" t="s">
        <v>30</v>
      </c>
      <c r="B24" s="4" t="s">
        <v>23</v>
      </c>
      <c r="C24" s="4">
        <v>278000</v>
      </c>
      <c r="D24" s="4">
        <v>1860</v>
      </c>
      <c r="E24" s="4">
        <v>2024</v>
      </c>
      <c r="F24" s="4">
        <v>5.6</v>
      </c>
      <c r="G24" s="4" t="s">
        <v>24</v>
      </c>
      <c r="H24" s="4" t="s">
        <v>19</v>
      </c>
      <c r="I24" s="4" t="s">
        <v>20</v>
      </c>
      <c r="J24" s="4" t="s">
        <v>21</v>
      </c>
    </row>
    <row r="25" spans="1:10">
      <c r="A25" s="5" t="s">
        <v>32</v>
      </c>
      <c r="B25" s="6" t="s">
        <v>27</v>
      </c>
      <c r="C25" s="6">
        <v>338000</v>
      </c>
      <c r="D25" s="6">
        <v>1670</v>
      </c>
      <c r="E25" s="6">
        <v>2024</v>
      </c>
      <c r="F25" s="6">
        <v>5.3</v>
      </c>
      <c r="G25" s="6" t="s">
        <v>12</v>
      </c>
      <c r="H25" s="6" t="s">
        <v>13</v>
      </c>
      <c r="I25" s="6" t="s">
        <v>20</v>
      </c>
      <c r="J25" s="6" t="s">
        <v>29</v>
      </c>
    </row>
    <row r="26" spans="1:10">
      <c r="A26" s="3" t="s">
        <v>33</v>
      </c>
      <c r="B26" s="4" t="s">
        <v>17</v>
      </c>
      <c r="C26" s="4">
        <v>255000</v>
      </c>
      <c r="D26" s="4">
        <v>2270</v>
      </c>
      <c r="E26" s="4">
        <v>2024</v>
      </c>
      <c r="F26" s="4">
        <v>5.2</v>
      </c>
      <c r="G26" s="4" t="s">
        <v>18</v>
      </c>
      <c r="H26" s="4" t="s">
        <v>19</v>
      </c>
      <c r="I26" s="4" t="s">
        <v>20</v>
      </c>
      <c r="J26" s="4" t="s">
        <v>21</v>
      </c>
    </row>
    <row r="27" spans="1:10">
      <c r="A27" s="5" t="s">
        <v>35</v>
      </c>
      <c r="B27" s="6" t="s">
        <v>11</v>
      </c>
      <c r="C27" s="6">
        <v>330000</v>
      </c>
      <c r="D27" s="6">
        <v>1080</v>
      </c>
      <c r="E27" s="6">
        <v>2024</v>
      </c>
      <c r="F27" s="6">
        <v>5.4</v>
      </c>
      <c r="G27" s="6" t="s">
        <v>44</v>
      </c>
      <c r="H27" s="6" t="s">
        <v>13</v>
      </c>
      <c r="I27" s="6" t="s">
        <v>14</v>
      </c>
      <c r="J27" s="6" t="s">
        <v>15</v>
      </c>
    </row>
    <row r="28" spans="1:10">
      <c r="A28" s="3" t="s">
        <v>37</v>
      </c>
      <c r="B28" s="4" t="s">
        <v>27</v>
      </c>
      <c r="C28" s="4">
        <v>400000</v>
      </c>
      <c r="D28" s="4">
        <v>1890</v>
      </c>
      <c r="E28" s="4">
        <v>2024</v>
      </c>
      <c r="F28" s="4">
        <v>5.3</v>
      </c>
      <c r="G28" s="4" t="s">
        <v>28</v>
      </c>
      <c r="H28" s="4" t="s">
        <v>13</v>
      </c>
      <c r="I28" s="4" t="s">
        <v>20</v>
      </c>
      <c r="J28" s="4" t="s">
        <v>29</v>
      </c>
    </row>
    <row r="29" spans="1:10">
      <c r="A29" s="5" t="s">
        <v>10</v>
      </c>
      <c r="B29" s="6" t="s">
        <v>11</v>
      </c>
      <c r="C29" s="6">
        <v>795000</v>
      </c>
      <c r="D29" s="6">
        <v>1290</v>
      </c>
      <c r="E29" s="6">
        <v>2024</v>
      </c>
      <c r="F29" s="6">
        <v>5.0999999999999996</v>
      </c>
      <c r="G29" s="6" t="s">
        <v>41</v>
      </c>
      <c r="H29" s="6" t="s">
        <v>43</v>
      </c>
      <c r="I29" s="6" t="s">
        <v>14</v>
      </c>
      <c r="J29" s="6" t="s">
        <v>15</v>
      </c>
    </row>
    <row r="30" spans="1:10">
      <c r="A30" s="3" t="s">
        <v>16</v>
      </c>
      <c r="B30" s="4" t="s">
        <v>23</v>
      </c>
      <c r="C30" s="4">
        <v>362000</v>
      </c>
      <c r="D30" s="4">
        <v>2360</v>
      </c>
      <c r="E30" s="4">
        <v>2024</v>
      </c>
      <c r="F30" s="4">
        <v>5.4</v>
      </c>
      <c r="G30" s="4" t="s">
        <v>24</v>
      </c>
      <c r="H30" s="4" t="s">
        <v>19</v>
      </c>
      <c r="I30" s="4" t="s">
        <v>20</v>
      </c>
      <c r="J30" s="4" t="s">
        <v>21</v>
      </c>
    </row>
    <row r="31" spans="1:10">
      <c r="A31" s="5" t="s">
        <v>22</v>
      </c>
      <c r="B31" s="6" t="s">
        <v>27</v>
      </c>
      <c r="C31" s="6">
        <v>300000</v>
      </c>
      <c r="D31" s="6">
        <v>1900</v>
      </c>
      <c r="E31" s="6">
        <v>2023</v>
      </c>
      <c r="F31" s="6">
        <v>6.3</v>
      </c>
      <c r="G31" s="6" t="s">
        <v>18</v>
      </c>
      <c r="H31" s="6" t="s">
        <v>19</v>
      </c>
      <c r="I31" s="6" t="s">
        <v>20</v>
      </c>
      <c r="J31" s="6" t="s">
        <v>29</v>
      </c>
    </row>
    <row r="32" spans="1:10">
      <c r="A32" s="3" t="s">
        <v>26</v>
      </c>
      <c r="B32" s="4" t="s">
        <v>17</v>
      </c>
      <c r="C32" s="4">
        <v>190000</v>
      </c>
      <c r="D32" s="4">
        <v>2380</v>
      </c>
      <c r="E32" s="4">
        <v>2024</v>
      </c>
      <c r="F32" s="4">
        <v>5.5</v>
      </c>
      <c r="G32" s="4" t="s">
        <v>36</v>
      </c>
      <c r="H32" s="4" t="s">
        <v>25</v>
      </c>
      <c r="I32" s="4" t="s">
        <v>20</v>
      </c>
      <c r="J32" s="4" t="s">
        <v>21</v>
      </c>
    </row>
    <row r="33" spans="1:10">
      <c r="A33" s="5" t="s">
        <v>30</v>
      </c>
      <c r="B33" s="6" t="s">
        <v>11</v>
      </c>
      <c r="C33" s="6">
        <v>410000</v>
      </c>
      <c r="D33" s="6">
        <v>1170</v>
      </c>
      <c r="E33" s="6">
        <v>2024</v>
      </c>
      <c r="F33" s="6">
        <v>5.2</v>
      </c>
      <c r="G33" s="6" t="s">
        <v>38</v>
      </c>
      <c r="H33" s="6" t="s">
        <v>13</v>
      </c>
      <c r="I33" s="6" t="s">
        <v>14</v>
      </c>
      <c r="J33" s="6" t="s">
        <v>15</v>
      </c>
    </row>
    <row r="34" spans="1:10">
      <c r="A34" s="3" t="s">
        <v>32</v>
      </c>
      <c r="B34" s="4" t="s">
        <v>23</v>
      </c>
      <c r="C34" s="4">
        <v>285000</v>
      </c>
      <c r="D34" s="4">
        <v>1930</v>
      </c>
      <c r="E34" s="4">
        <v>2023</v>
      </c>
      <c r="F34" s="4">
        <v>6.4</v>
      </c>
      <c r="G34" s="4" t="s">
        <v>24</v>
      </c>
      <c r="H34" s="4" t="s">
        <v>19</v>
      </c>
      <c r="I34" s="4" t="s">
        <v>20</v>
      </c>
      <c r="J34" s="4" t="s">
        <v>21</v>
      </c>
    </row>
    <row r="35" spans="1:10">
      <c r="A35" s="5" t="s">
        <v>33</v>
      </c>
      <c r="B35" s="6" t="s">
        <v>27</v>
      </c>
      <c r="C35" s="6">
        <v>372000</v>
      </c>
      <c r="D35" s="6">
        <v>1780</v>
      </c>
      <c r="E35" s="6">
        <v>2024</v>
      </c>
      <c r="F35" s="6">
        <v>5.3</v>
      </c>
      <c r="G35" s="6" t="s">
        <v>28</v>
      </c>
      <c r="H35" s="6" t="s">
        <v>13</v>
      </c>
      <c r="I35" s="6" t="s">
        <v>20</v>
      </c>
      <c r="J35" s="6" t="s">
        <v>29</v>
      </c>
    </row>
    <row r="36" spans="1:10">
      <c r="A36" s="3" t="s">
        <v>35</v>
      </c>
      <c r="B36" s="4" t="s">
        <v>17</v>
      </c>
      <c r="C36" s="4">
        <v>170000</v>
      </c>
      <c r="D36" s="4">
        <v>2070</v>
      </c>
      <c r="E36" s="4">
        <v>2024</v>
      </c>
      <c r="F36" s="4">
        <v>5.4</v>
      </c>
      <c r="G36" s="4" t="s">
        <v>31</v>
      </c>
      <c r="H36" s="4" t="s">
        <v>25</v>
      </c>
      <c r="I36" s="4" t="s">
        <v>20</v>
      </c>
      <c r="J36" s="4" t="s">
        <v>21</v>
      </c>
    </row>
    <row r="37" spans="1:10">
      <c r="A37" s="5" t="s">
        <v>37</v>
      </c>
      <c r="B37" s="6" t="s">
        <v>11</v>
      </c>
      <c r="C37" s="6">
        <v>518000</v>
      </c>
      <c r="D37" s="6">
        <v>1470</v>
      </c>
      <c r="E37" s="6">
        <v>2024</v>
      </c>
      <c r="F37" s="6">
        <v>5.2</v>
      </c>
      <c r="G37" s="6" t="s">
        <v>41</v>
      </c>
      <c r="H37" s="6" t="s">
        <v>13</v>
      </c>
      <c r="I37" s="6" t="s">
        <v>14</v>
      </c>
      <c r="J37" s="6" t="s">
        <v>15</v>
      </c>
    </row>
    <row r="38" spans="1:10">
      <c r="A38" s="3" t="s">
        <v>10</v>
      </c>
      <c r="B38" s="4" t="s">
        <v>17</v>
      </c>
      <c r="C38" s="4">
        <v>432000</v>
      </c>
      <c r="D38" s="4">
        <v>2590</v>
      </c>
      <c r="E38" s="4">
        <v>2023</v>
      </c>
      <c r="F38" s="4">
        <v>6.1</v>
      </c>
      <c r="G38" s="4" t="s">
        <v>24</v>
      </c>
      <c r="H38" s="4" t="s">
        <v>19</v>
      </c>
      <c r="I38" s="4" t="s">
        <v>20</v>
      </c>
      <c r="J38" s="4" t="s">
        <v>21</v>
      </c>
    </row>
    <row r="39" spans="1:10">
      <c r="A39" s="5" t="s">
        <v>16</v>
      </c>
      <c r="B39" s="6" t="s">
        <v>27</v>
      </c>
      <c r="C39" s="6">
        <v>423000</v>
      </c>
      <c r="D39" s="6">
        <v>1980</v>
      </c>
      <c r="E39" s="6">
        <v>2023</v>
      </c>
      <c r="F39" s="6">
        <v>6</v>
      </c>
      <c r="G39" s="6" t="s">
        <v>18</v>
      </c>
      <c r="H39" s="6" t="s">
        <v>13</v>
      </c>
      <c r="I39" s="6" t="s">
        <v>20</v>
      </c>
      <c r="J39" s="6" t="s">
        <v>29</v>
      </c>
    </row>
    <row r="40" spans="1:10">
      <c r="A40" s="3" t="s">
        <v>22</v>
      </c>
      <c r="B40" s="4" t="s">
        <v>23</v>
      </c>
      <c r="C40" s="4">
        <v>248000</v>
      </c>
      <c r="D40" s="4">
        <v>2210</v>
      </c>
      <c r="E40" s="4">
        <v>2024</v>
      </c>
      <c r="F40" s="4">
        <v>5.5</v>
      </c>
      <c r="G40" s="4" t="s">
        <v>31</v>
      </c>
      <c r="H40" s="4" t="s">
        <v>25</v>
      </c>
      <c r="I40" s="4" t="s">
        <v>20</v>
      </c>
      <c r="J40" s="4" t="s">
        <v>21</v>
      </c>
    </row>
    <row r="41" spans="1:10">
      <c r="A41" s="5" t="s">
        <v>26</v>
      </c>
      <c r="B41" s="6" t="s">
        <v>11</v>
      </c>
      <c r="C41" s="6">
        <v>368000</v>
      </c>
      <c r="D41" s="6">
        <v>1310</v>
      </c>
      <c r="E41" s="6">
        <v>2024</v>
      </c>
      <c r="F41" s="6">
        <v>5.3</v>
      </c>
      <c r="G41" s="6" t="s">
        <v>12</v>
      </c>
      <c r="H41" s="6" t="s">
        <v>13</v>
      </c>
      <c r="I41" s="6" t="s">
        <v>14</v>
      </c>
      <c r="J41" s="6" t="s">
        <v>15</v>
      </c>
    </row>
    <row r="42" spans="1:10">
      <c r="A42" s="3" t="s">
        <v>30</v>
      </c>
      <c r="B42" s="4" t="s">
        <v>17</v>
      </c>
      <c r="C42" s="4">
        <v>214000</v>
      </c>
      <c r="D42" s="4">
        <v>2030</v>
      </c>
      <c r="E42" s="4">
        <v>2024</v>
      </c>
      <c r="F42" s="4">
        <v>5.4</v>
      </c>
      <c r="G42" s="4" t="s">
        <v>36</v>
      </c>
      <c r="H42" s="4" t="s">
        <v>25</v>
      </c>
      <c r="I42" s="4" t="s">
        <v>20</v>
      </c>
      <c r="J42" s="4" t="s">
        <v>21</v>
      </c>
    </row>
    <row r="43" spans="1:10">
      <c r="A43" s="5" t="s">
        <v>32</v>
      </c>
      <c r="B43" s="6" t="s">
        <v>11</v>
      </c>
      <c r="C43" s="6">
        <v>438000</v>
      </c>
      <c r="D43" s="6">
        <v>1280</v>
      </c>
      <c r="E43" s="6">
        <v>2023</v>
      </c>
      <c r="F43" s="6">
        <v>6.2</v>
      </c>
      <c r="G43" s="6" t="s">
        <v>41</v>
      </c>
      <c r="H43" s="6" t="s">
        <v>13</v>
      </c>
      <c r="I43" s="6" t="s">
        <v>14</v>
      </c>
      <c r="J43" s="6" t="s">
        <v>15</v>
      </c>
    </row>
    <row r="44" spans="1:10">
      <c r="A44" s="3" t="s">
        <v>33</v>
      </c>
      <c r="B44" s="4" t="s">
        <v>23</v>
      </c>
      <c r="C44" s="4">
        <v>322000</v>
      </c>
      <c r="D44" s="4">
        <v>2010</v>
      </c>
      <c r="E44" s="4">
        <v>2024</v>
      </c>
      <c r="F44" s="4">
        <v>5.3</v>
      </c>
      <c r="G44" s="4" t="s">
        <v>24</v>
      </c>
      <c r="H44" s="4" t="s">
        <v>19</v>
      </c>
      <c r="I44" s="4" t="s">
        <v>20</v>
      </c>
      <c r="J44" s="4" t="s">
        <v>21</v>
      </c>
    </row>
    <row r="45" spans="1:10">
      <c r="A45" s="5" t="s">
        <v>35</v>
      </c>
      <c r="B45" s="6" t="s">
        <v>27</v>
      </c>
      <c r="C45" s="6">
        <v>268000</v>
      </c>
      <c r="D45" s="6">
        <v>1590</v>
      </c>
      <c r="E45" s="6">
        <v>2023</v>
      </c>
      <c r="F45" s="6">
        <v>6.6</v>
      </c>
      <c r="G45" s="6" t="s">
        <v>18</v>
      </c>
      <c r="H45" s="6" t="s">
        <v>19</v>
      </c>
      <c r="I45" s="6" t="s">
        <v>20</v>
      </c>
      <c r="J45" s="6" t="s">
        <v>29</v>
      </c>
    </row>
    <row r="46" spans="1:10">
      <c r="A46" s="3" t="s">
        <v>37</v>
      </c>
      <c r="B46" s="4" t="s">
        <v>17</v>
      </c>
      <c r="C46" s="4">
        <v>276000</v>
      </c>
      <c r="D46" s="4">
        <v>2460</v>
      </c>
      <c r="E46" s="4">
        <v>2024</v>
      </c>
      <c r="F46" s="4">
        <v>5.0999999999999996</v>
      </c>
      <c r="G46" s="4" t="s">
        <v>24</v>
      </c>
      <c r="H46" s="4" t="s">
        <v>19</v>
      </c>
      <c r="I46" s="4" t="s">
        <v>20</v>
      </c>
      <c r="J46" s="4" t="s">
        <v>21</v>
      </c>
    </row>
    <row r="47" spans="1:10">
      <c r="A47" s="5" t="s">
        <v>10</v>
      </c>
      <c r="B47" s="6" t="s">
        <v>23</v>
      </c>
      <c r="C47" s="6">
        <v>552000</v>
      </c>
      <c r="D47" s="6">
        <v>2200</v>
      </c>
      <c r="E47" s="6">
        <v>2023</v>
      </c>
      <c r="F47" s="6">
        <v>6</v>
      </c>
      <c r="G47" s="6" t="s">
        <v>28</v>
      </c>
      <c r="H47" s="6" t="s">
        <v>13</v>
      </c>
      <c r="I47" s="6" t="s">
        <v>20</v>
      </c>
      <c r="J47" s="6" t="s">
        <v>29</v>
      </c>
    </row>
    <row r="48" spans="1:10">
      <c r="A48" s="3" t="s">
        <v>16</v>
      </c>
      <c r="B48" s="4" t="s">
        <v>11</v>
      </c>
      <c r="C48" s="4">
        <v>570000</v>
      </c>
      <c r="D48" s="4">
        <v>1580</v>
      </c>
      <c r="E48" s="4">
        <v>2023</v>
      </c>
      <c r="F48" s="4">
        <v>6.1</v>
      </c>
      <c r="G48" s="4" t="s">
        <v>38</v>
      </c>
      <c r="H48" s="4" t="s">
        <v>43</v>
      </c>
      <c r="I48" s="4" t="s">
        <v>14</v>
      </c>
      <c r="J48" s="4" t="s">
        <v>15</v>
      </c>
    </row>
    <row r="49" spans="1:10">
      <c r="A49" s="5" t="s">
        <v>22</v>
      </c>
      <c r="B49" s="6" t="s">
        <v>17</v>
      </c>
      <c r="C49" s="6">
        <v>207000</v>
      </c>
      <c r="D49" s="6">
        <v>2430</v>
      </c>
      <c r="E49" s="6">
        <v>2023</v>
      </c>
      <c r="F49" s="6">
        <v>6.4</v>
      </c>
      <c r="G49" s="6" t="s">
        <v>36</v>
      </c>
      <c r="H49" s="6" t="s">
        <v>25</v>
      </c>
      <c r="I49" s="6" t="s">
        <v>20</v>
      </c>
      <c r="J49" s="6" t="s">
        <v>21</v>
      </c>
    </row>
    <row r="50" spans="1:10">
      <c r="A50" s="3" t="s">
        <v>26</v>
      </c>
      <c r="B50" s="4" t="s">
        <v>27</v>
      </c>
      <c r="C50" s="4">
        <v>298000</v>
      </c>
      <c r="D50" s="4">
        <v>1820</v>
      </c>
      <c r="E50" s="4">
        <v>2023</v>
      </c>
      <c r="F50" s="4">
        <v>6.3</v>
      </c>
      <c r="G50" s="4" t="s">
        <v>18</v>
      </c>
      <c r="H50" s="4" t="s">
        <v>19</v>
      </c>
      <c r="I50" s="4" t="s">
        <v>20</v>
      </c>
      <c r="J50" s="4" t="s">
        <v>29</v>
      </c>
    </row>
    <row r="51" spans="1:10">
      <c r="A51" s="5" t="s">
        <v>30</v>
      </c>
      <c r="B51" s="6" t="s">
        <v>23</v>
      </c>
      <c r="C51" s="6">
        <v>272000</v>
      </c>
      <c r="D51" s="6">
        <v>1790</v>
      </c>
      <c r="E51" s="6">
        <v>2023</v>
      </c>
      <c r="F51" s="6">
        <v>6.5</v>
      </c>
      <c r="G51" s="6" t="s">
        <v>24</v>
      </c>
      <c r="H51" s="6" t="s">
        <v>19</v>
      </c>
      <c r="I51" s="6" t="s">
        <v>20</v>
      </c>
      <c r="J51" s="6" t="s">
        <v>21</v>
      </c>
    </row>
    <row r="52" spans="1:10">
      <c r="A52" s="3" t="s">
        <v>32</v>
      </c>
      <c r="B52" s="4" t="s">
        <v>17</v>
      </c>
      <c r="C52" s="4">
        <v>223000</v>
      </c>
      <c r="D52" s="4">
        <v>2140</v>
      </c>
      <c r="E52" s="4">
        <v>2024</v>
      </c>
      <c r="F52" s="4">
        <v>5.4</v>
      </c>
      <c r="G52" s="4" t="s">
        <v>40</v>
      </c>
      <c r="H52" s="4" t="s">
        <v>25</v>
      </c>
      <c r="I52" s="4" t="s">
        <v>20</v>
      </c>
      <c r="J52" s="4" t="s">
        <v>21</v>
      </c>
    </row>
    <row r="53" spans="1:10">
      <c r="A53" s="5" t="s">
        <v>33</v>
      </c>
      <c r="B53" s="6" t="s">
        <v>11</v>
      </c>
      <c r="C53" s="6">
        <v>488000</v>
      </c>
      <c r="D53" s="6">
        <v>1390</v>
      </c>
      <c r="E53" s="6">
        <v>2023</v>
      </c>
      <c r="F53" s="6">
        <v>6</v>
      </c>
      <c r="G53" s="6" t="s">
        <v>41</v>
      </c>
      <c r="H53" s="6" t="s">
        <v>13</v>
      </c>
      <c r="I53" s="6" t="s">
        <v>14</v>
      </c>
      <c r="J53" s="6" t="s">
        <v>15</v>
      </c>
    </row>
    <row r="54" spans="1:10">
      <c r="A54" s="3" t="s">
        <v>35</v>
      </c>
      <c r="B54" s="4" t="s">
        <v>23</v>
      </c>
      <c r="C54" s="4">
        <v>208000</v>
      </c>
      <c r="D54" s="4">
        <v>1760</v>
      </c>
      <c r="E54" s="4">
        <v>2024</v>
      </c>
      <c r="F54" s="4">
        <v>5.3</v>
      </c>
      <c r="G54" s="4" t="s">
        <v>42</v>
      </c>
      <c r="H54" s="4" t="s">
        <v>25</v>
      </c>
      <c r="I54" s="4" t="s">
        <v>20</v>
      </c>
      <c r="J54" s="4" t="s">
        <v>21</v>
      </c>
    </row>
    <row r="55" spans="1:10">
      <c r="A55" s="5" t="s">
        <v>37</v>
      </c>
      <c r="B55" s="6" t="s">
        <v>27</v>
      </c>
      <c r="C55" s="6">
        <v>398000</v>
      </c>
      <c r="D55" s="6">
        <v>1830</v>
      </c>
      <c r="E55" s="6">
        <v>2023</v>
      </c>
      <c r="F55" s="6">
        <v>6.1</v>
      </c>
      <c r="G55" s="6" t="s">
        <v>28</v>
      </c>
      <c r="H55" s="6" t="s">
        <v>13</v>
      </c>
      <c r="I55" s="6" t="s">
        <v>20</v>
      </c>
      <c r="J55" s="6" t="s">
        <v>29</v>
      </c>
    </row>
    <row r="56" spans="1:10">
      <c r="A56" s="3" t="s">
        <v>10</v>
      </c>
      <c r="B56" s="4" t="s">
        <v>11</v>
      </c>
      <c r="C56" s="4">
        <v>788000</v>
      </c>
      <c r="D56" s="4">
        <v>1260</v>
      </c>
      <c r="E56" s="4">
        <v>2023</v>
      </c>
      <c r="F56" s="4">
        <v>6.2</v>
      </c>
      <c r="G56" s="4" t="s">
        <v>41</v>
      </c>
      <c r="H56" s="4" t="s">
        <v>43</v>
      </c>
      <c r="I56" s="4" t="s">
        <v>14</v>
      </c>
      <c r="J56" s="4" t="s">
        <v>15</v>
      </c>
    </row>
    <row r="57" spans="1:10">
      <c r="A57" s="5" t="s">
        <v>16</v>
      </c>
      <c r="B57" s="6" t="s">
        <v>17</v>
      </c>
      <c r="C57" s="6">
        <v>292000</v>
      </c>
      <c r="D57" s="6">
        <v>2190</v>
      </c>
      <c r="E57" s="6">
        <v>2023</v>
      </c>
      <c r="F57" s="6">
        <v>6</v>
      </c>
      <c r="G57" s="6" t="s">
        <v>18</v>
      </c>
      <c r="H57" s="6" t="s">
        <v>19</v>
      </c>
      <c r="I57" s="6" t="s">
        <v>20</v>
      </c>
      <c r="J57" s="6" t="s">
        <v>21</v>
      </c>
    </row>
    <row r="58" spans="1:10">
      <c r="A58" s="3" t="s">
        <v>22</v>
      </c>
      <c r="B58" s="4" t="s">
        <v>27</v>
      </c>
      <c r="C58" s="4">
        <v>298000</v>
      </c>
      <c r="D58" s="4">
        <v>1870</v>
      </c>
      <c r="E58" s="4">
        <v>2024</v>
      </c>
      <c r="F58" s="4">
        <v>5.4</v>
      </c>
      <c r="G58" s="4" t="s">
        <v>39</v>
      </c>
      <c r="H58" s="4" t="s">
        <v>19</v>
      </c>
      <c r="I58" s="4" t="s">
        <v>20</v>
      </c>
      <c r="J58" s="4" t="s">
        <v>29</v>
      </c>
    </row>
    <row r="59" spans="1:10">
      <c r="A59" s="5" t="s">
        <v>26</v>
      </c>
      <c r="B59" s="6" t="s">
        <v>17</v>
      </c>
      <c r="C59" s="6">
        <v>188000</v>
      </c>
      <c r="D59" s="6">
        <v>2290</v>
      </c>
      <c r="E59" s="6">
        <v>2023</v>
      </c>
      <c r="F59" s="6">
        <v>6.5</v>
      </c>
      <c r="G59" s="6" t="s">
        <v>36</v>
      </c>
      <c r="H59" s="6" t="s">
        <v>25</v>
      </c>
      <c r="I59" s="6" t="s">
        <v>20</v>
      </c>
      <c r="J59" s="6" t="s">
        <v>21</v>
      </c>
    </row>
    <row r="60" spans="1:10">
      <c r="A60" s="3" t="s">
        <v>30</v>
      </c>
      <c r="B60" s="4" t="s">
        <v>11</v>
      </c>
      <c r="C60" s="4">
        <v>412000</v>
      </c>
      <c r="D60" s="4">
        <v>1130</v>
      </c>
      <c r="E60" s="4">
        <v>2023</v>
      </c>
      <c r="F60" s="4">
        <v>6.3</v>
      </c>
      <c r="G60" s="4" t="s">
        <v>38</v>
      </c>
      <c r="H60" s="4" t="s">
        <v>13</v>
      </c>
      <c r="I60" s="4" t="s">
        <v>14</v>
      </c>
      <c r="J60" s="4" t="s">
        <v>15</v>
      </c>
    </row>
    <row r="61" spans="1:10">
      <c r="A61" s="5" t="s">
        <v>32</v>
      </c>
      <c r="B61" s="6" t="s">
        <v>23</v>
      </c>
      <c r="C61" s="6">
        <v>284000</v>
      </c>
      <c r="D61" s="6">
        <v>1880</v>
      </c>
      <c r="E61" s="6">
        <v>2024</v>
      </c>
      <c r="F61" s="6">
        <v>5.5</v>
      </c>
      <c r="G61" s="6" t="s">
        <v>24</v>
      </c>
      <c r="H61" s="6" t="s">
        <v>19</v>
      </c>
      <c r="I61" s="6" t="s">
        <v>20</v>
      </c>
      <c r="J61" s="6" t="s">
        <v>21</v>
      </c>
    </row>
    <row r="62" spans="1:10">
      <c r="A62" s="3" t="s">
        <v>33</v>
      </c>
      <c r="B62" s="4" t="s">
        <v>27</v>
      </c>
      <c r="C62" s="4">
        <v>368000</v>
      </c>
      <c r="D62" s="4">
        <v>1730</v>
      </c>
      <c r="E62" s="4">
        <v>2023</v>
      </c>
      <c r="F62" s="4">
        <v>6.1</v>
      </c>
      <c r="G62" s="4" t="s">
        <v>28</v>
      </c>
      <c r="H62" s="4" t="s">
        <v>13</v>
      </c>
      <c r="I62" s="4" t="s">
        <v>20</v>
      </c>
      <c r="J62" s="4" t="s">
        <v>29</v>
      </c>
    </row>
    <row r="63" spans="1:10">
      <c r="A63" s="5" t="s">
        <v>35</v>
      </c>
      <c r="B63" s="6" t="s">
        <v>17</v>
      </c>
      <c r="C63" s="6">
        <v>166000</v>
      </c>
      <c r="D63" s="6">
        <v>1980</v>
      </c>
      <c r="E63" s="6">
        <v>2023</v>
      </c>
      <c r="F63" s="6">
        <v>6.4</v>
      </c>
      <c r="G63" s="6" t="s">
        <v>31</v>
      </c>
      <c r="H63" s="6" t="s">
        <v>25</v>
      </c>
      <c r="I63" s="6" t="s">
        <v>20</v>
      </c>
      <c r="J63" s="6" t="s">
        <v>21</v>
      </c>
    </row>
    <row r="64" spans="1:10">
      <c r="A64" s="3" t="s">
        <v>37</v>
      </c>
      <c r="B64" s="4" t="s">
        <v>11</v>
      </c>
      <c r="C64" s="4">
        <v>508000</v>
      </c>
      <c r="D64" s="4">
        <v>1420</v>
      </c>
      <c r="E64" s="4">
        <v>2023</v>
      </c>
      <c r="F64" s="4">
        <v>6.2</v>
      </c>
      <c r="G64" s="4" t="s">
        <v>41</v>
      </c>
      <c r="H64" s="4" t="s">
        <v>13</v>
      </c>
      <c r="I64" s="4" t="s">
        <v>14</v>
      </c>
      <c r="J64" s="4" t="s">
        <v>15</v>
      </c>
    </row>
    <row r="65" spans="1:10">
      <c r="A65" s="5" t="s">
        <v>10</v>
      </c>
      <c r="B65" s="6" t="s">
        <v>17</v>
      </c>
      <c r="C65" s="6">
        <v>436000</v>
      </c>
      <c r="D65" s="6">
        <v>2570</v>
      </c>
      <c r="E65" s="6">
        <v>2024</v>
      </c>
      <c r="F65" s="6">
        <v>5.0999999999999996</v>
      </c>
      <c r="G65" s="6" t="s">
        <v>24</v>
      </c>
      <c r="H65" s="6" t="s">
        <v>19</v>
      </c>
      <c r="I65" s="6" t="s">
        <v>20</v>
      </c>
      <c r="J65" s="6" t="s">
        <v>21</v>
      </c>
    </row>
    <row r="66" spans="1:10">
      <c r="A66" s="3" t="s">
        <v>16</v>
      </c>
      <c r="B66" s="4" t="s">
        <v>27</v>
      </c>
      <c r="C66" s="4">
        <v>430000</v>
      </c>
      <c r="D66" s="4">
        <v>2070</v>
      </c>
      <c r="E66" s="4">
        <v>2024</v>
      </c>
      <c r="F66" s="4">
        <v>5.3</v>
      </c>
      <c r="G66" s="4" t="s">
        <v>28</v>
      </c>
      <c r="H66" s="4" t="s">
        <v>13</v>
      </c>
      <c r="I66" s="4" t="s">
        <v>20</v>
      </c>
      <c r="J66" s="4" t="s">
        <v>29</v>
      </c>
    </row>
    <row r="67" spans="1:10">
      <c r="A67" s="5" t="s">
        <v>22</v>
      </c>
      <c r="B67" s="6" t="s">
        <v>23</v>
      </c>
      <c r="C67" s="6">
        <v>254000</v>
      </c>
      <c r="D67" s="6">
        <v>2240</v>
      </c>
      <c r="E67" s="6">
        <v>2023</v>
      </c>
      <c r="F67" s="6">
        <v>6.3</v>
      </c>
      <c r="G67" s="6" t="s">
        <v>24</v>
      </c>
      <c r="H67" s="6" t="s">
        <v>25</v>
      </c>
      <c r="I67" s="6" t="s">
        <v>20</v>
      </c>
      <c r="J67" s="6" t="s">
        <v>21</v>
      </c>
    </row>
    <row r="68" spans="1:10">
      <c r="A68" s="3" t="s">
        <v>26</v>
      </c>
      <c r="B68" s="4" t="s">
        <v>11</v>
      </c>
      <c r="C68" s="4">
        <v>374000</v>
      </c>
      <c r="D68" s="4">
        <v>1360</v>
      </c>
      <c r="E68" s="4">
        <v>2024</v>
      </c>
      <c r="F68" s="4">
        <v>5.4</v>
      </c>
      <c r="G68" s="4" t="s">
        <v>41</v>
      </c>
      <c r="H68" s="4" t="s">
        <v>13</v>
      </c>
      <c r="I68" s="4" t="s">
        <v>14</v>
      </c>
      <c r="J68" s="4" t="s">
        <v>15</v>
      </c>
    </row>
    <row r="69" spans="1:10">
      <c r="A69" s="5" t="s">
        <v>30</v>
      </c>
      <c r="B69" s="6" t="s">
        <v>17</v>
      </c>
      <c r="C69" s="6">
        <v>220000</v>
      </c>
      <c r="D69" s="6">
        <v>2120</v>
      </c>
      <c r="E69" s="6">
        <v>2023</v>
      </c>
      <c r="F69" s="6">
        <v>6.6</v>
      </c>
      <c r="G69" s="6" t="s">
        <v>31</v>
      </c>
      <c r="H69" s="6" t="s">
        <v>25</v>
      </c>
      <c r="I69" s="6" t="s">
        <v>20</v>
      </c>
      <c r="J69" s="6" t="s">
        <v>21</v>
      </c>
    </row>
    <row r="70" spans="1:10">
      <c r="A70" s="3" t="s">
        <v>32</v>
      </c>
      <c r="B70" s="4" t="s">
        <v>11</v>
      </c>
      <c r="C70" s="4">
        <v>442000</v>
      </c>
      <c r="D70" s="4">
        <v>1340</v>
      </c>
      <c r="E70" s="4">
        <v>2024</v>
      </c>
      <c r="F70" s="4">
        <v>5.2</v>
      </c>
      <c r="G70" s="4" t="s">
        <v>41</v>
      </c>
      <c r="H70" s="4" t="s">
        <v>13</v>
      </c>
      <c r="I70" s="4" t="s">
        <v>14</v>
      </c>
      <c r="J70" s="4" t="s">
        <v>15</v>
      </c>
    </row>
    <row r="71" spans="1:10">
      <c r="A71" s="5" t="s">
        <v>33</v>
      </c>
      <c r="B71" s="6" t="s">
        <v>23</v>
      </c>
      <c r="C71" s="6">
        <v>326000</v>
      </c>
      <c r="D71" s="6">
        <v>2030</v>
      </c>
      <c r="E71" s="6">
        <v>2023</v>
      </c>
      <c r="F71" s="6">
        <v>6.1</v>
      </c>
      <c r="G71" s="6" t="s">
        <v>24</v>
      </c>
      <c r="H71" s="6" t="s">
        <v>19</v>
      </c>
      <c r="I71" s="6" t="s">
        <v>20</v>
      </c>
      <c r="J71" s="6" t="s">
        <v>21</v>
      </c>
    </row>
    <row r="72" spans="1:10">
      <c r="A72" s="3" t="s">
        <v>35</v>
      </c>
      <c r="B72" s="4" t="s">
        <v>27</v>
      </c>
      <c r="C72" s="4">
        <v>270000</v>
      </c>
      <c r="D72" s="4">
        <v>1620</v>
      </c>
      <c r="E72" s="4">
        <v>2024</v>
      </c>
      <c r="F72" s="4">
        <v>5.4</v>
      </c>
      <c r="G72" s="4" t="s">
        <v>18</v>
      </c>
      <c r="H72" s="4" t="s">
        <v>19</v>
      </c>
      <c r="I72" s="4" t="s">
        <v>20</v>
      </c>
      <c r="J72" s="4" t="s">
        <v>29</v>
      </c>
    </row>
    <row r="73" spans="1:10">
      <c r="A73" s="5" t="s">
        <v>37</v>
      </c>
      <c r="B73" s="6" t="s">
        <v>17</v>
      </c>
      <c r="C73" s="6">
        <v>279000</v>
      </c>
      <c r="D73" s="6">
        <v>2490</v>
      </c>
      <c r="E73" s="6">
        <v>2023</v>
      </c>
      <c r="F73" s="6">
        <v>6</v>
      </c>
      <c r="G73" s="6" t="s">
        <v>24</v>
      </c>
      <c r="H73" s="6" t="s">
        <v>19</v>
      </c>
      <c r="I73" s="6" t="s">
        <v>20</v>
      </c>
      <c r="J73" s="6" t="s">
        <v>21</v>
      </c>
    </row>
    <row r="74" spans="1:10">
      <c r="A74" s="3" t="s">
        <v>10</v>
      </c>
      <c r="B74" s="4" t="s">
        <v>23</v>
      </c>
      <c r="C74" s="4">
        <v>556000</v>
      </c>
      <c r="D74" s="4">
        <v>2230</v>
      </c>
      <c r="E74" s="4">
        <v>2024</v>
      </c>
      <c r="F74" s="4">
        <v>5.2</v>
      </c>
      <c r="G74" s="4" t="s">
        <v>28</v>
      </c>
      <c r="H74" s="4" t="s">
        <v>13</v>
      </c>
      <c r="I74" s="4" t="s">
        <v>20</v>
      </c>
      <c r="J74" s="4" t="s">
        <v>29</v>
      </c>
    </row>
    <row r="75" spans="1:10">
      <c r="A75" s="5" t="s">
        <v>16</v>
      </c>
      <c r="B75" s="6" t="s">
        <v>11</v>
      </c>
      <c r="C75" s="6">
        <v>575000</v>
      </c>
      <c r="D75" s="6">
        <v>1600</v>
      </c>
      <c r="E75" s="6">
        <v>2024</v>
      </c>
      <c r="F75" s="6">
        <v>5.3</v>
      </c>
      <c r="G75" s="6" t="s">
        <v>38</v>
      </c>
      <c r="H75" s="6" t="s">
        <v>43</v>
      </c>
      <c r="I75" s="6" t="s">
        <v>14</v>
      </c>
      <c r="J75" s="6" t="s">
        <v>15</v>
      </c>
    </row>
    <row r="76" spans="1:10">
      <c r="A76" s="3" t="s">
        <v>22</v>
      </c>
      <c r="B76" s="4" t="s">
        <v>17</v>
      </c>
      <c r="C76" s="4">
        <v>210000</v>
      </c>
      <c r="D76" s="4">
        <v>2480</v>
      </c>
      <c r="E76" s="4">
        <v>2024</v>
      </c>
      <c r="F76" s="4">
        <v>5.4</v>
      </c>
      <c r="G76" s="4" t="s">
        <v>36</v>
      </c>
      <c r="H76" s="4" t="s">
        <v>25</v>
      </c>
      <c r="I76" s="4" t="s">
        <v>20</v>
      </c>
      <c r="J76" s="4" t="s">
        <v>21</v>
      </c>
    </row>
    <row r="77" spans="1:10">
      <c r="A77" s="5" t="s">
        <v>26</v>
      </c>
      <c r="B77" s="6" t="s">
        <v>27</v>
      </c>
      <c r="C77" s="6">
        <v>300000</v>
      </c>
      <c r="D77" s="6">
        <v>1860</v>
      </c>
      <c r="E77" s="6">
        <v>2024</v>
      </c>
      <c r="F77" s="6">
        <v>5.5</v>
      </c>
      <c r="G77" s="6" t="s">
        <v>18</v>
      </c>
      <c r="H77" s="6" t="s">
        <v>19</v>
      </c>
      <c r="I77" s="6" t="s">
        <v>20</v>
      </c>
      <c r="J77" s="6" t="s">
        <v>29</v>
      </c>
    </row>
    <row r="78" spans="1:10">
      <c r="A78" s="3" t="s">
        <v>30</v>
      </c>
      <c r="B78" s="4" t="s">
        <v>23</v>
      </c>
      <c r="C78" s="4">
        <v>280000</v>
      </c>
      <c r="D78" s="4">
        <v>1900</v>
      </c>
      <c r="E78" s="4">
        <v>2024</v>
      </c>
      <c r="F78" s="4">
        <v>5.4</v>
      </c>
      <c r="G78" s="4" t="s">
        <v>24</v>
      </c>
      <c r="H78" s="4" t="s">
        <v>19</v>
      </c>
      <c r="I78" s="4" t="s">
        <v>20</v>
      </c>
      <c r="J78" s="4" t="s">
        <v>21</v>
      </c>
    </row>
    <row r="79" spans="1:10">
      <c r="A79" s="5" t="s">
        <v>32</v>
      </c>
      <c r="B79" s="6" t="s">
        <v>17</v>
      </c>
      <c r="C79" s="6">
        <v>230000</v>
      </c>
      <c r="D79" s="6">
        <v>2180</v>
      </c>
      <c r="E79" s="6">
        <v>2023</v>
      </c>
      <c r="F79" s="6">
        <v>6.2</v>
      </c>
      <c r="G79" s="6" t="s">
        <v>40</v>
      </c>
      <c r="H79" s="6" t="s">
        <v>25</v>
      </c>
      <c r="I79" s="6" t="s">
        <v>20</v>
      </c>
      <c r="J79" s="6" t="s">
        <v>21</v>
      </c>
    </row>
    <row r="80" spans="1:10">
      <c r="A80" s="3" t="s">
        <v>33</v>
      </c>
      <c r="B80" s="4" t="s">
        <v>11</v>
      </c>
      <c r="C80" s="4">
        <v>490000</v>
      </c>
      <c r="D80" s="4">
        <v>1410</v>
      </c>
      <c r="E80" s="4">
        <v>2024</v>
      </c>
      <c r="F80" s="4">
        <v>5.0999999999999996</v>
      </c>
      <c r="G80" s="4" t="s">
        <v>41</v>
      </c>
      <c r="H80" s="4" t="s">
        <v>13</v>
      </c>
      <c r="I80" s="4" t="s">
        <v>14</v>
      </c>
      <c r="J80" s="4" t="s">
        <v>15</v>
      </c>
    </row>
    <row r="81" spans="1:10">
      <c r="A81" s="5" t="s">
        <v>35</v>
      </c>
      <c r="B81" s="6" t="s">
        <v>23</v>
      </c>
      <c r="C81" s="6">
        <v>214000</v>
      </c>
      <c r="D81" s="6">
        <v>1840</v>
      </c>
      <c r="E81" s="6">
        <v>2023</v>
      </c>
      <c r="F81" s="6">
        <v>6.5</v>
      </c>
      <c r="G81" s="6" t="s">
        <v>42</v>
      </c>
      <c r="H81" s="6" t="s">
        <v>25</v>
      </c>
      <c r="I81" s="6" t="s">
        <v>20</v>
      </c>
      <c r="J81" s="6" t="s">
        <v>21</v>
      </c>
    </row>
    <row r="82" spans="1:10">
      <c r="A82" s="3" t="s">
        <v>37</v>
      </c>
      <c r="B82" s="4" t="s">
        <v>27</v>
      </c>
      <c r="C82" s="4">
        <v>405000</v>
      </c>
      <c r="D82" s="4">
        <v>1910</v>
      </c>
      <c r="E82" s="4">
        <v>2024</v>
      </c>
      <c r="F82" s="4">
        <v>5.3</v>
      </c>
      <c r="G82" s="4" t="s">
        <v>28</v>
      </c>
      <c r="H82" s="4" t="s">
        <v>13</v>
      </c>
      <c r="I82" s="4" t="s">
        <v>20</v>
      </c>
      <c r="J82" s="4" t="s">
        <v>29</v>
      </c>
    </row>
    <row r="83" spans="1:10">
      <c r="A83" s="5" t="s">
        <v>10</v>
      </c>
      <c r="B83" s="6" t="s">
        <v>11</v>
      </c>
      <c r="C83" s="6">
        <v>792000</v>
      </c>
      <c r="D83" s="6">
        <v>1300</v>
      </c>
      <c r="E83" s="6">
        <v>2024</v>
      </c>
      <c r="F83" s="6">
        <v>5</v>
      </c>
      <c r="G83" s="6" t="s">
        <v>41</v>
      </c>
      <c r="H83" s="6" t="s">
        <v>43</v>
      </c>
      <c r="I83" s="6" t="s">
        <v>14</v>
      </c>
      <c r="J83" s="6" t="s">
        <v>15</v>
      </c>
    </row>
    <row r="84" spans="1:10">
      <c r="A84" s="3" t="s">
        <v>16</v>
      </c>
      <c r="B84" s="4" t="s">
        <v>17</v>
      </c>
      <c r="C84" s="4">
        <v>300000</v>
      </c>
      <c r="D84" s="4">
        <v>2250</v>
      </c>
      <c r="E84" s="4">
        <v>2024</v>
      </c>
      <c r="F84" s="4">
        <v>5.2</v>
      </c>
      <c r="G84" s="4" t="s">
        <v>18</v>
      </c>
      <c r="H84" s="4" t="s">
        <v>19</v>
      </c>
      <c r="I84" s="4" t="s">
        <v>20</v>
      </c>
      <c r="J84" s="4" t="s">
        <v>21</v>
      </c>
    </row>
    <row r="85" spans="1:10">
      <c r="A85" s="5" t="s">
        <v>22</v>
      </c>
      <c r="B85" s="6" t="s">
        <v>27</v>
      </c>
      <c r="C85" s="6">
        <v>310000</v>
      </c>
      <c r="D85" s="6">
        <v>1950</v>
      </c>
      <c r="E85" s="6">
        <v>2023</v>
      </c>
      <c r="F85" s="6">
        <v>6.3</v>
      </c>
      <c r="G85" s="6" t="s">
        <v>39</v>
      </c>
      <c r="H85" s="6" t="s">
        <v>19</v>
      </c>
      <c r="I85" s="6" t="s">
        <v>20</v>
      </c>
      <c r="J85" s="6" t="s">
        <v>29</v>
      </c>
    </row>
    <row r="86" spans="1:10">
      <c r="A86" s="3" t="s">
        <v>26</v>
      </c>
      <c r="B86" s="4" t="s">
        <v>17</v>
      </c>
      <c r="C86" s="4">
        <v>194000</v>
      </c>
      <c r="D86" s="4">
        <v>2400</v>
      </c>
      <c r="E86" s="4">
        <v>2024</v>
      </c>
      <c r="F86" s="4">
        <v>5.4</v>
      </c>
      <c r="G86" s="4" t="s">
        <v>36</v>
      </c>
      <c r="H86" s="4" t="s">
        <v>25</v>
      </c>
      <c r="I86" s="4" t="s">
        <v>20</v>
      </c>
      <c r="J86" s="4" t="s">
        <v>21</v>
      </c>
    </row>
    <row r="87" spans="1:10">
      <c r="A87" s="5" t="s">
        <v>30</v>
      </c>
      <c r="B87" s="6" t="s">
        <v>11</v>
      </c>
      <c r="C87" s="6">
        <v>420000</v>
      </c>
      <c r="D87" s="6">
        <v>1190</v>
      </c>
      <c r="E87" s="6">
        <v>2024</v>
      </c>
      <c r="F87" s="6">
        <v>5.3</v>
      </c>
      <c r="G87" s="6" t="s">
        <v>38</v>
      </c>
      <c r="H87" s="6" t="s">
        <v>13</v>
      </c>
      <c r="I87" s="6" t="s">
        <v>14</v>
      </c>
      <c r="J87" s="6" t="s">
        <v>15</v>
      </c>
    </row>
    <row r="88" spans="1:10">
      <c r="A88" s="3" t="s">
        <v>32</v>
      </c>
      <c r="B88" s="4" t="s">
        <v>23</v>
      </c>
      <c r="C88" s="4">
        <v>292000</v>
      </c>
      <c r="D88" s="4">
        <v>1970</v>
      </c>
      <c r="E88" s="4">
        <v>2023</v>
      </c>
      <c r="F88" s="4">
        <v>6.4</v>
      </c>
      <c r="G88" s="4" t="s">
        <v>24</v>
      </c>
      <c r="H88" s="4" t="s">
        <v>19</v>
      </c>
      <c r="I88" s="4" t="s">
        <v>20</v>
      </c>
      <c r="J88" s="4" t="s">
        <v>21</v>
      </c>
    </row>
    <row r="89" spans="1:10">
      <c r="A89" s="5" t="s">
        <v>33</v>
      </c>
      <c r="B89" s="6" t="s">
        <v>27</v>
      </c>
      <c r="C89" s="6">
        <v>374000</v>
      </c>
      <c r="D89" s="6">
        <v>1800</v>
      </c>
      <c r="E89" s="6">
        <v>2024</v>
      </c>
      <c r="F89" s="6">
        <v>5.2</v>
      </c>
      <c r="G89" s="6" t="s">
        <v>28</v>
      </c>
      <c r="H89" s="6" t="s">
        <v>13</v>
      </c>
      <c r="I89" s="6" t="s">
        <v>20</v>
      </c>
      <c r="J89" s="6" t="s">
        <v>29</v>
      </c>
    </row>
    <row r="90" spans="1:10">
      <c r="A90" s="3" t="s">
        <v>35</v>
      </c>
      <c r="B90" s="4" t="s">
        <v>17</v>
      </c>
      <c r="C90" s="4">
        <v>172000</v>
      </c>
      <c r="D90" s="4">
        <v>2090</v>
      </c>
      <c r="E90" s="4">
        <v>2024</v>
      </c>
      <c r="F90" s="4">
        <v>5.3</v>
      </c>
      <c r="G90" s="4" t="s">
        <v>31</v>
      </c>
      <c r="H90" s="4" t="s">
        <v>25</v>
      </c>
      <c r="I90" s="4" t="s">
        <v>20</v>
      </c>
      <c r="J90" s="4" t="s">
        <v>21</v>
      </c>
    </row>
    <row r="91" spans="1:10">
      <c r="A91" s="5" t="s">
        <v>37</v>
      </c>
      <c r="B91" s="6" t="s">
        <v>11</v>
      </c>
      <c r="C91" s="6">
        <v>520000</v>
      </c>
      <c r="D91" s="6">
        <v>1500</v>
      </c>
      <c r="E91" s="6">
        <v>2024</v>
      </c>
      <c r="F91" s="6">
        <v>5.0999999999999996</v>
      </c>
      <c r="G91" s="6" t="s">
        <v>41</v>
      </c>
      <c r="H91" s="6" t="s">
        <v>13</v>
      </c>
      <c r="I91" s="6" t="s">
        <v>14</v>
      </c>
      <c r="J91" s="6" t="s">
        <v>15</v>
      </c>
    </row>
    <row r="92" spans="1:10">
      <c r="A92" s="3" t="s">
        <v>10</v>
      </c>
      <c r="B92" s="4" t="s">
        <v>11</v>
      </c>
      <c r="C92" s="4">
        <v>805000</v>
      </c>
      <c r="D92" s="4">
        <v>1600</v>
      </c>
      <c r="E92" s="4">
        <v>2024</v>
      </c>
      <c r="F92" s="4">
        <v>5</v>
      </c>
      <c r="G92" s="4" t="s">
        <v>41</v>
      </c>
      <c r="H92" s="4" t="s">
        <v>43</v>
      </c>
      <c r="I92" s="4" t="s">
        <v>14</v>
      </c>
      <c r="J92" s="4" t="s">
        <v>15</v>
      </c>
    </row>
    <row r="93" spans="1:10">
      <c r="A93" s="5" t="s">
        <v>16</v>
      </c>
      <c r="B93" s="6" t="s">
        <v>17</v>
      </c>
      <c r="C93" s="6">
        <v>310000</v>
      </c>
      <c r="D93" s="6">
        <v>2400</v>
      </c>
      <c r="E93" s="6">
        <v>2023</v>
      </c>
      <c r="F93" s="6">
        <v>6</v>
      </c>
      <c r="G93" s="6" t="s">
        <v>18</v>
      </c>
      <c r="H93" s="6" t="s">
        <v>19</v>
      </c>
      <c r="I93" s="6" t="s">
        <v>20</v>
      </c>
      <c r="J93" s="6" t="s">
        <v>21</v>
      </c>
    </row>
    <row r="94" spans="1:10">
      <c r="A94" s="3" t="s">
        <v>22</v>
      </c>
      <c r="B94" s="4" t="s">
        <v>23</v>
      </c>
      <c r="C94" s="4">
        <v>260000</v>
      </c>
      <c r="D94" s="4">
        <v>2360</v>
      </c>
      <c r="E94" s="4">
        <v>2024</v>
      </c>
      <c r="F94" s="4">
        <v>5.4</v>
      </c>
      <c r="G94" s="4" t="s">
        <v>24</v>
      </c>
      <c r="H94" s="4" t="s">
        <v>25</v>
      </c>
      <c r="I94" s="4" t="s">
        <v>20</v>
      </c>
      <c r="J94" s="4" t="s">
        <v>21</v>
      </c>
    </row>
    <row r="95" spans="1:10">
      <c r="A95" s="5" t="s">
        <v>26</v>
      </c>
      <c r="B95" s="6" t="s">
        <v>27</v>
      </c>
      <c r="C95" s="6">
        <v>315000</v>
      </c>
      <c r="D95" s="6">
        <v>1980</v>
      </c>
      <c r="E95" s="6">
        <v>2023</v>
      </c>
      <c r="F95" s="6">
        <v>6.2</v>
      </c>
      <c r="G95" s="6" t="s">
        <v>28</v>
      </c>
      <c r="H95" s="6" t="s">
        <v>19</v>
      </c>
      <c r="I95" s="6" t="s">
        <v>20</v>
      </c>
      <c r="J95" s="6" t="s">
        <v>29</v>
      </c>
    </row>
    <row r="96" spans="1:10">
      <c r="A96" s="3" t="s">
        <v>30</v>
      </c>
      <c r="B96" s="4" t="s">
        <v>17</v>
      </c>
      <c r="C96" s="4">
        <v>225000</v>
      </c>
      <c r="D96" s="4">
        <v>2250</v>
      </c>
      <c r="E96" s="4">
        <v>2024</v>
      </c>
      <c r="F96" s="4">
        <v>5.3</v>
      </c>
      <c r="G96" s="4" t="s">
        <v>31</v>
      </c>
      <c r="H96" s="4" t="s">
        <v>25</v>
      </c>
      <c r="I96" s="4" t="s">
        <v>20</v>
      </c>
      <c r="J96" s="4" t="s">
        <v>21</v>
      </c>
    </row>
    <row r="97" spans="1:10">
      <c r="A97" s="5" t="s">
        <v>32</v>
      </c>
      <c r="B97" s="6" t="s">
        <v>11</v>
      </c>
      <c r="C97" s="6">
        <v>445000</v>
      </c>
      <c r="D97" s="6">
        <v>1400</v>
      </c>
      <c r="E97" s="6">
        <v>2023</v>
      </c>
      <c r="F97" s="6">
        <v>6.1</v>
      </c>
      <c r="G97" s="6" t="s">
        <v>41</v>
      </c>
      <c r="H97" s="6" t="s">
        <v>13</v>
      </c>
      <c r="I97" s="6" t="s">
        <v>14</v>
      </c>
      <c r="J97" s="6" t="s">
        <v>15</v>
      </c>
    </row>
    <row r="98" spans="1:10">
      <c r="A98" s="3" t="s">
        <v>33</v>
      </c>
      <c r="B98" s="4" t="s">
        <v>23</v>
      </c>
      <c r="C98" s="4">
        <v>330000</v>
      </c>
      <c r="D98" s="4">
        <v>2050</v>
      </c>
      <c r="E98" s="4">
        <v>2024</v>
      </c>
      <c r="F98" s="4">
        <v>5.3</v>
      </c>
      <c r="G98" s="4">
        <v>10</v>
      </c>
      <c r="H98" s="4" t="s">
        <v>19</v>
      </c>
      <c r="I98" s="4" t="s">
        <v>20</v>
      </c>
      <c r="J98" s="4" t="s">
        <v>21</v>
      </c>
    </row>
    <row r="99" spans="1:10">
      <c r="A99" s="5" t="s">
        <v>35</v>
      </c>
      <c r="B99" s="6" t="s">
        <v>17</v>
      </c>
      <c r="C99" s="6">
        <v>175000</v>
      </c>
      <c r="D99" s="6">
        <v>2200</v>
      </c>
      <c r="E99" s="6">
        <v>2023</v>
      </c>
      <c r="F99" s="6">
        <v>6.4</v>
      </c>
      <c r="G99" s="6" t="s">
        <v>36</v>
      </c>
      <c r="H99" s="6" t="s">
        <v>25</v>
      </c>
      <c r="I99" s="6" t="s">
        <v>20</v>
      </c>
      <c r="J99" s="6" t="s">
        <v>21</v>
      </c>
    </row>
    <row r="100" spans="1:10">
      <c r="A100" s="3" t="s">
        <v>37</v>
      </c>
      <c r="B100" s="4" t="s">
        <v>11</v>
      </c>
      <c r="C100" s="4">
        <v>525000</v>
      </c>
      <c r="D100" s="4">
        <v>1530</v>
      </c>
      <c r="E100" s="4">
        <v>2024</v>
      </c>
      <c r="F100" s="4">
        <v>5.0999999999999996</v>
      </c>
      <c r="G100" s="4" t="s">
        <v>38</v>
      </c>
      <c r="H100" s="4" t="s">
        <v>13</v>
      </c>
      <c r="I100" s="4" t="s">
        <v>14</v>
      </c>
      <c r="J100" s="4" t="s">
        <v>29</v>
      </c>
    </row>
    <row r="101" spans="1:10">
      <c r="A101" s="5" t="s">
        <v>10</v>
      </c>
      <c r="B101" s="6" t="s">
        <v>17</v>
      </c>
      <c r="C101" s="6">
        <v>450000</v>
      </c>
      <c r="D101" s="6">
        <v>2680</v>
      </c>
      <c r="E101" s="6">
        <v>2024</v>
      </c>
      <c r="F101" s="6">
        <v>5</v>
      </c>
      <c r="G101" s="6" t="s">
        <v>18</v>
      </c>
      <c r="H101" s="6" t="s">
        <v>19</v>
      </c>
      <c r="I101" s="6" t="s">
        <v>20</v>
      </c>
      <c r="J101" s="6" t="s">
        <v>21</v>
      </c>
    </row>
    <row r="102" spans="1:10">
      <c r="A102" s="3" t="s">
        <v>16</v>
      </c>
      <c r="B102" s="4" t="s">
        <v>27</v>
      </c>
      <c r="C102" s="4">
        <v>432000</v>
      </c>
      <c r="D102" s="4">
        <v>2120</v>
      </c>
      <c r="E102" s="4">
        <v>2023</v>
      </c>
      <c r="F102" s="4">
        <v>6.1</v>
      </c>
      <c r="G102" s="4" t="s">
        <v>28</v>
      </c>
      <c r="H102" s="4" t="s">
        <v>13</v>
      </c>
      <c r="I102" s="4" t="s">
        <v>20</v>
      </c>
      <c r="J102" s="4" t="s">
        <v>29</v>
      </c>
    </row>
    <row r="103" spans="1:10">
      <c r="A103" s="5" t="s">
        <v>22</v>
      </c>
      <c r="B103" s="6" t="s">
        <v>11</v>
      </c>
      <c r="C103" s="6">
        <v>398000</v>
      </c>
      <c r="D103" s="6">
        <v>1460</v>
      </c>
      <c r="E103" s="6">
        <v>2024</v>
      </c>
      <c r="F103" s="6">
        <v>5.3</v>
      </c>
      <c r="G103" s="6" t="s">
        <v>12</v>
      </c>
      <c r="H103" s="6" t="s">
        <v>19</v>
      </c>
      <c r="I103" s="6" t="s">
        <v>14</v>
      </c>
      <c r="J103" s="6" t="s">
        <v>15</v>
      </c>
    </row>
    <row r="104" spans="1:10">
      <c r="A104" s="3" t="s">
        <v>26</v>
      </c>
      <c r="B104" s="4" t="s">
        <v>23</v>
      </c>
      <c r="C104" s="4">
        <v>248000</v>
      </c>
      <c r="D104" s="4">
        <v>2200</v>
      </c>
      <c r="E104" s="4">
        <v>2023</v>
      </c>
      <c r="F104" s="4">
        <v>6.5</v>
      </c>
      <c r="G104" s="4" t="s">
        <v>24</v>
      </c>
      <c r="H104" s="4" t="s">
        <v>25</v>
      </c>
      <c r="I104" s="4" t="s">
        <v>20</v>
      </c>
      <c r="J104" s="4" t="s">
        <v>21</v>
      </c>
    </row>
    <row r="105" spans="1:10">
      <c r="A105" s="5" t="s">
        <v>30</v>
      </c>
      <c r="B105" s="6" t="s">
        <v>27</v>
      </c>
      <c r="C105" s="6">
        <v>330000</v>
      </c>
      <c r="D105" s="6">
        <v>1620</v>
      </c>
      <c r="E105" s="6">
        <v>2024</v>
      </c>
      <c r="F105" s="6">
        <v>5.4</v>
      </c>
      <c r="G105" s="6" t="s">
        <v>39</v>
      </c>
      <c r="H105" s="6" t="s">
        <v>19</v>
      </c>
      <c r="I105" s="6" t="s">
        <v>20</v>
      </c>
      <c r="J105" s="6" t="s">
        <v>29</v>
      </c>
    </row>
    <row r="106" spans="1:10">
      <c r="A106" s="3" t="s">
        <v>32</v>
      </c>
      <c r="B106" s="4" t="s">
        <v>17</v>
      </c>
      <c r="C106" s="4">
        <v>232000</v>
      </c>
      <c r="D106" s="4">
        <v>2230</v>
      </c>
      <c r="E106" s="4">
        <v>2024</v>
      </c>
      <c r="F106" s="4">
        <v>5.3</v>
      </c>
      <c r="G106" s="4" t="s">
        <v>40</v>
      </c>
      <c r="H106" s="4" t="s">
        <v>25</v>
      </c>
      <c r="I106" s="4" t="s">
        <v>20</v>
      </c>
      <c r="J106" s="4" t="s">
        <v>21</v>
      </c>
    </row>
    <row r="107" spans="1:10">
      <c r="A107" s="5" t="s">
        <v>33</v>
      </c>
      <c r="B107" s="6" t="s">
        <v>11</v>
      </c>
      <c r="C107" s="6">
        <v>495000</v>
      </c>
      <c r="D107" s="6">
        <v>1450</v>
      </c>
      <c r="E107" s="6">
        <v>2023</v>
      </c>
      <c r="F107" s="6">
        <v>6.2</v>
      </c>
      <c r="G107" s="6" t="s">
        <v>41</v>
      </c>
      <c r="H107" s="6" t="s">
        <v>13</v>
      </c>
      <c r="I107" s="6" t="s">
        <v>14</v>
      </c>
      <c r="J107" s="6" t="s">
        <v>15</v>
      </c>
    </row>
    <row r="108" spans="1:10">
      <c r="A108" s="3" t="s">
        <v>35</v>
      </c>
      <c r="B108" s="4" t="s">
        <v>23</v>
      </c>
      <c r="C108" s="4">
        <v>218000</v>
      </c>
      <c r="D108" s="4">
        <v>1880</v>
      </c>
      <c r="E108" s="4">
        <v>2024</v>
      </c>
      <c r="F108" s="4">
        <v>5.3</v>
      </c>
      <c r="G108" s="4" t="s">
        <v>42</v>
      </c>
      <c r="H108" s="4" t="s">
        <v>25</v>
      </c>
      <c r="I108" s="4" t="s">
        <v>20</v>
      </c>
      <c r="J108" s="4" t="s">
        <v>21</v>
      </c>
    </row>
    <row r="109" spans="1:10">
      <c r="A109" s="5" t="s">
        <v>37</v>
      </c>
      <c r="B109" s="6" t="s">
        <v>17</v>
      </c>
      <c r="C109" s="6">
        <v>282000</v>
      </c>
      <c r="D109" s="6">
        <v>2510</v>
      </c>
      <c r="E109" s="6">
        <v>2024</v>
      </c>
      <c r="F109" s="6">
        <v>5.2</v>
      </c>
      <c r="G109" s="6" t="s">
        <v>24</v>
      </c>
      <c r="H109" s="6" t="s">
        <v>19</v>
      </c>
      <c r="I109" s="6" t="s">
        <v>20</v>
      </c>
      <c r="J109" s="6" t="s">
        <v>21</v>
      </c>
    </row>
    <row r="110" spans="1:10">
      <c r="A110" s="3" t="s">
        <v>10</v>
      </c>
      <c r="B110" s="4" t="s">
        <v>23</v>
      </c>
      <c r="C110" s="4">
        <v>560000</v>
      </c>
      <c r="D110" s="4">
        <v>2300</v>
      </c>
      <c r="E110" s="4">
        <v>2024</v>
      </c>
      <c r="F110" s="4">
        <v>5.0999999999999996</v>
      </c>
      <c r="G110" s="4" t="s">
        <v>28</v>
      </c>
      <c r="H110" s="4" t="s">
        <v>13</v>
      </c>
      <c r="I110" s="4" t="s">
        <v>20</v>
      </c>
      <c r="J110" s="4" t="s">
        <v>29</v>
      </c>
    </row>
    <row r="111" spans="1:10">
      <c r="A111" s="5" t="s">
        <v>16</v>
      </c>
      <c r="B111" s="6" t="s">
        <v>11</v>
      </c>
      <c r="C111" s="6">
        <v>580000</v>
      </c>
      <c r="D111" s="6">
        <v>1650</v>
      </c>
      <c r="E111" s="6">
        <v>2024</v>
      </c>
      <c r="F111" s="6">
        <v>5.3</v>
      </c>
      <c r="G111" s="6" t="s">
        <v>38</v>
      </c>
      <c r="H111" s="6" t="s">
        <v>43</v>
      </c>
      <c r="I111" s="6" t="s">
        <v>14</v>
      </c>
      <c r="J111" s="6" t="s">
        <v>15</v>
      </c>
    </row>
    <row r="112" spans="1:10">
      <c r="A112" s="3" t="s">
        <v>22</v>
      </c>
      <c r="B112" s="4" t="s">
        <v>17</v>
      </c>
      <c r="C112" s="4">
        <v>212000</v>
      </c>
      <c r="D112" s="4">
        <v>2500</v>
      </c>
      <c r="E112" s="4">
        <v>2023</v>
      </c>
      <c r="F112" s="4">
        <v>6.4</v>
      </c>
      <c r="G112" s="4" t="s">
        <v>36</v>
      </c>
      <c r="H112" s="4" t="s">
        <v>25</v>
      </c>
      <c r="I112" s="4" t="s">
        <v>20</v>
      </c>
      <c r="J112" s="4" t="s">
        <v>21</v>
      </c>
    </row>
    <row r="113" spans="1:10">
      <c r="A113" s="5" t="s">
        <v>26</v>
      </c>
      <c r="B113" s="6" t="s">
        <v>11</v>
      </c>
      <c r="C113" s="6">
        <v>380000</v>
      </c>
      <c r="D113" s="6">
        <v>1400</v>
      </c>
      <c r="E113" s="6">
        <v>2024</v>
      </c>
      <c r="F113" s="6">
        <v>5.4</v>
      </c>
      <c r="G113" s="6" t="s">
        <v>41</v>
      </c>
      <c r="H113" s="6" t="s">
        <v>13</v>
      </c>
      <c r="I113" s="6" t="s">
        <v>14</v>
      </c>
      <c r="J113" s="6" t="s">
        <v>29</v>
      </c>
    </row>
    <row r="114" spans="1:10">
      <c r="A114" s="3" t="s">
        <v>30</v>
      </c>
      <c r="B114" s="4" t="s">
        <v>23</v>
      </c>
      <c r="C114" s="4">
        <v>285000</v>
      </c>
      <c r="D114" s="4">
        <v>1940</v>
      </c>
      <c r="E114" s="4">
        <v>2023</v>
      </c>
      <c r="F114" s="4">
        <v>6.5</v>
      </c>
      <c r="G114" s="4" t="s">
        <v>24</v>
      </c>
      <c r="H114" s="4" t="s">
        <v>19</v>
      </c>
      <c r="I114" s="4" t="s">
        <v>20</v>
      </c>
      <c r="J114" s="4" t="s">
        <v>21</v>
      </c>
    </row>
    <row r="115" spans="1:10">
      <c r="A115" s="5" t="s">
        <v>32</v>
      </c>
      <c r="B115" s="6" t="s">
        <v>27</v>
      </c>
      <c r="C115" s="6">
        <v>345000</v>
      </c>
      <c r="D115" s="6">
        <v>1700</v>
      </c>
      <c r="E115" s="6">
        <v>2024</v>
      </c>
      <c r="F115" s="6">
        <v>5.3</v>
      </c>
      <c r="G115" s="6" t="s">
        <v>12</v>
      </c>
      <c r="H115" s="6" t="s">
        <v>13</v>
      </c>
      <c r="I115" s="6" t="s">
        <v>20</v>
      </c>
      <c r="J115" s="6" t="s">
        <v>29</v>
      </c>
    </row>
    <row r="116" spans="1:10">
      <c r="A116" s="3" t="s">
        <v>33</v>
      </c>
      <c r="B116" s="4" t="s">
        <v>17</v>
      </c>
      <c r="C116" s="4">
        <v>270000</v>
      </c>
      <c r="D116" s="4">
        <v>2330</v>
      </c>
      <c r="E116" s="4">
        <v>2024</v>
      </c>
      <c r="F116" s="4">
        <v>5.2</v>
      </c>
      <c r="G116" s="4" t="s">
        <v>18</v>
      </c>
      <c r="H116" s="4" t="s">
        <v>19</v>
      </c>
      <c r="I116" s="4" t="s">
        <v>20</v>
      </c>
      <c r="J116" s="4" t="s">
        <v>21</v>
      </c>
    </row>
    <row r="117" spans="1:10">
      <c r="A117" s="5" t="s">
        <v>35</v>
      </c>
      <c r="B117" s="6" t="s">
        <v>11</v>
      </c>
      <c r="C117" s="6">
        <v>340000</v>
      </c>
      <c r="D117" s="6">
        <v>1120</v>
      </c>
      <c r="E117" s="6">
        <v>2023</v>
      </c>
      <c r="F117" s="6">
        <v>6.6</v>
      </c>
      <c r="G117" s="6" t="s">
        <v>44</v>
      </c>
      <c r="H117" s="6" t="s">
        <v>13</v>
      </c>
      <c r="I117" s="6" t="s">
        <v>14</v>
      </c>
      <c r="J117" s="6" t="s">
        <v>15</v>
      </c>
    </row>
    <row r="118" spans="1:10">
      <c r="A118" s="3" t="s">
        <v>37</v>
      </c>
      <c r="B118" s="4" t="s">
        <v>27</v>
      </c>
      <c r="C118" s="4">
        <v>410000</v>
      </c>
      <c r="D118" s="4">
        <v>1950</v>
      </c>
      <c r="E118" s="4">
        <v>2024</v>
      </c>
      <c r="F118" s="4">
        <v>5.2</v>
      </c>
      <c r="G118" s="4" t="s">
        <v>28</v>
      </c>
      <c r="H118" s="4" t="s">
        <v>13</v>
      </c>
      <c r="I118" s="4" t="s">
        <v>20</v>
      </c>
      <c r="J118" s="4" t="s">
        <v>29</v>
      </c>
    </row>
    <row r="119" spans="1:10">
      <c r="A119" s="5" t="s">
        <v>10</v>
      </c>
      <c r="B119" s="6" t="s">
        <v>11</v>
      </c>
      <c r="C119" s="6">
        <v>810000</v>
      </c>
      <c r="D119" s="6">
        <v>1620</v>
      </c>
      <c r="E119" s="6">
        <v>2023</v>
      </c>
      <c r="F119" s="6">
        <v>6</v>
      </c>
      <c r="G119" s="6" t="s">
        <v>41</v>
      </c>
      <c r="H119" s="6" t="s">
        <v>43</v>
      </c>
      <c r="I119" s="6" t="s">
        <v>14</v>
      </c>
      <c r="J119" s="6" t="s">
        <v>15</v>
      </c>
    </row>
    <row r="120" spans="1:10">
      <c r="A120" s="3" t="s">
        <v>16</v>
      </c>
      <c r="B120" s="4" t="s">
        <v>23</v>
      </c>
      <c r="C120" s="4">
        <v>370000</v>
      </c>
      <c r="D120" s="4">
        <v>2400</v>
      </c>
      <c r="E120" s="4">
        <v>2024</v>
      </c>
      <c r="F120" s="4">
        <v>5.4</v>
      </c>
      <c r="G120" s="4" t="s">
        <v>24</v>
      </c>
      <c r="H120" s="4" t="s">
        <v>19</v>
      </c>
      <c r="I120" s="4" t="s">
        <v>20</v>
      </c>
      <c r="J120" s="4" t="s">
        <v>21</v>
      </c>
    </row>
    <row r="121" spans="1:10">
      <c r="A121" s="5" t="s">
        <v>22</v>
      </c>
      <c r="B121" s="6" t="s">
        <v>27</v>
      </c>
      <c r="C121" s="6">
        <v>308000</v>
      </c>
      <c r="D121" s="6">
        <v>1980</v>
      </c>
      <c r="E121" s="6">
        <v>2024</v>
      </c>
      <c r="F121" s="6">
        <v>5.5</v>
      </c>
      <c r="G121" s="6" t="s">
        <v>18</v>
      </c>
      <c r="H121" s="6" t="s">
        <v>19</v>
      </c>
      <c r="I121" s="6" t="s">
        <v>20</v>
      </c>
      <c r="J121" s="6" t="s">
        <v>29</v>
      </c>
    </row>
    <row r="122" spans="1:10">
      <c r="A122" s="3" t="s">
        <v>26</v>
      </c>
      <c r="B122" s="4" t="s">
        <v>17</v>
      </c>
      <c r="C122" s="4">
        <v>198000</v>
      </c>
      <c r="D122" s="4">
        <v>2420</v>
      </c>
      <c r="E122" s="4">
        <v>2023</v>
      </c>
      <c r="F122" s="4">
        <v>6.6</v>
      </c>
      <c r="G122" s="4" t="s">
        <v>36</v>
      </c>
      <c r="H122" s="4" t="s">
        <v>25</v>
      </c>
      <c r="I122" s="4" t="s">
        <v>20</v>
      </c>
      <c r="J122" s="4" t="s">
        <v>21</v>
      </c>
    </row>
    <row r="123" spans="1:10">
      <c r="A123" s="5" t="s">
        <v>30</v>
      </c>
      <c r="B123" s="6" t="s">
        <v>11</v>
      </c>
      <c r="C123" s="6">
        <v>425000</v>
      </c>
      <c r="D123" s="6">
        <v>1210</v>
      </c>
      <c r="E123" s="6">
        <v>2024</v>
      </c>
      <c r="F123" s="6">
        <v>5.3</v>
      </c>
      <c r="G123" s="6" t="s">
        <v>38</v>
      </c>
      <c r="H123" s="6" t="s">
        <v>13</v>
      </c>
      <c r="I123" s="6" t="s">
        <v>14</v>
      </c>
      <c r="J123" s="6" t="s">
        <v>15</v>
      </c>
    </row>
    <row r="124" spans="1:10">
      <c r="A124" s="3" t="s">
        <v>32</v>
      </c>
      <c r="B124" s="4" t="s">
        <v>23</v>
      </c>
      <c r="C124" s="4">
        <v>295000</v>
      </c>
      <c r="D124" s="4">
        <v>2000</v>
      </c>
      <c r="E124" s="4">
        <v>2023</v>
      </c>
      <c r="F124" s="4">
        <v>6.4</v>
      </c>
      <c r="G124" s="4" t="s">
        <v>24</v>
      </c>
      <c r="H124" s="4" t="s">
        <v>19</v>
      </c>
      <c r="I124" s="4" t="s">
        <v>20</v>
      </c>
      <c r="J124" s="4" t="s">
        <v>21</v>
      </c>
    </row>
    <row r="125" spans="1:10">
      <c r="A125" s="5" t="s">
        <v>33</v>
      </c>
      <c r="B125" s="6" t="s">
        <v>27</v>
      </c>
      <c r="C125" s="6">
        <v>380000</v>
      </c>
      <c r="D125" s="6">
        <v>1850</v>
      </c>
      <c r="E125" s="6">
        <v>2024</v>
      </c>
      <c r="F125" s="6">
        <v>5.2</v>
      </c>
      <c r="G125" s="6" t="s">
        <v>28</v>
      </c>
      <c r="H125" s="6" t="s">
        <v>13</v>
      </c>
      <c r="I125" s="6" t="s">
        <v>20</v>
      </c>
      <c r="J125" s="6" t="s">
        <v>29</v>
      </c>
    </row>
    <row r="126" spans="1:10">
      <c r="A126" s="3" t="s">
        <v>35</v>
      </c>
      <c r="B126" s="4" t="s">
        <v>17</v>
      </c>
      <c r="C126" s="4">
        <v>178000</v>
      </c>
      <c r="D126" s="4">
        <v>2140</v>
      </c>
      <c r="E126" s="4">
        <v>2024</v>
      </c>
      <c r="F126" s="4">
        <v>5.4</v>
      </c>
      <c r="G126" s="4" t="s">
        <v>31</v>
      </c>
      <c r="H126" s="4" t="s">
        <v>25</v>
      </c>
      <c r="I126" s="4" t="s">
        <v>20</v>
      </c>
      <c r="J126" s="4" t="s">
        <v>21</v>
      </c>
    </row>
    <row r="127" spans="1:10">
      <c r="A127" s="5" t="s">
        <v>37</v>
      </c>
      <c r="B127" s="6" t="s">
        <v>11</v>
      </c>
      <c r="C127" s="6">
        <v>530000</v>
      </c>
      <c r="D127" s="6">
        <v>1550</v>
      </c>
      <c r="E127" s="6">
        <v>2023</v>
      </c>
      <c r="F127" s="6">
        <v>6.1</v>
      </c>
      <c r="G127" s="6" t="s">
        <v>41</v>
      </c>
      <c r="H127" s="6" t="s">
        <v>13</v>
      </c>
      <c r="I127" s="6" t="s">
        <v>14</v>
      </c>
      <c r="J127" s="6" t="s">
        <v>15</v>
      </c>
    </row>
    <row r="128" spans="1:10">
      <c r="A128" s="3" t="s">
        <v>10</v>
      </c>
      <c r="B128" s="4" t="s">
        <v>17</v>
      </c>
      <c r="C128" s="4">
        <v>450000</v>
      </c>
      <c r="D128" s="4">
        <v>2700</v>
      </c>
      <c r="E128" s="4">
        <v>2023</v>
      </c>
      <c r="F128" s="4">
        <v>6</v>
      </c>
      <c r="G128" s="4" t="s">
        <v>24</v>
      </c>
      <c r="H128" s="4" t="s">
        <v>19</v>
      </c>
      <c r="I128" s="4" t="s">
        <v>20</v>
      </c>
      <c r="J128" s="4" t="s">
        <v>21</v>
      </c>
    </row>
    <row r="129" spans="1:10">
      <c r="A129" s="5" t="s">
        <v>16</v>
      </c>
      <c r="B129" s="6" t="s">
        <v>27</v>
      </c>
      <c r="C129" s="6">
        <v>438000</v>
      </c>
      <c r="D129" s="6">
        <v>2150</v>
      </c>
      <c r="E129" s="6">
        <v>2024</v>
      </c>
      <c r="F129" s="6">
        <v>5.3</v>
      </c>
      <c r="G129" s="6" t="s">
        <v>28</v>
      </c>
      <c r="H129" s="6" t="s">
        <v>13</v>
      </c>
      <c r="I129" s="6" t="s">
        <v>20</v>
      </c>
      <c r="J129" s="6" t="s">
        <v>29</v>
      </c>
    </row>
    <row r="130" spans="1:10">
      <c r="A130" s="3" t="s">
        <v>22</v>
      </c>
      <c r="B130" s="4" t="s">
        <v>23</v>
      </c>
      <c r="C130" s="4">
        <v>262000</v>
      </c>
      <c r="D130" s="4">
        <v>2300</v>
      </c>
      <c r="E130" s="4">
        <v>2024</v>
      </c>
      <c r="F130" s="4">
        <v>5.4</v>
      </c>
      <c r="G130" s="4" t="s">
        <v>24</v>
      </c>
      <c r="H130" s="4" t="s">
        <v>25</v>
      </c>
      <c r="I130" s="4" t="s">
        <v>20</v>
      </c>
      <c r="J130" s="4" t="s">
        <v>21</v>
      </c>
    </row>
    <row r="131" spans="1:10">
      <c r="A131" s="5" t="s">
        <v>26</v>
      </c>
      <c r="B131" s="6" t="s">
        <v>11</v>
      </c>
      <c r="C131" s="6">
        <v>385000</v>
      </c>
      <c r="D131" s="6">
        <v>1420</v>
      </c>
      <c r="E131" s="6">
        <v>2023</v>
      </c>
      <c r="F131" s="6">
        <v>6.2</v>
      </c>
      <c r="G131" s="6" t="s">
        <v>41</v>
      </c>
      <c r="H131" s="6" t="s">
        <v>13</v>
      </c>
      <c r="I131" s="6" t="s">
        <v>14</v>
      </c>
      <c r="J131" s="6" t="s">
        <v>15</v>
      </c>
    </row>
    <row r="132" spans="1:10">
      <c r="A132" s="3" t="s">
        <v>30</v>
      </c>
      <c r="B132" s="4" t="s">
        <v>17</v>
      </c>
      <c r="C132" s="4">
        <v>225000</v>
      </c>
      <c r="D132" s="4">
        <v>2180</v>
      </c>
      <c r="E132" s="4">
        <v>2024</v>
      </c>
      <c r="F132" s="4">
        <v>5.4</v>
      </c>
      <c r="G132" s="4" t="s">
        <v>36</v>
      </c>
      <c r="H132" s="4" t="s">
        <v>25</v>
      </c>
      <c r="I132" s="4" t="s">
        <v>20</v>
      </c>
      <c r="J132" s="4" t="s">
        <v>21</v>
      </c>
    </row>
    <row r="133" spans="1:10">
      <c r="A133" s="5" t="s">
        <v>32</v>
      </c>
      <c r="B133" s="6" t="s">
        <v>11</v>
      </c>
      <c r="C133" s="6">
        <v>450000</v>
      </c>
      <c r="D133" s="6">
        <v>1380</v>
      </c>
      <c r="E133" s="6">
        <v>2024</v>
      </c>
      <c r="F133" s="6">
        <v>5.2</v>
      </c>
      <c r="G133" s="6" t="s">
        <v>41</v>
      </c>
      <c r="H133" s="6" t="s">
        <v>13</v>
      </c>
      <c r="I133" s="6" t="s">
        <v>14</v>
      </c>
      <c r="J133" s="6" t="s">
        <v>15</v>
      </c>
    </row>
    <row r="134" spans="1:10">
      <c r="A134" s="3" t="s">
        <v>33</v>
      </c>
      <c r="B134" s="4" t="s">
        <v>23</v>
      </c>
      <c r="C134" s="4">
        <v>335000</v>
      </c>
      <c r="D134" s="4">
        <v>2080</v>
      </c>
      <c r="E134" s="4">
        <v>2024</v>
      </c>
      <c r="F134" s="4">
        <v>5.3</v>
      </c>
      <c r="G134" s="4" t="s">
        <v>24</v>
      </c>
      <c r="H134" s="4" t="s">
        <v>19</v>
      </c>
      <c r="I134" s="4" t="s">
        <v>20</v>
      </c>
      <c r="J134" s="4" t="s">
        <v>21</v>
      </c>
    </row>
    <row r="135" spans="1:10">
      <c r="A135" s="5" t="s">
        <v>35</v>
      </c>
      <c r="B135" s="6" t="s">
        <v>27</v>
      </c>
      <c r="C135" s="6">
        <v>275000</v>
      </c>
      <c r="D135" s="6">
        <v>1650</v>
      </c>
      <c r="E135" s="6">
        <v>2023</v>
      </c>
      <c r="F135" s="6">
        <v>6.5</v>
      </c>
      <c r="G135" s="6" t="s">
        <v>18</v>
      </c>
      <c r="H135" s="6" t="s">
        <v>19</v>
      </c>
      <c r="I135" s="6" t="s">
        <v>20</v>
      </c>
      <c r="J135" s="6" t="s">
        <v>29</v>
      </c>
    </row>
    <row r="136" spans="1:10">
      <c r="A136" s="3" t="s">
        <v>37</v>
      </c>
      <c r="B136" s="4" t="s">
        <v>17</v>
      </c>
      <c r="C136" s="4">
        <v>285000</v>
      </c>
      <c r="D136" s="4">
        <v>2530</v>
      </c>
      <c r="E136" s="4">
        <v>2023</v>
      </c>
      <c r="F136" s="4">
        <v>6</v>
      </c>
      <c r="G136" s="4" t="s">
        <v>24</v>
      </c>
      <c r="H136" s="4" t="s">
        <v>19</v>
      </c>
      <c r="I136" s="4" t="s">
        <v>20</v>
      </c>
      <c r="J136" s="4" t="s">
        <v>21</v>
      </c>
    </row>
    <row r="137" spans="1:10">
      <c r="A137" s="5" t="s">
        <v>10</v>
      </c>
      <c r="B137" s="6" t="s">
        <v>23</v>
      </c>
      <c r="C137" s="6">
        <v>565000</v>
      </c>
      <c r="D137" s="6">
        <v>2320</v>
      </c>
      <c r="E137" s="6">
        <v>2023</v>
      </c>
      <c r="F137" s="6">
        <v>6.1</v>
      </c>
      <c r="G137" s="6" t="s">
        <v>28</v>
      </c>
      <c r="H137" s="6" t="s">
        <v>13</v>
      </c>
      <c r="I137" s="6" t="s">
        <v>20</v>
      </c>
      <c r="J137" s="6" t="s">
        <v>29</v>
      </c>
    </row>
    <row r="138" spans="1:10">
      <c r="A138" s="3" t="s">
        <v>16</v>
      </c>
      <c r="B138" s="4" t="s">
        <v>11</v>
      </c>
      <c r="C138" s="4">
        <v>585000</v>
      </c>
      <c r="D138" s="4">
        <v>1680</v>
      </c>
      <c r="E138" s="4">
        <v>2023</v>
      </c>
      <c r="F138" s="4">
        <v>6</v>
      </c>
      <c r="G138" s="4" t="s">
        <v>38</v>
      </c>
      <c r="H138" s="4" t="s">
        <v>43</v>
      </c>
      <c r="I138" s="4" t="s">
        <v>14</v>
      </c>
      <c r="J138" s="4" t="s">
        <v>15</v>
      </c>
    </row>
    <row r="139" spans="1:10">
      <c r="A139" s="5" t="s">
        <v>22</v>
      </c>
      <c r="B139" s="6" t="s">
        <v>17</v>
      </c>
      <c r="C139" s="6">
        <v>215000</v>
      </c>
      <c r="D139" s="6">
        <v>2520</v>
      </c>
      <c r="E139" s="6">
        <v>2024</v>
      </c>
      <c r="F139" s="6">
        <v>5.4</v>
      </c>
      <c r="G139" s="6" t="s">
        <v>36</v>
      </c>
      <c r="H139" s="6" t="s">
        <v>25</v>
      </c>
      <c r="I139" s="6" t="s">
        <v>20</v>
      </c>
      <c r="J139" s="6" t="s">
        <v>21</v>
      </c>
    </row>
    <row r="140" spans="1:10">
      <c r="A140" s="3" t="s">
        <v>26</v>
      </c>
      <c r="B140" s="4" t="s">
        <v>27</v>
      </c>
      <c r="C140" s="4">
        <v>312000</v>
      </c>
      <c r="D140" s="4">
        <v>1920</v>
      </c>
      <c r="E140" s="4">
        <v>2024</v>
      </c>
      <c r="F140" s="4">
        <v>5.5</v>
      </c>
      <c r="G140" s="4" t="s">
        <v>18</v>
      </c>
      <c r="H140" s="4" t="s">
        <v>19</v>
      </c>
      <c r="I140" s="4" t="s">
        <v>20</v>
      </c>
      <c r="J140" s="4" t="s">
        <v>29</v>
      </c>
    </row>
    <row r="141" spans="1:10">
      <c r="A141" s="5" t="s">
        <v>30</v>
      </c>
      <c r="B141" s="6" t="s">
        <v>23</v>
      </c>
      <c r="C141" s="6">
        <v>290000</v>
      </c>
      <c r="D141" s="6">
        <v>1980</v>
      </c>
      <c r="E141" s="6">
        <v>2024</v>
      </c>
      <c r="F141" s="6">
        <v>5.4</v>
      </c>
      <c r="G141" s="6" t="s">
        <v>24</v>
      </c>
      <c r="H141" s="6" t="s">
        <v>19</v>
      </c>
      <c r="I141" s="6" t="s">
        <v>20</v>
      </c>
      <c r="J141" s="6" t="s">
        <v>21</v>
      </c>
    </row>
    <row r="142" spans="1:10">
      <c r="A142" s="3" t="s">
        <v>32</v>
      </c>
      <c r="B142" s="4" t="s">
        <v>17</v>
      </c>
      <c r="C142" s="4">
        <v>235000</v>
      </c>
      <c r="D142" s="4">
        <v>2250</v>
      </c>
      <c r="E142" s="4">
        <v>2023</v>
      </c>
      <c r="F142" s="4">
        <v>6.3</v>
      </c>
      <c r="G142" s="4" t="s">
        <v>40</v>
      </c>
      <c r="H142" s="4" t="s">
        <v>25</v>
      </c>
      <c r="I142" s="4" t="s">
        <v>20</v>
      </c>
      <c r="J142" s="4" t="s">
        <v>21</v>
      </c>
    </row>
    <row r="143" spans="1:10">
      <c r="A143" s="5" t="s">
        <v>33</v>
      </c>
      <c r="B143" s="6" t="s">
        <v>11</v>
      </c>
      <c r="C143" s="6">
        <v>500000</v>
      </c>
      <c r="D143" s="6">
        <v>1480</v>
      </c>
      <c r="E143" s="6">
        <v>2024</v>
      </c>
      <c r="F143" s="6">
        <v>5.0999999999999996</v>
      </c>
      <c r="G143" s="6" t="s">
        <v>41</v>
      </c>
      <c r="H143" s="6" t="s">
        <v>13</v>
      </c>
      <c r="I143" s="6" t="s">
        <v>14</v>
      </c>
      <c r="J143" s="6" t="s">
        <v>15</v>
      </c>
    </row>
    <row r="144" spans="1:10">
      <c r="A144" s="3" t="s">
        <v>35</v>
      </c>
      <c r="B144" s="4" t="s">
        <v>23</v>
      </c>
      <c r="C144" s="4">
        <v>220000</v>
      </c>
      <c r="D144" s="4">
        <v>1900</v>
      </c>
      <c r="E144" s="4">
        <v>2023</v>
      </c>
      <c r="F144" s="4">
        <v>6.6</v>
      </c>
      <c r="G144" s="4" t="s">
        <v>42</v>
      </c>
      <c r="H144" s="4" t="s">
        <v>25</v>
      </c>
      <c r="I144" s="4" t="s">
        <v>20</v>
      </c>
      <c r="J144" s="4" t="s">
        <v>21</v>
      </c>
    </row>
    <row r="145" spans="1:10">
      <c r="A145" s="5" t="s">
        <v>37</v>
      </c>
      <c r="B145" s="6" t="s">
        <v>27</v>
      </c>
      <c r="C145" s="6">
        <v>415000</v>
      </c>
      <c r="D145" s="6">
        <v>1980</v>
      </c>
      <c r="E145" s="6">
        <v>2023</v>
      </c>
      <c r="F145" s="6">
        <v>6.1</v>
      </c>
      <c r="G145" s="6" t="s">
        <v>28</v>
      </c>
      <c r="H145" s="6" t="s">
        <v>13</v>
      </c>
      <c r="I145" s="6" t="s">
        <v>20</v>
      </c>
      <c r="J145" s="6" t="s">
        <v>29</v>
      </c>
    </row>
    <row r="146" spans="1:10">
      <c r="A146" s="3" t="s">
        <v>10</v>
      </c>
      <c r="B146" s="4" t="s">
        <v>11</v>
      </c>
      <c r="C146" s="4">
        <v>815000</v>
      </c>
      <c r="D146" s="4">
        <v>1650</v>
      </c>
      <c r="E146" s="4">
        <v>2024</v>
      </c>
      <c r="F146" s="4">
        <v>5</v>
      </c>
      <c r="G146" s="4" t="s">
        <v>41</v>
      </c>
      <c r="H146" s="4" t="s">
        <v>43</v>
      </c>
      <c r="I146" s="4" t="s">
        <v>14</v>
      </c>
      <c r="J146" s="4" t="s">
        <v>15</v>
      </c>
    </row>
    <row r="147" spans="1:10">
      <c r="A147" s="5" t="s">
        <v>16</v>
      </c>
      <c r="B147" s="6" t="s">
        <v>17</v>
      </c>
      <c r="C147" s="6">
        <v>310000</v>
      </c>
      <c r="D147" s="6">
        <v>2350</v>
      </c>
      <c r="E147" s="6">
        <v>2024</v>
      </c>
      <c r="F147" s="6">
        <v>5.2</v>
      </c>
      <c r="G147" s="6" t="s">
        <v>18</v>
      </c>
      <c r="H147" s="6" t="s">
        <v>19</v>
      </c>
      <c r="I147" s="6" t="s">
        <v>20</v>
      </c>
      <c r="J147" s="6" t="s">
        <v>21</v>
      </c>
    </row>
    <row r="148" spans="1:10">
      <c r="A148" s="3" t="s">
        <v>22</v>
      </c>
      <c r="B148" s="4" t="s">
        <v>27</v>
      </c>
      <c r="C148" s="4">
        <v>315000</v>
      </c>
      <c r="D148" s="4">
        <v>2000</v>
      </c>
      <c r="E148" s="4">
        <v>2023</v>
      </c>
      <c r="F148" s="4">
        <v>6.3</v>
      </c>
      <c r="G148" s="4" t="s">
        <v>39</v>
      </c>
      <c r="H148" s="4" t="s">
        <v>19</v>
      </c>
      <c r="I148" s="4" t="s">
        <v>20</v>
      </c>
      <c r="J148" s="4" t="s">
        <v>29</v>
      </c>
    </row>
    <row r="149" spans="1:10">
      <c r="A149" s="5" t="s">
        <v>26</v>
      </c>
      <c r="B149" s="6" t="s">
        <v>17</v>
      </c>
      <c r="C149" s="6">
        <v>200000</v>
      </c>
      <c r="D149" s="6">
        <v>2450</v>
      </c>
      <c r="E149" s="6">
        <v>2024</v>
      </c>
      <c r="F149" s="6">
        <v>5.4</v>
      </c>
      <c r="G149" s="6" t="s">
        <v>36</v>
      </c>
      <c r="H149" s="6" t="s">
        <v>25</v>
      </c>
      <c r="I149" s="6" t="s">
        <v>20</v>
      </c>
      <c r="J149" s="6" t="s">
        <v>21</v>
      </c>
    </row>
    <row r="150" spans="1:10">
      <c r="A150" s="3" t="s">
        <v>30</v>
      </c>
      <c r="B150" s="4" t="s">
        <v>11</v>
      </c>
      <c r="C150" s="4">
        <v>430000</v>
      </c>
      <c r="D150" s="4">
        <v>1240</v>
      </c>
      <c r="E150" s="4">
        <v>2023</v>
      </c>
      <c r="F150" s="4">
        <v>6.2</v>
      </c>
      <c r="G150" s="4" t="s">
        <v>38</v>
      </c>
      <c r="H150" s="4" t="s">
        <v>13</v>
      </c>
      <c r="I150" s="4" t="s">
        <v>14</v>
      </c>
      <c r="J150" s="4" t="s">
        <v>15</v>
      </c>
    </row>
    <row r="151" spans="1:10">
      <c r="A151" s="5" t="s">
        <v>32</v>
      </c>
      <c r="B151" s="6" t="s">
        <v>23</v>
      </c>
      <c r="C151" s="6">
        <v>300000</v>
      </c>
      <c r="D151" s="6">
        <v>2030</v>
      </c>
      <c r="E151" s="6">
        <v>2024</v>
      </c>
      <c r="F151" s="6">
        <v>5.5</v>
      </c>
      <c r="G151" s="6" t="s">
        <v>24</v>
      </c>
      <c r="H151" s="6" t="s">
        <v>19</v>
      </c>
      <c r="I151" s="6" t="s">
        <v>20</v>
      </c>
      <c r="J151" s="6" t="s">
        <v>21</v>
      </c>
    </row>
    <row r="152" spans="1:10">
      <c r="A152" s="3" t="s">
        <v>33</v>
      </c>
      <c r="B152" s="4" t="s">
        <v>27</v>
      </c>
      <c r="C152" s="4">
        <v>385000</v>
      </c>
      <c r="D152" s="4">
        <v>1880</v>
      </c>
      <c r="E152" s="4">
        <v>2023</v>
      </c>
      <c r="F152" s="4">
        <v>6.1</v>
      </c>
      <c r="G152" s="4" t="s">
        <v>28</v>
      </c>
      <c r="H152" s="4" t="s">
        <v>13</v>
      </c>
      <c r="I152" s="4" t="s">
        <v>20</v>
      </c>
      <c r="J152" s="4" t="s">
        <v>29</v>
      </c>
    </row>
    <row r="153" spans="1:10">
      <c r="A153" s="5" t="s">
        <v>35</v>
      </c>
      <c r="B153" s="6" t="s">
        <v>17</v>
      </c>
      <c r="C153" s="6">
        <v>180000</v>
      </c>
      <c r="D153" s="6">
        <v>2160</v>
      </c>
      <c r="E153" s="6">
        <v>2023</v>
      </c>
      <c r="F153" s="6">
        <v>6.4</v>
      </c>
      <c r="G153" s="6" t="s">
        <v>31</v>
      </c>
      <c r="H153" s="6" t="s">
        <v>25</v>
      </c>
      <c r="I153" s="6" t="s">
        <v>20</v>
      </c>
      <c r="J153" s="6" t="s">
        <v>21</v>
      </c>
    </row>
    <row r="154" spans="1:10">
      <c r="A154" s="3" t="s">
        <v>37</v>
      </c>
      <c r="B154" s="4" t="s">
        <v>11</v>
      </c>
      <c r="C154" s="4">
        <v>535000</v>
      </c>
      <c r="D154" s="4">
        <v>1580</v>
      </c>
      <c r="E154" s="4">
        <v>2024</v>
      </c>
      <c r="F154" s="4">
        <v>5.0999999999999996</v>
      </c>
      <c r="G154" s="4" t="s">
        <v>41</v>
      </c>
      <c r="H154" s="4" t="s">
        <v>13</v>
      </c>
      <c r="I154" s="4" t="s">
        <v>14</v>
      </c>
      <c r="J154" s="4" t="s">
        <v>15</v>
      </c>
    </row>
    <row r="155" spans="1:10">
      <c r="A155" s="5" t="s">
        <v>10</v>
      </c>
      <c r="B155" s="6" t="s">
        <v>17</v>
      </c>
      <c r="C155" s="6">
        <v>455000</v>
      </c>
      <c r="D155" s="6">
        <v>2720</v>
      </c>
      <c r="E155" s="6">
        <v>2024</v>
      </c>
      <c r="F155" s="6">
        <v>5</v>
      </c>
      <c r="G155" s="6" t="s">
        <v>24</v>
      </c>
      <c r="H155" s="6" t="s">
        <v>19</v>
      </c>
      <c r="I155" s="6" t="s">
        <v>20</v>
      </c>
      <c r="J155" s="6" t="s">
        <v>21</v>
      </c>
    </row>
    <row r="156" spans="1:10">
      <c r="A156" s="3" t="s">
        <v>16</v>
      </c>
      <c r="B156" s="4" t="s">
        <v>27</v>
      </c>
      <c r="C156" s="4">
        <v>440000</v>
      </c>
      <c r="D156" s="4">
        <v>2180</v>
      </c>
      <c r="E156" s="4">
        <v>2023</v>
      </c>
      <c r="F156" s="4">
        <v>6</v>
      </c>
      <c r="G156" s="4" t="s">
        <v>28</v>
      </c>
      <c r="H156" s="4" t="s">
        <v>13</v>
      </c>
      <c r="I156" s="4" t="s">
        <v>20</v>
      </c>
      <c r="J156" s="4" t="s">
        <v>29</v>
      </c>
    </row>
    <row r="157" spans="1:10">
      <c r="A157" s="5" t="s">
        <v>22</v>
      </c>
      <c r="B157" s="6" t="s">
        <v>23</v>
      </c>
      <c r="C157" s="6">
        <v>265000</v>
      </c>
      <c r="D157" s="6">
        <v>2330</v>
      </c>
      <c r="E157" s="6">
        <v>2023</v>
      </c>
      <c r="F157" s="6">
        <v>6.3</v>
      </c>
      <c r="G157" s="6" t="s">
        <v>24</v>
      </c>
      <c r="H157" s="6" t="s">
        <v>25</v>
      </c>
      <c r="I157" s="6" t="s">
        <v>20</v>
      </c>
      <c r="J157" s="6" t="s">
        <v>21</v>
      </c>
    </row>
    <row r="158" spans="1:10">
      <c r="A158" s="3" t="s">
        <v>26</v>
      </c>
      <c r="B158" s="4" t="s">
        <v>11</v>
      </c>
      <c r="C158" s="4">
        <v>390000</v>
      </c>
      <c r="D158" s="4">
        <v>1450</v>
      </c>
      <c r="E158" s="4">
        <v>2024</v>
      </c>
      <c r="F158" s="4">
        <v>5.4</v>
      </c>
      <c r="G158" s="4" t="s">
        <v>41</v>
      </c>
      <c r="H158" s="4" t="s">
        <v>13</v>
      </c>
      <c r="I158" s="4" t="s">
        <v>14</v>
      </c>
      <c r="J158" s="4" t="s">
        <v>15</v>
      </c>
    </row>
    <row r="159" spans="1:10">
      <c r="A159" s="5" t="s">
        <v>30</v>
      </c>
      <c r="B159" s="6" t="s">
        <v>17</v>
      </c>
      <c r="C159" s="6">
        <v>230000</v>
      </c>
      <c r="D159" s="6">
        <v>2200</v>
      </c>
      <c r="E159" s="6">
        <v>2023</v>
      </c>
      <c r="F159" s="6">
        <v>6.5</v>
      </c>
      <c r="G159" s="6" t="s">
        <v>31</v>
      </c>
      <c r="H159" s="6" t="s">
        <v>25</v>
      </c>
      <c r="I159" s="6" t="s">
        <v>20</v>
      </c>
      <c r="J159" s="6" t="s">
        <v>21</v>
      </c>
    </row>
    <row r="160" spans="1:10">
      <c r="A160" s="3" t="s">
        <v>32</v>
      </c>
      <c r="B160" s="4" t="s">
        <v>11</v>
      </c>
      <c r="C160" s="4">
        <v>455000</v>
      </c>
      <c r="D160" s="4">
        <v>1400</v>
      </c>
      <c r="E160" s="4">
        <v>2023</v>
      </c>
      <c r="F160" s="4">
        <v>6.2</v>
      </c>
      <c r="G160" s="4" t="s">
        <v>41</v>
      </c>
      <c r="H160" s="4" t="s">
        <v>13</v>
      </c>
      <c r="I160" s="4" t="s">
        <v>14</v>
      </c>
      <c r="J160" s="4" t="s">
        <v>15</v>
      </c>
    </row>
    <row r="161" spans="1:10">
      <c r="A161" s="5" t="s">
        <v>33</v>
      </c>
      <c r="B161" s="6" t="s">
        <v>23</v>
      </c>
      <c r="C161" s="6">
        <v>340000</v>
      </c>
      <c r="D161" s="6">
        <v>2100</v>
      </c>
      <c r="E161" s="6">
        <v>2023</v>
      </c>
      <c r="F161" s="6">
        <v>6.1</v>
      </c>
      <c r="G161" s="6" t="s">
        <v>24</v>
      </c>
      <c r="H161" s="6" t="s">
        <v>19</v>
      </c>
      <c r="I161" s="6" t="s">
        <v>20</v>
      </c>
      <c r="J161" s="6" t="s">
        <v>21</v>
      </c>
    </row>
    <row r="162" spans="1:10">
      <c r="A162" s="3" t="s">
        <v>35</v>
      </c>
      <c r="B162" s="4" t="s">
        <v>27</v>
      </c>
      <c r="C162" s="4">
        <v>278000</v>
      </c>
      <c r="D162" s="4">
        <v>1680</v>
      </c>
      <c r="E162" s="4">
        <v>2024</v>
      </c>
      <c r="F162" s="4">
        <v>5.4</v>
      </c>
      <c r="G162" s="4" t="s">
        <v>18</v>
      </c>
      <c r="H162" s="4" t="s">
        <v>19</v>
      </c>
      <c r="I162" s="4" t="s">
        <v>20</v>
      </c>
      <c r="J162" s="4" t="s">
        <v>29</v>
      </c>
    </row>
    <row r="163" spans="1:10">
      <c r="A163" s="5" t="s">
        <v>37</v>
      </c>
      <c r="B163" s="6" t="s">
        <v>17</v>
      </c>
      <c r="C163" s="6">
        <v>290000</v>
      </c>
      <c r="D163" s="6">
        <v>2550</v>
      </c>
      <c r="E163" s="6">
        <v>2024</v>
      </c>
      <c r="F163" s="6">
        <v>5.2</v>
      </c>
      <c r="G163" s="6" t="s">
        <v>24</v>
      </c>
      <c r="H163" s="6" t="s">
        <v>19</v>
      </c>
      <c r="I163" s="6" t="s">
        <v>20</v>
      </c>
      <c r="J163" s="6" t="s">
        <v>21</v>
      </c>
    </row>
    <row r="164" spans="1:10">
      <c r="A164" s="3" t="s">
        <v>10</v>
      </c>
      <c r="B164" s="4" t="s">
        <v>23</v>
      </c>
      <c r="C164" s="4">
        <v>570000</v>
      </c>
      <c r="D164" s="4">
        <v>2350</v>
      </c>
      <c r="E164" s="4">
        <v>2024</v>
      </c>
      <c r="F164" s="4">
        <v>5.0999999999999996</v>
      </c>
      <c r="G164" s="4" t="s">
        <v>28</v>
      </c>
      <c r="H164" s="4" t="s">
        <v>13</v>
      </c>
      <c r="I164" s="4" t="s">
        <v>20</v>
      </c>
      <c r="J164" s="4" t="s">
        <v>29</v>
      </c>
    </row>
    <row r="165" spans="1:10">
      <c r="A165" s="5" t="s">
        <v>16</v>
      </c>
      <c r="B165" s="6" t="s">
        <v>11</v>
      </c>
      <c r="C165" s="6">
        <v>590000</v>
      </c>
      <c r="D165" s="6">
        <v>1700</v>
      </c>
      <c r="E165" s="6">
        <v>2024</v>
      </c>
      <c r="F165" s="6">
        <v>5.3</v>
      </c>
      <c r="G165" s="6" t="s">
        <v>38</v>
      </c>
      <c r="H165" s="6" t="s">
        <v>43</v>
      </c>
      <c r="I165" s="6" t="s">
        <v>14</v>
      </c>
      <c r="J165" s="6" t="s">
        <v>15</v>
      </c>
    </row>
    <row r="166" spans="1:10">
      <c r="A166" s="3" t="s">
        <v>22</v>
      </c>
      <c r="B166" s="4" t="s">
        <v>17</v>
      </c>
      <c r="C166" s="4">
        <v>218000</v>
      </c>
      <c r="D166" s="4">
        <v>2550</v>
      </c>
      <c r="E166" s="4">
        <v>2023</v>
      </c>
      <c r="F166" s="4">
        <v>6.4</v>
      </c>
      <c r="G166" s="4" t="s">
        <v>36</v>
      </c>
      <c r="H166" s="4" t="s">
        <v>25</v>
      </c>
      <c r="I166" s="4" t="s">
        <v>20</v>
      </c>
      <c r="J166" s="4" t="s">
        <v>21</v>
      </c>
    </row>
    <row r="167" spans="1:10">
      <c r="A167" s="5" t="s">
        <v>26</v>
      </c>
      <c r="B167" s="6" t="s">
        <v>27</v>
      </c>
      <c r="C167" s="6">
        <v>318000</v>
      </c>
      <c r="D167" s="6">
        <v>1950</v>
      </c>
      <c r="E167" s="6">
        <v>2024</v>
      </c>
      <c r="F167" s="6">
        <v>5.5</v>
      </c>
      <c r="G167" s="6" t="s">
        <v>18</v>
      </c>
      <c r="H167" s="6" t="s">
        <v>19</v>
      </c>
      <c r="I167" s="6" t="s">
        <v>20</v>
      </c>
      <c r="J167" s="6" t="s">
        <v>29</v>
      </c>
    </row>
    <row r="168" spans="1:10">
      <c r="A168" s="3" t="s">
        <v>30</v>
      </c>
      <c r="B168" s="4" t="s">
        <v>23</v>
      </c>
      <c r="C168" s="4">
        <v>295000</v>
      </c>
      <c r="D168" s="4">
        <v>2000</v>
      </c>
      <c r="E168" s="4">
        <v>2023</v>
      </c>
      <c r="F168" s="4">
        <v>6.6</v>
      </c>
      <c r="G168" s="4" t="s">
        <v>24</v>
      </c>
      <c r="H168" s="4" t="s">
        <v>19</v>
      </c>
      <c r="I168" s="4" t="s">
        <v>20</v>
      </c>
      <c r="J168" s="4" t="s">
        <v>21</v>
      </c>
    </row>
    <row r="169" spans="1:10">
      <c r="A169" s="5" t="s">
        <v>32</v>
      </c>
      <c r="B169" s="6" t="s">
        <v>17</v>
      </c>
      <c r="C169" s="6">
        <v>240000</v>
      </c>
      <c r="D169" s="6">
        <v>2280</v>
      </c>
      <c r="E169" s="6">
        <v>2024</v>
      </c>
      <c r="F169" s="6">
        <v>5.3</v>
      </c>
      <c r="G169" s="6" t="s">
        <v>40</v>
      </c>
      <c r="H169" s="6" t="s">
        <v>25</v>
      </c>
      <c r="I169" s="6" t="s">
        <v>20</v>
      </c>
      <c r="J169" s="6" t="s">
        <v>21</v>
      </c>
    </row>
    <row r="170" spans="1:10">
      <c r="A170" s="3" t="s">
        <v>33</v>
      </c>
      <c r="B170" s="4" t="s">
        <v>11</v>
      </c>
      <c r="C170" s="4">
        <v>505000</v>
      </c>
      <c r="D170" s="4">
        <v>1500</v>
      </c>
      <c r="E170" s="4">
        <v>2023</v>
      </c>
      <c r="F170" s="4">
        <v>6</v>
      </c>
      <c r="G170" s="4" t="s">
        <v>41</v>
      </c>
      <c r="H170" s="4" t="s">
        <v>13</v>
      </c>
      <c r="I170" s="4" t="s">
        <v>14</v>
      </c>
      <c r="J170" s="4" t="s">
        <v>15</v>
      </c>
    </row>
    <row r="171" spans="1:10">
      <c r="A171" s="5" t="s">
        <v>35</v>
      </c>
      <c r="B171" s="6" t="s">
        <v>23</v>
      </c>
      <c r="C171" s="6">
        <v>225000</v>
      </c>
      <c r="D171" s="6">
        <v>1930</v>
      </c>
      <c r="E171" s="6">
        <v>2024</v>
      </c>
      <c r="F171" s="6">
        <v>5.3</v>
      </c>
      <c r="G171" s="6" t="s">
        <v>42</v>
      </c>
      <c r="H171" s="6" t="s">
        <v>25</v>
      </c>
      <c r="I171" s="6" t="s">
        <v>20</v>
      </c>
      <c r="J171" s="6" t="s">
        <v>21</v>
      </c>
    </row>
    <row r="172" spans="1:10">
      <c r="A172" s="3" t="s">
        <v>37</v>
      </c>
      <c r="B172" s="4" t="s">
        <v>27</v>
      </c>
      <c r="C172" s="4">
        <v>420000</v>
      </c>
      <c r="D172" s="4">
        <v>2000</v>
      </c>
      <c r="E172" s="4">
        <v>2024</v>
      </c>
      <c r="F172" s="4">
        <v>5.2</v>
      </c>
      <c r="G172" s="4" t="s">
        <v>28</v>
      </c>
      <c r="H172" s="4" t="s">
        <v>13</v>
      </c>
      <c r="I172" s="4" t="s">
        <v>20</v>
      </c>
      <c r="J172" s="4" t="s">
        <v>29</v>
      </c>
    </row>
    <row r="173" spans="1:10">
      <c r="A173" s="5" t="s">
        <v>10</v>
      </c>
      <c r="B173" s="6" t="s">
        <v>11</v>
      </c>
      <c r="C173" s="6">
        <v>820000</v>
      </c>
      <c r="D173" s="6">
        <v>1680</v>
      </c>
      <c r="E173" s="6">
        <v>2023</v>
      </c>
      <c r="F173" s="6">
        <v>6.1</v>
      </c>
      <c r="G173" s="6" t="s">
        <v>41</v>
      </c>
      <c r="H173" s="6" t="s">
        <v>43</v>
      </c>
      <c r="I173" s="6" t="s">
        <v>14</v>
      </c>
      <c r="J173" s="6" t="s">
        <v>15</v>
      </c>
    </row>
    <row r="174" spans="1:10">
      <c r="A174" s="3" t="s">
        <v>16</v>
      </c>
      <c r="B174" s="4" t="s">
        <v>17</v>
      </c>
      <c r="C174" s="4">
        <v>315000</v>
      </c>
      <c r="D174" s="4">
        <v>2380</v>
      </c>
      <c r="E174" s="4">
        <v>2023</v>
      </c>
      <c r="F174" s="4">
        <v>6</v>
      </c>
      <c r="G174" s="4" t="s">
        <v>18</v>
      </c>
      <c r="H174" s="4" t="s">
        <v>19</v>
      </c>
      <c r="I174" s="4" t="s">
        <v>20</v>
      </c>
      <c r="J174" s="4" t="s">
        <v>21</v>
      </c>
    </row>
    <row r="175" spans="1:10">
      <c r="A175" s="5" t="s">
        <v>22</v>
      </c>
      <c r="B175" s="6" t="s">
        <v>27</v>
      </c>
      <c r="C175" s="6">
        <v>320000</v>
      </c>
      <c r="D175" s="6">
        <v>2030</v>
      </c>
      <c r="E175" s="6">
        <v>2024</v>
      </c>
      <c r="F175" s="6">
        <v>5.4</v>
      </c>
      <c r="G175" s="6" t="s">
        <v>39</v>
      </c>
      <c r="H175" s="6" t="s">
        <v>19</v>
      </c>
      <c r="I175" s="6" t="s">
        <v>20</v>
      </c>
      <c r="J175" s="6" t="s">
        <v>29</v>
      </c>
    </row>
    <row r="176" spans="1:10">
      <c r="A176" s="3" t="s">
        <v>26</v>
      </c>
      <c r="B176" s="4" t="s">
        <v>17</v>
      </c>
      <c r="C176" s="4">
        <v>205000</v>
      </c>
      <c r="D176" s="4">
        <v>2480</v>
      </c>
      <c r="E176" s="4">
        <v>2023</v>
      </c>
      <c r="F176" s="4">
        <v>6.5</v>
      </c>
      <c r="G176" s="4" t="s">
        <v>36</v>
      </c>
      <c r="H176" s="4" t="s">
        <v>25</v>
      </c>
      <c r="I176" s="4" t="s">
        <v>20</v>
      </c>
      <c r="J176" s="4" t="s">
        <v>21</v>
      </c>
    </row>
    <row r="177" spans="1:10">
      <c r="A177" s="5" t="s">
        <v>30</v>
      </c>
      <c r="B177" s="6" t="s">
        <v>11</v>
      </c>
      <c r="C177" s="6">
        <v>435000</v>
      </c>
      <c r="D177" s="6">
        <v>1260</v>
      </c>
      <c r="E177" s="6">
        <v>2024</v>
      </c>
      <c r="F177" s="6">
        <v>5.3</v>
      </c>
      <c r="G177" s="6" t="s">
        <v>38</v>
      </c>
      <c r="H177" s="6" t="s">
        <v>13</v>
      </c>
      <c r="I177" s="6" t="s">
        <v>14</v>
      </c>
      <c r="J177" s="6" t="s">
        <v>15</v>
      </c>
    </row>
    <row r="178" spans="1:10">
      <c r="A178" s="3" t="s">
        <v>32</v>
      </c>
      <c r="B178" s="4" t="s">
        <v>23</v>
      </c>
      <c r="C178" s="4">
        <v>305000</v>
      </c>
      <c r="D178" s="4">
        <v>2050</v>
      </c>
      <c r="E178" s="4">
        <v>2023</v>
      </c>
      <c r="F178" s="4">
        <v>6.4</v>
      </c>
      <c r="G178" s="4" t="s">
        <v>24</v>
      </c>
      <c r="H178" s="4" t="s">
        <v>19</v>
      </c>
      <c r="I178" s="4" t="s">
        <v>20</v>
      </c>
      <c r="J178" s="4" t="s">
        <v>21</v>
      </c>
    </row>
    <row r="179" spans="1:10">
      <c r="A179" s="5" t="s">
        <v>33</v>
      </c>
      <c r="B179" s="6" t="s">
        <v>27</v>
      </c>
      <c r="C179" s="6">
        <v>390000</v>
      </c>
      <c r="D179" s="6">
        <v>1900</v>
      </c>
      <c r="E179" s="6">
        <v>2024</v>
      </c>
      <c r="F179" s="6">
        <v>5.2</v>
      </c>
      <c r="G179" s="6" t="s">
        <v>28</v>
      </c>
      <c r="H179" s="6" t="s">
        <v>13</v>
      </c>
      <c r="I179" s="6" t="s">
        <v>20</v>
      </c>
      <c r="J179" s="6" t="s">
        <v>29</v>
      </c>
    </row>
    <row r="180" spans="1:10">
      <c r="A180" s="3" t="s">
        <v>35</v>
      </c>
      <c r="B180" s="4" t="s">
        <v>17</v>
      </c>
      <c r="C180" s="4">
        <v>182000</v>
      </c>
      <c r="D180" s="4">
        <v>2180</v>
      </c>
      <c r="E180" s="4">
        <v>2024</v>
      </c>
      <c r="F180" s="4">
        <v>5.4</v>
      </c>
      <c r="G180" s="4" t="s">
        <v>31</v>
      </c>
      <c r="H180" s="4" t="s">
        <v>25</v>
      </c>
      <c r="I180" s="4" t="s">
        <v>20</v>
      </c>
      <c r="J180" s="4" t="s">
        <v>21</v>
      </c>
    </row>
    <row r="181" spans="1:10">
      <c r="A181" s="5" t="s">
        <v>37</v>
      </c>
      <c r="B181" s="6" t="s">
        <v>11</v>
      </c>
      <c r="C181" s="6">
        <v>540000</v>
      </c>
      <c r="D181" s="6">
        <v>1600</v>
      </c>
      <c r="E181" s="6">
        <v>2023</v>
      </c>
      <c r="F181" s="6">
        <v>6.1</v>
      </c>
      <c r="G181" s="6" t="s">
        <v>41</v>
      </c>
      <c r="H181" s="6" t="s">
        <v>13</v>
      </c>
      <c r="I181" s="6" t="s">
        <v>14</v>
      </c>
      <c r="J181" s="6" t="s">
        <v>15</v>
      </c>
    </row>
    <row r="182" spans="1:10">
      <c r="A182" s="3" t="s">
        <v>10</v>
      </c>
      <c r="B182" s="4" t="s">
        <v>11</v>
      </c>
      <c r="C182" s="4">
        <v>825000</v>
      </c>
      <c r="D182" s="4">
        <v>1700</v>
      </c>
      <c r="E182" s="4">
        <v>2024</v>
      </c>
      <c r="F182" s="4">
        <v>5</v>
      </c>
      <c r="G182" s="4" t="s">
        <v>41</v>
      </c>
      <c r="H182" s="4" t="s">
        <v>43</v>
      </c>
      <c r="I182" s="4" t="s">
        <v>14</v>
      </c>
      <c r="J182" s="4" t="s">
        <v>15</v>
      </c>
    </row>
    <row r="183" spans="1:10">
      <c r="A183" s="5" t="s">
        <v>16</v>
      </c>
      <c r="B183" s="6" t="s">
        <v>17</v>
      </c>
      <c r="C183" s="6">
        <v>318000</v>
      </c>
      <c r="D183" s="6">
        <v>2400</v>
      </c>
      <c r="E183" s="6">
        <v>2023</v>
      </c>
      <c r="F183" s="6">
        <v>6</v>
      </c>
      <c r="G183" s="6" t="s">
        <v>18</v>
      </c>
      <c r="H183" s="6" t="s">
        <v>19</v>
      </c>
      <c r="I183" s="6" t="s">
        <v>20</v>
      </c>
      <c r="J183" s="6" t="s">
        <v>21</v>
      </c>
    </row>
    <row r="184" spans="1:10">
      <c r="A184" s="3" t="s">
        <v>22</v>
      </c>
      <c r="B184" s="4" t="s">
        <v>23</v>
      </c>
      <c r="C184" s="4">
        <v>270000</v>
      </c>
      <c r="D184" s="4">
        <v>2360</v>
      </c>
      <c r="E184" s="4">
        <v>2024</v>
      </c>
      <c r="F184" s="4">
        <v>5.4</v>
      </c>
      <c r="G184" s="4" t="s">
        <v>24</v>
      </c>
      <c r="H184" s="4" t="s">
        <v>25</v>
      </c>
      <c r="I184" s="4" t="s">
        <v>20</v>
      </c>
      <c r="J184" s="4" t="s">
        <v>21</v>
      </c>
    </row>
    <row r="185" spans="1:10">
      <c r="A185" s="5" t="s">
        <v>26</v>
      </c>
      <c r="B185" s="6" t="s">
        <v>27</v>
      </c>
      <c r="C185" s="6">
        <v>320000</v>
      </c>
      <c r="D185" s="6">
        <v>1980</v>
      </c>
      <c r="E185" s="6">
        <v>2023</v>
      </c>
      <c r="F185" s="6">
        <v>6.2</v>
      </c>
      <c r="G185" s="6" t="s">
        <v>28</v>
      </c>
      <c r="H185" s="6" t="s">
        <v>19</v>
      </c>
      <c r="I185" s="6" t="s">
        <v>20</v>
      </c>
      <c r="J185" s="6" t="s">
        <v>29</v>
      </c>
    </row>
    <row r="186" spans="1:10">
      <c r="A186" s="3" t="s">
        <v>30</v>
      </c>
      <c r="B186" s="4" t="s">
        <v>17</v>
      </c>
      <c r="C186" s="4">
        <v>232000</v>
      </c>
      <c r="D186" s="4">
        <v>2250</v>
      </c>
      <c r="E186" s="4">
        <v>2024</v>
      </c>
      <c r="F186" s="4">
        <v>5.3</v>
      </c>
      <c r="G186" s="4" t="s">
        <v>31</v>
      </c>
      <c r="H186" s="4" t="s">
        <v>25</v>
      </c>
      <c r="I186" s="4" t="s">
        <v>20</v>
      </c>
      <c r="J186" s="4" t="s">
        <v>21</v>
      </c>
    </row>
    <row r="187" spans="1:10">
      <c r="A187" s="5" t="s">
        <v>32</v>
      </c>
      <c r="B187" s="6" t="s">
        <v>11</v>
      </c>
      <c r="C187" s="6">
        <v>460000</v>
      </c>
      <c r="D187" s="6">
        <v>1420</v>
      </c>
      <c r="E187" s="6">
        <v>2023</v>
      </c>
      <c r="F187" s="6">
        <v>6.1</v>
      </c>
      <c r="G187" s="6" t="s">
        <v>41</v>
      </c>
      <c r="H187" s="6" t="s">
        <v>13</v>
      </c>
      <c r="I187" s="6" t="s">
        <v>14</v>
      </c>
      <c r="J187" s="6" t="s">
        <v>15</v>
      </c>
    </row>
    <row r="188" spans="1:10">
      <c r="A188" s="3" t="s">
        <v>33</v>
      </c>
      <c r="B188" s="4" t="s">
        <v>23</v>
      </c>
      <c r="C188" s="4">
        <v>345000</v>
      </c>
      <c r="D188" s="4">
        <v>2120</v>
      </c>
      <c r="E188" s="4">
        <v>2024</v>
      </c>
      <c r="F188" s="4">
        <v>5.3</v>
      </c>
      <c r="G188" s="4">
        <v>10</v>
      </c>
      <c r="H188" s="4" t="s">
        <v>19</v>
      </c>
      <c r="I188" s="4" t="s">
        <v>20</v>
      </c>
      <c r="J188" s="4" t="s">
        <v>21</v>
      </c>
    </row>
    <row r="189" spans="1:10">
      <c r="A189" s="5" t="s">
        <v>35</v>
      </c>
      <c r="B189" s="6" t="s">
        <v>17</v>
      </c>
      <c r="C189" s="6">
        <v>185000</v>
      </c>
      <c r="D189" s="6">
        <v>2200</v>
      </c>
      <c r="E189" s="6">
        <v>2023</v>
      </c>
      <c r="F189" s="6">
        <v>6.4</v>
      </c>
      <c r="G189" s="6" t="s">
        <v>36</v>
      </c>
      <c r="H189" s="6" t="s">
        <v>25</v>
      </c>
      <c r="I189" s="6" t="s">
        <v>20</v>
      </c>
      <c r="J189" s="6" t="s">
        <v>21</v>
      </c>
    </row>
    <row r="190" spans="1:10">
      <c r="A190" s="3" t="s">
        <v>37</v>
      </c>
      <c r="B190" s="4" t="s">
        <v>11</v>
      </c>
      <c r="C190" s="4">
        <v>545000</v>
      </c>
      <c r="D190" s="4">
        <v>1620</v>
      </c>
      <c r="E190" s="4">
        <v>2024</v>
      </c>
      <c r="F190" s="4">
        <v>5.2</v>
      </c>
      <c r="G190" s="4" t="s">
        <v>38</v>
      </c>
      <c r="H190" s="4" t="s">
        <v>13</v>
      </c>
      <c r="I190" s="4" t="s">
        <v>14</v>
      </c>
      <c r="J190" s="4" t="s">
        <v>29</v>
      </c>
    </row>
    <row r="191" spans="1:10">
      <c r="A191" s="5" t="s">
        <v>10</v>
      </c>
      <c r="B191" s="6" t="s">
        <v>17</v>
      </c>
      <c r="C191" s="6">
        <v>460000</v>
      </c>
      <c r="D191" s="6">
        <v>2750</v>
      </c>
      <c r="E191" s="6">
        <v>2024</v>
      </c>
      <c r="F191" s="6">
        <v>5</v>
      </c>
      <c r="G191" s="6" t="s">
        <v>18</v>
      </c>
      <c r="H191" s="6" t="s">
        <v>19</v>
      </c>
      <c r="I191" s="6" t="s">
        <v>20</v>
      </c>
      <c r="J191" s="6" t="s">
        <v>21</v>
      </c>
    </row>
    <row r="192" spans="1:10">
      <c r="A192" s="3" t="s">
        <v>16</v>
      </c>
      <c r="B192" s="4" t="s">
        <v>27</v>
      </c>
      <c r="C192" s="4">
        <v>450000</v>
      </c>
      <c r="D192" s="4">
        <v>2200</v>
      </c>
      <c r="E192" s="4">
        <v>2024</v>
      </c>
      <c r="F192" s="4">
        <v>5.3</v>
      </c>
      <c r="G192" s="4" t="s">
        <v>28</v>
      </c>
      <c r="H192" s="4" t="s">
        <v>13</v>
      </c>
      <c r="I192" s="4" t="s">
        <v>20</v>
      </c>
      <c r="J192" s="4" t="s">
        <v>29</v>
      </c>
    </row>
    <row r="193" spans="1:10">
      <c r="A193" s="5" t="s">
        <v>22</v>
      </c>
      <c r="B193" s="6" t="s">
        <v>11</v>
      </c>
      <c r="C193" s="6">
        <v>405000</v>
      </c>
      <c r="D193" s="6">
        <v>1500</v>
      </c>
      <c r="E193" s="6">
        <v>2023</v>
      </c>
      <c r="F193" s="6">
        <v>6.3</v>
      </c>
      <c r="G193" s="6" t="s">
        <v>12</v>
      </c>
      <c r="H193" s="6" t="s">
        <v>19</v>
      </c>
      <c r="I193" s="6" t="s">
        <v>14</v>
      </c>
      <c r="J193" s="6" t="s">
        <v>15</v>
      </c>
    </row>
    <row r="194" spans="1:10">
      <c r="A194" s="3" t="s">
        <v>26</v>
      </c>
      <c r="B194" s="4" t="s">
        <v>23</v>
      </c>
      <c r="C194" s="4">
        <v>255000</v>
      </c>
      <c r="D194" s="4">
        <v>2300</v>
      </c>
      <c r="E194" s="4">
        <v>2024</v>
      </c>
      <c r="F194" s="4">
        <v>5.5</v>
      </c>
      <c r="G194" s="4" t="s">
        <v>24</v>
      </c>
      <c r="H194" s="4" t="s">
        <v>25</v>
      </c>
      <c r="I194" s="4" t="s">
        <v>20</v>
      </c>
      <c r="J194" s="4" t="s">
        <v>21</v>
      </c>
    </row>
    <row r="195" spans="1:10">
      <c r="A195" s="5" t="s">
        <v>30</v>
      </c>
      <c r="B195" s="6" t="s">
        <v>27</v>
      </c>
      <c r="C195" s="6">
        <v>340000</v>
      </c>
      <c r="D195" s="6">
        <v>1700</v>
      </c>
      <c r="E195" s="6">
        <v>2023</v>
      </c>
      <c r="F195" s="6">
        <v>6.1</v>
      </c>
      <c r="G195" s="6" t="s">
        <v>39</v>
      </c>
      <c r="H195" s="6" t="s">
        <v>19</v>
      </c>
      <c r="I195" s="6" t="s">
        <v>20</v>
      </c>
      <c r="J195" s="6" t="s">
        <v>29</v>
      </c>
    </row>
    <row r="196" spans="1:10">
      <c r="A196" s="3" t="s">
        <v>32</v>
      </c>
      <c r="B196" s="4" t="s">
        <v>17</v>
      </c>
      <c r="C196" s="4">
        <v>245000</v>
      </c>
      <c r="D196" s="4">
        <v>2300</v>
      </c>
      <c r="E196" s="4">
        <v>2024</v>
      </c>
      <c r="F196" s="4">
        <v>5.3</v>
      </c>
      <c r="G196" s="4" t="s">
        <v>40</v>
      </c>
      <c r="H196" s="4" t="s">
        <v>25</v>
      </c>
      <c r="I196" s="4" t="s">
        <v>20</v>
      </c>
      <c r="J196" s="4" t="s">
        <v>21</v>
      </c>
    </row>
    <row r="197" spans="1:10">
      <c r="A197" s="5" t="s">
        <v>33</v>
      </c>
      <c r="B197" s="6" t="s">
        <v>11</v>
      </c>
      <c r="C197" s="6">
        <v>510000</v>
      </c>
      <c r="D197" s="6">
        <v>1520</v>
      </c>
      <c r="E197" s="6">
        <v>2024</v>
      </c>
      <c r="F197" s="6">
        <v>5.0999999999999996</v>
      </c>
      <c r="G197" s="6" t="s">
        <v>41</v>
      </c>
      <c r="H197" s="6" t="s">
        <v>13</v>
      </c>
      <c r="I197" s="6" t="s">
        <v>14</v>
      </c>
      <c r="J197" s="6" t="s">
        <v>15</v>
      </c>
    </row>
    <row r="198" spans="1:10">
      <c r="A198" s="3" t="s">
        <v>35</v>
      </c>
      <c r="B198" s="4" t="s">
        <v>23</v>
      </c>
      <c r="C198" s="4">
        <v>230000</v>
      </c>
      <c r="D198" s="4">
        <v>1950</v>
      </c>
      <c r="E198" s="4">
        <v>2023</v>
      </c>
      <c r="F198" s="4">
        <v>6.5</v>
      </c>
      <c r="G198" s="4" t="s">
        <v>42</v>
      </c>
      <c r="H198" s="4" t="s">
        <v>25</v>
      </c>
      <c r="I198" s="4" t="s">
        <v>20</v>
      </c>
      <c r="J198" s="4" t="s">
        <v>21</v>
      </c>
    </row>
    <row r="199" spans="1:10">
      <c r="A199" s="5" t="s">
        <v>37</v>
      </c>
      <c r="B199" s="6" t="s">
        <v>17</v>
      </c>
      <c r="C199" s="6">
        <v>295000</v>
      </c>
      <c r="D199" s="6">
        <v>2580</v>
      </c>
      <c r="E199" s="6">
        <v>2024</v>
      </c>
      <c r="F199" s="6">
        <v>5.2</v>
      </c>
      <c r="G199" s="6" t="s">
        <v>24</v>
      </c>
      <c r="H199" s="6" t="s">
        <v>19</v>
      </c>
      <c r="I199" s="6" t="s">
        <v>20</v>
      </c>
      <c r="J199" s="6" t="s">
        <v>21</v>
      </c>
    </row>
    <row r="200" spans="1:10">
      <c r="A200" s="3" t="s">
        <v>10</v>
      </c>
      <c r="B200" s="4" t="s">
        <v>23</v>
      </c>
      <c r="C200" s="4">
        <v>575000</v>
      </c>
      <c r="D200" s="4">
        <v>2400</v>
      </c>
      <c r="E200" s="4">
        <v>2023</v>
      </c>
      <c r="F200" s="4">
        <v>6</v>
      </c>
      <c r="G200" s="4" t="s">
        <v>28</v>
      </c>
      <c r="H200" s="4" t="s">
        <v>13</v>
      </c>
      <c r="I200" s="4" t="s">
        <v>20</v>
      </c>
      <c r="J200" s="4" t="s">
        <v>29</v>
      </c>
    </row>
    <row r="201" spans="1:10">
      <c r="A201" s="5" t="s">
        <v>16</v>
      </c>
      <c r="B201" s="6" t="s">
        <v>11</v>
      </c>
      <c r="C201" s="6">
        <v>600000</v>
      </c>
      <c r="D201" s="6">
        <v>1750</v>
      </c>
      <c r="E201" s="6">
        <v>2024</v>
      </c>
      <c r="F201" s="6">
        <v>5.3</v>
      </c>
      <c r="G201" s="6" t="s">
        <v>38</v>
      </c>
      <c r="H201" s="6" t="s">
        <v>43</v>
      </c>
      <c r="I201" s="6" t="s">
        <v>14</v>
      </c>
      <c r="J201" s="6" t="s">
        <v>15</v>
      </c>
    </row>
    <row r="202" spans="1:10">
      <c r="A202" s="3" t="s">
        <v>22</v>
      </c>
      <c r="B202" s="4" t="s">
        <v>17</v>
      </c>
      <c r="C202" s="4">
        <v>225000</v>
      </c>
      <c r="D202" s="4">
        <v>2600</v>
      </c>
      <c r="E202" s="4">
        <v>2024</v>
      </c>
      <c r="F202" s="4">
        <v>5.4</v>
      </c>
      <c r="G202" s="4" t="s">
        <v>36</v>
      </c>
      <c r="H202" s="4" t="s">
        <v>25</v>
      </c>
      <c r="I202" s="4" t="s">
        <v>20</v>
      </c>
      <c r="J202" s="4" t="s">
        <v>21</v>
      </c>
    </row>
    <row r="203" spans="1:10">
      <c r="A203" s="5" t="s">
        <v>26</v>
      </c>
      <c r="B203" s="6" t="s">
        <v>11</v>
      </c>
      <c r="C203" s="6">
        <v>395000</v>
      </c>
      <c r="D203" s="6">
        <v>1480</v>
      </c>
      <c r="E203" s="6">
        <v>2023</v>
      </c>
      <c r="F203" s="6">
        <v>6.2</v>
      </c>
      <c r="G203" s="6" t="s">
        <v>41</v>
      </c>
      <c r="H203" s="6" t="s">
        <v>13</v>
      </c>
      <c r="I203" s="6" t="s">
        <v>14</v>
      </c>
      <c r="J203" s="6" t="s">
        <v>29</v>
      </c>
    </row>
    <row r="204" spans="1:10">
      <c r="A204" s="3" t="s">
        <v>30</v>
      </c>
      <c r="B204" s="4" t="s">
        <v>23</v>
      </c>
      <c r="C204" s="4">
        <v>300000</v>
      </c>
      <c r="D204" s="4">
        <v>2050</v>
      </c>
      <c r="E204" s="4">
        <v>2024</v>
      </c>
      <c r="F204" s="4">
        <v>5.4</v>
      </c>
      <c r="G204" s="4" t="s">
        <v>24</v>
      </c>
      <c r="H204" s="4" t="s">
        <v>19</v>
      </c>
      <c r="I204" s="4" t="s">
        <v>20</v>
      </c>
      <c r="J204" s="4" t="s">
        <v>21</v>
      </c>
    </row>
    <row r="205" spans="1:10">
      <c r="A205" s="5" t="s">
        <v>32</v>
      </c>
      <c r="B205" s="6" t="s">
        <v>27</v>
      </c>
      <c r="C205" s="6">
        <v>355000</v>
      </c>
      <c r="D205" s="6">
        <v>1780</v>
      </c>
      <c r="E205" s="6">
        <v>2023</v>
      </c>
      <c r="F205" s="6">
        <v>6.1</v>
      </c>
      <c r="G205" s="6" t="s">
        <v>12</v>
      </c>
      <c r="H205" s="6" t="s">
        <v>13</v>
      </c>
      <c r="I205" s="6" t="s">
        <v>20</v>
      </c>
      <c r="J205" s="6" t="s">
        <v>29</v>
      </c>
    </row>
    <row r="206" spans="1:10">
      <c r="A206" s="3" t="s">
        <v>33</v>
      </c>
      <c r="B206" s="4" t="s">
        <v>17</v>
      </c>
      <c r="C206" s="4">
        <v>280000</v>
      </c>
      <c r="D206" s="4">
        <v>2400</v>
      </c>
      <c r="E206" s="4">
        <v>2024</v>
      </c>
      <c r="F206" s="4">
        <v>5.2</v>
      </c>
      <c r="G206" s="4" t="s">
        <v>18</v>
      </c>
      <c r="H206" s="4" t="s">
        <v>19</v>
      </c>
      <c r="I206" s="4" t="s">
        <v>20</v>
      </c>
      <c r="J206" s="4" t="s">
        <v>21</v>
      </c>
    </row>
    <row r="207" spans="1:10">
      <c r="A207" s="5" t="s">
        <v>35</v>
      </c>
      <c r="B207" s="6" t="s">
        <v>11</v>
      </c>
      <c r="C207" s="6">
        <v>350000</v>
      </c>
      <c r="D207" s="6">
        <v>1180</v>
      </c>
      <c r="E207" s="6">
        <v>2024</v>
      </c>
      <c r="F207" s="6">
        <v>5.4</v>
      </c>
      <c r="G207" s="6" t="s">
        <v>44</v>
      </c>
      <c r="H207" s="6" t="s">
        <v>13</v>
      </c>
      <c r="I207" s="6" t="s">
        <v>14</v>
      </c>
      <c r="J207" s="6" t="s">
        <v>15</v>
      </c>
    </row>
    <row r="208" spans="1:10">
      <c r="A208" s="3" t="s">
        <v>37</v>
      </c>
      <c r="B208" s="4" t="s">
        <v>27</v>
      </c>
      <c r="C208" s="4">
        <v>430000</v>
      </c>
      <c r="D208" s="4">
        <v>2050</v>
      </c>
      <c r="E208" s="4">
        <v>2024</v>
      </c>
      <c r="F208" s="4">
        <v>5.2</v>
      </c>
      <c r="G208" s="4" t="s">
        <v>28</v>
      </c>
      <c r="H208" s="4" t="s">
        <v>13</v>
      </c>
      <c r="I208" s="4" t="s">
        <v>20</v>
      </c>
      <c r="J208" s="4" t="s">
        <v>29</v>
      </c>
    </row>
    <row r="209" spans="1:10">
      <c r="A209" s="5" t="s">
        <v>10</v>
      </c>
      <c r="B209" s="6" t="s">
        <v>11</v>
      </c>
      <c r="C209" s="6">
        <v>830000</v>
      </c>
      <c r="D209" s="6">
        <v>1720</v>
      </c>
      <c r="E209" s="6">
        <v>2023</v>
      </c>
      <c r="F209" s="6">
        <v>6</v>
      </c>
      <c r="G209" s="6" t="s">
        <v>41</v>
      </c>
      <c r="H209" s="6" t="s">
        <v>43</v>
      </c>
      <c r="I209" s="6" t="s">
        <v>14</v>
      </c>
      <c r="J209" s="6" t="s">
        <v>15</v>
      </c>
    </row>
    <row r="210" spans="1:10">
      <c r="A210" s="3" t="s">
        <v>16</v>
      </c>
      <c r="B210" s="4" t="s">
        <v>23</v>
      </c>
      <c r="C210" s="4">
        <v>380000</v>
      </c>
      <c r="D210" s="4">
        <v>2450</v>
      </c>
      <c r="E210" s="4">
        <v>2023</v>
      </c>
      <c r="F210" s="4">
        <v>6.1</v>
      </c>
      <c r="G210" s="4" t="s">
        <v>24</v>
      </c>
      <c r="H210" s="4" t="s">
        <v>19</v>
      </c>
      <c r="I210" s="4" t="s">
        <v>20</v>
      </c>
      <c r="J210" s="4" t="s">
        <v>21</v>
      </c>
    </row>
    <row r="211" spans="1:10">
      <c r="A211" s="5" t="s">
        <v>22</v>
      </c>
      <c r="B211" s="6" t="s">
        <v>27</v>
      </c>
      <c r="C211" s="6">
        <v>330000</v>
      </c>
      <c r="D211" s="6">
        <v>2100</v>
      </c>
      <c r="E211" s="6">
        <v>2024</v>
      </c>
      <c r="F211" s="6">
        <v>5.4</v>
      </c>
      <c r="G211" s="6" t="s">
        <v>18</v>
      </c>
      <c r="H211" s="6" t="s">
        <v>19</v>
      </c>
      <c r="I211" s="6" t="s">
        <v>20</v>
      </c>
      <c r="J211" s="6" t="s">
        <v>29</v>
      </c>
    </row>
    <row r="212" spans="1:10">
      <c r="A212" s="3" t="s">
        <v>26</v>
      </c>
      <c r="B212" s="4" t="s">
        <v>17</v>
      </c>
      <c r="C212" s="4">
        <v>210000</v>
      </c>
      <c r="D212" s="4">
        <v>2500</v>
      </c>
      <c r="E212" s="4">
        <v>2024</v>
      </c>
      <c r="F212" s="4">
        <v>5.4</v>
      </c>
      <c r="G212" s="4" t="s">
        <v>36</v>
      </c>
      <c r="H212" s="4" t="s">
        <v>25</v>
      </c>
      <c r="I212" s="4" t="s">
        <v>20</v>
      </c>
      <c r="J212" s="4" t="s">
        <v>21</v>
      </c>
    </row>
    <row r="213" spans="1:10">
      <c r="A213" s="5" t="s">
        <v>30</v>
      </c>
      <c r="B213" s="6" t="s">
        <v>11</v>
      </c>
      <c r="C213" s="6">
        <v>440000</v>
      </c>
      <c r="D213" s="6">
        <v>1300</v>
      </c>
      <c r="E213" s="6">
        <v>2023</v>
      </c>
      <c r="F213" s="6">
        <v>6.2</v>
      </c>
      <c r="G213" s="6" t="s">
        <v>38</v>
      </c>
      <c r="H213" s="6" t="s">
        <v>13</v>
      </c>
      <c r="I213" s="6" t="s">
        <v>14</v>
      </c>
      <c r="J213" s="6" t="s">
        <v>15</v>
      </c>
    </row>
    <row r="214" spans="1:10">
      <c r="A214" s="3" t="s">
        <v>32</v>
      </c>
      <c r="B214" s="4" t="s">
        <v>23</v>
      </c>
      <c r="C214" s="4">
        <v>310000</v>
      </c>
      <c r="D214" s="4">
        <v>2100</v>
      </c>
      <c r="E214" s="4">
        <v>2024</v>
      </c>
      <c r="F214" s="4">
        <v>5.5</v>
      </c>
      <c r="G214" s="4" t="s">
        <v>24</v>
      </c>
      <c r="H214" s="4" t="s">
        <v>19</v>
      </c>
      <c r="I214" s="4" t="s">
        <v>20</v>
      </c>
      <c r="J214" s="4" t="s">
        <v>21</v>
      </c>
    </row>
    <row r="215" spans="1:10">
      <c r="A215" s="5" t="s">
        <v>33</v>
      </c>
      <c r="B215" s="6" t="s">
        <v>27</v>
      </c>
      <c r="C215" s="6">
        <v>395000</v>
      </c>
      <c r="D215" s="6">
        <v>1950</v>
      </c>
      <c r="E215" s="6">
        <v>2024</v>
      </c>
      <c r="F215" s="6">
        <v>5.2</v>
      </c>
      <c r="G215" s="6" t="s">
        <v>28</v>
      </c>
      <c r="H215" s="6" t="s">
        <v>13</v>
      </c>
      <c r="I215" s="6" t="s">
        <v>20</v>
      </c>
      <c r="J215" s="6" t="s">
        <v>29</v>
      </c>
    </row>
    <row r="216" spans="1:10">
      <c r="A216" s="3" t="s">
        <v>35</v>
      </c>
      <c r="B216" s="4" t="s">
        <v>17</v>
      </c>
      <c r="C216" s="4">
        <v>188000</v>
      </c>
      <c r="D216" s="4">
        <v>2250</v>
      </c>
      <c r="E216" s="4">
        <v>2024</v>
      </c>
      <c r="F216" s="4">
        <v>5.4</v>
      </c>
      <c r="G216" s="4" t="s">
        <v>31</v>
      </c>
      <c r="H216" s="4" t="s">
        <v>25</v>
      </c>
      <c r="I216" s="4" t="s">
        <v>20</v>
      </c>
      <c r="J216" s="4" t="s">
        <v>21</v>
      </c>
    </row>
    <row r="217" spans="1:10">
      <c r="A217" s="5" t="s">
        <v>37</v>
      </c>
      <c r="B217" s="6" t="s">
        <v>11</v>
      </c>
      <c r="C217" s="6">
        <v>550000</v>
      </c>
      <c r="D217" s="6">
        <v>1650</v>
      </c>
      <c r="E217" s="6">
        <v>2023</v>
      </c>
      <c r="F217" s="6">
        <v>6.1</v>
      </c>
      <c r="G217" s="6" t="s">
        <v>41</v>
      </c>
      <c r="H217" s="6" t="s">
        <v>13</v>
      </c>
      <c r="I217" s="6" t="s">
        <v>14</v>
      </c>
      <c r="J217" s="6" t="s">
        <v>15</v>
      </c>
    </row>
    <row r="218" spans="1:10">
      <c r="A218" s="3" t="s">
        <v>10</v>
      </c>
      <c r="B218" s="4" t="s">
        <v>17</v>
      </c>
      <c r="C218" s="4">
        <v>470000</v>
      </c>
      <c r="D218" s="4">
        <v>2800</v>
      </c>
      <c r="E218" s="4">
        <v>2024</v>
      </c>
      <c r="F218" s="4">
        <v>5</v>
      </c>
      <c r="G218" s="4" t="s">
        <v>24</v>
      </c>
      <c r="H218" s="4" t="s">
        <v>19</v>
      </c>
      <c r="I218" s="4" t="s">
        <v>20</v>
      </c>
      <c r="J218" s="4" t="s">
        <v>21</v>
      </c>
    </row>
    <row r="219" spans="1:10">
      <c r="A219" s="5" t="s">
        <v>16</v>
      </c>
      <c r="B219" s="6" t="s">
        <v>27</v>
      </c>
      <c r="C219" s="6">
        <v>455000</v>
      </c>
      <c r="D219" s="6">
        <v>2250</v>
      </c>
      <c r="E219" s="6">
        <v>2023</v>
      </c>
      <c r="F219" s="6">
        <v>6</v>
      </c>
      <c r="G219" s="6" t="s">
        <v>28</v>
      </c>
      <c r="H219" s="6" t="s">
        <v>13</v>
      </c>
      <c r="I219" s="6" t="s">
        <v>20</v>
      </c>
      <c r="J219" s="6" t="s">
        <v>29</v>
      </c>
    </row>
    <row r="220" spans="1:10">
      <c r="A220" s="3" t="s">
        <v>22</v>
      </c>
      <c r="B220" s="4" t="s">
        <v>23</v>
      </c>
      <c r="C220" s="4">
        <v>275000</v>
      </c>
      <c r="D220" s="4">
        <v>2380</v>
      </c>
      <c r="E220" s="4">
        <v>2023</v>
      </c>
      <c r="F220" s="4">
        <v>6.3</v>
      </c>
      <c r="G220" s="4" t="s">
        <v>24</v>
      </c>
      <c r="H220" s="4" t="s">
        <v>25</v>
      </c>
      <c r="I220" s="4" t="s">
        <v>20</v>
      </c>
      <c r="J220" s="4" t="s">
        <v>21</v>
      </c>
    </row>
    <row r="221" spans="1:10">
      <c r="A221" s="5" t="s">
        <v>26</v>
      </c>
      <c r="B221" s="6" t="s">
        <v>11</v>
      </c>
      <c r="C221" s="6">
        <v>400000</v>
      </c>
      <c r="D221" s="6">
        <v>1500</v>
      </c>
      <c r="E221" s="6">
        <v>2024</v>
      </c>
      <c r="F221" s="6">
        <v>5.4</v>
      </c>
      <c r="G221" s="6" t="s">
        <v>41</v>
      </c>
      <c r="H221" s="6" t="s">
        <v>13</v>
      </c>
      <c r="I221" s="6" t="s">
        <v>14</v>
      </c>
      <c r="J221" s="6" t="s">
        <v>15</v>
      </c>
    </row>
    <row r="222" spans="1:10">
      <c r="A222" s="3" t="s">
        <v>30</v>
      </c>
      <c r="B222" s="4" t="s">
        <v>17</v>
      </c>
      <c r="C222" s="4">
        <v>235000</v>
      </c>
      <c r="D222" s="4">
        <v>2300</v>
      </c>
      <c r="E222" s="4">
        <v>2023</v>
      </c>
      <c r="F222" s="4">
        <v>6.5</v>
      </c>
      <c r="G222" s="4" t="s">
        <v>31</v>
      </c>
      <c r="H222" s="4" t="s">
        <v>25</v>
      </c>
      <c r="I222" s="4" t="s">
        <v>20</v>
      </c>
      <c r="J222" s="4" t="s">
        <v>21</v>
      </c>
    </row>
    <row r="223" spans="1:10">
      <c r="A223" s="5" t="s">
        <v>32</v>
      </c>
      <c r="B223" s="6" t="s">
        <v>11</v>
      </c>
      <c r="C223" s="6">
        <v>470000</v>
      </c>
      <c r="D223" s="6">
        <v>1450</v>
      </c>
      <c r="E223" s="6">
        <v>2024</v>
      </c>
      <c r="F223" s="6">
        <v>5.2</v>
      </c>
      <c r="G223" s="6" t="s">
        <v>41</v>
      </c>
      <c r="H223" s="6" t="s">
        <v>13</v>
      </c>
      <c r="I223" s="6" t="s">
        <v>14</v>
      </c>
      <c r="J223" s="6" t="s">
        <v>15</v>
      </c>
    </row>
    <row r="224" spans="1:10">
      <c r="A224" s="3" t="s">
        <v>33</v>
      </c>
      <c r="B224" s="4" t="s">
        <v>23</v>
      </c>
      <c r="C224" s="4">
        <v>350000</v>
      </c>
      <c r="D224" s="4">
        <v>2150</v>
      </c>
      <c r="E224" s="4">
        <v>2023</v>
      </c>
      <c r="F224" s="4">
        <v>6.1</v>
      </c>
      <c r="G224" s="4" t="s">
        <v>24</v>
      </c>
      <c r="H224" s="4" t="s">
        <v>19</v>
      </c>
      <c r="I224" s="4" t="s">
        <v>20</v>
      </c>
      <c r="J224" s="4" t="s">
        <v>21</v>
      </c>
    </row>
    <row r="225" spans="1:10">
      <c r="A225" s="5" t="s">
        <v>35</v>
      </c>
      <c r="B225" s="6" t="s">
        <v>27</v>
      </c>
      <c r="C225" s="6">
        <v>285000</v>
      </c>
      <c r="D225" s="6">
        <v>1700</v>
      </c>
      <c r="E225" s="6">
        <v>2024</v>
      </c>
      <c r="F225" s="6">
        <v>5.4</v>
      </c>
      <c r="G225" s="6" t="s">
        <v>18</v>
      </c>
      <c r="H225" s="6" t="s">
        <v>19</v>
      </c>
      <c r="I225" s="6" t="s">
        <v>20</v>
      </c>
      <c r="J225" s="6" t="s">
        <v>29</v>
      </c>
    </row>
    <row r="226" spans="1:10">
      <c r="A226" s="3" t="s">
        <v>37</v>
      </c>
      <c r="B226" s="4" t="s">
        <v>17</v>
      </c>
      <c r="C226" s="4">
        <v>300000</v>
      </c>
      <c r="D226" s="4">
        <v>2600</v>
      </c>
      <c r="E226" s="4">
        <v>2024</v>
      </c>
      <c r="F226" s="4">
        <v>5.2</v>
      </c>
      <c r="G226" s="4" t="s">
        <v>24</v>
      </c>
      <c r="H226" s="4" t="s">
        <v>19</v>
      </c>
      <c r="I226" s="4" t="s">
        <v>20</v>
      </c>
      <c r="J226" s="4" t="s">
        <v>21</v>
      </c>
    </row>
    <row r="227" spans="1:10">
      <c r="A227" s="5" t="s">
        <v>10</v>
      </c>
      <c r="B227" s="6" t="s">
        <v>23</v>
      </c>
      <c r="C227" s="6">
        <v>580000</v>
      </c>
      <c r="D227" s="6">
        <v>2430</v>
      </c>
      <c r="E227" s="6">
        <v>2024</v>
      </c>
      <c r="F227" s="6">
        <v>5.0999999999999996</v>
      </c>
      <c r="G227" s="6" t="s">
        <v>28</v>
      </c>
      <c r="H227" s="6" t="s">
        <v>13</v>
      </c>
      <c r="I227" s="6" t="s">
        <v>20</v>
      </c>
      <c r="J227" s="6" t="s">
        <v>29</v>
      </c>
    </row>
    <row r="228" spans="1:10">
      <c r="A228" s="3" t="s">
        <v>16</v>
      </c>
      <c r="B228" s="4" t="s">
        <v>11</v>
      </c>
      <c r="C228" s="4">
        <v>605000</v>
      </c>
      <c r="D228" s="4">
        <v>1780</v>
      </c>
      <c r="E228" s="4">
        <v>2024</v>
      </c>
      <c r="F228" s="4">
        <v>5.3</v>
      </c>
      <c r="G228" s="4" t="s">
        <v>38</v>
      </c>
      <c r="H228" s="4" t="s">
        <v>43</v>
      </c>
      <c r="I228" s="4" t="s">
        <v>14</v>
      </c>
      <c r="J228" s="4" t="s">
        <v>15</v>
      </c>
    </row>
    <row r="229" spans="1:10">
      <c r="A229" s="5" t="s">
        <v>22</v>
      </c>
      <c r="B229" s="6" t="s">
        <v>17</v>
      </c>
      <c r="C229" s="6">
        <v>230000</v>
      </c>
      <c r="D229" s="6">
        <v>2650</v>
      </c>
      <c r="E229" s="6">
        <v>2023</v>
      </c>
      <c r="F229" s="6">
        <v>6.4</v>
      </c>
      <c r="G229" s="6" t="s">
        <v>36</v>
      </c>
      <c r="H229" s="6" t="s">
        <v>25</v>
      </c>
      <c r="I229" s="6" t="s">
        <v>20</v>
      </c>
      <c r="J229" s="6" t="s">
        <v>21</v>
      </c>
    </row>
    <row r="230" spans="1:10">
      <c r="A230" s="3" t="s">
        <v>26</v>
      </c>
      <c r="B230" s="4" t="s">
        <v>27</v>
      </c>
      <c r="C230" s="4">
        <v>325000</v>
      </c>
      <c r="D230" s="4">
        <v>2000</v>
      </c>
      <c r="E230" s="4">
        <v>2024</v>
      </c>
      <c r="F230" s="4">
        <v>5.5</v>
      </c>
      <c r="G230" s="4" t="s">
        <v>18</v>
      </c>
      <c r="H230" s="4" t="s">
        <v>19</v>
      </c>
      <c r="I230" s="4" t="s">
        <v>20</v>
      </c>
      <c r="J230" s="4" t="s">
        <v>29</v>
      </c>
    </row>
    <row r="231" spans="1:10">
      <c r="A231" s="5" t="s">
        <v>30</v>
      </c>
      <c r="B231" s="6" t="s">
        <v>23</v>
      </c>
      <c r="C231" s="6">
        <v>305000</v>
      </c>
      <c r="D231" s="6">
        <v>2080</v>
      </c>
      <c r="E231" s="6">
        <v>2023</v>
      </c>
      <c r="F231" s="6">
        <v>6.6</v>
      </c>
      <c r="G231" s="6" t="s">
        <v>24</v>
      </c>
      <c r="H231" s="6" t="s">
        <v>19</v>
      </c>
      <c r="I231" s="6" t="s">
        <v>20</v>
      </c>
      <c r="J231" s="6" t="s">
        <v>21</v>
      </c>
    </row>
    <row r="232" spans="1:10">
      <c r="A232" s="3" t="s">
        <v>32</v>
      </c>
      <c r="B232" s="4" t="s">
        <v>17</v>
      </c>
      <c r="C232" s="4">
        <v>250000</v>
      </c>
      <c r="D232" s="4">
        <v>2330</v>
      </c>
      <c r="E232" s="4">
        <v>2024</v>
      </c>
      <c r="F232" s="4">
        <v>5.3</v>
      </c>
      <c r="G232" s="4" t="s">
        <v>40</v>
      </c>
      <c r="H232" s="4" t="s">
        <v>25</v>
      </c>
      <c r="I232" s="4" t="s">
        <v>20</v>
      </c>
      <c r="J232" s="4" t="s">
        <v>21</v>
      </c>
    </row>
    <row r="233" spans="1:10">
      <c r="A233" s="5" t="s">
        <v>33</v>
      </c>
      <c r="B233" s="6" t="s">
        <v>11</v>
      </c>
      <c r="C233" s="6">
        <v>515000</v>
      </c>
      <c r="D233" s="6">
        <v>1550</v>
      </c>
      <c r="E233" s="6">
        <v>2023</v>
      </c>
      <c r="F233" s="6">
        <v>6</v>
      </c>
      <c r="G233" s="6" t="s">
        <v>41</v>
      </c>
      <c r="H233" s="6" t="s">
        <v>13</v>
      </c>
      <c r="I233" s="6" t="s">
        <v>14</v>
      </c>
      <c r="J233" s="6" t="s">
        <v>15</v>
      </c>
    </row>
    <row r="234" spans="1:10">
      <c r="A234" s="3" t="s">
        <v>35</v>
      </c>
      <c r="B234" s="4" t="s">
        <v>23</v>
      </c>
      <c r="C234" s="4">
        <v>235000</v>
      </c>
      <c r="D234" s="4">
        <v>1980</v>
      </c>
      <c r="E234" s="4">
        <v>2024</v>
      </c>
      <c r="F234" s="4">
        <v>5.3</v>
      </c>
      <c r="G234" s="4" t="s">
        <v>42</v>
      </c>
      <c r="H234" s="4" t="s">
        <v>25</v>
      </c>
      <c r="I234" s="4" t="s">
        <v>20</v>
      </c>
      <c r="J234" s="4" t="s">
        <v>21</v>
      </c>
    </row>
    <row r="235" spans="1:10">
      <c r="A235" s="5" t="s">
        <v>37</v>
      </c>
      <c r="B235" s="6" t="s">
        <v>27</v>
      </c>
      <c r="C235" s="6">
        <v>435000</v>
      </c>
      <c r="D235" s="6">
        <v>2080</v>
      </c>
      <c r="E235" s="6">
        <v>2024</v>
      </c>
      <c r="F235" s="6">
        <v>5.2</v>
      </c>
      <c r="G235" s="6" t="s">
        <v>28</v>
      </c>
      <c r="H235" s="6" t="s">
        <v>13</v>
      </c>
      <c r="I235" s="6" t="s">
        <v>20</v>
      </c>
      <c r="J235" s="6" t="s">
        <v>29</v>
      </c>
    </row>
    <row r="236" spans="1:10">
      <c r="A236" s="3" t="s">
        <v>10</v>
      </c>
      <c r="B236" s="4" t="s">
        <v>11</v>
      </c>
      <c r="C236" s="4">
        <v>840000</v>
      </c>
      <c r="D236" s="4">
        <v>1750</v>
      </c>
      <c r="E236" s="4">
        <v>2024</v>
      </c>
      <c r="F236" s="4">
        <v>5</v>
      </c>
      <c r="G236" s="4" t="s">
        <v>41</v>
      </c>
      <c r="H236" s="4" t="s">
        <v>43</v>
      </c>
      <c r="I236" s="4" t="s">
        <v>14</v>
      </c>
      <c r="J236" s="4" t="s">
        <v>15</v>
      </c>
    </row>
    <row r="237" spans="1:10">
      <c r="A237" s="5" t="s">
        <v>16</v>
      </c>
      <c r="B237" s="6" t="s">
        <v>17</v>
      </c>
      <c r="C237" s="6">
        <v>320000</v>
      </c>
      <c r="D237" s="6">
        <v>2420</v>
      </c>
      <c r="E237" s="6">
        <v>2024</v>
      </c>
      <c r="F237" s="6">
        <v>5.2</v>
      </c>
      <c r="G237" s="6" t="s">
        <v>18</v>
      </c>
      <c r="H237" s="6" t="s">
        <v>19</v>
      </c>
      <c r="I237" s="6" t="s">
        <v>20</v>
      </c>
      <c r="J237" s="6" t="s">
        <v>21</v>
      </c>
    </row>
    <row r="238" spans="1:10">
      <c r="A238" s="3" t="s">
        <v>22</v>
      </c>
      <c r="B238" s="4" t="s">
        <v>27</v>
      </c>
      <c r="C238" s="4">
        <v>335000</v>
      </c>
      <c r="D238" s="4">
        <v>2120</v>
      </c>
      <c r="E238" s="4">
        <v>2023</v>
      </c>
      <c r="F238" s="4">
        <v>6.3</v>
      </c>
      <c r="G238" s="4" t="s">
        <v>39</v>
      </c>
      <c r="H238" s="4" t="s">
        <v>19</v>
      </c>
      <c r="I238" s="4" t="s">
        <v>20</v>
      </c>
      <c r="J238" s="4" t="s">
        <v>29</v>
      </c>
    </row>
    <row r="239" spans="1:10">
      <c r="A239" s="5" t="s">
        <v>26</v>
      </c>
      <c r="B239" s="6" t="s">
        <v>17</v>
      </c>
      <c r="C239" s="6">
        <v>215000</v>
      </c>
      <c r="D239" s="6">
        <v>2520</v>
      </c>
      <c r="E239" s="6">
        <v>2023</v>
      </c>
      <c r="F239" s="6">
        <v>6.5</v>
      </c>
      <c r="G239" s="6" t="s">
        <v>36</v>
      </c>
      <c r="H239" s="6" t="s">
        <v>25</v>
      </c>
      <c r="I239" s="6" t="s">
        <v>20</v>
      </c>
      <c r="J239" s="6" t="s">
        <v>21</v>
      </c>
    </row>
    <row r="240" spans="1:10">
      <c r="A240" s="3" t="s">
        <v>30</v>
      </c>
      <c r="B240" s="4" t="s">
        <v>11</v>
      </c>
      <c r="C240" s="4">
        <v>445000</v>
      </c>
      <c r="D240" s="4">
        <v>1320</v>
      </c>
      <c r="E240" s="4">
        <v>2024</v>
      </c>
      <c r="F240" s="4">
        <v>5.3</v>
      </c>
      <c r="G240" s="4" t="s">
        <v>38</v>
      </c>
      <c r="H240" s="4" t="s">
        <v>13</v>
      </c>
      <c r="I240" s="4" t="s">
        <v>14</v>
      </c>
      <c r="J240" s="4" t="s">
        <v>15</v>
      </c>
    </row>
    <row r="241" spans="1:10">
      <c r="A241" s="5" t="s">
        <v>32</v>
      </c>
      <c r="B241" s="6" t="s">
        <v>23</v>
      </c>
      <c r="C241" s="6">
        <v>315000</v>
      </c>
      <c r="D241" s="6">
        <v>2120</v>
      </c>
      <c r="E241" s="6">
        <v>2023</v>
      </c>
      <c r="F241" s="6">
        <v>6.4</v>
      </c>
      <c r="G241" s="6" t="s">
        <v>24</v>
      </c>
      <c r="H241" s="6" t="s">
        <v>19</v>
      </c>
      <c r="I241" s="6" t="s">
        <v>20</v>
      </c>
      <c r="J241" s="6" t="s">
        <v>21</v>
      </c>
    </row>
    <row r="242" spans="1:10">
      <c r="A242" s="3" t="s">
        <v>33</v>
      </c>
      <c r="B242" s="4" t="s">
        <v>27</v>
      </c>
      <c r="C242" s="4">
        <v>400000</v>
      </c>
      <c r="D242" s="4">
        <v>1980</v>
      </c>
      <c r="E242" s="4">
        <v>2024</v>
      </c>
      <c r="F242" s="4">
        <v>5.2</v>
      </c>
      <c r="G242" s="4" t="s">
        <v>28</v>
      </c>
      <c r="H242" s="4" t="s">
        <v>13</v>
      </c>
      <c r="I242" s="4" t="s">
        <v>20</v>
      </c>
      <c r="J242" s="4" t="s">
        <v>29</v>
      </c>
    </row>
    <row r="243" spans="1:10">
      <c r="A243" s="5" t="s">
        <v>35</v>
      </c>
      <c r="B243" s="6" t="s">
        <v>17</v>
      </c>
      <c r="C243" s="6">
        <v>190000</v>
      </c>
      <c r="D243" s="6">
        <v>2280</v>
      </c>
      <c r="E243" s="6">
        <v>2024</v>
      </c>
      <c r="F243" s="6">
        <v>5.4</v>
      </c>
      <c r="G243" s="6" t="s">
        <v>31</v>
      </c>
      <c r="H243" s="6" t="s">
        <v>25</v>
      </c>
      <c r="I243" s="6" t="s">
        <v>20</v>
      </c>
      <c r="J243" s="6" t="s">
        <v>21</v>
      </c>
    </row>
    <row r="244" spans="1:10">
      <c r="A244" s="3" t="s">
        <v>37</v>
      </c>
      <c r="B244" s="4" t="s">
        <v>11</v>
      </c>
      <c r="C244" s="4">
        <v>555000</v>
      </c>
      <c r="D244" s="4">
        <v>1680</v>
      </c>
      <c r="E244" s="4">
        <v>2024</v>
      </c>
      <c r="F244" s="4">
        <v>5.0999999999999996</v>
      </c>
      <c r="G244" s="4" t="s">
        <v>41</v>
      </c>
      <c r="H244" s="4" t="s">
        <v>13</v>
      </c>
      <c r="I244" s="4" t="s">
        <v>14</v>
      </c>
      <c r="J244" s="4" t="s">
        <v>15</v>
      </c>
    </row>
    <row r="245" spans="1:10">
      <c r="A245" s="5" t="s">
        <v>10</v>
      </c>
      <c r="B245" s="6" t="s">
        <v>17</v>
      </c>
      <c r="C245" s="6">
        <v>475000</v>
      </c>
      <c r="D245" s="6">
        <v>2820</v>
      </c>
      <c r="E245" s="6">
        <v>2023</v>
      </c>
      <c r="F245" s="6">
        <v>6</v>
      </c>
      <c r="G245" s="6" t="s">
        <v>24</v>
      </c>
      <c r="H245" s="6" t="s">
        <v>19</v>
      </c>
      <c r="I245" s="6" t="s">
        <v>20</v>
      </c>
      <c r="J245" s="6" t="s">
        <v>21</v>
      </c>
    </row>
    <row r="246" spans="1:10">
      <c r="A246" s="3" t="s">
        <v>16</v>
      </c>
      <c r="B246" s="4" t="s">
        <v>27</v>
      </c>
      <c r="C246" s="4">
        <v>460000</v>
      </c>
      <c r="D246" s="4">
        <v>2280</v>
      </c>
      <c r="E246" s="4">
        <v>2024</v>
      </c>
      <c r="F246" s="4">
        <v>5.3</v>
      </c>
      <c r="G246" s="4" t="s">
        <v>28</v>
      </c>
      <c r="H246" s="4" t="s">
        <v>13</v>
      </c>
      <c r="I246" s="4" t="s">
        <v>20</v>
      </c>
      <c r="J246" s="4" t="s">
        <v>29</v>
      </c>
    </row>
    <row r="247" spans="1:10">
      <c r="A247" s="5" t="s">
        <v>22</v>
      </c>
      <c r="B247" s="6" t="s">
        <v>23</v>
      </c>
      <c r="C247" s="6">
        <v>280000</v>
      </c>
      <c r="D247" s="6">
        <v>2400</v>
      </c>
      <c r="E247" s="6">
        <v>2024</v>
      </c>
      <c r="F247" s="6">
        <v>5.4</v>
      </c>
      <c r="G247" s="6" t="s">
        <v>24</v>
      </c>
      <c r="H247" s="6" t="s">
        <v>25</v>
      </c>
      <c r="I247" s="6" t="s">
        <v>20</v>
      </c>
      <c r="J247" s="6" t="s">
        <v>21</v>
      </c>
    </row>
    <row r="248" spans="1:10">
      <c r="A248" s="3" t="s">
        <v>26</v>
      </c>
      <c r="B248" s="4" t="s">
        <v>11</v>
      </c>
      <c r="C248" s="4">
        <v>405000</v>
      </c>
      <c r="D248" s="4">
        <v>1520</v>
      </c>
      <c r="E248" s="4">
        <v>2023</v>
      </c>
      <c r="F248" s="4">
        <v>6.2</v>
      </c>
      <c r="G248" s="4" t="s">
        <v>41</v>
      </c>
      <c r="H248" s="4" t="s">
        <v>13</v>
      </c>
      <c r="I248" s="4" t="s">
        <v>14</v>
      </c>
      <c r="J248" s="4" t="s">
        <v>15</v>
      </c>
    </row>
    <row r="249" spans="1:10">
      <c r="A249" s="5" t="s">
        <v>30</v>
      </c>
      <c r="B249" s="6" t="s">
        <v>17</v>
      </c>
      <c r="C249" s="6">
        <v>240000</v>
      </c>
      <c r="D249" s="6">
        <v>2350</v>
      </c>
      <c r="E249" s="6">
        <v>2024</v>
      </c>
      <c r="F249" s="6">
        <v>5.4</v>
      </c>
      <c r="G249" s="6" t="s">
        <v>31</v>
      </c>
      <c r="H249" s="6" t="s">
        <v>25</v>
      </c>
      <c r="I249" s="6" t="s">
        <v>20</v>
      </c>
      <c r="J249" s="6" t="s">
        <v>21</v>
      </c>
    </row>
    <row r="250" spans="1:10">
      <c r="A250" s="3" t="s">
        <v>32</v>
      </c>
      <c r="B250" s="4" t="s">
        <v>11</v>
      </c>
      <c r="C250" s="4">
        <v>475000</v>
      </c>
      <c r="D250" s="4">
        <v>1480</v>
      </c>
      <c r="E250" s="4">
        <v>2023</v>
      </c>
      <c r="F250" s="4">
        <v>6.2</v>
      </c>
      <c r="G250" s="4" t="s">
        <v>41</v>
      </c>
      <c r="H250" s="4" t="s">
        <v>13</v>
      </c>
      <c r="I250" s="4" t="s">
        <v>14</v>
      </c>
      <c r="J250" s="4" t="s">
        <v>15</v>
      </c>
    </row>
    <row r="251" spans="1:10">
      <c r="A251" s="5" t="s">
        <v>33</v>
      </c>
      <c r="B251" s="6" t="s">
        <v>23</v>
      </c>
      <c r="C251" s="6">
        <v>355000</v>
      </c>
      <c r="D251" s="6">
        <v>2180</v>
      </c>
      <c r="E251" s="6">
        <v>2024</v>
      </c>
      <c r="F251" s="6">
        <v>5.3</v>
      </c>
      <c r="G251" s="6" t="s">
        <v>24</v>
      </c>
      <c r="H251" s="6" t="s">
        <v>19</v>
      </c>
      <c r="I251" s="6" t="s">
        <v>20</v>
      </c>
      <c r="J251" s="6" t="s">
        <v>21</v>
      </c>
    </row>
    <row r="252" spans="1:10">
      <c r="A252" s="3" t="s">
        <v>35</v>
      </c>
      <c r="B252" s="4" t="s">
        <v>27</v>
      </c>
      <c r="C252" s="4">
        <v>290000</v>
      </c>
      <c r="D252" s="4">
        <v>1720</v>
      </c>
      <c r="E252" s="4">
        <v>2023</v>
      </c>
      <c r="F252" s="4">
        <v>6.5</v>
      </c>
      <c r="G252" s="4" t="s">
        <v>18</v>
      </c>
      <c r="H252" s="4" t="s">
        <v>19</v>
      </c>
      <c r="I252" s="4" t="s">
        <v>20</v>
      </c>
      <c r="J252" s="4" t="s">
        <v>29</v>
      </c>
    </row>
    <row r="253" spans="1:10">
      <c r="A253" s="5" t="s">
        <v>37</v>
      </c>
      <c r="B253" s="6" t="s">
        <v>17</v>
      </c>
      <c r="C253" s="6">
        <v>305000</v>
      </c>
      <c r="D253" s="6">
        <v>2620</v>
      </c>
      <c r="E253" s="6">
        <v>2023</v>
      </c>
      <c r="F253" s="6">
        <v>6</v>
      </c>
      <c r="G253" s="6" t="s">
        <v>24</v>
      </c>
      <c r="H253" s="6" t="s">
        <v>19</v>
      </c>
      <c r="I253" s="6" t="s">
        <v>20</v>
      </c>
      <c r="J253" s="6" t="s">
        <v>21</v>
      </c>
    </row>
    <row r="254" spans="1:10">
      <c r="A254" s="3" t="s">
        <v>10</v>
      </c>
      <c r="B254" s="4" t="s">
        <v>23</v>
      </c>
      <c r="C254" s="4">
        <v>585000</v>
      </c>
      <c r="D254" s="4">
        <v>2460</v>
      </c>
      <c r="E254" s="4">
        <v>2023</v>
      </c>
      <c r="F254" s="4">
        <v>6.1</v>
      </c>
      <c r="G254" s="4" t="s">
        <v>28</v>
      </c>
      <c r="H254" s="4" t="s">
        <v>13</v>
      </c>
      <c r="I254" s="4" t="s">
        <v>20</v>
      </c>
      <c r="J254" s="4" t="s">
        <v>29</v>
      </c>
    </row>
    <row r="255" spans="1:10">
      <c r="A255" s="5" t="s">
        <v>16</v>
      </c>
      <c r="B255" s="6" t="s">
        <v>11</v>
      </c>
      <c r="C255" s="6">
        <v>610000</v>
      </c>
      <c r="D255" s="6">
        <v>1800</v>
      </c>
      <c r="E255" s="6">
        <v>2023</v>
      </c>
      <c r="F255" s="6">
        <v>6</v>
      </c>
      <c r="G255" s="6" t="s">
        <v>38</v>
      </c>
      <c r="H255" s="6" t="s">
        <v>43</v>
      </c>
      <c r="I255" s="6" t="s">
        <v>14</v>
      </c>
      <c r="J255" s="6" t="s">
        <v>15</v>
      </c>
    </row>
    <row r="256" spans="1:10">
      <c r="A256" s="3" t="s">
        <v>22</v>
      </c>
      <c r="B256" s="4" t="s">
        <v>17</v>
      </c>
      <c r="C256" s="4">
        <v>235000</v>
      </c>
      <c r="D256" s="4">
        <v>2680</v>
      </c>
      <c r="E256" s="4">
        <v>2024</v>
      </c>
      <c r="F256" s="4">
        <v>5.4</v>
      </c>
      <c r="G256" s="4" t="s">
        <v>36</v>
      </c>
      <c r="H256" s="4" t="s">
        <v>25</v>
      </c>
      <c r="I256" s="4" t="s">
        <v>20</v>
      </c>
      <c r="J256" s="4" t="s">
        <v>21</v>
      </c>
    </row>
    <row r="257" spans="1:10">
      <c r="A257" s="5" t="s">
        <v>26</v>
      </c>
      <c r="B257" s="6" t="s">
        <v>27</v>
      </c>
      <c r="C257" s="6">
        <v>330000</v>
      </c>
      <c r="D257" s="6">
        <v>2050</v>
      </c>
      <c r="E257" s="6">
        <v>2024</v>
      </c>
      <c r="F257" s="6">
        <v>5.5</v>
      </c>
      <c r="G257" s="6" t="s">
        <v>18</v>
      </c>
      <c r="H257" s="6" t="s">
        <v>19</v>
      </c>
      <c r="I257" s="6" t="s">
        <v>20</v>
      </c>
      <c r="J257" s="6" t="s">
        <v>29</v>
      </c>
    </row>
    <row r="258" spans="1:10">
      <c r="A258" s="3" t="s">
        <v>30</v>
      </c>
      <c r="B258" s="4" t="s">
        <v>23</v>
      </c>
      <c r="C258" s="4">
        <v>310000</v>
      </c>
      <c r="D258" s="4">
        <v>2100</v>
      </c>
      <c r="E258" s="4">
        <v>2024</v>
      </c>
      <c r="F258" s="4">
        <v>5.4</v>
      </c>
      <c r="G258" s="4" t="s">
        <v>24</v>
      </c>
      <c r="H258" s="4" t="s">
        <v>19</v>
      </c>
      <c r="I258" s="4" t="s">
        <v>20</v>
      </c>
      <c r="J258" s="4" t="s">
        <v>21</v>
      </c>
    </row>
    <row r="259" spans="1:10">
      <c r="A259" s="5" t="s">
        <v>32</v>
      </c>
      <c r="B259" s="6" t="s">
        <v>17</v>
      </c>
      <c r="C259" s="6">
        <v>255000</v>
      </c>
      <c r="D259" s="6">
        <v>2360</v>
      </c>
      <c r="E259" s="6">
        <v>2023</v>
      </c>
      <c r="F259" s="6">
        <v>6.3</v>
      </c>
      <c r="G259" s="6" t="s">
        <v>40</v>
      </c>
      <c r="H259" s="6" t="s">
        <v>25</v>
      </c>
      <c r="I259" s="6" t="s">
        <v>20</v>
      </c>
      <c r="J259" s="6" t="s">
        <v>21</v>
      </c>
    </row>
    <row r="260" spans="1:10">
      <c r="A260" s="3" t="s">
        <v>33</v>
      </c>
      <c r="B260" s="4" t="s">
        <v>11</v>
      </c>
      <c r="C260" s="4">
        <v>520000</v>
      </c>
      <c r="D260" s="4">
        <v>1580</v>
      </c>
      <c r="E260" s="4">
        <v>2024</v>
      </c>
      <c r="F260" s="4">
        <v>5.0999999999999996</v>
      </c>
      <c r="G260" s="4" t="s">
        <v>41</v>
      </c>
      <c r="H260" s="4" t="s">
        <v>13</v>
      </c>
      <c r="I260" s="4" t="s">
        <v>14</v>
      </c>
      <c r="J260" s="4" t="s">
        <v>15</v>
      </c>
    </row>
    <row r="261" spans="1:10">
      <c r="A261" s="5" t="s">
        <v>35</v>
      </c>
      <c r="B261" s="6" t="s">
        <v>23</v>
      </c>
      <c r="C261" s="6">
        <v>240000</v>
      </c>
      <c r="D261" s="6">
        <v>2000</v>
      </c>
      <c r="E261" s="6">
        <v>2023</v>
      </c>
      <c r="F261" s="6">
        <v>6.6</v>
      </c>
      <c r="G261" s="6" t="s">
        <v>42</v>
      </c>
      <c r="H261" s="6" t="s">
        <v>25</v>
      </c>
      <c r="I261" s="6" t="s">
        <v>20</v>
      </c>
      <c r="J261" s="6" t="s">
        <v>21</v>
      </c>
    </row>
    <row r="262" spans="1:10">
      <c r="A262" s="3" t="s">
        <v>37</v>
      </c>
      <c r="B262" s="4" t="s">
        <v>27</v>
      </c>
      <c r="C262" s="4">
        <v>440000</v>
      </c>
      <c r="D262" s="4">
        <v>2100</v>
      </c>
      <c r="E262" s="4">
        <v>2024</v>
      </c>
      <c r="F262" s="4">
        <v>5.2</v>
      </c>
      <c r="G262" s="4" t="s">
        <v>28</v>
      </c>
      <c r="H262" s="4" t="s">
        <v>13</v>
      </c>
      <c r="I262" s="4" t="s">
        <v>20</v>
      </c>
      <c r="J262" s="4" t="s">
        <v>29</v>
      </c>
    </row>
    <row r="263" spans="1:10">
      <c r="A263" s="5" t="s">
        <v>10</v>
      </c>
      <c r="B263" s="6" t="s">
        <v>11</v>
      </c>
      <c r="C263" s="6">
        <v>845000</v>
      </c>
      <c r="D263" s="6">
        <v>1780</v>
      </c>
      <c r="E263" s="6">
        <v>2024</v>
      </c>
      <c r="F263" s="6">
        <v>5</v>
      </c>
      <c r="G263" s="6" t="s">
        <v>41</v>
      </c>
      <c r="H263" s="6" t="s">
        <v>43</v>
      </c>
      <c r="I263" s="6" t="s">
        <v>14</v>
      </c>
      <c r="J263" s="6" t="s">
        <v>15</v>
      </c>
    </row>
    <row r="264" spans="1:10">
      <c r="A264" s="3" t="s">
        <v>16</v>
      </c>
      <c r="B264" s="4" t="s">
        <v>17</v>
      </c>
      <c r="C264" s="4">
        <v>325000</v>
      </c>
      <c r="D264" s="4">
        <v>2450</v>
      </c>
      <c r="E264" s="4">
        <v>2023</v>
      </c>
      <c r="F264" s="4">
        <v>6</v>
      </c>
      <c r="G264" s="4" t="s">
        <v>18</v>
      </c>
      <c r="H264" s="4" t="s">
        <v>19</v>
      </c>
      <c r="I264" s="4" t="s">
        <v>20</v>
      </c>
      <c r="J264" s="4" t="s">
        <v>21</v>
      </c>
    </row>
    <row r="265" spans="1:10">
      <c r="A265" s="5" t="s">
        <v>22</v>
      </c>
      <c r="B265" s="6" t="s">
        <v>27</v>
      </c>
      <c r="C265" s="6">
        <v>340000</v>
      </c>
      <c r="D265" s="6">
        <v>2150</v>
      </c>
      <c r="E265" s="6">
        <v>2024</v>
      </c>
      <c r="F265" s="6">
        <v>5.4</v>
      </c>
      <c r="G265" s="6" t="s">
        <v>39</v>
      </c>
      <c r="H265" s="6" t="s">
        <v>19</v>
      </c>
      <c r="I265" s="6" t="s">
        <v>20</v>
      </c>
      <c r="J265" s="6" t="s">
        <v>29</v>
      </c>
    </row>
    <row r="266" spans="1:10">
      <c r="A266" s="3" t="s">
        <v>26</v>
      </c>
      <c r="B266" s="4" t="s">
        <v>17</v>
      </c>
      <c r="C266" s="4">
        <v>220000</v>
      </c>
      <c r="D266" s="4">
        <v>2550</v>
      </c>
      <c r="E266" s="4">
        <v>2024</v>
      </c>
      <c r="F266" s="4">
        <v>5.4</v>
      </c>
      <c r="G266" s="4" t="s">
        <v>36</v>
      </c>
      <c r="H266" s="4" t="s">
        <v>25</v>
      </c>
      <c r="I266" s="4" t="s">
        <v>20</v>
      </c>
      <c r="J266" s="4" t="s">
        <v>21</v>
      </c>
    </row>
    <row r="267" spans="1:10">
      <c r="A267" s="5" t="s">
        <v>30</v>
      </c>
      <c r="B267" s="6" t="s">
        <v>11</v>
      </c>
      <c r="C267" s="6">
        <v>450000</v>
      </c>
      <c r="D267" s="6">
        <v>1350</v>
      </c>
      <c r="E267" s="6">
        <v>2023</v>
      </c>
      <c r="F267" s="6">
        <v>6.2</v>
      </c>
      <c r="G267" s="6" t="s">
        <v>38</v>
      </c>
      <c r="H267" s="6" t="s">
        <v>13</v>
      </c>
      <c r="I267" s="6" t="s">
        <v>14</v>
      </c>
      <c r="J267" s="6" t="s">
        <v>15</v>
      </c>
    </row>
    <row r="268" spans="1:10">
      <c r="A268" s="3" t="s">
        <v>32</v>
      </c>
      <c r="B268" s="4" t="s">
        <v>23</v>
      </c>
      <c r="C268" s="4">
        <v>320000</v>
      </c>
      <c r="D268" s="4">
        <v>2140</v>
      </c>
      <c r="E268" s="4">
        <v>2024</v>
      </c>
      <c r="F268" s="4">
        <v>5.5</v>
      </c>
      <c r="G268" s="4" t="s">
        <v>24</v>
      </c>
      <c r="H268" s="4" t="s">
        <v>19</v>
      </c>
      <c r="I268" s="4" t="s">
        <v>20</v>
      </c>
      <c r="J268" s="4" t="s">
        <v>21</v>
      </c>
    </row>
    <row r="269" spans="1:10">
      <c r="A269" s="5" t="s">
        <v>33</v>
      </c>
      <c r="B269" s="6" t="s">
        <v>27</v>
      </c>
      <c r="C269" s="6">
        <v>405000</v>
      </c>
      <c r="D269" s="6">
        <v>2000</v>
      </c>
      <c r="E269" s="6">
        <v>2023</v>
      </c>
      <c r="F269" s="6">
        <v>6.1</v>
      </c>
      <c r="G269" s="6" t="s">
        <v>28</v>
      </c>
      <c r="H269" s="6" t="s">
        <v>13</v>
      </c>
      <c r="I269" s="6" t="s">
        <v>20</v>
      </c>
      <c r="J269" s="6" t="s">
        <v>29</v>
      </c>
    </row>
    <row r="270" spans="1:10">
      <c r="A270" s="3" t="s">
        <v>35</v>
      </c>
      <c r="B270" s="4" t="s">
        <v>17</v>
      </c>
      <c r="C270" s="4">
        <v>195000</v>
      </c>
      <c r="D270" s="4">
        <v>2300</v>
      </c>
      <c r="E270" s="4">
        <v>2023</v>
      </c>
      <c r="F270" s="4">
        <v>6.4</v>
      </c>
      <c r="G270" s="4" t="s">
        <v>31</v>
      </c>
      <c r="H270" s="4" t="s">
        <v>25</v>
      </c>
      <c r="I270" s="4" t="s">
        <v>20</v>
      </c>
      <c r="J270" s="4" t="s">
        <v>21</v>
      </c>
    </row>
    <row r="271" spans="1:10">
      <c r="A271" s="5" t="s">
        <v>37</v>
      </c>
      <c r="B271" s="6" t="s">
        <v>11</v>
      </c>
      <c r="C271" s="6">
        <v>560000</v>
      </c>
      <c r="D271" s="6">
        <v>1700</v>
      </c>
      <c r="E271" s="6">
        <v>2024</v>
      </c>
      <c r="F271" s="6">
        <v>5.0999999999999996</v>
      </c>
      <c r="G271" s="6" t="s">
        <v>41</v>
      </c>
      <c r="H271" s="6" t="s">
        <v>13</v>
      </c>
      <c r="I271" s="6" t="s">
        <v>14</v>
      </c>
      <c r="J271" s="6" t="s">
        <v>15</v>
      </c>
    </row>
    <row r="272" spans="1:10">
      <c r="A272" s="3" t="s">
        <v>10</v>
      </c>
      <c r="B272" s="4" t="s">
        <v>11</v>
      </c>
      <c r="C272" s="4">
        <v>860000</v>
      </c>
      <c r="D272" s="4">
        <v>1820</v>
      </c>
      <c r="E272" s="4">
        <v>2024</v>
      </c>
      <c r="F272" s="4">
        <v>5</v>
      </c>
      <c r="G272" s="4" t="s">
        <v>41</v>
      </c>
      <c r="H272" s="4" t="s">
        <v>43</v>
      </c>
      <c r="I272" s="4" t="s">
        <v>14</v>
      </c>
      <c r="J272" s="4" t="s">
        <v>15</v>
      </c>
    </row>
    <row r="273" spans="1:10">
      <c r="A273" s="5" t="s">
        <v>16</v>
      </c>
      <c r="B273" s="6" t="s">
        <v>17</v>
      </c>
      <c r="C273" s="6">
        <v>330000</v>
      </c>
      <c r="D273" s="6">
        <v>2500</v>
      </c>
      <c r="E273" s="6">
        <v>2024</v>
      </c>
      <c r="F273" s="6">
        <v>5.2</v>
      </c>
      <c r="G273" s="6" t="s">
        <v>18</v>
      </c>
      <c r="H273" s="6" t="s">
        <v>19</v>
      </c>
      <c r="I273" s="6" t="s">
        <v>20</v>
      </c>
      <c r="J273" s="6" t="s">
        <v>21</v>
      </c>
    </row>
    <row r="274" spans="1:10">
      <c r="A274" s="3" t="s">
        <v>22</v>
      </c>
      <c r="B274" s="4" t="s">
        <v>23</v>
      </c>
      <c r="C274" s="4">
        <v>290000</v>
      </c>
      <c r="D274" s="4">
        <v>2480</v>
      </c>
      <c r="E274" s="4">
        <v>2023</v>
      </c>
      <c r="F274" s="4">
        <v>6.3</v>
      </c>
      <c r="G274" s="4" t="s">
        <v>24</v>
      </c>
      <c r="H274" s="4" t="s">
        <v>25</v>
      </c>
      <c r="I274" s="4" t="s">
        <v>20</v>
      </c>
      <c r="J274" s="4" t="s">
        <v>21</v>
      </c>
    </row>
    <row r="275" spans="1:10">
      <c r="A275" s="5" t="s">
        <v>26</v>
      </c>
      <c r="B275" s="6" t="s">
        <v>27</v>
      </c>
      <c r="C275" s="6">
        <v>340000</v>
      </c>
      <c r="D275" s="6">
        <v>2100</v>
      </c>
      <c r="E275" s="6">
        <v>2024</v>
      </c>
      <c r="F275" s="6">
        <v>5.4</v>
      </c>
      <c r="G275" s="6" t="s">
        <v>28</v>
      </c>
      <c r="H275" s="6" t="s">
        <v>19</v>
      </c>
      <c r="I275" s="6" t="s">
        <v>20</v>
      </c>
      <c r="J275" s="6" t="s">
        <v>29</v>
      </c>
    </row>
    <row r="276" spans="1:10">
      <c r="A276" s="3" t="s">
        <v>30</v>
      </c>
      <c r="B276" s="4" t="s">
        <v>17</v>
      </c>
      <c r="C276" s="4">
        <v>250000</v>
      </c>
      <c r="D276" s="4">
        <v>2400</v>
      </c>
      <c r="E276" s="4">
        <v>2023</v>
      </c>
      <c r="F276" s="4">
        <v>6.5</v>
      </c>
      <c r="G276" s="4" t="s">
        <v>31</v>
      </c>
      <c r="H276" s="4" t="s">
        <v>25</v>
      </c>
      <c r="I276" s="4" t="s">
        <v>20</v>
      </c>
      <c r="J276" s="4" t="s">
        <v>21</v>
      </c>
    </row>
    <row r="277" spans="1:10">
      <c r="A277" s="5" t="s">
        <v>32</v>
      </c>
      <c r="B277" s="6" t="s">
        <v>11</v>
      </c>
      <c r="C277" s="6">
        <v>490000</v>
      </c>
      <c r="D277" s="6">
        <v>1550</v>
      </c>
      <c r="E277" s="6">
        <v>2024</v>
      </c>
      <c r="F277" s="6">
        <v>5.2</v>
      </c>
      <c r="G277" s="6" t="s">
        <v>41</v>
      </c>
      <c r="H277" s="6" t="s">
        <v>13</v>
      </c>
      <c r="I277" s="6" t="s">
        <v>14</v>
      </c>
      <c r="J277" s="6" t="s">
        <v>15</v>
      </c>
    </row>
    <row r="278" spans="1:10">
      <c r="A278" s="3" t="s">
        <v>33</v>
      </c>
      <c r="B278" s="4" t="s">
        <v>23</v>
      </c>
      <c r="C278" s="4">
        <v>360000</v>
      </c>
      <c r="D278" s="4">
        <v>2250</v>
      </c>
      <c r="E278" s="4">
        <v>2024</v>
      </c>
      <c r="F278" s="4">
        <v>5.3</v>
      </c>
      <c r="G278" s="8">
        <v>10</v>
      </c>
      <c r="H278" s="4" t="s">
        <v>19</v>
      </c>
      <c r="I278" s="4" t="s">
        <v>20</v>
      </c>
      <c r="J278" s="4" t="s">
        <v>21</v>
      </c>
    </row>
    <row r="279" spans="1:10">
      <c r="A279" s="5" t="s">
        <v>35</v>
      </c>
      <c r="B279" s="6" t="s">
        <v>17</v>
      </c>
      <c r="C279" s="6">
        <v>200000</v>
      </c>
      <c r="D279" s="6">
        <v>2350</v>
      </c>
      <c r="E279" s="6">
        <v>2023</v>
      </c>
      <c r="F279" s="6">
        <v>6.4</v>
      </c>
      <c r="G279" s="6" t="s">
        <v>36</v>
      </c>
      <c r="H279" s="6" t="s">
        <v>25</v>
      </c>
      <c r="I279" s="6" t="s">
        <v>20</v>
      </c>
      <c r="J279" s="6" t="s">
        <v>21</v>
      </c>
    </row>
    <row r="280" spans="1:10">
      <c r="A280" s="3" t="s">
        <v>37</v>
      </c>
      <c r="B280" s="4" t="s">
        <v>11</v>
      </c>
      <c r="C280" s="4">
        <v>570000</v>
      </c>
      <c r="D280" s="4">
        <v>1750</v>
      </c>
      <c r="E280" s="4">
        <v>2024</v>
      </c>
      <c r="F280" s="4">
        <v>5.0999999999999996</v>
      </c>
      <c r="G280" s="4" t="s">
        <v>38</v>
      </c>
      <c r="H280" s="4" t="s">
        <v>13</v>
      </c>
      <c r="I280" s="4" t="s">
        <v>14</v>
      </c>
      <c r="J280" s="4" t="s">
        <v>29</v>
      </c>
    </row>
    <row r="281" spans="1:10">
      <c r="A281" s="5" t="s">
        <v>10</v>
      </c>
      <c r="B281" s="6" t="s">
        <v>17</v>
      </c>
      <c r="C281" s="6">
        <v>490000</v>
      </c>
      <c r="D281" s="6">
        <v>2900</v>
      </c>
      <c r="E281" s="6">
        <v>2024</v>
      </c>
      <c r="F281" s="6">
        <v>5</v>
      </c>
      <c r="G281" s="6" t="s">
        <v>18</v>
      </c>
      <c r="H281" s="6" t="s">
        <v>19</v>
      </c>
      <c r="I281" s="6" t="s">
        <v>20</v>
      </c>
      <c r="J281" s="6" t="s">
        <v>21</v>
      </c>
    </row>
    <row r="282" spans="1:10">
      <c r="A282" s="3" t="s">
        <v>16</v>
      </c>
      <c r="B282" s="4" t="s">
        <v>27</v>
      </c>
      <c r="C282" s="4">
        <v>470000</v>
      </c>
      <c r="D282" s="4">
        <v>2350</v>
      </c>
      <c r="E282" s="4">
        <v>2023</v>
      </c>
      <c r="F282" s="4">
        <v>6</v>
      </c>
      <c r="G282" s="4" t="s">
        <v>28</v>
      </c>
      <c r="H282" s="4" t="s">
        <v>13</v>
      </c>
      <c r="I282" s="4" t="s">
        <v>20</v>
      </c>
      <c r="J282" s="4" t="s">
        <v>29</v>
      </c>
    </row>
    <row r="283" spans="1:10">
      <c r="A283" s="5" t="s">
        <v>22</v>
      </c>
      <c r="B283" s="6" t="s">
        <v>11</v>
      </c>
      <c r="C283" s="6">
        <v>420000</v>
      </c>
      <c r="D283" s="6">
        <v>1600</v>
      </c>
      <c r="E283" s="6">
        <v>2024</v>
      </c>
      <c r="F283" s="6">
        <v>5.3</v>
      </c>
      <c r="G283" s="6" t="s">
        <v>12</v>
      </c>
      <c r="H283" s="6" t="s">
        <v>19</v>
      </c>
      <c r="I283" s="6" t="s">
        <v>14</v>
      </c>
      <c r="J283" s="6" t="s">
        <v>15</v>
      </c>
    </row>
    <row r="284" spans="1:10">
      <c r="A284" s="3" t="s">
        <v>26</v>
      </c>
      <c r="B284" s="4" t="s">
        <v>23</v>
      </c>
      <c r="C284" s="4">
        <v>270000</v>
      </c>
      <c r="D284" s="4">
        <v>2450</v>
      </c>
      <c r="E284" s="4">
        <v>2023</v>
      </c>
      <c r="F284" s="4">
        <v>6.5</v>
      </c>
      <c r="G284" s="4" t="s">
        <v>24</v>
      </c>
      <c r="H284" s="4" t="s">
        <v>25</v>
      </c>
      <c r="I284" s="4" t="s">
        <v>20</v>
      </c>
      <c r="J284" s="4" t="s">
        <v>21</v>
      </c>
    </row>
    <row r="285" spans="1:10">
      <c r="A285" s="5" t="s">
        <v>30</v>
      </c>
      <c r="B285" s="6" t="s">
        <v>27</v>
      </c>
      <c r="C285" s="6">
        <v>360000</v>
      </c>
      <c r="D285" s="6">
        <v>1850</v>
      </c>
      <c r="E285" s="6">
        <v>2024</v>
      </c>
      <c r="F285" s="6">
        <v>5.4</v>
      </c>
      <c r="G285" s="6" t="s">
        <v>39</v>
      </c>
      <c r="H285" s="6" t="s">
        <v>19</v>
      </c>
      <c r="I285" s="6" t="s">
        <v>20</v>
      </c>
      <c r="J285" s="6" t="s">
        <v>29</v>
      </c>
    </row>
    <row r="286" spans="1:10">
      <c r="A286" s="3" t="s">
        <v>32</v>
      </c>
      <c r="B286" s="4" t="s">
        <v>17</v>
      </c>
      <c r="C286" s="4">
        <v>260000</v>
      </c>
      <c r="D286" s="4">
        <v>2450</v>
      </c>
      <c r="E286" s="4">
        <v>2024</v>
      </c>
      <c r="F286" s="4">
        <v>5.3</v>
      </c>
      <c r="G286" s="4" t="s">
        <v>40</v>
      </c>
      <c r="H286" s="4" t="s">
        <v>25</v>
      </c>
      <c r="I286" s="4" t="s">
        <v>20</v>
      </c>
      <c r="J286" s="4" t="s">
        <v>21</v>
      </c>
    </row>
    <row r="287" spans="1:10">
      <c r="A287" s="5" t="s">
        <v>33</v>
      </c>
      <c r="B287" s="6" t="s">
        <v>11</v>
      </c>
      <c r="C287" s="6">
        <v>530000</v>
      </c>
      <c r="D287" s="6">
        <v>1650</v>
      </c>
      <c r="E287" s="6">
        <v>2023</v>
      </c>
      <c r="F287" s="6">
        <v>6</v>
      </c>
      <c r="G287" s="6" t="s">
        <v>41</v>
      </c>
      <c r="H287" s="6" t="s">
        <v>13</v>
      </c>
      <c r="I287" s="6" t="s">
        <v>14</v>
      </c>
      <c r="J287" s="6" t="s">
        <v>15</v>
      </c>
    </row>
    <row r="288" spans="1:10">
      <c r="A288" s="3" t="s">
        <v>35</v>
      </c>
      <c r="B288" s="4" t="s">
        <v>23</v>
      </c>
      <c r="C288" s="4">
        <v>250000</v>
      </c>
      <c r="D288" s="4">
        <v>2100</v>
      </c>
      <c r="E288" s="4">
        <v>2024</v>
      </c>
      <c r="F288" s="4">
        <v>5.3</v>
      </c>
      <c r="G288" s="4" t="s">
        <v>42</v>
      </c>
      <c r="H288" s="4" t="s">
        <v>25</v>
      </c>
      <c r="I288" s="4" t="s">
        <v>20</v>
      </c>
      <c r="J288" s="4" t="s">
        <v>21</v>
      </c>
    </row>
    <row r="289" spans="1:10">
      <c r="A289" s="5" t="s">
        <v>37</v>
      </c>
      <c r="B289" s="6" t="s">
        <v>17</v>
      </c>
      <c r="C289" s="6">
        <v>315000</v>
      </c>
      <c r="D289" s="6">
        <v>2700</v>
      </c>
      <c r="E289" s="6">
        <v>2024</v>
      </c>
      <c r="F289" s="6">
        <v>5.2</v>
      </c>
      <c r="G289" s="6" t="s">
        <v>24</v>
      </c>
      <c r="H289" s="6" t="s">
        <v>19</v>
      </c>
      <c r="I289" s="6" t="s">
        <v>20</v>
      </c>
      <c r="J289" s="6" t="s">
        <v>21</v>
      </c>
    </row>
    <row r="290" spans="1:10">
      <c r="A290" s="3" t="s">
        <v>10</v>
      </c>
      <c r="B290" s="4" t="s">
        <v>23</v>
      </c>
      <c r="C290" s="4">
        <v>600000</v>
      </c>
      <c r="D290" s="4">
        <v>2550</v>
      </c>
      <c r="E290" s="4">
        <v>2023</v>
      </c>
      <c r="F290" s="4">
        <v>6.1</v>
      </c>
      <c r="G290" s="4" t="s">
        <v>28</v>
      </c>
      <c r="H290" s="4" t="s">
        <v>13</v>
      </c>
      <c r="I290" s="4" t="s">
        <v>20</v>
      </c>
      <c r="J290" s="4" t="s">
        <v>29</v>
      </c>
    </row>
    <row r="291" spans="1:10">
      <c r="A291" s="5" t="s">
        <v>16</v>
      </c>
      <c r="B291" s="6" t="s">
        <v>11</v>
      </c>
      <c r="C291" s="6">
        <v>620000</v>
      </c>
      <c r="D291" s="6">
        <v>1900</v>
      </c>
      <c r="E291" s="6">
        <v>2024</v>
      </c>
      <c r="F291" s="6">
        <v>5.3</v>
      </c>
      <c r="G291" s="6" t="s">
        <v>38</v>
      </c>
      <c r="H291" s="6" t="s">
        <v>43</v>
      </c>
      <c r="I291" s="6" t="s">
        <v>14</v>
      </c>
      <c r="J291" s="6" t="s">
        <v>15</v>
      </c>
    </row>
    <row r="292" spans="1:10">
      <c r="A292" s="3" t="s">
        <v>22</v>
      </c>
      <c r="B292" s="4" t="s">
        <v>17</v>
      </c>
      <c r="C292" s="4">
        <v>245000</v>
      </c>
      <c r="D292" s="4">
        <v>2750</v>
      </c>
      <c r="E292" s="4">
        <v>2024</v>
      </c>
      <c r="F292" s="4">
        <v>5.4</v>
      </c>
      <c r="G292" s="4" t="s">
        <v>36</v>
      </c>
      <c r="H292" s="4" t="s">
        <v>25</v>
      </c>
      <c r="I292" s="4" t="s">
        <v>20</v>
      </c>
      <c r="J292" s="4" t="s">
        <v>21</v>
      </c>
    </row>
    <row r="293" spans="1:10">
      <c r="A293" s="5" t="s">
        <v>26</v>
      </c>
      <c r="B293" s="6" t="s">
        <v>11</v>
      </c>
      <c r="C293" s="6">
        <v>420000</v>
      </c>
      <c r="D293" s="6">
        <v>1600</v>
      </c>
      <c r="E293" s="6">
        <v>2023</v>
      </c>
      <c r="F293" s="6">
        <v>6.2</v>
      </c>
      <c r="G293" s="6" t="s">
        <v>41</v>
      </c>
      <c r="H293" s="6" t="s">
        <v>13</v>
      </c>
      <c r="I293" s="6" t="s">
        <v>14</v>
      </c>
      <c r="J293" s="6" t="s">
        <v>29</v>
      </c>
    </row>
    <row r="294" spans="1:10">
      <c r="A294" s="3" t="s">
        <v>30</v>
      </c>
      <c r="B294" s="4" t="s">
        <v>23</v>
      </c>
      <c r="C294" s="4">
        <v>320000</v>
      </c>
      <c r="D294" s="4">
        <v>2200</v>
      </c>
      <c r="E294" s="4">
        <v>2024</v>
      </c>
      <c r="F294" s="4">
        <v>5.4</v>
      </c>
      <c r="G294" s="4" t="s">
        <v>24</v>
      </c>
      <c r="H294" s="4" t="s">
        <v>19</v>
      </c>
      <c r="I294" s="4" t="s">
        <v>20</v>
      </c>
      <c r="J294" s="4" t="s">
        <v>21</v>
      </c>
    </row>
    <row r="295" spans="1:10">
      <c r="A295" s="5" t="s">
        <v>32</v>
      </c>
      <c r="B295" s="6" t="s">
        <v>27</v>
      </c>
      <c r="C295" s="6">
        <v>370000</v>
      </c>
      <c r="D295" s="6">
        <v>1900</v>
      </c>
      <c r="E295" s="6">
        <v>2023</v>
      </c>
      <c r="F295" s="6">
        <v>6.1</v>
      </c>
      <c r="G295" s="6" t="s">
        <v>12</v>
      </c>
      <c r="H295" s="6" t="s">
        <v>13</v>
      </c>
      <c r="I295" s="6" t="s">
        <v>20</v>
      </c>
      <c r="J295" s="6" t="s">
        <v>29</v>
      </c>
    </row>
    <row r="296" spans="1:10">
      <c r="A296" s="3" t="s">
        <v>33</v>
      </c>
      <c r="B296" s="4" t="s">
        <v>17</v>
      </c>
      <c r="C296" s="4">
        <v>295000</v>
      </c>
      <c r="D296" s="4">
        <v>2550</v>
      </c>
      <c r="E296" s="4">
        <v>2024</v>
      </c>
      <c r="F296" s="4">
        <v>5.2</v>
      </c>
      <c r="G296" s="4" t="s">
        <v>18</v>
      </c>
      <c r="H296" s="4" t="s">
        <v>19</v>
      </c>
      <c r="I296" s="4" t="s">
        <v>20</v>
      </c>
      <c r="J296" s="4" t="s">
        <v>21</v>
      </c>
    </row>
    <row r="297" spans="1:10">
      <c r="A297" s="5" t="s">
        <v>35</v>
      </c>
      <c r="B297" s="6" t="s">
        <v>11</v>
      </c>
      <c r="C297" s="6">
        <v>365000</v>
      </c>
      <c r="D297" s="6">
        <v>1300</v>
      </c>
      <c r="E297" s="6">
        <v>2024</v>
      </c>
      <c r="F297" s="6">
        <v>5.4</v>
      </c>
      <c r="G297" s="6" t="s">
        <v>44</v>
      </c>
      <c r="H297" s="6" t="s">
        <v>13</v>
      </c>
      <c r="I297" s="6" t="s">
        <v>14</v>
      </c>
      <c r="J297" s="6" t="s">
        <v>15</v>
      </c>
    </row>
    <row r="298" spans="1:10">
      <c r="A298" s="3" t="s">
        <v>37</v>
      </c>
      <c r="B298" s="4" t="s">
        <v>27</v>
      </c>
      <c r="C298" s="4">
        <v>455000</v>
      </c>
      <c r="D298" s="4">
        <v>2200</v>
      </c>
      <c r="E298" s="4">
        <v>2024</v>
      </c>
      <c r="F298" s="4">
        <v>5.2</v>
      </c>
      <c r="G298" s="4" t="s">
        <v>28</v>
      </c>
      <c r="H298" s="4" t="s">
        <v>13</v>
      </c>
      <c r="I298" s="4" t="s">
        <v>20</v>
      </c>
      <c r="J298" s="4" t="s">
        <v>29</v>
      </c>
    </row>
    <row r="299" spans="1:10">
      <c r="A299" s="5" t="s">
        <v>10</v>
      </c>
      <c r="B299" s="6" t="s">
        <v>11</v>
      </c>
      <c r="C299" s="6">
        <v>870000</v>
      </c>
      <c r="D299" s="6">
        <v>1850</v>
      </c>
      <c r="E299" s="6">
        <v>2023</v>
      </c>
      <c r="F299" s="6">
        <v>6</v>
      </c>
      <c r="G299" s="6" t="s">
        <v>41</v>
      </c>
      <c r="H299" s="6" t="s">
        <v>43</v>
      </c>
      <c r="I299" s="6" t="s">
        <v>14</v>
      </c>
      <c r="J299" s="6" t="s">
        <v>15</v>
      </c>
    </row>
    <row r="300" spans="1:10">
      <c r="A300" s="3" t="s">
        <v>16</v>
      </c>
      <c r="B300" s="4" t="s">
        <v>23</v>
      </c>
      <c r="C300" s="4">
        <v>400000</v>
      </c>
      <c r="D300" s="4">
        <v>2600</v>
      </c>
      <c r="E300" s="4">
        <v>2023</v>
      </c>
      <c r="F300" s="4">
        <v>6.1</v>
      </c>
      <c r="G300" s="4" t="s">
        <v>24</v>
      </c>
      <c r="H300" s="4" t="s">
        <v>19</v>
      </c>
      <c r="I300" s="4" t="s">
        <v>20</v>
      </c>
      <c r="J300" s="4" t="s">
        <v>21</v>
      </c>
    </row>
    <row r="301" spans="1:10">
      <c r="A301" s="5" t="s">
        <v>22</v>
      </c>
      <c r="B301" s="6" t="s">
        <v>27</v>
      </c>
      <c r="C301" s="6">
        <v>350000</v>
      </c>
      <c r="D301" s="6">
        <v>2250</v>
      </c>
      <c r="E301" s="6">
        <v>2024</v>
      </c>
      <c r="F301" s="6">
        <v>5.4</v>
      </c>
      <c r="G301" s="6" t="s">
        <v>18</v>
      </c>
      <c r="H301" s="6" t="s">
        <v>19</v>
      </c>
      <c r="I301" s="6" t="s">
        <v>20</v>
      </c>
      <c r="J301" s="6" t="s">
        <v>29</v>
      </c>
    </row>
    <row r="302" spans="1:10">
      <c r="A302" s="3" t="s">
        <v>26</v>
      </c>
      <c r="B302" s="4" t="s">
        <v>17</v>
      </c>
      <c r="C302" s="4">
        <v>230000</v>
      </c>
      <c r="D302" s="4">
        <v>2650</v>
      </c>
      <c r="E302" s="4">
        <v>2024</v>
      </c>
      <c r="F302" s="4">
        <v>5.4</v>
      </c>
      <c r="G302" s="4" t="s">
        <v>36</v>
      </c>
      <c r="H302" s="4" t="s">
        <v>25</v>
      </c>
      <c r="I302" s="4" t="s">
        <v>20</v>
      </c>
      <c r="J302" s="4" t="s">
        <v>21</v>
      </c>
    </row>
    <row r="303" spans="1:10">
      <c r="A303" s="5" t="s">
        <v>30</v>
      </c>
      <c r="B303" s="6" t="s">
        <v>11</v>
      </c>
      <c r="C303" s="6">
        <v>460000</v>
      </c>
      <c r="D303" s="6">
        <v>1400</v>
      </c>
      <c r="E303" s="6">
        <v>2023</v>
      </c>
      <c r="F303" s="6">
        <v>6.2</v>
      </c>
      <c r="G303" s="6" t="s">
        <v>38</v>
      </c>
      <c r="H303" s="6" t="s">
        <v>13</v>
      </c>
      <c r="I303" s="6" t="s">
        <v>14</v>
      </c>
      <c r="J303" s="6" t="s">
        <v>15</v>
      </c>
    </row>
    <row r="304" spans="1:10">
      <c r="A304" s="3" t="s">
        <v>32</v>
      </c>
      <c r="B304" s="4" t="s">
        <v>23</v>
      </c>
      <c r="C304" s="4">
        <v>330000</v>
      </c>
      <c r="D304" s="4">
        <v>2300</v>
      </c>
      <c r="E304" s="4">
        <v>2024</v>
      </c>
      <c r="F304" s="4">
        <v>5.5</v>
      </c>
      <c r="G304" s="4" t="s">
        <v>24</v>
      </c>
      <c r="H304" s="4" t="s">
        <v>19</v>
      </c>
      <c r="I304" s="4" t="s">
        <v>20</v>
      </c>
      <c r="J304" s="4" t="s">
        <v>21</v>
      </c>
    </row>
    <row r="305" spans="1:10">
      <c r="A305" s="5" t="s">
        <v>33</v>
      </c>
      <c r="B305" s="6" t="s">
        <v>27</v>
      </c>
      <c r="C305" s="6">
        <v>420000</v>
      </c>
      <c r="D305" s="6">
        <v>2100</v>
      </c>
      <c r="E305" s="6">
        <v>2024</v>
      </c>
      <c r="F305" s="6">
        <v>5.2</v>
      </c>
      <c r="G305" s="6" t="s">
        <v>28</v>
      </c>
      <c r="H305" s="6" t="s">
        <v>13</v>
      </c>
      <c r="I305" s="6" t="s">
        <v>20</v>
      </c>
      <c r="J305" s="6" t="s">
        <v>29</v>
      </c>
    </row>
    <row r="306" spans="1:10">
      <c r="A306" s="3" t="s">
        <v>35</v>
      </c>
      <c r="B306" s="4" t="s">
        <v>17</v>
      </c>
      <c r="C306" s="4">
        <v>205000</v>
      </c>
      <c r="D306" s="4">
        <v>2400</v>
      </c>
      <c r="E306" s="4">
        <v>2024</v>
      </c>
      <c r="F306" s="4">
        <v>5.4</v>
      </c>
      <c r="G306" s="4" t="s">
        <v>31</v>
      </c>
      <c r="H306" s="4" t="s">
        <v>25</v>
      </c>
      <c r="I306" s="4" t="s">
        <v>20</v>
      </c>
      <c r="J306" s="4" t="s">
        <v>21</v>
      </c>
    </row>
    <row r="307" spans="1:10">
      <c r="A307" s="5" t="s">
        <v>37</v>
      </c>
      <c r="B307" s="6" t="s">
        <v>11</v>
      </c>
      <c r="C307" s="6">
        <v>580000</v>
      </c>
      <c r="D307" s="6">
        <v>1780</v>
      </c>
      <c r="E307" s="6">
        <v>2023</v>
      </c>
      <c r="F307" s="6">
        <v>6.1</v>
      </c>
      <c r="G307" s="6" t="s">
        <v>41</v>
      </c>
      <c r="H307" s="6" t="s">
        <v>13</v>
      </c>
      <c r="I307" s="6" t="s">
        <v>14</v>
      </c>
      <c r="J307" s="6" t="s">
        <v>15</v>
      </c>
    </row>
    <row r="308" spans="1:10">
      <c r="A308" s="3" t="s">
        <v>10</v>
      </c>
      <c r="B308" s="4" t="s">
        <v>17</v>
      </c>
      <c r="C308" s="4">
        <v>500000</v>
      </c>
      <c r="D308" s="4">
        <v>2950</v>
      </c>
      <c r="E308" s="4">
        <v>2024</v>
      </c>
      <c r="F308" s="4">
        <v>5</v>
      </c>
      <c r="G308" s="4" t="s">
        <v>24</v>
      </c>
      <c r="H308" s="4" t="s">
        <v>19</v>
      </c>
      <c r="I308" s="4" t="s">
        <v>20</v>
      </c>
      <c r="J308" s="4" t="s">
        <v>21</v>
      </c>
    </row>
    <row r="309" spans="1:10">
      <c r="A309" s="5" t="s">
        <v>16</v>
      </c>
      <c r="B309" s="6" t="s">
        <v>27</v>
      </c>
      <c r="C309" s="6">
        <v>480000</v>
      </c>
      <c r="D309" s="6">
        <v>2400</v>
      </c>
      <c r="E309" s="6">
        <v>2024</v>
      </c>
      <c r="F309" s="6">
        <v>5.3</v>
      </c>
      <c r="G309" s="6" t="s">
        <v>28</v>
      </c>
      <c r="H309" s="6" t="s">
        <v>13</v>
      </c>
      <c r="I309" s="6" t="s">
        <v>20</v>
      </c>
      <c r="J309" s="6" t="s">
        <v>29</v>
      </c>
    </row>
    <row r="310" spans="1:10">
      <c r="A310" s="3" t="s">
        <v>22</v>
      </c>
      <c r="B310" s="4" t="s">
        <v>23</v>
      </c>
      <c r="C310" s="4">
        <v>300000</v>
      </c>
      <c r="D310" s="4">
        <v>2550</v>
      </c>
      <c r="E310" s="4">
        <v>2024</v>
      </c>
      <c r="F310" s="4">
        <v>5.4</v>
      </c>
      <c r="G310" s="4" t="s">
        <v>24</v>
      </c>
      <c r="H310" s="4" t="s">
        <v>25</v>
      </c>
      <c r="I310" s="4" t="s">
        <v>20</v>
      </c>
      <c r="J310" s="4" t="s">
        <v>21</v>
      </c>
    </row>
    <row r="311" spans="1:10">
      <c r="A311" s="5" t="s">
        <v>26</v>
      </c>
      <c r="B311" s="6" t="s">
        <v>11</v>
      </c>
      <c r="C311" s="6">
        <v>430000</v>
      </c>
      <c r="D311" s="6">
        <v>1650</v>
      </c>
      <c r="E311" s="6">
        <v>2023</v>
      </c>
      <c r="F311" s="6">
        <v>6.2</v>
      </c>
      <c r="G311" s="6" t="s">
        <v>41</v>
      </c>
      <c r="H311" s="6" t="s">
        <v>13</v>
      </c>
      <c r="I311" s="6" t="s">
        <v>14</v>
      </c>
      <c r="J311" s="6" t="s">
        <v>15</v>
      </c>
    </row>
    <row r="312" spans="1:10">
      <c r="A312" s="3" t="s">
        <v>30</v>
      </c>
      <c r="B312" s="4" t="s">
        <v>17</v>
      </c>
      <c r="C312" s="4">
        <v>255000</v>
      </c>
      <c r="D312" s="4">
        <v>2450</v>
      </c>
      <c r="E312" s="4">
        <v>2024</v>
      </c>
      <c r="F312" s="4">
        <v>5.4</v>
      </c>
      <c r="G312" s="4" t="s">
        <v>31</v>
      </c>
      <c r="H312" s="4" t="s">
        <v>25</v>
      </c>
      <c r="I312" s="4" t="s">
        <v>20</v>
      </c>
      <c r="J312" s="4" t="s">
        <v>21</v>
      </c>
    </row>
    <row r="313" spans="1:10">
      <c r="A313" s="5" t="s">
        <v>32</v>
      </c>
      <c r="B313" s="6" t="s">
        <v>11</v>
      </c>
      <c r="C313" s="6">
        <v>495000</v>
      </c>
      <c r="D313" s="6">
        <v>1600</v>
      </c>
      <c r="E313" s="6">
        <v>2023</v>
      </c>
      <c r="F313" s="6">
        <v>6.2</v>
      </c>
      <c r="G313" s="6" t="s">
        <v>41</v>
      </c>
      <c r="H313" s="6" t="s">
        <v>13</v>
      </c>
      <c r="I313" s="6" t="s">
        <v>14</v>
      </c>
      <c r="J313" s="6" t="s">
        <v>15</v>
      </c>
    </row>
    <row r="314" spans="1:10">
      <c r="A314" s="3" t="s">
        <v>33</v>
      </c>
      <c r="B314" s="4" t="s">
        <v>23</v>
      </c>
      <c r="C314" s="4">
        <v>365000</v>
      </c>
      <c r="D314" s="4">
        <v>2300</v>
      </c>
      <c r="E314" s="4">
        <v>2024</v>
      </c>
      <c r="F314" s="4">
        <v>5.3</v>
      </c>
      <c r="G314" s="4" t="s">
        <v>24</v>
      </c>
      <c r="H314" s="4" t="s">
        <v>19</v>
      </c>
      <c r="I314" s="4" t="s">
        <v>20</v>
      </c>
      <c r="J314" s="4" t="s">
        <v>21</v>
      </c>
    </row>
    <row r="315" spans="1:10">
      <c r="A315" s="5" t="s">
        <v>35</v>
      </c>
      <c r="B315" s="6" t="s">
        <v>27</v>
      </c>
      <c r="C315" s="6">
        <v>300000</v>
      </c>
      <c r="D315" s="6">
        <v>1800</v>
      </c>
      <c r="E315" s="6">
        <v>2023</v>
      </c>
      <c r="F315" s="6">
        <v>6.5</v>
      </c>
      <c r="G315" s="6" t="s">
        <v>18</v>
      </c>
      <c r="H315" s="6" t="s">
        <v>19</v>
      </c>
      <c r="I315" s="6" t="s">
        <v>20</v>
      </c>
      <c r="J315" s="6" t="s">
        <v>29</v>
      </c>
    </row>
    <row r="316" spans="1:10">
      <c r="A316" s="3" t="s">
        <v>37</v>
      </c>
      <c r="B316" s="4" t="s">
        <v>17</v>
      </c>
      <c r="C316" s="4">
        <v>320000</v>
      </c>
      <c r="D316" s="4">
        <v>2750</v>
      </c>
      <c r="E316" s="4">
        <v>2023</v>
      </c>
      <c r="F316" s="4">
        <v>6</v>
      </c>
      <c r="G316" s="4" t="s">
        <v>24</v>
      </c>
      <c r="H316" s="4" t="s">
        <v>19</v>
      </c>
      <c r="I316" s="4" t="s">
        <v>20</v>
      </c>
      <c r="J316" s="4" t="s">
        <v>21</v>
      </c>
    </row>
    <row r="317" spans="1:10">
      <c r="A317" s="5" t="s">
        <v>10</v>
      </c>
      <c r="B317" s="6" t="s">
        <v>23</v>
      </c>
      <c r="C317" s="6">
        <v>610000</v>
      </c>
      <c r="D317" s="6">
        <v>2600</v>
      </c>
      <c r="E317" s="6">
        <v>2024</v>
      </c>
      <c r="F317" s="6">
        <v>5.0999999999999996</v>
      </c>
      <c r="G317" s="6" t="s">
        <v>28</v>
      </c>
      <c r="H317" s="6" t="s">
        <v>13</v>
      </c>
      <c r="I317" s="6" t="s">
        <v>20</v>
      </c>
      <c r="J317" s="6" t="s">
        <v>29</v>
      </c>
    </row>
    <row r="318" spans="1:10">
      <c r="A318" s="3" t="s">
        <v>16</v>
      </c>
      <c r="B318" s="4" t="s">
        <v>11</v>
      </c>
      <c r="C318" s="4">
        <v>630000</v>
      </c>
      <c r="D318" s="4">
        <v>1950</v>
      </c>
      <c r="E318" s="4">
        <v>2024</v>
      </c>
      <c r="F318" s="4">
        <v>5.3</v>
      </c>
      <c r="G318" s="4" t="s">
        <v>38</v>
      </c>
      <c r="H318" s="4" t="s">
        <v>43</v>
      </c>
      <c r="I318" s="4" t="s">
        <v>14</v>
      </c>
      <c r="J318" s="4" t="s">
        <v>15</v>
      </c>
    </row>
    <row r="319" spans="1:10">
      <c r="A319" s="5" t="s">
        <v>22</v>
      </c>
      <c r="B319" s="6" t="s">
        <v>17</v>
      </c>
      <c r="C319" s="6">
        <v>250000</v>
      </c>
      <c r="D319" s="6">
        <v>2800</v>
      </c>
      <c r="E319" s="6">
        <v>2023</v>
      </c>
      <c r="F319" s="6">
        <v>6.4</v>
      </c>
      <c r="G319" s="6" t="s">
        <v>36</v>
      </c>
      <c r="H319" s="6" t="s">
        <v>25</v>
      </c>
      <c r="I319" s="6" t="s">
        <v>20</v>
      </c>
      <c r="J319" s="6" t="s">
        <v>21</v>
      </c>
    </row>
    <row r="320" spans="1:10">
      <c r="A320" s="3" t="s">
        <v>26</v>
      </c>
      <c r="B320" s="4" t="s">
        <v>27</v>
      </c>
      <c r="C320" s="4">
        <v>345000</v>
      </c>
      <c r="D320" s="4">
        <v>2150</v>
      </c>
      <c r="E320" s="4">
        <v>2024</v>
      </c>
      <c r="F320" s="4">
        <v>5.5</v>
      </c>
      <c r="G320" s="4" t="s">
        <v>18</v>
      </c>
      <c r="H320" s="4" t="s">
        <v>19</v>
      </c>
      <c r="I320" s="4" t="s">
        <v>20</v>
      </c>
      <c r="J320" s="4" t="s">
        <v>29</v>
      </c>
    </row>
    <row r="321" spans="1:10">
      <c r="A321" s="5" t="s">
        <v>30</v>
      </c>
      <c r="B321" s="6" t="s">
        <v>23</v>
      </c>
      <c r="C321" s="6">
        <v>330000</v>
      </c>
      <c r="D321" s="6">
        <v>2250</v>
      </c>
      <c r="E321" s="6">
        <v>2023</v>
      </c>
      <c r="F321" s="6">
        <v>6.6</v>
      </c>
      <c r="G321" s="6" t="s">
        <v>24</v>
      </c>
      <c r="H321" s="6" t="s">
        <v>19</v>
      </c>
      <c r="I321" s="6" t="s">
        <v>20</v>
      </c>
      <c r="J321" s="6" t="s">
        <v>21</v>
      </c>
    </row>
    <row r="322" spans="1:10">
      <c r="A322" s="3" t="s">
        <v>32</v>
      </c>
      <c r="B322" s="4" t="s">
        <v>17</v>
      </c>
      <c r="C322" s="4">
        <v>270000</v>
      </c>
      <c r="D322" s="4">
        <v>2550</v>
      </c>
      <c r="E322" s="4">
        <v>2024</v>
      </c>
      <c r="F322" s="4">
        <v>5.3</v>
      </c>
      <c r="G322" s="4" t="s">
        <v>40</v>
      </c>
      <c r="H322" s="4" t="s">
        <v>25</v>
      </c>
      <c r="I322" s="4" t="s">
        <v>20</v>
      </c>
      <c r="J322" s="4" t="s">
        <v>21</v>
      </c>
    </row>
    <row r="323" spans="1:10">
      <c r="A323" s="5" t="s">
        <v>33</v>
      </c>
      <c r="B323" s="6" t="s">
        <v>11</v>
      </c>
      <c r="C323" s="6">
        <v>540000</v>
      </c>
      <c r="D323" s="6">
        <v>1750</v>
      </c>
      <c r="E323" s="6">
        <v>2024</v>
      </c>
      <c r="F323" s="6">
        <v>5.0999999999999996</v>
      </c>
      <c r="G323" s="6" t="s">
        <v>41</v>
      </c>
      <c r="H323" s="6" t="s">
        <v>13</v>
      </c>
      <c r="I323" s="6" t="s">
        <v>14</v>
      </c>
      <c r="J323" s="6" t="s">
        <v>15</v>
      </c>
    </row>
    <row r="324" spans="1:10">
      <c r="A324" s="3" t="s">
        <v>35</v>
      </c>
      <c r="B324" s="4" t="s">
        <v>23</v>
      </c>
      <c r="C324" s="4">
        <v>260000</v>
      </c>
      <c r="D324" s="4">
        <v>2150</v>
      </c>
      <c r="E324" s="4">
        <v>2023</v>
      </c>
      <c r="F324" s="4">
        <v>6.6</v>
      </c>
      <c r="G324" s="4" t="s">
        <v>42</v>
      </c>
      <c r="H324" s="4" t="s">
        <v>25</v>
      </c>
      <c r="I324" s="4" t="s">
        <v>20</v>
      </c>
      <c r="J324" s="4" t="s">
        <v>21</v>
      </c>
    </row>
    <row r="325" spans="1:10">
      <c r="A325" s="5" t="s">
        <v>37</v>
      </c>
      <c r="B325" s="6" t="s">
        <v>27</v>
      </c>
      <c r="C325" s="6">
        <v>465000</v>
      </c>
      <c r="D325" s="6">
        <v>2300</v>
      </c>
      <c r="E325" s="6">
        <v>2024</v>
      </c>
      <c r="F325" s="6">
        <v>5.2</v>
      </c>
      <c r="G325" s="6" t="s">
        <v>28</v>
      </c>
      <c r="H325" s="6" t="s">
        <v>13</v>
      </c>
      <c r="I325" s="6" t="s">
        <v>20</v>
      </c>
      <c r="J325" s="6" t="s">
        <v>29</v>
      </c>
    </row>
    <row r="326" spans="1:10">
      <c r="A326" s="3" t="s">
        <v>10</v>
      </c>
      <c r="B326" s="4" t="s">
        <v>11</v>
      </c>
      <c r="C326" s="4">
        <v>880000</v>
      </c>
      <c r="D326" s="4">
        <v>1900</v>
      </c>
      <c r="E326" s="4">
        <v>2024</v>
      </c>
      <c r="F326" s="4">
        <v>5</v>
      </c>
      <c r="G326" s="4" t="s">
        <v>41</v>
      </c>
      <c r="H326" s="4" t="s">
        <v>43</v>
      </c>
      <c r="I326" s="4" t="s">
        <v>14</v>
      </c>
      <c r="J326" s="4" t="s">
        <v>15</v>
      </c>
    </row>
    <row r="327" spans="1:10">
      <c r="A327" s="5" t="s">
        <v>16</v>
      </c>
      <c r="B327" s="6" t="s">
        <v>17</v>
      </c>
      <c r="C327" s="6">
        <v>340000</v>
      </c>
      <c r="D327" s="6">
        <v>2550</v>
      </c>
      <c r="E327" s="6">
        <v>2023</v>
      </c>
      <c r="F327" s="6">
        <v>6</v>
      </c>
      <c r="G327" s="6" t="s">
        <v>18</v>
      </c>
      <c r="H327" s="6" t="s">
        <v>19</v>
      </c>
      <c r="I327" s="6" t="s">
        <v>20</v>
      </c>
      <c r="J327" s="6" t="s">
        <v>21</v>
      </c>
    </row>
    <row r="328" spans="1:10">
      <c r="A328" s="3" t="s">
        <v>22</v>
      </c>
      <c r="B328" s="4" t="s">
        <v>27</v>
      </c>
      <c r="C328" s="4">
        <v>360000</v>
      </c>
      <c r="D328" s="4">
        <v>2300</v>
      </c>
      <c r="E328" s="4">
        <v>2024</v>
      </c>
      <c r="F328" s="4">
        <v>5.4</v>
      </c>
      <c r="G328" s="4" t="s">
        <v>39</v>
      </c>
      <c r="H328" s="4" t="s">
        <v>19</v>
      </c>
      <c r="I328" s="4" t="s">
        <v>20</v>
      </c>
      <c r="J328" s="4" t="s">
        <v>29</v>
      </c>
    </row>
    <row r="329" spans="1:10">
      <c r="A329" s="5" t="s">
        <v>26</v>
      </c>
      <c r="B329" s="6" t="s">
        <v>17</v>
      </c>
      <c r="C329" s="6">
        <v>235000</v>
      </c>
      <c r="D329" s="6">
        <v>2700</v>
      </c>
      <c r="E329" s="6">
        <v>2023</v>
      </c>
      <c r="F329" s="6">
        <v>6.5</v>
      </c>
      <c r="G329" s="6" t="s">
        <v>36</v>
      </c>
      <c r="H329" s="6" t="s">
        <v>25</v>
      </c>
      <c r="I329" s="6" t="s">
        <v>20</v>
      </c>
      <c r="J329" s="6" t="s">
        <v>21</v>
      </c>
    </row>
    <row r="330" spans="1:10">
      <c r="A330" s="3" t="s">
        <v>30</v>
      </c>
      <c r="B330" s="4" t="s">
        <v>11</v>
      </c>
      <c r="C330" s="4">
        <v>470000</v>
      </c>
      <c r="D330" s="4">
        <v>1450</v>
      </c>
      <c r="E330" s="4">
        <v>2024</v>
      </c>
      <c r="F330" s="4">
        <v>5.3</v>
      </c>
      <c r="G330" s="4" t="s">
        <v>38</v>
      </c>
      <c r="H330" s="4" t="s">
        <v>13</v>
      </c>
      <c r="I330" s="4" t="s">
        <v>14</v>
      </c>
      <c r="J330" s="4" t="s">
        <v>15</v>
      </c>
    </row>
    <row r="331" spans="1:10">
      <c r="A331" s="5" t="s">
        <v>32</v>
      </c>
      <c r="B331" s="6" t="s">
        <v>23</v>
      </c>
      <c r="C331" s="6">
        <v>340000</v>
      </c>
      <c r="D331" s="6">
        <v>2350</v>
      </c>
      <c r="E331" s="6">
        <v>2023</v>
      </c>
      <c r="F331" s="6">
        <v>6.4</v>
      </c>
      <c r="G331" s="6" t="s">
        <v>24</v>
      </c>
      <c r="H331" s="6" t="s">
        <v>19</v>
      </c>
      <c r="I331" s="6" t="s">
        <v>20</v>
      </c>
      <c r="J331" s="6" t="s">
        <v>21</v>
      </c>
    </row>
    <row r="332" spans="1:10">
      <c r="A332" s="3" t="s">
        <v>33</v>
      </c>
      <c r="B332" s="4" t="s">
        <v>27</v>
      </c>
      <c r="C332" s="4">
        <v>430000</v>
      </c>
      <c r="D332" s="4">
        <v>2150</v>
      </c>
      <c r="E332" s="4">
        <v>2024</v>
      </c>
      <c r="F332" s="4">
        <v>5.2</v>
      </c>
      <c r="G332" s="4" t="s">
        <v>28</v>
      </c>
      <c r="H332" s="4" t="s">
        <v>13</v>
      </c>
      <c r="I332" s="4" t="s">
        <v>20</v>
      </c>
      <c r="J332" s="4" t="s">
        <v>29</v>
      </c>
    </row>
    <row r="333" spans="1:10">
      <c r="A333" s="5" t="s">
        <v>35</v>
      </c>
      <c r="B333" s="6" t="s">
        <v>17</v>
      </c>
      <c r="C333" s="6">
        <v>210000</v>
      </c>
      <c r="D333" s="6">
        <v>2450</v>
      </c>
      <c r="E333" s="6">
        <v>2024</v>
      </c>
      <c r="F333" s="6">
        <v>5.4</v>
      </c>
      <c r="G333" s="6" t="s">
        <v>31</v>
      </c>
      <c r="H333" s="6" t="s">
        <v>25</v>
      </c>
      <c r="I333" s="6" t="s">
        <v>20</v>
      </c>
      <c r="J333" s="6" t="s">
        <v>21</v>
      </c>
    </row>
    <row r="334" spans="1:10">
      <c r="A334" s="3" t="s">
        <v>37</v>
      </c>
      <c r="B334" s="4" t="s">
        <v>11</v>
      </c>
      <c r="C334" s="4">
        <v>590000</v>
      </c>
      <c r="D334" s="4">
        <v>1800</v>
      </c>
      <c r="E334" s="4">
        <v>2024</v>
      </c>
      <c r="F334" s="4">
        <v>5.0999999999999996</v>
      </c>
      <c r="G334" s="4" t="s">
        <v>41</v>
      </c>
      <c r="H334" s="4" t="s">
        <v>13</v>
      </c>
      <c r="I334" s="4" t="s">
        <v>14</v>
      </c>
      <c r="J334" s="4" t="s">
        <v>15</v>
      </c>
    </row>
    <row r="335" spans="1:10">
      <c r="A335" s="5" t="s">
        <v>10</v>
      </c>
      <c r="B335" s="6" t="s">
        <v>17</v>
      </c>
      <c r="C335" s="6">
        <v>510000</v>
      </c>
      <c r="D335" s="6">
        <v>3000</v>
      </c>
      <c r="E335" s="6">
        <v>2023</v>
      </c>
      <c r="F335" s="6">
        <v>6</v>
      </c>
      <c r="G335" s="6" t="s">
        <v>24</v>
      </c>
      <c r="H335" s="6" t="s">
        <v>19</v>
      </c>
      <c r="I335" s="6" t="s">
        <v>20</v>
      </c>
      <c r="J335" s="6" t="s">
        <v>21</v>
      </c>
    </row>
    <row r="336" spans="1:10">
      <c r="A336" s="3" t="s">
        <v>16</v>
      </c>
      <c r="B336" s="4" t="s">
        <v>27</v>
      </c>
      <c r="C336" s="4">
        <v>490000</v>
      </c>
      <c r="D336" s="4">
        <v>2450</v>
      </c>
      <c r="E336" s="4">
        <v>2024</v>
      </c>
      <c r="F336" s="4">
        <v>5.3</v>
      </c>
      <c r="G336" s="4" t="s">
        <v>28</v>
      </c>
      <c r="H336" s="4" t="s">
        <v>13</v>
      </c>
      <c r="I336" s="4" t="s">
        <v>20</v>
      </c>
      <c r="J336" s="4" t="s">
        <v>29</v>
      </c>
    </row>
    <row r="337" spans="1:10">
      <c r="A337" s="3" t="s">
        <v>26</v>
      </c>
      <c r="B337" s="4" t="s">
        <v>11</v>
      </c>
      <c r="C337" s="4">
        <v>440000</v>
      </c>
      <c r="D337" s="4">
        <v>1700</v>
      </c>
      <c r="E337" s="4">
        <v>2023</v>
      </c>
      <c r="F337" s="4">
        <v>6.2</v>
      </c>
      <c r="G337" s="4" t="s">
        <v>41</v>
      </c>
      <c r="H337" s="4" t="s">
        <v>13</v>
      </c>
      <c r="I337" s="4" t="s">
        <v>14</v>
      </c>
      <c r="J337" s="4" t="s">
        <v>15</v>
      </c>
    </row>
    <row r="338" spans="1:10">
      <c r="A338" s="5" t="s">
        <v>30</v>
      </c>
      <c r="B338" s="6" t="s">
        <v>17</v>
      </c>
      <c r="C338" s="6">
        <v>260000</v>
      </c>
      <c r="D338" s="6">
        <v>2500</v>
      </c>
      <c r="E338" s="6">
        <v>2024</v>
      </c>
      <c r="F338" s="6">
        <v>5.4</v>
      </c>
      <c r="G338" s="6" t="s">
        <v>31</v>
      </c>
      <c r="H338" s="6" t="s">
        <v>25</v>
      </c>
      <c r="I338" s="6" t="s">
        <v>20</v>
      </c>
      <c r="J338" s="6" t="s">
        <v>21</v>
      </c>
    </row>
    <row r="339" spans="1:10">
      <c r="A339" s="3" t="s">
        <v>32</v>
      </c>
      <c r="B339" s="4" t="s">
        <v>11</v>
      </c>
      <c r="C339" s="4">
        <v>500000</v>
      </c>
      <c r="D339" s="4">
        <v>1650</v>
      </c>
      <c r="E339" s="4">
        <v>2023</v>
      </c>
      <c r="F339" s="4">
        <v>6.2</v>
      </c>
      <c r="G339" s="4" t="s">
        <v>41</v>
      </c>
      <c r="H339" s="4" t="s">
        <v>13</v>
      </c>
      <c r="I339" s="4" t="s">
        <v>14</v>
      </c>
      <c r="J339" s="4" t="s">
        <v>15</v>
      </c>
    </row>
    <row r="340" spans="1:10">
      <c r="A340" s="5" t="s">
        <v>33</v>
      </c>
      <c r="B340" s="6" t="s">
        <v>23</v>
      </c>
      <c r="C340" s="6">
        <v>370000</v>
      </c>
      <c r="D340" s="6">
        <v>2350</v>
      </c>
      <c r="E340" s="6">
        <v>2024</v>
      </c>
      <c r="F340" s="6">
        <v>5.3</v>
      </c>
      <c r="G340" s="6" t="s">
        <v>24</v>
      </c>
      <c r="H340" s="6" t="s">
        <v>19</v>
      </c>
      <c r="I340" s="6" t="s">
        <v>20</v>
      </c>
      <c r="J340" s="6" t="s">
        <v>21</v>
      </c>
    </row>
    <row r="341" spans="1:10">
      <c r="A341" s="3" t="s">
        <v>35</v>
      </c>
      <c r="B341" s="4" t="s">
        <v>27</v>
      </c>
      <c r="C341" s="4">
        <v>310000</v>
      </c>
      <c r="D341" s="4">
        <v>1850</v>
      </c>
      <c r="E341" s="4">
        <v>2023</v>
      </c>
      <c r="F341" s="4">
        <v>6.5</v>
      </c>
      <c r="G341" s="4" t="s">
        <v>18</v>
      </c>
      <c r="H341" s="4" t="s">
        <v>19</v>
      </c>
      <c r="I341" s="4" t="s">
        <v>20</v>
      </c>
      <c r="J341" s="4" t="s">
        <v>29</v>
      </c>
    </row>
    <row r="342" spans="1:10">
      <c r="A342" s="5" t="s">
        <v>37</v>
      </c>
      <c r="B342" s="6" t="s">
        <v>17</v>
      </c>
      <c r="C342" s="6">
        <v>325000</v>
      </c>
      <c r="D342" s="6">
        <v>2800</v>
      </c>
      <c r="E342" s="6">
        <v>2024</v>
      </c>
      <c r="F342" s="6">
        <v>5.2</v>
      </c>
      <c r="G342" s="6" t="s">
        <v>24</v>
      </c>
      <c r="H342" s="6" t="s">
        <v>19</v>
      </c>
      <c r="I342" s="6" t="s">
        <v>20</v>
      </c>
      <c r="J342" s="6" t="s">
        <v>21</v>
      </c>
    </row>
    <row r="343" spans="1:10">
      <c r="A343" s="3" t="s">
        <v>10</v>
      </c>
      <c r="B343" s="4" t="s">
        <v>23</v>
      </c>
      <c r="C343" s="4">
        <v>620000</v>
      </c>
      <c r="D343" s="4">
        <v>2650</v>
      </c>
      <c r="E343" s="4">
        <v>2024</v>
      </c>
      <c r="F343" s="4">
        <v>5.0999999999999996</v>
      </c>
      <c r="G343" s="4" t="s">
        <v>28</v>
      </c>
      <c r="H343" s="4" t="s">
        <v>13</v>
      </c>
      <c r="I343" s="4" t="s">
        <v>20</v>
      </c>
      <c r="J343" s="4" t="s">
        <v>29</v>
      </c>
    </row>
    <row r="344" spans="1:10">
      <c r="A344" s="5" t="s">
        <v>16</v>
      </c>
      <c r="B344" s="6" t="s">
        <v>11</v>
      </c>
      <c r="C344" s="6">
        <v>640000</v>
      </c>
      <c r="D344" s="6">
        <v>2000</v>
      </c>
      <c r="E344" s="6">
        <v>2024</v>
      </c>
      <c r="F344" s="6">
        <v>5.3</v>
      </c>
      <c r="G344" s="6" t="s">
        <v>38</v>
      </c>
      <c r="H344" s="6" t="s">
        <v>43</v>
      </c>
      <c r="I344" s="6" t="s">
        <v>14</v>
      </c>
      <c r="J344" s="6" t="s">
        <v>15</v>
      </c>
    </row>
    <row r="345" spans="1:10">
      <c r="A345" s="3" t="s">
        <v>22</v>
      </c>
      <c r="B345" s="4" t="s">
        <v>17</v>
      </c>
      <c r="C345" s="4">
        <v>255000</v>
      </c>
      <c r="D345" s="4">
        <v>2850</v>
      </c>
      <c r="E345" s="4">
        <v>2023</v>
      </c>
      <c r="F345" s="4">
        <v>6.4</v>
      </c>
      <c r="G345" s="4" t="s">
        <v>36</v>
      </c>
      <c r="H345" s="4" t="s">
        <v>25</v>
      </c>
      <c r="I345" s="4" t="s">
        <v>20</v>
      </c>
      <c r="J345" s="4" t="s">
        <v>21</v>
      </c>
    </row>
    <row r="346" spans="1:10">
      <c r="A346" s="5" t="s">
        <v>26</v>
      </c>
      <c r="B346" s="6" t="s">
        <v>27</v>
      </c>
      <c r="C346" s="6">
        <v>350000</v>
      </c>
      <c r="D346" s="6">
        <v>2200</v>
      </c>
      <c r="E346" s="6">
        <v>2024</v>
      </c>
      <c r="F346" s="6">
        <v>5.5</v>
      </c>
      <c r="G346" s="6" t="s">
        <v>18</v>
      </c>
      <c r="H346" s="6" t="s">
        <v>19</v>
      </c>
      <c r="I346" s="6" t="s">
        <v>20</v>
      </c>
      <c r="J346" s="6" t="s">
        <v>29</v>
      </c>
    </row>
    <row r="347" spans="1:10">
      <c r="A347" s="3" t="s">
        <v>30</v>
      </c>
      <c r="B347" s="4" t="s">
        <v>23</v>
      </c>
      <c r="C347" s="4">
        <v>335000</v>
      </c>
      <c r="D347" s="4">
        <v>2300</v>
      </c>
      <c r="E347" s="4">
        <v>2024</v>
      </c>
      <c r="F347" s="4">
        <v>5.4</v>
      </c>
      <c r="G347" s="4" t="s">
        <v>24</v>
      </c>
      <c r="H347" s="4" t="s">
        <v>19</v>
      </c>
      <c r="I347" s="4" t="s">
        <v>20</v>
      </c>
      <c r="J347" s="4" t="s">
        <v>21</v>
      </c>
    </row>
    <row r="348" spans="1:10">
      <c r="A348" s="5" t="s">
        <v>32</v>
      </c>
      <c r="B348" s="6" t="s">
        <v>17</v>
      </c>
      <c r="C348" s="6">
        <v>270000</v>
      </c>
      <c r="D348" s="6">
        <v>2550</v>
      </c>
      <c r="E348" s="6">
        <v>2023</v>
      </c>
      <c r="F348" s="6">
        <v>6.3</v>
      </c>
      <c r="G348" s="6" t="s">
        <v>40</v>
      </c>
      <c r="H348" s="6" t="s">
        <v>25</v>
      </c>
      <c r="I348" s="6" t="s">
        <v>20</v>
      </c>
      <c r="J348" s="6" t="s">
        <v>21</v>
      </c>
    </row>
    <row r="349" spans="1:10">
      <c r="A349" s="3" t="s">
        <v>33</v>
      </c>
      <c r="B349" s="4" t="s">
        <v>11</v>
      </c>
      <c r="C349" s="4">
        <v>550000</v>
      </c>
      <c r="D349" s="4">
        <v>1750</v>
      </c>
      <c r="E349" s="4">
        <v>2024</v>
      </c>
      <c r="F349" s="4">
        <v>5.0999999999999996</v>
      </c>
      <c r="G349" s="4" t="s">
        <v>41</v>
      </c>
      <c r="H349" s="4" t="s">
        <v>13</v>
      </c>
      <c r="I349" s="4" t="s">
        <v>14</v>
      </c>
      <c r="J349" s="4" t="s">
        <v>15</v>
      </c>
    </row>
    <row r="350" spans="1:10">
      <c r="A350" s="5" t="s">
        <v>35</v>
      </c>
      <c r="B350" s="6" t="s">
        <v>23</v>
      </c>
      <c r="C350" s="6">
        <v>270000</v>
      </c>
      <c r="D350" s="6">
        <v>2200</v>
      </c>
      <c r="E350" s="6">
        <v>2023</v>
      </c>
      <c r="F350" s="6">
        <v>6.6</v>
      </c>
      <c r="G350" s="6" t="s">
        <v>42</v>
      </c>
      <c r="H350" s="6" t="s">
        <v>25</v>
      </c>
      <c r="I350" s="6" t="s">
        <v>20</v>
      </c>
      <c r="J350" s="6" t="s">
        <v>21</v>
      </c>
    </row>
    <row r="351" spans="1:10">
      <c r="A351" s="3" t="s">
        <v>37</v>
      </c>
      <c r="B351" s="4" t="s">
        <v>27</v>
      </c>
      <c r="C351" s="4">
        <v>470000</v>
      </c>
      <c r="D351" s="4">
        <v>2300</v>
      </c>
      <c r="E351" s="4">
        <v>2024</v>
      </c>
      <c r="F351" s="4">
        <v>5.2</v>
      </c>
      <c r="G351" s="4" t="s">
        <v>28</v>
      </c>
      <c r="H351" s="4" t="s">
        <v>13</v>
      </c>
      <c r="I351" s="4" t="s">
        <v>20</v>
      </c>
      <c r="J351" s="4" t="s">
        <v>29</v>
      </c>
    </row>
    <row r="352" spans="1:10">
      <c r="A352" s="5" t="s">
        <v>10</v>
      </c>
      <c r="B352" s="6" t="s">
        <v>11</v>
      </c>
      <c r="C352" s="6">
        <v>890000</v>
      </c>
      <c r="D352" s="6">
        <v>1950</v>
      </c>
      <c r="E352" s="6">
        <v>2024</v>
      </c>
      <c r="F352" s="6">
        <v>5</v>
      </c>
      <c r="G352" s="6" t="s">
        <v>41</v>
      </c>
      <c r="H352" s="6" t="s">
        <v>43</v>
      </c>
      <c r="I352" s="6" t="s">
        <v>14</v>
      </c>
      <c r="J352" s="6" t="s">
        <v>15</v>
      </c>
    </row>
    <row r="353" spans="1:10">
      <c r="A353" s="5" t="s">
        <v>32</v>
      </c>
      <c r="B353" s="6" t="s">
        <v>11</v>
      </c>
      <c r="C353" s="6">
        <v>435000</v>
      </c>
      <c r="D353" s="6">
        <v>1320</v>
      </c>
      <c r="E353" s="6">
        <v>2024</v>
      </c>
      <c r="F353" s="6">
        <v>5.0999999999999996</v>
      </c>
      <c r="G353" s="6" t="s">
        <v>41</v>
      </c>
      <c r="H353" s="6" t="s">
        <v>13</v>
      </c>
      <c r="I353" s="6" t="s">
        <v>14</v>
      </c>
      <c r="J353" s="6" t="s">
        <v>15</v>
      </c>
    </row>
    <row r="354" spans="1:10">
      <c r="A354" s="3" t="s">
        <v>33</v>
      </c>
      <c r="B354" s="4" t="s">
        <v>23</v>
      </c>
      <c r="C354" s="4">
        <v>318000</v>
      </c>
      <c r="D354" s="4">
        <v>1760</v>
      </c>
      <c r="E354" s="4">
        <v>2023</v>
      </c>
      <c r="F354" s="4">
        <v>6.4</v>
      </c>
      <c r="G354" s="8">
        <v>10</v>
      </c>
      <c r="H354" s="4" t="s">
        <v>19</v>
      </c>
      <c r="I354" s="4" t="s">
        <v>20</v>
      </c>
      <c r="J354" s="4" t="s">
        <v>21</v>
      </c>
    </row>
    <row r="355" spans="1:10">
      <c r="A355" s="5" t="s">
        <v>26</v>
      </c>
      <c r="B355" s="6" t="s">
        <v>27</v>
      </c>
      <c r="C355" s="6">
        <v>325000</v>
      </c>
      <c r="D355" s="6">
        <v>1980</v>
      </c>
      <c r="E355" s="6">
        <v>2023</v>
      </c>
      <c r="F355" s="6">
        <v>6.2</v>
      </c>
      <c r="G355" s="6" t="s">
        <v>28</v>
      </c>
      <c r="H355" s="6" t="s">
        <v>19</v>
      </c>
      <c r="I355" s="6" t="s">
        <v>20</v>
      </c>
      <c r="J355" s="6" t="s">
        <v>29</v>
      </c>
    </row>
    <row r="356" spans="1:10">
      <c r="A356" s="3" t="s">
        <v>30</v>
      </c>
      <c r="B356" s="4" t="s">
        <v>17</v>
      </c>
      <c r="C356" s="4">
        <v>230000</v>
      </c>
      <c r="D356" s="4">
        <v>2250</v>
      </c>
      <c r="E356" s="4">
        <v>2023</v>
      </c>
      <c r="F356" s="4">
        <v>6.5</v>
      </c>
      <c r="G356" s="4" t="s">
        <v>31</v>
      </c>
      <c r="H356" s="4" t="s">
        <v>25</v>
      </c>
      <c r="I356" s="4" t="s">
        <v>20</v>
      </c>
      <c r="J356" s="4" t="s">
        <v>21</v>
      </c>
    </row>
    <row r="357" spans="1:10">
      <c r="A357" s="5" t="s">
        <v>32</v>
      </c>
      <c r="B357" s="6" t="s">
        <v>11</v>
      </c>
      <c r="C357" s="6">
        <v>455000</v>
      </c>
      <c r="D357" s="6">
        <v>1400</v>
      </c>
      <c r="E357" s="6">
        <v>2024</v>
      </c>
      <c r="F357" s="6">
        <v>5.0999999999999996</v>
      </c>
      <c r="G357" s="6" t="s">
        <v>41</v>
      </c>
      <c r="H357" s="6" t="s">
        <v>13</v>
      </c>
      <c r="I357" s="6" t="s">
        <v>14</v>
      </c>
      <c r="J357" s="6" t="s">
        <v>15</v>
      </c>
    </row>
    <row r="358" spans="1:10">
      <c r="A358" s="3" t="s">
        <v>33</v>
      </c>
      <c r="B358" s="4" t="s">
        <v>23</v>
      </c>
      <c r="C358" s="4">
        <v>340000</v>
      </c>
      <c r="D358" s="4">
        <v>2050</v>
      </c>
      <c r="E358" s="4">
        <v>2024</v>
      </c>
      <c r="F358" s="4">
        <v>5.3</v>
      </c>
      <c r="G358" s="8">
        <v>10</v>
      </c>
      <c r="H358" s="4" t="s">
        <v>19</v>
      </c>
      <c r="I358" s="4" t="s">
        <v>20</v>
      </c>
      <c r="J358" s="4" t="s">
        <v>21</v>
      </c>
    </row>
    <row r="359" spans="1:10">
      <c r="A359" s="5" t="s">
        <v>35</v>
      </c>
      <c r="B359" s="6" t="s">
        <v>17</v>
      </c>
      <c r="C359" s="6">
        <v>180000</v>
      </c>
      <c r="D359" s="6">
        <v>2200</v>
      </c>
      <c r="E359" s="6">
        <v>2023</v>
      </c>
      <c r="F359" s="6">
        <v>6.4</v>
      </c>
      <c r="G359" s="6" t="s">
        <v>36</v>
      </c>
      <c r="H359" s="6" t="s">
        <v>25</v>
      </c>
      <c r="I359" s="6" t="s">
        <v>20</v>
      </c>
      <c r="J359" s="6" t="s">
        <v>21</v>
      </c>
    </row>
    <row r="360" spans="1:10">
      <c r="A360" s="3" t="s">
        <v>37</v>
      </c>
      <c r="B360" s="4" t="s">
        <v>11</v>
      </c>
      <c r="C360" s="4">
        <v>540000</v>
      </c>
      <c r="D360" s="4">
        <v>1530</v>
      </c>
      <c r="E360" s="4">
        <v>2024</v>
      </c>
      <c r="F360" s="4">
        <v>5.0999999999999996</v>
      </c>
      <c r="G360" s="4" t="s">
        <v>38</v>
      </c>
      <c r="H360" s="4" t="s">
        <v>13</v>
      </c>
      <c r="I360" s="4" t="s">
        <v>14</v>
      </c>
      <c r="J360" s="4" t="s">
        <v>29</v>
      </c>
    </row>
    <row r="361" spans="1:10">
      <c r="A361" s="5" t="s">
        <v>10</v>
      </c>
      <c r="B361" s="6" t="s">
        <v>17</v>
      </c>
      <c r="C361" s="6">
        <v>470000</v>
      </c>
      <c r="D361" s="6">
        <v>2680</v>
      </c>
      <c r="E361" s="6">
        <v>2024</v>
      </c>
      <c r="F361" s="6">
        <v>5</v>
      </c>
      <c r="G361" s="6" t="s">
        <v>18</v>
      </c>
      <c r="H361" s="6" t="s">
        <v>19</v>
      </c>
      <c r="I361" s="6" t="s">
        <v>20</v>
      </c>
      <c r="J361" s="6" t="s">
        <v>21</v>
      </c>
    </row>
    <row r="362" spans="1:10">
      <c r="A362" s="3" t="s">
        <v>16</v>
      </c>
      <c r="B362" s="4" t="s">
        <v>27</v>
      </c>
      <c r="C362" s="4">
        <v>440000</v>
      </c>
      <c r="D362" s="4">
        <v>2120</v>
      </c>
      <c r="E362" s="4">
        <v>2023</v>
      </c>
      <c r="F362" s="4">
        <v>6.1</v>
      </c>
      <c r="G362" s="4" t="s">
        <v>28</v>
      </c>
      <c r="H362" s="4" t="s">
        <v>13</v>
      </c>
      <c r="I362" s="4" t="s">
        <v>20</v>
      </c>
      <c r="J362" s="4" t="s">
        <v>29</v>
      </c>
    </row>
    <row r="363" spans="1:10">
      <c r="A363" s="5" t="s">
        <v>22</v>
      </c>
      <c r="B363" s="6" t="s">
        <v>11</v>
      </c>
      <c r="C363" s="6">
        <v>405000</v>
      </c>
      <c r="D363" s="6">
        <v>1460</v>
      </c>
      <c r="E363" s="6">
        <v>2024</v>
      </c>
      <c r="F363" s="6">
        <v>5.3</v>
      </c>
      <c r="G363" s="6" t="s">
        <v>12</v>
      </c>
      <c r="H363" s="6" t="s">
        <v>19</v>
      </c>
      <c r="I363" s="6" t="s">
        <v>14</v>
      </c>
      <c r="J363" s="6" t="s">
        <v>15</v>
      </c>
    </row>
    <row r="364" spans="1:10">
      <c r="A364" s="3" t="s">
        <v>26</v>
      </c>
      <c r="B364" s="4" t="s">
        <v>23</v>
      </c>
      <c r="C364" s="4">
        <v>255000</v>
      </c>
      <c r="D364" s="4">
        <v>2200</v>
      </c>
      <c r="E364" s="4">
        <v>2023</v>
      </c>
      <c r="F364" s="4">
        <v>6.5</v>
      </c>
      <c r="G364" s="4" t="s">
        <v>24</v>
      </c>
      <c r="H364" s="4" t="s">
        <v>25</v>
      </c>
      <c r="I364" s="4" t="s">
        <v>20</v>
      </c>
      <c r="J364" s="4" t="s">
        <v>21</v>
      </c>
    </row>
    <row r="365" spans="1:10">
      <c r="A365" s="5" t="s">
        <v>30</v>
      </c>
      <c r="B365" s="6" t="s">
        <v>27</v>
      </c>
      <c r="C365" s="6">
        <v>345000</v>
      </c>
      <c r="D365" s="6">
        <v>1620</v>
      </c>
      <c r="E365" s="6">
        <v>2024</v>
      </c>
      <c r="F365" s="6">
        <v>5.4</v>
      </c>
      <c r="G365" s="6" t="s">
        <v>39</v>
      </c>
      <c r="H365" s="6" t="s">
        <v>19</v>
      </c>
      <c r="I365" s="6" t="s">
        <v>20</v>
      </c>
      <c r="J365" s="6" t="s">
        <v>29</v>
      </c>
    </row>
    <row r="366" spans="1:10">
      <c r="A366" s="3" t="s">
        <v>32</v>
      </c>
      <c r="B366" s="4" t="s">
        <v>17</v>
      </c>
      <c r="C366" s="4">
        <v>240000</v>
      </c>
      <c r="D366" s="4">
        <v>2230</v>
      </c>
      <c r="E366" s="4">
        <v>2024</v>
      </c>
      <c r="F366" s="4">
        <v>5.3</v>
      </c>
      <c r="G366" s="4" t="s">
        <v>40</v>
      </c>
      <c r="H366" s="4" t="s">
        <v>25</v>
      </c>
      <c r="I366" s="4" t="s">
        <v>20</v>
      </c>
      <c r="J366" s="4" t="s">
        <v>21</v>
      </c>
    </row>
    <row r="367" spans="1:10">
      <c r="A367" s="5" t="s">
        <v>33</v>
      </c>
      <c r="B367" s="6" t="s">
        <v>11</v>
      </c>
      <c r="C367" s="6">
        <v>510000</v>
      </c>
      <c r="D367" s="6">
        <v>1450</v>
      </c>
      <c r="E367" s="6">
        <v>2023</v>
      </c>
      <c r="F367" s="6">
        <v>6.2</v>
      </c>
      <c r="G367" s="6" t="s">
        <v>41</v>
      </c>
      <c r="H367" s="6" t="s">
        <v>13</v>
      </c>
      <c r="I367" s="6" t="s">
        <v>14</v>
      </c>
      <c r="J367" s="6" t="s">
        <v>15</v>
      </c>
    </row>
    <row r="368" spans="1:10">
      <c r="A368" s="3" t="s">
        <v>35</v>
      </c>
      <c r="B368" s="4" t="s">
        <v>23</v>
      </c>
      <c r="C368" s="4">
        <v>225000</v>
      </c>
      <c r="D368" s="4">
        <v>1880</v>
      </c>
      <c r="E368" s="4">
        <v>2024</v>
      </c>
      <c r="F368" s="4">
        <v>5.3</v>
      </c>
      <c r="G368" s="4" t="s">
        <v>42</v>
      </c>
      <c r="H368" s="4" t="s">
        <v>25</v>
      </c>
      <c r="I368" s="4" t="s">
        <v>20</v>
      </c>
      <c r="J368" s="4" t="s">
        <v>21</v>
      </c>
    </row>
    <row r="369" spans="1:10">
      <c r="A369" s="5" t="s">
        <v>37</v>
      </c>
      <c r="B369" s="6" t="s">
        <v>17</v>
      </c>
      <c r="C369" s="6">
        <v>290000</v>
      </c>
      <c r="D369" s="6">
        <v>2510</v>
      </c>
      <c r="E369" s="6">
        <v>2024</v>
      </c>
      <c r="F369" s="6">
        <v>5.2</v>
      </c>
      <c r="G369" s="6" t="s">
        <v>24</v>
      </c>
      <c r="H369" s="6" t="s">
        <v>19</v>
      </c>
      <c r="I369" s="6" t="s">
        <v>20</v>
      </c>
      <c r="J369" s="6" t="s">
        <v>21</v>
      </c>
    </row>
    <row r="370" spans="1:10">
      <c r="A370" s="3" t="s">
        <v>10</v>
      </c>
      <c r="B370" s="4" t="s">
        <v>23</v>
      </c>
      <c r="C370" s="4">
        <v>580000</v>
      </c>
      <c r="D370" s="4">
        <v>2300</v>
      </c>
      <c r="E370" s="4">
        <v>2024</v>
      </c>
      <c r="F370" s="4">
        <v>5.0999999999999996</v>
      </c>
      <c r="G370" s="4" t="s">
        <v>28</v>
      </c>
      <c r="H370" s="4" t="s">
        <v>13</v>
      </c>
      <c r="I370" s="4" t="s">
        <v>20</v>
      </c>
      <c r="J370" s="4" t="s">
        <v>29</v>
      </c>
    </row>
    <row r="371" spans="1:10">
      <c r="A371" s="5" t="s">
        <v>16</v>
      </c>
      <c r="B371" s="6" t="s">
        <v>11</v>
      </c>
      <c r="C371" s="6">
        <v>600000</v>
      </c>
      <c r="D371" s="6">
        <v>1650</v>
      </c>
      <c r="E371" s="6">
        <v>2024</v>
      </c>
      <c r="F371" s="6">
        <v>5.3</v>
      </c>
      <c r="G371" s="6" t="s">
        <v>38</v>
      </c>
      <c r="H371" s="6" t="s">
        <v>43</v>
      </c>
      <c r="I371" s="6" t="s">
        <v>14</v>
      </c>
      <c r="J371" s="6" t="s">
        <v>15</v>
      </c>
    </row>
    <row r="372" spans="1:10">
      <c r="A372" s="3" t="s">
        <v>22</v>
      </c>
      <c r="B372" s="4" t="s">
        <v>17</v>
      </c>
      <c r="C372" s="4">
        <v>218000</v>
      </c>
      <c r="D372" s="4">
        <v>2500</v>
      </c>
      <c r="E372" s="4">
        <v>2023</v>
      </c>
      <c r="F372" s="4">
        <v>6.4</v>
      </c>
      <c r="G372" s="4" t="s">
        <v>36</v>
      </c>
      <c r="H372" s="4" t="s">
        <v>25</v>
      </c>
      <c r="I372" s="4" t="s">
        <v>20</v>
      </c>
      <c r="J372" s="4" t="s">
        <v>21</v>
      </c>
    </row>
    <row r="373" spans="1:10">
      <c r="A373" s="5" t="s">
        <v>26</v>
      </c>
      <c r="B373" s="6" t="s">
        <v>11</v>
      </c>
      <c r="C373" s="6">
        <v>395000</v>
      </c>
      <c r="D373" s="6">
        <v>1400</v>
      </c>
      <c r="E373" s="6">
        <v>2024</v>
      </c>
      <c r="F373" s="6">
        <v>5.4</v>
      </c>
      <c r="G373" s="6" t="s">
        <v>41</v>
      </c>
      <c r="H373" s="6" t="s">
        <v>13</v>
      </c>
      <c r="I373" s="6" t="s">
        <v>14</v>
      </c>
      <c r="J373" s="6" t="s">
        <v>29</v>
      </c>
    </row>
    <row r="374" spans="1:10">
      <c r="A374" s="3" t="s">
        <v>30</v>
      </c>
      <c r="B374" s="4" t="s">
        <v>23</v>
      </c>
      <c r="C374" s="4">
        <v>295000</v>
      </c>
      <c r="D374" s="4">
        <v>1940</v>
      </c>
      <c r="E374" s="4">
        <v>2023</v>
      </c>
      <c r="F374" s="4">
        <v>6.5</v>
      </c>
      <c r="G374" s="4" t="s">
        <v>24</v>
      </c>
      <c r="H374" s="4" t="s">
        <v>19</v>
      </c>
      <c r="I374" s="4" t="s">
        <v>20</v>
      </c>
      <c r="J374" s="4" t="s">
        <v>21</v>
      </c>
    </row>
    <row r="375" spans="1:10">
      <c r="A375" s="5" t="s">
        <v>32</v>
      </c>
      <c r="B375" s="6" t="s">
        <v>27</v>
      </c>
      <c r="C375" s="6">
        <v>355000</v>
      </c>
      <c r="D375" s="6">
        <v>1700</v>
      </c>
      <c r="E375" s="6">
        <v>2024</v>
      </c>
      <c r="F375" s="6">
        <v>5.3</v>
      </c>
      <c r="G375" s="6" t="s">
        <v>12</v>
      </c>
      <c r="H375" s="6" t="s">
        <v>13</v>
      </c>
      <c r="I375" s="6" t="s">
        <v>20</v>
      </c>
      <c r="J375" s="6" t="s">
        <v>29</v>
      </c>
    </row>
    <row r="376" spans="1:10">
      <c r="A376" s="3" t="s">
        <v>33</v>
      </c>
      <c r="B376" s="4" t="s">
        <v>17</v>
      </c>
      <c r="C376" s="4">
        <v>280000</v>
      </c>
      <c r="D376" s="4">
        <v>2330</v>
      </c>
      <c r="E376" s="4">
        <v>2024</v>
      </c>
      <c r="F376" s="4">
        <v>5.2</v>
      </c>
      <c r="G376" s="4" t="s">
        <v>18</v>
      </c>
      <c r="H376" s="4" t="s">
        <v>19</v>
      </c>
      <c r="I376" s="4" t="s">
        <v>20</v>
      </c>
      <c r="J376" s="4" t="s">
        <v>21</v>
      </c>
    </row>
    <row r="377" spans="1:10">
      <c r="A377" s="5" t="s">
        <v>35</v>
      </c>
      <c r="B377" s="6" t="s">
        <v>11</v>
      </c>
      <c r="C377" s="6">
        <v>350000</v>
      </c>
      <c r="D377" s="6">
        <v>1120</v>
      </c>
      <c r="E377" s="6">
        <v>2023</v>
      </c>
      <c r="F377" s="6">
        <v>6.6</v>
      </c>
      <c r="G377" s="6" t="s">
        <v>44</v>
      </c>
      <c r="H377" s="6" t="s">
        <v>13</v>
      </c>
      <c r="I377" s="6" t="s">
        <v>14</v>
      </c>
      <c r="J377" s="6" t="s">
        <v>15</v>
      </c>
    </row>
    <row r="378" spans="1:10">
      <c r="A378" s="3" t="s">
        <v>37</v>
      </c>
      <c r="B378" s="4" t="s">
        <v>27</v>
      </c>
      <c r="C378" s="4">
        <v>420000</v>
      </c>
      <c r="D378" s="4">
        <v>1950</v>
      </c>
      <c r="E378" s="4">
        <v>2024</v>
      </c>
      <c r="F378" s="4">
        <v>5.2</v>
      </c>
      <c r="G378" s="4" t="s">
        <v>28</v>
      </c>
      <c r="H378" s="4" t="s">
        <v>13</v>
      </c>
      <c r="I378" s="4" t="s">
        <v>20</v>
      </c>
      <c r="J378" s="4" t="s">
        <v>29</v>
      </c>
    </row>
    <row r="379" spans="1:10">
      <c r="A379" s="5" t="s">
        <v>10</v>
      </c>
      <c r="B379" s="6" t="s">
        <v>11</v>
      </c>
      <c r="C379" s="6">
        <v>830000</v>
      </c>
      <c r="D379" s="6">
        <v>1620</v>
      </c>
      <c r="E379" s="6">
        <v>2023</v>
      </c>
      <c r="F379" s="6">
        <v>6</v>
      </c>
      <c r="G379" s="6" t="s">
        <v>41</v>
      </c>
      <c r="H379" s="6" t="s">
        <v>43</v>
      </c>
      <c r="I379" s="6" t="s">
        <v>14</v>
      </c>
      <c r="J379" s="6" t="s">
        <v>15</v>
      </c>
    </row>
    <row r="380" spans="1:10">
      <c r="A380" s="3" t="s">
        <v>16</v>
      </c>
      <c r="B380" s="4" t="s">
        <v>23</v>
      </c>
      <c r="C380" s="4">
        <v>380000</v>
      </c>
      <c r="D380" s="4">
        <v>2400</v>
      </c>
      <c r="E380" s="4">
        <v>2024</v>
      </c>
      <c r="F380" s="4">
        <v>5.4</v>
      </c>
      <c r="G380" s="4" t="s">
        <v>24</v>
      </c>
      <c r="H380" s="4" t="s">
        <v>19</v>
      </c>
      <c r="I380" s="4" t="s">
        <v>20</v>
      </c>
      <c r="J380" s="4" t="s">
        <v>21</v>
      </c>
    </row>
    <row r="381" spans="1:10">
      <c r="A381" s="5" t="s">
        <v>22</v>
      </c>
      <c r="B381" s="6" t="s">
        <v>27</v>
      </c>
      <c r="C381" s="6">
        <v>315000</v>
      </c>
      <c r="D381" s="6">
        <v>1980</v>
      </c>
      <c r="E381" s="6">
        <v>2024</v>
      </c>
      <c r="F381" s="6">
        <v>5.5</v>
      </c>
      <c r="G381" s="6" t="s">
        <v>18</v>
      </c>
      <c r="H381" s="6" t="s">
        <v>19</v>
      </c>
      <c r="I381" s="6" t="s">
        <v>20</v>
      </c>
      <c r="J381" s="6" t="s">
        <v>29</v>
      </c>
    </row>
    <row r="382" spans="1:10">
      <c r="A382" s="3" t="s">
        <v>26</v>
      </c>
      <c r="B382" s="4" t="s">
        <v>17</v>
      </c>
      <c r="C382" s="4">
        <v>205000</v>
      </c>
      <c r="D382" s="4">
        <v>2420</v>
      </c>
      <c r="E382" s="4">
        <v>2023</v>
      </c>
      <c r="F382" s="4">
        <v>6.6</v>
      </c>
      <c r="G382" s="4" t="s">
        <v>36</v>
      </c>
      <c r="H382" s="4" t="s">
        <v>25</v>
      </c>
      <c r="I382" s="4" t="s">
        <v>20</v>
      </c>
      <c r="J382" s="4" t="s">
        <v>21</v>
      </c>
    </row>
    <row r="383" spans="1:10">
      <c r="A383" s="5" t="s">
        <v>30</v>
      </c>
      <c r="B383" s="6" t="s">
        <v>11</v>
      </c>
      <c r="C383" s="6">
        <v>435000</v>
      </c>
      <c r="D383" s="6">
        <v>1210</v>
      </c>
      <c r="E383" s="6">
        <v>2024</v>
      </c>
      <c r="F383" s="6">
        <v>5.3</v>
      </c>
      <c r="G383" s="6" t="s">
        <v>38</v>
      </c>
      <c r="H383" s="6" t="s">
        <v>13</v>
      </c>
      <c r="I383" s="6" t="s">
        <v>14</v>
      </c>
      <c r="J383" s="6" t="s">
        <v>15</v>
      </c>
    </row>
    <row r="384" spans="1:10">
      <c r="A384" s="3" t="s">
        <v>32</v>
      </c>
      <c r="B384" s="4" t="s">
        <v>23</v>
      </c>
      <c r="C384" s="4">
        <v>300000</v>
      </c>
      <c r="D384" s="4">
        <v>2000</v>
      </c>
      <c r="E384" s="4">
        <v>2023</v>
      </c>
      <c r="F384" s="4">
        <v>6.4</v>
      </c>
      <c r="G384" s="4" t="s">
        <v>24</v>
      </c>
      <c r="H384" s="4" t="s">
        <v>19</v>
      </c>
      <c r="I384" s="4" t="s">
        <v>20</v>
      </c>
      <c r="J384" s="4" t="s">
        <v>21</v>
      </c>
    </row>
    <row r="385" spans="1:10">
      <c r="A385" s="5" t="s">
        <v>33</v>
      </c>
      <c r="B385" s="6" t="s">
        <v>27</v>
      </c>
      <c r="C385" s="6">
        <v>390000</v>
      </c>
      <c r="D385" s="6">
        <v>1850</v>
      </c>
      <c r="E385" s="6">
        <v>2024</v>
      </c>
      <c r="F385" s="6">
        <v>5.2</v>
      </c>
      <c r="G385" s="6" t="s">
        <v>28</v>
      </c>
      <c r="H385" s="6" t="s">
        <v>13</v>
      </c>
      <c r="I385" s="6" t="s">
        <v>20</v>
      </c>
      <c r="J385" s="6" t="s">
        <v>29</v>
      </c>
    </row>
    <row r="386" spans="1:10">
      <c r="A386" s="3" t="s">
        <v>35</v>
      </c>
      <c r="B386" s="4" t="s">
        <v>17</v>
      </c>
      <c r="C386" s="4">
        <v>185000</v>
      </c>
      <c r="D386" s="4">
        <v>2140</v>
      </c>
      <c r="E386" s="4">
        <v>2024</v>
      </c>
      <c r="F386" s="4">
        <v>5.4</v>
      </c>
      <c r="G386" s="4" t="s">
        <v>31</v>
      </c>
      <c r="H386" s="4" t="s">
        <v>25</v>
      </c>
      <c r="I386" s="4" t="s">
        <v>20</v>
      </c>
      <c r="J386" s="4" t="s">
        <v>21</v>
      </c>
    </row>
    <row r="387" spans="1:10">
      <c r="A387" s="5" t="s">
        <v>37</v>
      </c>
      <c r="B387" s="6" t="s">
        <v>11</v>
      </c>
      <c r="C387" s="6">
        <v>540000</v>
      </c>
      <c r="D387" s="6">
        <v>1550</v>
      </c>
      <c r="E387" s="6">
        <v>2023</v>
      </c>
      <c r="F387" s="6">
        <v>6.1</v>
      </c>
      <c r="G387" s="6" t="s">
        <v>41</v>
      </c>
      <c r="H387" s="6" t="s">
        <v>13</v>
      </c>
      <c r="I387" s="6" t="s">
        <v>14</v>
      </c>
      <c r="J387" s="6" t="s">
        <v>15</v>
      </c>
    </row>
    <row r="388" spans="1:10">
      <c r="A388" s="3" t="s">
        <v>10</v>
      </c>
      <c r="B388" s="4" t="s">
        <v>17</v>
      </c>
      <c r="C388" s="4">
        <v>460000</v>
      </c>
      <c r="D388" s="4">
        <v>2700</v>
      </c>
      <c r="E388" s="4">
        <v>2023</v>
      </c>
      <c r="F388" s="4">
        <v>6</v>
      </c>
      <c r="G388" s="4" t="s">
        <v>24</v>
      </c>
      <c r="H388" s="4" t="s">
        <v>19</v>
      </c>
      <c r="I388" s="4" t="s">
        <v>20</v>
      </c>
      <c r="J388" s="4" t="s">
        <v>21</v>
      </c>
    </row>
    <row r="389" spans="1:10">
      <c r="A389" s="5" t="s">
        <v>16</v>
      </c>
      <c r="B389" s="6" t="s">
        <v>27</v>
      </c>
      <c r="C389" s="6">
        <v>450000</v>
      </c>
      <c r="D389" s="6">
        <v>2150</v>
      </c>
      <c r="E389" s="6">
        <v>2024</v>
      </c>
      <c r="F389" s="6">
        <v>5.3</v>
      </c>
      <c r="G389" s="6" t="s">
        <v>28</v>
      </c>
      <c r="H389" s="6" t="s">
        <v>13</v>
      </c>
      <c r="I389" s="6" t="s">
        <v>20</v>
      </c>
      <c r="J389" s="6" t="s">
        <v>29</v>
      </c>
    </row>
    <row r="390" spans="1:10">
      <c r="A390" s="3" t="s">
        <v>22</v>
      </c>
      <c r="B390" s="4" t="s">
        <v>23</v>
      </c>
      <c r="C390" s="4">
        <v>270000</v>
      </c>
      <c r="D390" s="4">
        <v>2300</v>
      </c>
      <c r="E390" s="4">
        <v>2024</v>
      </c>
      <c r="F390" s="4">
        <v>5.4</v>
      </c>
      <c r="G390" s="4" t="s">
        <v>24</v>
      </c>
      <c r="H390" s="4" t="s">
        <v>25</v>
      </c>
      <c r="I390" s="4" t="s">
        <v>20</v>
      </c>
      <c r="J390" s="4" t="s">
        <v>21</v>
      </c>
    </row>
    <row r="391" spans="1:10">
      <c r="A391" s="5" t="s">
        <v>26</v>
      </c>
      <c r="B391" s="6" t="s">
        <v>11</v>
      </c>
      <c r="C391" s="6">
        <v>400000</v>
      </c>
      <c r="D391" s="6">
        <v>1420</v>
      </c>
      <c r="E391" s="6">
        <v>2023</v>
      </c>
      <c r="F391" s="6">
        <v>6.2</v>
      </c>
      <c r="G391" s="6" t="s">
        <v>41</v>
      </c>
      <c r="H391" s="6" t="s">
        <v>13</v>
      </c>
      <c r="I391" s="6" t="s">
        <v>14</v>
      </c>
      <c r="J391" s="6" t="s">
        <v>15</v>
      </c>
    </row>
    <row r="392" spans="1:10">
      <c r="A392" s="3" t="s">
        <v>30</v>
      </c>
      <c r="B392" s="4" t="s">
        <v>17</v>
      </c>
      <c r="C392" s="4">
        <v>235000</v>
      </c>
      <c r="D392" s="4">
        <v>2180</v>
      </c>
      <c r="E392" s="4">
        <v>2024</v>
      </c>
      <c r="F392" s="4">
        <v>5.4</v>
      </c>
      <c r="G392" s="4" t="s">
        <v>36</v>
      </c>
      <c r="H392" s="4" t="s">
        <v>25</v>
      </c>
      <c r="I392" s="4" t="s">
        <v>20</v>
      </c>
      <c r="J392" s="4" t="s">
        <v>21</v>
      </c>
    </row>
    <row r="393" spans="1:10">
      <c r="A393" s="5" t="s">
        <v>32</v>
      </c>
      <c r="B393" s="6" t="s">
        <v>11</v>
      </c>
      <c r="C393" s="6">
        <v>460000</v>
      </c>
      <c r="D393" s="6">
        <v>1380</v>
      </c>
      <c r="E393" s="6">
        <v>2024</v>
      </c>
      <c r="F393" s="6">
        <v>5.2</v>
      </c>
      <c r="G393" s="6" t="s">
        <v>41</v>
      </c>
      <c r="H393" s="6" t="s">
        <v>13</v>
      </c>
      <c r="I393" s="6" t="s">
        <v>14</v>
      </c>
      <c r="J393" s="6" t="s">
        <v>15</v>
      </c>
    </row>
    <row r="394" spans="1:10">
      <c r="A394" s="3" t="s">
        <v>33</v>
      </c>
      <c r="B394" s="4" t="s">
        <v>23</v>
      </c>
      <c r="C394" s="4">
        <v>345000</v>
      </c>
      <c r="D394" s="4">
        <v>2080</v>
      </c>
      <c r="E394" s="4">
        <v>2024</v>
      </c>
      <c r="F394" s="4">
        <v>5.3</v>
      </c>
      <c r="G394" s="4" t="s">
        <v>24</v>
      </c>
      <c r="H394" s="4" t="s">
        <v>19</v>
      </c>
      <c r="I394" s="4" t="s">
        <v>20</v>
      </c>
      <c r="J394" s="4" t="s">
        <v>21</v>
      </c>
    </row>
    <row r="395" spans="1:10">
      <c r="A395" s="5" t="s">
        <v>35</v>
      </c>
      <c r="B395" s="6" t="s">
        <v>27</v>
      </c>
      <c r="C395" s="6">
        <v>280000</v>
      </c>
      <c r="D395" s="6">
        <v>1650</v>
      </c>
      <c r="E395" s="6">
        <v>2023</v>
      </c>
      <c r="F395" s="6">
        <v>6.5</v>
      </c>
      <c r="G395" s="6" t="s">
        <v>18</v>
      </c>
      <c r="H395" s="6" t="s">
        <v>19</v>
      </c>
      <c r="I395" s="6" t="s">
        <v>20</v>
      </c>
      <c r="J395" s="6" t="s">
        <v>29</v>
      </c>
    </row>
    <row r="396" spans="1:10">
      <c r="A396" s="3" t="s">
        <v>37</v>
      </c>
      <c r="B396" s="4" t="s">
        <v>17</v>
      </c>
      <c r="C396" s="4">
        <v>295000</v>
      </c>
      <c r="D396" s="4">
        <v>2530</v>
      </c>
      <c r="E396" s="4">
        <v>2023</v>
      </c>
      <c r="F396" s="4">
        <v>6</v>
      </c>
      <c r="G396" s="4" t="s">
        <v>24</v>
      </c>
      <c r="H396" s="4" t="s">
        <v>19</v>
      </c>
      <c r="I396" s="4" t="s">
        <v>20</v>
      </c>
      <c r="J396" s="4" t="s">
        <v>21</v>
      </c>
    </row>
    <row r="397" spans="1:10">
      <c r="A397" s="5" t="s">
        <v>10</v>
      </c>
      <c r="B397" s="6" t="s">
        <v>23</v>
      </c>
      <c r="C397" s="6">
        <v>575000</v>
      </c>
      <c r="D397" s="6">
        <v>2320</v>
      </c>
      <c r="E397" s="6">
        <v>2023</v>
      </c>
      <c r="F397" s="6">
        <v>6.1</v>
      </c>
      <c r="G397" s="6" t="s">
        <v>28</v>
      </c>
      <c r="H397" s="6" t="s">
        <v>13</v>
      </c>
      <c r="I397" s="6" t="s">
        <v>20</v>
      </c>
      <c r="J397" s="6" t="s">
        <v>29</v>
      </c>
    </row>
    <row r="398" spans="1:10">
      <c r="A398" s="3" t="s">
        <v>16</v>
      </c>
      <c r="B398" s="4" t="s">
        <v>11</v>
      </c>
      <c r="C398" s="4">
        <v>590000</v>
      </c>
      <c r="D398" s="4">
        <v>1680</v>
      </c>
      <c r="E398" s="4">
        <v>2023</v>
      </c>
      <c r="F398" s="4">
        <v>6</v>
      </c>
      <c r="G398" s="4" t="s">
        <v>38</v>
      </c>
      <c r="H398" s="4" t="s">
        <v>43</v>
      </c>
      <c r="I398" s="4" t="s">
        <v>14</v>
      </c>
      <c r="J398" s="4" t="s">
        <v>15</v>
      </c>
    </row>
    <row r="399" spans="1:10">
      <c r="A399" s="5" t="s">
        <v>22</v>
      </c>
      <c r="B399" s="6" t="s">
        <v>17</v>
      </c>
      <c r="C399" s="6">
        <v>220000</v>
      </c>
      <c r="D399" s="6">
        <v>2520</v>
      </c>
      <c r="E399" s="6">
        <v>2024</v>
      </c>
      <c r="F399" s="6">
        <v>5.4</v>
      </c>
      <c r="G399" s="6" t="s">
        <v>36</v>
      </c>
      <c r="H399" s="6" t="s">
        <v>25</v>
      </c>
      <c r="I399" s="6" t="s">
        <v>20</v>
      </c>
      <c r="J399" s="6" t="s">
        <v>21</v>
      </c>
    </row>
    <row r="400" spans="1:10">
      <c r="A400" s="3" t="s">
        <v>26</v>
      </c>
      <c r="B400" s="4" t="s">
        <v>27</v>
      </c>
      <c r="C400" s="4">
        <v>320000</v>
      </c>
      <c r="D400" s="4">
        <v>1920</v>
      </c>
      <c r="E400" s="4">
        <v>2024</v>
      </c>
      <c r="F400" s="4">
        <v>5.5</v>
      </c>
      <c r="G400" s="4" t="s">
        <v>18</v>
      </c>
      <c r="H400" s="4" t="s">
        <v>19</v>
      </c>
      <c r="I400" s="4" t="s">
        <v>20</v>
      </c>
      <c r="J400" s="4" t="s">
        <v>29</v>
      </c>
    </row>
    <row r="401" spans="1:10">
      <c r="A401" s="5" t="s">
        <v>30</v>
      </c>
      <c r="B401" s="6" t="s">
        <v>23</v>
      </c>
      <c r="C401" s="6">
        <v>300000</v>
      </c>
      <c r="D401" s="6">
        <v>1980</v>
      </c>
      <c r="E401" s="6">
        <v>2024</v>
      </c>
      <c r="F401" s="6">
        <v>5.4</v>
      </c>
      <c r="G401" s="6" t="s">
        <v>24</v>
      </c>
      <c r="H401" s="6" t="s">
        <v>19</v>
      </c>
      <c r="I401" s="6" t="s">
        <v>20</v>
      </c>
      <c r="J401" s="6" t="s">
        <v>21</v>
      </c>
    </row>
    <row r="402" spans="1:10">
      <c r="A402" s="3" t="s">
        <v>32</v>
      </c>
      <c r="B402" s="4" t="s">
        <v>17</v>
      </c>
      <c r="C402" s="4">
        <v>240000</v>
      </c>
      <c r="D402" s="4">
        <v>2250</v>
      </c>
      <c r="E402" s="4">
        <v>2023</v>
      </c>
      <c r="F402" s="4">
        <v>6.3</v>
      </c>
      <c r="G402" s="4" t="s">
        <v>40</v>
      </c>
      <c r="H402" s="4" t="s">
        <v>25</v>
      </c>
      <c r="I402" s="4" t="s">
        <v>20</v>
      </c>
      <c r="J402" s="4" t="s">
        <v>21</v>
      </c>
    </row>
    <row r="403" spans="1:10">
      <c r="A403" s="5" t="s">
        <v>33</v>
      </c>
      <c r="B403" s="6" t="s">
        <v>11</v>
      </c>
      <c r="C403" s="6">
        <v>510000</v>
      </c>
      <c r="D403" s="6">
        <v>1480</v>
      </c>
      <c r="E403" s="6">
        <v>2024</v>
      </c>
      <c r="F403" s="6">
        <v>5.0999999999999996</v>
      </c>
      <c r="G403" s="6" t="s">
        <v>41</v>
      </c>
      <c r="H403" s="6" t="s">
        <v>13</v>
      </c>
      <c r="I403" s="6" t="s">
        <v>14</v>
      </c>
      <c r="J403" s="6" t="s">
        <v>15</v>
      </c>
    </row>
    <row r="404" spans="1:10">
      <c r="A404" s="3" t="s">
        <v>35</v>
      </c>
      <c r="B404" s="4" t="s">
        <v>23</v>
      </c>
      <c r="C404" s="4">
        <v>230000</v>
      </c>
      <c r="D404" s="4">
        <v>1900</v>
      </c>
      <c r="E404" s="4">
        <v>2023</v>
      </c>
      <c r="F404" s="4">
        <v>6.6</v>
      </c>
      <c r="G404" s="4" t="s">
        <v>42</v>
      </c>
      <c r="H404" s="4" t="s">
        <v>25</v>
      </c>
      <c r="I404" s="4" t="s">
        <v>20</v>
      </c>
      <c r="J404" s="4" t="s">
        <v>21</v>
      </c>
    </row>
    <row r="405" spans="1:10">
      <c r="A405" s="5" t="s">
        <v>37</v>
      </c>
      <c r="B405" s="6" t="s">
        <v>27</v>
      </c>
      <c r="C405" s="6">
        <v>430000</v>
      </c>
      <c r="D405" s="6">
        <v>1980</v>
      </c>
      <c r="E405" s="6">
        <v>2023</v>
      </c>
      <c r="F405" s="6">
        <v>6.1</v>
      </c>
      <c r="G405" s="6" t="s">
        <v>28</v>
      </c>
      <c r="H405" s="6" t="s">
        <v>13</v>
      </c>
      <c r="I405" s="6" t="s">
        <v>20</v>
      </c>
      <c r="J405" s="6" t="s">
        <v>29</v>
      </c>
    </row>
    <row r="406" spans="1:10">
      <c r="A406" s="3" t="s">
        <v>10</v>
      </c>
      <c r="B406" s="4" t="s">
        <v>11</v>
      </c>
      <c r="C406" s="4">
        <v>825000</v>
      </c>
      <c r="D406" s="4">
        <v>1650</v>
      </c>
      <c r="E406" s="4">
        <v>2024</v>
      </c>
      <c r="F406" s="4">
        <v>5</v>
      </c>
      <c r="G406" s="4" t="s">
        <v>41</v>
      </c>
      <c r="H406" s="4" t="s">
        <v>43</v>
      </c>
      <c r="I406" s="4" t="s">
        <v>14</v>
      </c>
      <c r="J406" s="4" t="s">
        <v>15</v>
      </c>
    </row>
    <row r="407" spans="1:10">
      <c r="A407" s="5" t="s">
        <v>16</v>
      </c>
      <c r="B407" s="6" t="s">
        <v>17</v>
      </c>
      <c r="C407" s="6">
        <v>320000</v>
      </c>
      <c r="D407" s="6">
        <v>2350</v>
      </c>
      <c r="E407" s="6">
        <v>2024</v>
      </c>
      <c r="F407" s="6">
        <v>5.2</v>
      </c>
      <c r="G407" s="6" t="s">
        <v>18</v>
      </c>
      <c r="H407" s="6" t="s">
        <v>19</v>
      </c>
      <c r="I407" s="6" t="s">
        <v>20</v>
      </c>
      <c r="J407" s="6" t="s">
        <v>21</v>
      </c>
    </row>
    <row r="408" spans="1:10">
      <c r="A408" s="3" t="s">
        <v>22</v>
      </c>
      <c r="B408" s="4" t="s">
        <v>27</v>
      </c>
      <c r="C408" s="4">
        <v>330000</v>
      </c>
      <c r="D408" s="4">
        <v>2000</v>
      </c>
      <c r="E408" s="4">
        <v>2023</v>
      </c>
      <c r="F408" s="4">
        <v>6.3</v>
      </c>
      <c r="G408" s="4" t="s">
        <v>39</v>
      </c>
      <c r="H408" s="4" t="s">
        <v>19</v>
      </c>
      <c r="I408" s="4" t="s">
        <v>20</v>
      </c>
      <c r="J408" s="4" t="s">
        <v>29</v>
      </c>
    </row>
    <row r="409" spans="1:10">
      <c r="A409" s="5" t="s">
        <v>26</v>
      </c>
      <c r="B409" s="6" t="s">
        <v>17</v>
      </c>
      <c r="C409" s="6">
        <v>210000</v>
      </c>
      <c r="D409" s="6">
        <v>2450</v>
      </c>
      <c r="E409" s="6">
        <v>2024</v>
      </c>
      <c r="F409" s="6">
        <v>5.4</v>
      </c>
      <c r="G409" s="6" t="s">
        <v>36</v>
      </c>
      <c r="H409" s="6" t="s">
        <v>25</v>
      </c>
      <c r="I409" s="6" t="s">
        <v>20</v>
      </c>
      <c r="J409" s="6" t="s">
        <v>21</v>
      </c>
    </row>
    <row r="410" spans="1:10">
      <c r="A410" s="3" t="s">
        <v>30</v>
      </c>
      <c r="B410" s="4" t="s">
        <v>11</v>
      </c>
      <c r="C410" s="4">
        <v>440000</v>
      </c>
      <c r="D410" s="4">
        <v>1240</v>
      </c>
      <c r="E410" s="4">
        <v>2023</v>
      </c>
      <c r="F410" s="4">
        <v>6.2</v>
      </c>
      <c r="G410" s="4" t="s">
        <v>38</v>
      </c>
      <c r="H410" s="4" t="s">
        <v>13</v>
      </c>
      <c r="I410" s="4" t="s">
        <v>14</v>
      </c>
      <c r="J410" s="4" t="s">
        <v>15</v>
      </c>
    </row>
    <row r="411" spans="1:10">
      <c r="A411" s="5" t="s">
        <v>32</v>
      </c>
      <c r="B411" s="6" t="s">
        <v>23</v>
      </c>
      <c r="C411" s="6">
        <v>310000</v>
      </c>
      <c r="D411" s="6">
        <v>2030</v>
      </c>
      <c r="E411" s="6">
        <v>2024</v>
      </c>
      <c r="F411" s="6">
        <v>5.5</v>
      </c>
      <c r="G411" s="6" t="s">
        <v>24</v>
      </c>
      <c r="H411" s="6" t="s">
        <v>19</v>
      </c>
      <c r="I411" s="6" t="s">
        <v>20</v>
      </c>
      <c r="J411" s="6" t="s">
        <v>21</v>
      </c>
    </row>
    <row r="412" spans="1:10">
      <c r="A412" s="3" t="s">
        <v>33</v>
      </c>
      <c r="B412" s="4" t="s">
        <v>27</v>
      </c>
      <c r="C412" s="4">
        <v>400000</v>
      </c>
      <c r="D412" s="4">
        <v>1880</v>
      </c>
      <c r="E412" s="4">
        <v>2023</v>
      </c>
      <c r="F412" s="4">
        <v>6.1</v>
      </c>
      <c r="G412" s="4" t="s">
        <v>28</v>
      </c>
      <c r="H412" s="4" t="s">
        <v>13</v>
      </c>
      <c r="I412" s="4" t="s">
        <v>20</v>
      </c>
      <c r="J412" s="4" t="s">
        <v>29</v>
      </c>
    </row>
    <row r="413" spans="1:10">
      <c r="A413" s="5" t="s">
        <v>35</v>
      </c>
      <c r="B413" s="6" t="s">
        <v>17</v>
      </c>
      <c r="C413" s="6">
        <v>185000</v>
      </c>
      <c r="D413" s="6">
        <v>2160</v>
      </c>
      <c r="E413" s="6">
        <v>2023</v>
      </c>
      <c r="F413" s="6">
        <v>6.4</v>
      </c>
      <c r="G413" s="6" t="s">
        <v>31</v>
      </c>
      <c r="H413" s="6" t="s">
        <v>25</v>
      </c>
      <c r="I413" s="6" t="s">
        <v>20</v>
      </c>
      <c r="J413" s="6" t="s">
        <v>21</v>
      </c>
    </row>
    <row r="414" spans="1:10">
      <c r="A414" s="3" t="s">
        <v>37</v>
      </c>
      <c r="B414" s="4" t="s">
        <v>11</v>
      </c>
      <c r="C414" s="4">
        <v>550000</v>
      </c>
      <c r="D414" s="4">
        <v>1580</v>
      </c>
      <c r="E414" s="4">
        <v>2024</v>
      </c>
      <c r="F414" s="4">
        <v>5.0999999999999996</v>
      </c>
      <c r="G414" s="4" t="s">
        <v>41</v>
      </c>
      <c r="H414" s="4" t="s">
        <v>13</v>
      </c>
      <c r="I414" s="4" t="s">
        <v>14</v>
      </c>
      <c r="J414" s="4" t="s">
        <v>15</v>
      </c>
    </row>
    <row r="415" spans="1:10">
      <c r="A415" s="5" t="s">
        <v>10</v>
      </c>
      <c r="B415" s="6" t="s">
        <v>17</v>
      </c>
      <c r="C415" s="6">
        <v>470000</v>
      </c>
      <c r="D415" s="6">
        <v>2720</v>
      </c>
      <c r="E415" s="6">
        <v>2024</v>
      </c>
      <c r="F415" s="6">
        <v>5</v>
      </c>
      <c r="G415" s="6" t="s">
        <v>24</v>
      </c>
      <c r="H415" s="6" t="s">
        <v>19</v>
      </c>
      <c r="I415" s="6" t="s">
        <v>20</v>
      </c>
      <c r="J415" s="6" t="s">
        <v>21</v>
      </c>
    </row>
    <row r="416" spans="1:10">
      <c r="A416" s="3" t="s">
        <v>16</v>
      </c>
      <c r="B416" s="4" t="s">
        <v>27</v>
      </c>
      <c r="C416" s="4">
        <v>455000</v>
      </c>
      <c r="D416" s="4">
        <v>2180</v>
      </c>
      <c r="E416" s="4">
        <v>2023</v>
      </c>
      <c r="F416" s="4">
        <v>6</v>
      </c>
      <c r="G416" s="4" t="s">
        <v>28</v>
      </c>
      <c r="H416" s="4" t="s">
        <v>13</v>
      </c>
      <c r="I416" s="4" t="s">
        <v>20</v>
      </c>
      <c r="J416" s="4" t="s">
        <v>29</v>
      </c>
    </row>
    <row r="417" spans="1:10">
      <c r="A417" s="5" t="s">
        <v>22</v>
      </c>
      <c r="B417" s="6" t="s">
        <v>23</v>
      </c>
      <c r="C417" s="6">
        <v>275000</v>
      </c>
      <c r="D417" s="6">
        <v>2330</v>
      </c>
      <c r="E417" s="6">
        <v>2023</v>
      </c>
      <c r="F417" s="6">
        <v>6.3</v>
      </c>
      <c r="G417" s="6" t="s">
        <v>24</v>
      </c>
      <c r="H417" s="6" t="s">
        <v>25</v>
      </c>
      <c r="I417" s="6" t="s">
        <v>20</v>
      </c>
      <c r="J417" s="6" t="s">
        <v>21</v>
      </c>
    </row>
    <row r="418" spans="1:10">
      <c r="A418" s="3" t="s">
        <v>26</v>
      </c>
      <c r="B418" s="4" t="s">
        <v>11</v>
      </c>
      <c r="C418" s="4">
        <v>405000</v>
      </c>
      <c r="D418" s="4">
        <v>1450</v>
      </c>
      <c r="E418" s="4">
        <v>2024</v>
      </c>
      <c r="F418" s="4">
        <v>5.4</v>
      </c>
      <c r="G418" s="4" t="s">
        <v>41</v>
      </c>
      <c r="H418" s="4" t="s">
        <v>13</v>
      </c>
      <c r="I418" s="4" t="s">
        <v>14</v>
      </c>
      <c r="J418" s="4" t="s">
        <v>15</v>
      </c>
    </row>
    <row r="419" spans="1:10">
      <c r="A419" s="5" t="s">
        <v>30</v>
      </c>
      <c r="B419" s="6" t="s">
        <v>17</v>
      </c>
      <c r="C419" s="6">
        <v>240000</v>
      </c>
      <c r="D419" s="6">
        <v>2200</v>
      </c>
      <c r="E419" s="6">
        <v>2023</v>
      </c>
      <c r="F419" s="6">
        <v>6.5</v>
      </c>
      <c r="G419" s="6" t="s">
        <v>31</v>
      </c>
      <c r="H419" s="6" t="s">
        <v>25</v>
      </c>
      <c r="I419" s="6" t="s">
        <v>20</v>
      </c>
      <c r="J419" s="6" t="s">
        <v>21</v>
      </c>
    </row>
    <row r="420" spans="1:10">
      <c r="A420" s="3" t="s">
        <v>32</v>
      </c>
      <c r="B420" s="4" t="s">
        <v>11</v>
      </c>
      <c r="C420" s="4">
        <v>470000</v>
      </c>
      <c r="D420" s="4">
        <v>1400</v>
      </c>
      <c r="E420" s="4">
        <v>2023</v>
      </c>
      <c r="F420" s="4">
        <v>6.2</v>
      </c>
      <c r="G420" s="4" t="s">
        <v>41</v>
      </c>
      <c r="H420" s="4" t="s">
        <v>13</v>
      </c>
      <c r="I420" s="4" t="s">
        <v>14</v>
      </c>
      <c r="J420" s="4" t="s">
        <v>15</v>
      </c>
    </row>
    <row r="421" spans="1:10">
      <c r="A421" s="5" t="s">
        <v>33</v>
      </c>
      <c r="B421" s="6" t="s">
        <v>23</v>
      </c>
      <c r="C421" s="6">
        <v>350000</v>
      </c>
      <c r="D421" s="6">
        <v>2100</v>
      </c>
      <c r="E421" s="6">
        <v>2023</v>
      </c>
      <c r="F421" s="6">
        <v>6.1</v>
      </c>
      <c r="G421" s="6" t="s">
        <v>24</v>
      </c>
      <c r="H421" s="6" t="s">
        <v>19</v>
      </c>
      <c r="I421" s="6" t="s">
        <v>20</v>
      </c>
      <c r="J421" s="6" t="s">
        <v>21</v>
      </c>
    </row>
    <row r="422" spans="1:10">
      <c r="A422" s="3" t="s">
        <v>35</v>
      </c>
      <c r="B422" s="4" t="s">
        <v>27</v>
      </c>
      <c r="C422" s="4">
        <v>285000</v>
      </c>
      <c r="D422" s="4">
        <v>1680</v>
      </c>
      <c r="E422" s="4">
        <v>2024</v>
      </c>
      <c r="F422" s="4">
        <v>5.4</v>
      </c>
      <c r="G422" s="4" t="s">
        <v>18</v>
      </c>
      <c r="H422" s="4" t="s">
        <v>19</v>
      </c>
      <c r="I422" s="4" t="s">
        <v>20</v>
      </c>
      <c r="J422" s="4" t="s">
        <v>29</v>
      </c>
    </row>
    <row r="423" spans="1:10">
      <c r="A423" s="5" t="s">
        <v>37</v>
      </c>
      <c r="B423" s="6" t="s">
        <v>17</v>
      </c>
      <c r="C423" s="6">
        <v>300000</v>
      </c>
      <c r="D423" s="6">
        <v>2550</v>
      </c>
      <c r="E423" s="6">
        <v>2024</v>
      </c>
      <c r="F423" s="6">
        <v>5.2</v>
      </c>
      <c r="G423" s="6" t="s">
        <v>24</v>
      </c>
      <c r="H423" s="6" t="s">
        <v>19</v>
      </c>
      <c r="I423" s="6" t="s">
        <v>20</v>
      </c>
      <c r="J423" s="6" t="s">
        <v>21</v>
      </c>
    </row>
    <row r="424" spans="1:10">
      <c r="A424" s="3" t="s">
        <v>10</v>
      </c>
      <c r="B424" s="4" t="s">
        <v>23</v>
      </c>
      <c r="C424" s="4">
        <v>585000</v>
      </c>
      <c r="D424" s="4">
        <v>2350</v>
      </c>
      <c r="E424" s="4">
        <v>2024</v>
      </c>
      <c r="F424" s="4">
        <v>5.0999999999999996</v>
      </c>
      <c r="G424" s="4" t="s">
        <v>28</v>
      </c>
      <c r="H424" s="4" t="s">
        <v>13</v>
      </c>
      <c r="I424" s="4" t="s">
        <v>20</v>
      </c>
      <c r="J424" s="4" t="s">
        <v>29</v>
      </c>
    </row>
    <row r="425" spans="1:10">
      <c r="A425" s="5" t="s">
        <v>16</v>
      </c>
      <c r="B425" s="6" t="s">
        <v>11</v>
      </c>
      <c r="C425" s="6">
        <v>610000</v>
      </c>
      <c r="D425" s="6">
        <v>1700</v>
      </c>
      <c r="E425" s="6">
        <v>2024</v>
      </c>
      <c r="F425" s="6">
        <v>5.3</v>
      </c>
      <c r="G425" s="6" t="s">
        <v>38</v>
      </c>
      <c r="H425" s="6" t="s">
        <v>43</v>
      </c>
      <c r="I425" s="6" t="s">
        <v>14</v>
      </c>
      <c r="J425" s="6" t="s">
        <v>15</v>
      </c>
    </row>
    <row r="426" spans="1:10">
      <c r="A426" s="3" t="s">
        <v>22</v>
      </c>
      <c r="B426" s="4" t="s">
        <v>17</v>
      </c>
      <c r="C426" s="4">
        <v>225000</v>
      </c>
      <c r="D426" s="4">
        <v>2550</v>
      </c>
      <c r="E426" s="4">
        <v>2023</v>
      </c>
      <c r="F426" s="4">
        <v>6.4</v>
      </c>
      <c r="G426" s="4" t="s">
        <v>36</v>
      </c>
      <c r="H426" s="4" t="s">
        <v>25</v>
      </c>
      <c r="I426" s="4" t="s">
        <v>20</v>
      </c>
      <c r="J426" s="4" t="s">
        <v>21</v>
      </c>
    </row>
    <row r="427" spans="1:10">
      <c r="A427" s="5" t="s">
        <v>26</v>
      </c>
      <c r="B427" s="6" t="s">
        <v>27</v>
      </c>
      <c r="C427" s="6">
        <v>325000</v>
      </c>
      <c r="D427" s="6">
        <v>1950</v>
      </c>
      <c r="E427" s="6">
        <v>2024</v>
      </c>
      <c r="F427" s="6">
        <v>5.5</v>
      </c>
      <c r="G427" s="6" t="s">
        <v>18</v>
      </c>
      <c r="H427" s="6" t="s">
        <v>19</v>
      </c>
      <c r="I427" s="6" t="s">
        <v>20</v>
      </c>
      <c r="J427" s="6" t="s">
        <v>29</v>
      </c>
    </row>
    <row r="428" spans="1:10">
      <c r="A428" s="3" t="s">
        <v>30</v>
      </c>
      <c r="B428" s="4" t="s">
        <v>23</v>
      </c>
      <c r="C428" s="4">
        <v>310000</v>
      </c>
      <c r="D428" s="4">
        <v>2000</v>
      </c>
      <c r="E428" s="4">
        <v>2023</v>
      </c>
      <c r="F428" s="4">
        <v>6.6</v>
      </c>
      <c r="G428" s="4" t="s">
        <v>24</v>
      </c>
      <c r="H428" s="4" t="s">
        <v>19</v>
      </c>
      <c r="I428" s="4" t="s">
        <v>20</v>
      </c>
      <c r="J428" s="4" t="s">
        <v>21</v>
      </c>
    </row>
    <row r="429" spans="1:10">
      <c r="A429" s="5" t="s">
        <v>32</v>
      </c>
      <c r="B429" s="6" t="s">
        <v>17</v>
      </c>
      <c r="C429" s="6">
        <v>250000</v>
      </c>
      <c r="D429" s="6">
        <v>2280</v>
      </c>
      <c r="E429" s="6">
        <v>2024</v>
      </c>
      <c r="F429" s="6">
        <v>5.3</v>
      </c>
      <c r="G429" s="6" t="s">
        <v>40</v>
      </c>
      <c r="H429" s="6" t="s">
        <v>25</v>
      </c>
      <c r="I429" s="6" t="s">
        <v>20</v>
      </c>
      <c r="J429" s="6" t="s">
        <v>21</v>
      </c>
    </row>
    <row r="430" spans="1:10">
      <c r="A430" s="3" t="s">
        <v>33</v>
      </c>
      <c r="B430" s="4" t="s">
        <v>11</v>
      </c>
      <c r="C430" s="4">
        <v>520000</v>
      </c>
      <c r="D430" s="4">
        <v>1500</v>
      </c>
      <c r="E430" s="4">
        <v>2023</v>
      </c>
      <c r="F430" s="4">
        <v>6</v>
      </c>
      <c r="G430" s="4" t="s">
        <v>41</v>
      </c>
      <c r="H430" s="4" t="s">
        <v>13</v>
      </c>
      <c r="I430" s="4" t="s">
        <v>14</v>
      </c>
      <c r="J430" s="4" t="s">
        <v>15</v>
      </c>
    </row>
    <row r="431" spans="1:10">
      <c r="A431" s="5" t="s">
        <v>35</v>
      </c>
      <c r="B431" s="6" t="s">
        <v>23</v>
      </c>
      <c r="C431" s="6">
        <v>240000</v>
      </c>
      <c r="D431" s="6">
        <v>1930</v>
      </c>
      <c r="E431" s="6">
        <v>2024</v>
      </c>
      <c r="F431" s="6">
        <v>5.3</v>
      </c>
      <c r="G431" s="6" t="s">
        <v>42</v>
      </c>
      <c r="H431" s="6" t="s">
        <v>25</v>
      </c>
      <c r="I431" s="6" t="s">
        <v>20</v>
      </c>
      <c r="J431" s="6" t="s">
        <v>21</v>
      </c>
    </row>
    <row r="432" spans="1:10">
      <c r="A432" s="3" t="s">
        <v>37</v>
      </c>
      <c r="B432" s="4" t="s">
        <v>27</v>
      </c>
      <c r="C432" s="4">
        <v>440000</v>
      </c>
      <c r="D432" s="4">
        <v>2000</v>
      </c>
      <c r="E432" s="4">
        <v>2024</v>
      </c>
      <c r="F432" s="4">
        <v>5.2</v>
      </c>
      <c r="G432" s="4" t="s">
        <v>28</v>
      </c>
      <c r="H432" s="4" t="s">
        <v>13</v>
      </c>
      <c r="I432" s="4" t="s">
        <v>20</v>
      </c>
      <c r="J432" s="4" t="s">
        <v>29</v>
      </c>
    </row>
    <row r="433" spans="1:10">
      <c r="A433" s="5" t="s">
        <v>10</v>
      </c>
      <c r="B433" s="6" t="s">
        <v>11</v>
      </c>
      <c r="C433" s="6">
        <v>840000</v>
      </c>
      <c r="D433" s="6">
        <v>1680</v>
      </c>
      <c r="E433" s="6">
        <v>2023</v>
      </c>
      <c r="F433" s="6">
        <v>6.1</v>
      </c>
      <c r="G433" s="6" t="s">
        <v>41</v>
      </c>
      <c r="H433" s="6" t="s">
        <v>43</v>
      </c>
      <c r="I433" s="6" t="s">
        <v>14</v>
      </c>
      <c r="J433" s="6" t="s">
        <v>15</v>
      </c>
    </row>
    <row r="434" spans="1:10">
      <c r="A434" s="3" t="s">
        <v>16</v>
      </c>
      <c r="B434" s="4" t="s">
        <v>17</v>
      </c>
      <c r="C434" s="4">
        <v>325000</v>
      </c>
      <c r="D434" s="4">
        <v>2380</v>
      </c>
      <c r="E434" s="4">
        <v>2023</v>
      </c>
      <c r="F434" s="4">
        <v>6</v>
      </c>
      <c r="G434" s="4" t="s">
        <v>18</v>
      </c>
      <c r="H434" s="4" t="s">
        <v>19</v>
      </c>
      <c r="I434" s="4" t="s">
        <v>20</v>
      </c>
      <c r="J434" s="4" t="s">
        <v>21</v>
      </c>
    </row>
    <row r="435" spans="1:10">
      <c r="A435" s="5" t="s">
        <v>22</v>
      </c>
      <c r="B435" s="6" t="s">
        <v>27</v>
      </c>
      <c r="C435" s="6">
        <v>340000</v>
      </c>
      <c r="D435" s="6">
        <v>2030</v>
      </c>
      <c r="E435" s="6">
        <v>2024</v>
      </c>
      <c r="F435" s="6">
        <v>5.4</v>
      </c>
      <c r="G435" s="6" t="s">
        <v>39</v>
      </c>
      <c r="H435" s="6" t="s">
        <v>19</v>
      </c>
      <c r="I435" s="6" t="s">
        <v>20</v>
      </c>
      <c r="J435" s="6" t="s">
        <v>29</v>
      </c>
    </row>
    <row r="436" spans="1:10">
      <c r="A436" s="3" t="s">
        <v>26</v>
      </c>
      <c r="B436" s="4" t="s">
        <v>17</v>
      </c>
      <c r="C436" s="4">
        <v>220000</v>
      </c>
      <c r="D436" s="4">
        <v>2480</v>
      </c>
      <c r="E436" s="4">
        <v>2023</v>
      </c>
      <c r="F436" s="4">
        <v>6.5</v>
      </c>
      <c r="G436" s="4" t="s">
        <v>36</v>
      </c>
      <c r="H436" s="4" t="s">
        <v>25</v>
      </c>
      <c r="I436" s="4" t="s">
        <v>20</v>
      </c>
      <c r="J436" s="4" t="s">
        <v>21</v>
      </c>
    </row>
    <row r="437" spans="1:10">
      <c r="A437" s="5" t="s">
        <v>30</v>
      </c>
      <c r="B437" s="6" t="s">
        <v>11</v>
      </c>
      <c r="C437" s="6">
        <v>450000</v>
      </c>
      <c r="D437" s="6">
        <v>1260</v>
      </c>
      <c r="E437" s="6">
        <v>2024</v>
      </c>
      <c r="F437" s="6">
        <v>5.3</v>
      </c>
      <c r="G437" s="6" t="s">
        <v>38</v>
      </c>
      <c r="H437" s="6" t="s">
        <v>13</v>
      </c>
      <c r="I437" s="6" t="s">
        <v>14</v>
      </c>
      <c r="J437" s="6" t="s">
        <v>15</v>
      </c>
    </row>
    <row r="438" spans="1:10">
      <c r="A438" s="3" t="s">
        <v>32</v>
      </c>
      <c r="B438" s="4" t="s">
        <v>23</v>
      </c>
      <c r="C438" s="4">
        <v>320000</v>
      </c>
      <c r="D438" s="4">
        <v>2050</v>
      </c>
      <c r="E438" s="4">
        <v>2023</v>
      </c>
      <c r="F438" s="4">
        <v>6.4</v>
      </c>
      <c r="G438" s="4" t="s">
        <v>24</v>
      </c>
      <c r="H438" s="4" t="s">
        <v>19</v>
      </c>
      <c r="I438" s="4" t="s">
        <v>20</v>
      </c>
      <c r="J438" s="4" t="s">
        <v>21</v>
      </c>
    </row>
    <row r="439" spans="1:10">
      <c r="A439" s="5" t="s">
        <v>33</v>
      </c>
      <c r="B439" s="6" t="s">
        <v>27</v>
      </c>
      <c r="C439" s="6">
        <v>405000</v>
      </c>
      <c r="D439" s="6">
        <v>1900</v>
      </c>
      <c r="E439" s="6">
        <v>2024</v>
      </c>
      <c r="F439" s="6">
        <v>5.2</v>
      </c>
      <c r="G439" s="6" t="s">
        <v>28</v>
      </c>
      <c r="H439" s="6" t="s">
        <v>13</v>
      </c>
      <c r="I439" s="6" t="s">
        <v>20</v>
      </c>
      <c r="J439" s="6" t="s">
        <v>29</v>
      </c>
    </row>
    <row r="440" spans="1:10">
      <c r="A440" s="3" t="s">
        <v>35</v>
      </c>
      <c r="B440" s="4" t="s">
        <v>17</v>
      </c>
      <c r="C440" s="4">
        <v>195000</v>
      </c>
      <c r="D440" s="4">
        <v>2180</v>
      </c>
      <c r="E440" s="4">
        <v>2024</v>
      </c>
      <c r="F440" s="4">
        <v>5.4</v>
      </c>
      <c r="G440" s="4" t="s">
        <v>31</v>
      </c>
      <c r="H440" s="4" t="s">
        <v>25</v>
      </c>
      <c r="I440" s="4" t="s">
        <v>20</v>
      </c>
      <c r="J440" s="4" t="s">
        <v>21</v>
      </c>
    </row>
    <row r="441" spans="1:10">
      <c r="A441" s="5" t="s">
        <v>37</v>
      </c>
      <c r="B441" s="6" t="s">
        <v>11</v>
      </c>
      <c r="C441" s="6">
        <v>560000</v>
      </c>
      <c r="D441" s="6">
        <v>1600</v>
      </c>
      <c r="E441" s="6">
        <v>2023</v>
      </c>
      <c r="F441" s="6">
        <v>6.1</v>
      </c>
      <c r="G441" s="6" t="s">
        <v>41</v>
      </c>
      <c r="H441" s="6" t="s">
        <v>13</v>
      </c>
      <c r="I441" s="6" t="s">
        <v>14</v>
      </c>
      <c r="J441" s="6" t="s">
        <v>15</v>
      </c>
    </row>
    <row r="442" spans="1:10">
      <c r="A442" s="3" t="s">
        <v>30</v>
      </c>
      <c r="B442" s="4" t="s">
        <v>17</v>
      </c>
      <c r="C442" s="4">
        <v>400000</v>
      </c>
      <c r="D442" s="4">
        <v>2250</v>
      </c>
      <c r="E442" s="4">
        <v>2024</v>
      </c>
      <c r="F442" s="4">
        <v>5.4</v>
      </c>
      <c r="G442" s="4" t="s">
        <v>31</v>
      </c>
      <c r="H442" s="4" t="s">
        <v>25</v>
      </c>
      <c r="I442" s="4" t="s">
        <v>20</v>
      </c>
      <c r="J442" s="4" t="s">
        <v>21</v>
      </c>
    </row>
    <row r="443" spans="1:10">
      <c r="A443" s="5" t="s">
        <v>32</v>
      </c>
      <c r="B443" s="6" t="s">
        <v>11</v>
      </c>
      <c r="C443" s="6">
        <v>470000</v>
      </c>
      <c r="D443" s="6">
        <v>1400</v>
      </c>
      <c r="E443" s="6">
        <v>2024</v>
      </c>
      <c r="F443" s="6">
        <v>5.0999999999999996</v>
      </c>
      <c r="G443" s="7">
        <v>20</v>
      </c>
      <c r="H443" s="6" t="s">
        <v>13</v>
      </c>
      <c r="I443" s="6" t="s">
        <v>14</v>
      </c>
      <c r="J443" s="6" t="s">
        <v>15</v>
      </c>
    </row>
    <row r="444" spans="1:10">
      <c r="A444" s="3" t="s">
        <v>33</v>
      </c>
      <c r="B444" s="4" t="s">
        <v>23</v>
      </c>
      <c r="C444" s="4">
        <v>300000</v>
      </c>
      <c r="D444" s="4">
        <v>500</v>
      </c>
      <c r="E444" s="4">
        <v>2024</v>
      </c>
      <c r="F444" s="4">
        <v>5.3</v>
      </c>
      <c r="G444" s="4" t="s">
        <v>24</v>
      </c>
      <c r="H444" s="4" t="s">
        <v>19</v>
      </c>
      <c r="I444" s="4" t="s">
        <v>20</v>
      </c>
      <c r="J444" s="4" t="s">
        <v>21</v>
      </c>
    </row>
    <row r="445" spans="1:10">
      <c r="A445" s="5" t="s">
        <v>35</v>
      </c>
      <c r="B445" s="6" t="s">
        <v>17</v>
      </c>
      <c r="C445" s="6">
        <v>394000</v>
      </c>
      <c r="D445" s="6">
        <v>2200</v>
      </c>
      <c r="E445" s="6">
        <v>2023</v>
      </c>
      <c r="F445" s="6">
        <v>6.4</v>
      </c>
      <c r="G445" s="7">
        <v>5</v>
      </c>
      <c r="H445" s="6" t="s">
        <v>25</v>
      </c>
      <c r="I445" s="6" t="s">
        <v>20</v>
      </c>
      <c r="J445" s="6" t="s">
        <v>21</v>
      </c>
    </row>
    <row r="446" spans="1:10">
      <c r="A446" s="3" t="s">
        <v>37</v>
      </c>
      <c r="B446" s="4" t="s">
        <v>11</v>
      </c>
      <c r="C446" s="4">
        <v>700000</v>
      </c>
      <c r="D446" s="4">
        <v>740</v>
      </c>
      <c r="E446" s="4">
        <v>2024</v>
      </c>
      <c r="F446" s="4">
        <v>5.0999999999999996</v>
      </c>
      <c r="G446" s="4" t="s">
        <v>38</v>
      </c>
      <c r="H446" s="4" t="s">
        <v>13</v>
      </c>
      <c r="I446" s="4" t="s">
        <v>14</v>
      </c>
      <c r="J446" s="4" t="s">
        <v>29</v>
      </c>
    </row>
    <row r="447" spans="1:10">
      <c r="A447" s="5" t="s">
        <v>10</v>
      </c>
      <c r="B447" s="6" t="s">
        <v>17</v>
      </c>
      <c r="C447" s="6">
        <v>490000</v>
      </c>
      <c r="D447" s="6">
        <v>2680</v>
      </c>
      <c r="E447" s="6">
        <v>2024</v>
      </c>
      <c r="F447" s="6">
        <v>5</v>
      </c>
      <c r="G447" s="7">
        <v>12</v>
      </c>
      <c r="H447" s="6" t="s">
        <v>19</v>
      </c>
      <c r="I447" s="6" t="s">
        <v>20</v>
      </c>
      <c r="J447" s="6" t="s">
        <v>21</v>
      </c>
    </row>
    <row r="448" spans="1:10">
      <c r="A448" s="3" t="s">
        <v>16</v>
      </c>
      <c r="B448" s="4" t="s">
        <v>27</v>
      </c>
      <c r="C448" s="4">
        <v>440000</v>
      </c>
      <c r="D448" s="4">
        <v>740</v>
      </c>
      <c r="E448" s="4">
        <v>2023</v>
      </c>
      <c r="F448" s="4">
        <v>6.1</v>
      </c>
      <c r="G448" s="4" t="s">
        <v>28</v>
      </c>
      <c r="H448" s="4" t="s">
        <v>13</v>
      </c>
      <c r="I448" s="4" t="s">
        <v>20</v>
      </c>
      <c r="J448" s="4" t="s">
        <v>29</v>
      </c>
    </row>
    <row r="449" spans="1:10">
      <c r="A449" s="5" t="s">
        <v>22</v>
      </c>
      <c r="B449" s="6" t="s">
        <v>11</v>
      </c>
      <c r="C449" s="6">
        <v>410000</v>
      </c>
      <c r="D449" s="6">
        <v>1460</v>
      </c>
      <c r="E449" s="6">
        <v>2024</v>
      </c>
      <c r="F449" s="6">
        <v>5.3</v>
      </c>
      <c r="G449" s="7">
        <v>18</v>
      </c>
      <c r="H449" s="6" t="s">
        <v>19</v>
      </c>
      <c r="I449" s="6" t="s">
        <v>14</v>
      </c>
      <c r="J449" s="6" t="s">
        <v>15</v>
      </c>
    </row>
    <row r="450" spans="1:10">
      <c r="A450" s="3" t="s">
        <v>26</v>
      </c>
      <c r="B450" s="4" t="s">
        <v>23</v>
      </c>
      <c r="C450" s="4">
        <v>260000</v>
      </c>
      <c r="D450" s="4">
        <v>740</v>
      </c>
      <c r="E450" s="4">
        <v>2023</v>
      </c>
      <c r="F450" s="4">
        <v>6.5</v>
      </c>
      <c r="G450" s="4" t="s">
        <v>24</v>
      </c>
      <c r="H450" s="4" t="s">
        <v>25</v>
      </c>
      <c r="I450" s="4" t="s">
        <v>20</v>
      </c>
      <c r="J450" s="4" t="s">
        <v>21</v>
      </c>
    </row>
    <row r="451" spans="1:10">
      <c r="A451" s="5" t="s">
        <v>30</v>
      </c>
      <c r="B451" s="6" t="s">
        <v>27</v>
      </c>
      <c r="C451" s="6">
        <v>355000</v>
      </c>
      <c r="D451" s="6">
        <v>1620</v>
      </c>
      <c r="E451" s="6">
        <v>2024</v>
      </c>
      <c r="F451" s="6">
        <v>5.4</v>
      </c>
      <c r="G451" s="7">
        <v>14</v>
      </c>
      <c r="H451" s="6" t="s">
        <v>19</v>
      </c>
      <c r="I451" s="6" t="s">
        <v>20</v>
      </c>
      <c r="J451" s="6" t="s">
        <v>29</v>
      </c>
    </row>
    <row r="452" spans="1:10">
      <c r="A452" s="3" t="s">
        <v>32</v>
      </c>
      <c r="B452" s="4" t="s">
        <v>17</v>
      </c>
      <c r="C452" s="4">
        <v>250000</v>
      </c>
      <c r="D452" s="4">
        <v>2230</v>
      </c>
      <c r="E452" s="4">
        <v>2024</v>
      </c>
      <c r="F452" s="4">
        <v>5.3</v>
      </c>
      <c r="G452" s="8">
        <v>7</v>
      </c>
      <c r="H452" s="4" t="s">
        <v>25</v>
      </c>
      <c r="I452" s="4" t="s">
        <v>20</v>
      </c>
      <c r="J452" s="4" t="s">
        <v>21</v>
      </c>
    </row>
    <row r="453" spans="1:10">
      <c r="A453" s="5" t="s">
        <v>33</v>
      </c>
      <c r="B453" s="6" t="s">
        <v>11</v>
      </c>
      <c r="C453" s="6">
        <v>290000</v>
      </c>
      <c r="D453" s="6">
        <v>1450</v>
      </c>
      <c r="E453" s="6">
        <v>2024</v>
      </c>
      <c r="F453" s="6">
        <v>5.0999999999999996</v>
      </c>
      <c r="G453" s="7">
        <v>20</v>
      </c>
      <c r="H453" s="6" t="s">
        <v>13</v>
      </c>
      <c r="I453" s="6" t="s">
        <v>14</v>
      </c>
      <c r="J453" s="6" t="s">
        <v>15</v>
      </c>
    </row>
    <row r="454" spans="1:10">
      <c r="A454" s="3" t="s">
        <v>35</v>
      </c>
      <c r="B454" s="4" t="s">
        <v>23</v>
      </c>
      <c r="C454" s="4">
        <v>230000</v>
      </c>
      <c r="D454" s="4">
        <v>740</v>
      </c>
      <c r="E454" s="4">
        <v>2024</v>
      </c>
      <c r="F454" s="4">
        <v>5.3</v>
      </c>
      <c r="G454" s="4" t="s">
        <v>42</v>
      </c>
      <c r="H454" s="4" t="s">
        <v>25</v>
      </c>
      <c r="I454" s="4" t="s">
        <v>20</v>
      </c>
      <c r="J454" s="4" t="s">
        <v>21</v>
      </c>
    </row>
    <row r="455" spans="1:10">
      <c r="A455" s="5" t="s">
        <v>37</v>
      </c>
      <c r="B455" s="6" t="s">
        <v>17</v>
      </c>
      <c r="C455" s="6">
        <v>310000</v>
      </c>
      <c r="D455" s="6">
        <v>2510</v>
      </c>
      <c r="E455" s="6">
        <v>2024</v>
      </c>
      <c r="F455" s="6">
        <v>5.3</v>
      </c>
      <c r="G455" s="7">
        <v>10</v>
      </c>
      <c r="H455" s="6" t="s">
        <v>19</v>
      </c>
      <c r="I455" s="6" t="s">
        <v>20</v>
      </c>
      <c r="J455" s="6" t="s">
        <v>21</v>
      </c>
    </row>
    <row r="456" spans="1:10">
      <c r="A456" s="3" t="s">
        <v>10</v>
      </c>
      <c r="B456" s="4" t="s">
        <v>23</v>
      </c>
      <c r="C456" s="4">
        <v>600000</v>
      </c>
      <c r="D456" s="4">
        <v>740</v>
      </c>
      <c r="E456" s="4">
        <v>2024</v>
      </c>
      <c r="F456" s="4">
        <v>5.0999999999999996</v>
      </c>
      <c r="G456" s="4" t="s">
        <v>28</v>
      </c>
      <c r="H456" s="4" t="s">
        <v>13</v>
      </c>
      <c r="I456" s="4" t="s">
        <v>20</v>
      </c>
      <c r="J456" s="4" t="s">
        <v>29</v>
      </c>
    </row>
    <row r="457" spans="1:10">
      <c r="A457" s="5" t="s">
        <v>16</v>
      </c>
      <c r="B457" s="6" t="s">
        <v>11</v>
      </c>
      <c r="C457" s="6">
        <v>620000</v>
      </c>
      <c r="D457" s="6">
        <v>740</v>
      </c>
      <c r="E457" s="6">
        <v>2024</v>
      </c>
      <c r="F457" s="6">
        <v>5.3</v>
      </c>
      <c r="G457" s="6" t="s">
        <v>38</v>
      </c>
      <c r="H457" s="6" t="s">
        <v>43</v>
      </c>
      <c r="I457" s="6" t="s">
        <v>14</v>
      </c>
      <c r="J457" s="6" t="s">
        <v>15</v>
      </c>
    </row>
    <row r="458" spans="1:10">
      <c r="A458" s="3" t="s">
        <v>22</v>
      </c>
      <c r="B458" s="4" t="s">
        <v>17</v>
      </c>
      <c r="C458" s="4">
        <v>230000</v>
      </c>
      <c r="D458" s="4">
        <v>740</v>
      </c>
      <c r="E458" s="4">
        <v>2023</v>
      </c>
      <c r="F458" s="4">
        <v>6.4</v>
      </c>
      <c r="G458" s="4" t="s">
        <v>36</v>
      </c>
      <c r="H458" s="4" t="s">
        <v>25</v>
      </c>
      <c r="I458" s="4" t="s">
        <v>20</v>
      </c>
      <c r="J458" s="4" t="s">
        <v>21</v>
      </c>
    </row>
    <row r="459" spans="1:10">
      <c r="A459" s="5" t="s">
        <v>26</v>
      </c>
      <c r="B459" s="6" t="s">
        <v>11</v>
      </c>
      <c r="C459" s="6">
        <v>415000</v>
      </c>
      <c r="D459" s="6">
        <v>1400</v>
      </c>
      <c r="E459" s="6">
        <v>2024</v>
      </c>
      <c r="F459" s="6">
        <v>5.0999999999999996</v>
      </c>
      <c r="G459" s="7">
        <v>20</v>
      </c>
      <c r="H459" s="6" t="s">
        <v>13</v>
      </c>
      <c r="I459" s="6" t="s">
        <v>14</v>
      </c>
      <c r="J459" s="6" t="s">
        <v>29</v>
      </c>
    </row>
    <row r="460" spans="1:10">
      <c r="A460" s="3" t="s">
        <v>30</v>
      </c>
      <c r="B460" s="4" t="s">
        <v>23</v>
      </c>
      <c r="C460" s="4">
        <v>305000</v>
      </c>
      <c r="D460" s="4">
        <v>740</v>
      </c>
      <c r="E460" s="4">
        <v>2023</v>
      </c>
      <c r="F460" s="4">
        <v>6.5</v>
      </c>
      <c r="G460" s="4" t="s">
        <v>24</v>
      </c>
      <c r="H460" s="4" t="s">
        <v>19</v>
      </c>
      <c r="I460" s="4" t="s">
        <v>20</v>
      </c>
      <c r="J460" s="4" t="s">
        <v>21</v>
      </c>
    </row>
    <row r="461" spans="1:10">
      <c r="A461" s="5" t="s">
        <v>32</v>
      </c>
      <c r="B461" s="6" t="s">
        <v>27</v>
      </c>
      <c r="C461" s="6">
        <v>360000</v>
      </c>
      <c r="D461" s="6">
        <v>740</v>
      </c>
      <c r="E461" s="6">
        <v>2024</v>
      </c>
      <c r="F461" s="6">
        <v>5.3</v>
      </c>
      <c r="G461" s="6" t="s">
        <v>12</v>
      </c>
      <c r="H461" s="6" t="s">
        <v>13</v>
      </c>
      <c r="I461" s="6" t="s">
        <v>20</v>
      </c>
      <c r="J461" s="6" t="s">
        <v>29</v>
      </c>
    </row>
    <row r="462" spans="1:10">
      <c r="A462" s="3" t="s">
        <v>33</v>
      </c>
      <c r="B462" s="4" t="s">
        <v>17</v>
      </c>
      <c r="C462" s="4">
        <v>300000</v>
      </c>
      <c r="D462" s="4">
        <v>740</v>
      </c>
      <c r="E462" s="4">
        <v>2024</v>
      </c>
      <c r="F462" s="4">
        <v>5.2</v>
      </c>
      <c r="G462" s="4" t="s">
        <v>18</v>
      </c>
      <c r="H462" s="4" t="s">
        <v>19</v>
      </c>
      <c r="I462" s="4" t="s">
        <v>20</v>
      </c>
      <c r="J462" s="4" t="s">
        <v>21</v>
      </c>
    </row>
    <row r="463" spans="1:10">
      <c r="A463" s="5" t="s">
        <v>35</v>
      </c>
      <c r="B463" s="6" t="s">
        <v>11</v>
      </c>
      <c r="C463" s="6">
        <v>310000</v>
      </c>
      <c r="D463" s="6">
        <v>1120</v>
      </c>
      <c r="E463" s="6">
        <v>2023</v>
      </c>
      <c r="F463" s="6">
        <v>6.6</v>
      </c>
      <c r="G463" s="7">
        <v>25</v>
      </c>
      <c r="H463" s="6" t="s">
        <v>13</v>
      </c>
      <c r="I463" s="6" t="s">
        <v>14</v>
      </c>
      <c r="J463" s="6" t="s">
        <v>15</v>
      </c>
    </row>
    <row r="464" spans="1:10">
      <c r="A464" s="3" t="s">
        <v>37</v>
      </c>
      <c r="B464" s="4" t="s">
        <v>27</v>
      </c>
      <c r="C464" s="4">
        <v>440000</v>
      </c>
      <c r="D464" s="4">
        <v>740</v>
      </c>
      <c r="E464" s="4">
        <v>2024</v>
      </c>
      <c r="F464" s="4">
        <v>5.2</v>
      </c>
      <c r="G464" s="4" t="s">
        <v>28</v>
      </c>
      <c r="H464" s="4" t="s">
        <v>13</v>
      </c>
      <c r="I464" s="4" t="s">
        <v>20</v>
      </c>
      <c r="J464" s="4" t="s">
        <v>29</v>
      </c>
    </row>
    <row r="465" spans="1:10">
      <c r="A465" s="5" t="s">
        <v>10</v>
      </c>
      <c r="B465" s="6" t="s">
        <v>11</v>
      </c>
      <c r="C465" s="6">
        <v>860000</v>
      </c>
      <c r="D465" s="6">
        <v>1620</v>
      </c>
      <c r="E465" s="6">
        <v>2024</v>
      </c>
      <c r="F465" s="6">
        <v>5.0999999999999996</v>
      </c>
      <c r="G465" s="7">
        <v>20</v>
      </c>
      <c r="H465" s="6" t="s">
        <v>43</v>
      </c>
      <c r="I465" s="6" t="s">
        <v>14</v>
      </c>
      <c r="J465" s="6" t="s">
        <v>15</v>
      </c>
    </row>
    <row r="466" spans="1:10">
      <c r="A466" s="3" t="s">
        <v>16</v>
      </c>
      <c r="B466" s="4" t="s">
        <v>23</v>
      </c>
      <c r="C466" s="4">
        <v>400000</v>
      </c>
      <c r="D466" s="4">
        <v>740</v>
      </c>
      <c r="E466" s="4">
        <v>2024</v>
      </c>
      <c r="F466" s="4">
        <v>5.4</v>
      </c>
      <c r="G466" s="4" t="s">
        <v>24</v>
      </c>
      <c r="H466" s="4" t="s">
        <v>19</v>
      </c>
      <c r="I466" s="4" t="s">
        <v>20</v>
      </c>
      <c r="J466" s="4" t="s">
        <v>21</v>
      </c>
    </row>
    <row r="467" spans="1:10">
      <c r="A467" s="5" t="s">
        <v>22</v>
      </c>
      <c r="B467" s="6" t="s">
        <v>27</v>
      </c>
      <c r="C467" s="6">
        <v>320000</v>
      </c>
      <c r="D467" s="6">
        <v>740</v>
      </c>
      <c r="E467" s="6">
        <v>2024</v>
      </c>
      <c r="F467" s="6">
        <v>5.5</v>
      </c>
      <c r="G467" s="6" t="s">
        <v>18</v>
      </c>
      <c r="H467" s="6" t="s">
        <v>19</v>
      </c>
      <c r="I467" s="6" t="s">
        <v>20</v>
      </c>
      <c r="J467" s="6" t="s">
        <v>29</v>
      </c>
    </row>
    <row r="468" spans="1:10">
      <c r="A468" s="3" t="s">
        <v>26</v>
      </c>
      <c r="B468" s="4" t="s">
        <v>17</v>
      </c>
      <c r="C468" s="4">
        <v>210000</v>
      </c>
      <c r="D468" s="4">
        <v>740</v>
      </c>
      <c r="E468" s="4">
        <v>2023</v>
      </c>
      <c r="F468" s="4">
        <v>6.6</v>
      </c>
      <c r="G468" s="4" t="s">
        <v>36</v>
      </c>
      <c r="H468" s="4" t="s">
        <v>25</v>
      </c>
      <c r="I468" s="4" t="s">
        <v>20</v>
      </c>
      <c r="J468" s="4" t="s">
        <v>21</v>
      </c>
    </row>
    <row r="469" spans="1:10">
      <c r="A469" s="5" t="s">
        <v>30</v>
      </c>
      <c r="B469" s="6" t="s">
        <v>11</v>
      </c>
      <c r="C469" s="6">
        <v>450000</v>
      </c>
      <c r="D469" s="6">
        <v>740</v>
      </c>
      <c r="E469" s="6">
        <v>2024</v>
      </c>
      <c r="F469" s="6">
        <v>5.3</v>
      </c>
      <c r="G469" s="6" t="s">
        <v>38</v>
      </c>
      <c r="H469" s="6" t="s">
        <v>13</v>
      </c>
      <c r="I469" s="6" t="s">
        <v>14</v>
      </c>
      <c r="J469" s="6" t="s">
        <v>15</v>
      </c>
    </row>
    <row r="470" spans="1:10">
      <c r="A470" s="3" t="s">
        <v>32</v>
      </c>
      <c r="B470" s="4" t="s">
        <v>23</v>
      </c>
      <c r="C470" s="4">
        <v>310000</v>
      </c>
      <c r="D470" s="4">
        <v>740</v>
      </c>
      <c r="E470" s="4">
        <v>2023</v>
      </c>
      <c r="F470" s="4">
        <v>6.4</v>
      </c>
      <c r="G470" s="4" t="s">
        <v>24</v>
      </c>
      <c r="H470" s="4" t="s">
        <v>19</v>
      </c>
      <c r="I470" s="4" t="s">
        <v>20</v>
      </c>
      <c r="J470" s="4" t="s">
        <v>21</v>
      </c>
    </row>
    <row r="471" spans="1:10">
      <c r="A471" s="5" t="s">
        <v>33</v>
      </c>
      <c r="B471" s="6" t="s">
        <v>27</v>
      </c>
      <c r="C471" s="6">
        <v>410000</v>
      </c>
      <c r="D471" s="6">
        <v>740</v>
      </c>
      <c r="E471" s="6">
        <v>2024</v>
      </c>
      <c r="F471" s="6">
        <v>5.2</v>
      </c>
      <c r="G471" s="6" t="s">
        <v>28</v>
      </c>
      <c r="H471" s="6" t="s">
        <v>13</v>
      </c>
      <c r="I471" s="6" t="s">
        <v>20</v>
      </c>
      <c r="J471" s="6" t="s">
        <v>29</v>
      </c>
    </row>
    <row r="472" spans="1:10">
      <c r="A472" s="3" t="s">
        <v>35</v>
      </c>
      <c r="B472" s="4" t="s">
        <v>17</v>
      </c>
      <c r="C472" s="4">
        <v>190000</v>
      </c>
      <c r="D472" s="4">
        <v>740</v>
      </c>
      <c r="E472" s="4">
        <v>2024</v>
      </c>
      <c r="F472" s="4">
        <v>5.4</v>
      </c>
      <c r="G472" s="4" t="s">
        <v>31</v>
      </c>
      <c r="H472" s="4" t="s">
        <v>25</v>
      </c>
      <c r="I472" s="4" t="s">
        <v>20</v>
      </c>
      <c r="J472" s="4" t="s">
        <v>21</v>
      </c>
    </row>
    <row r="473" spans="1:10">
      <c r="A473" s="5" t="s">
        <v>37</v>
      </c>
      <c r="B473" s="6" t="s">
        <v>11</v>
      </c>
      <c r="C473" s="6">
        <v>330000</v>
      </c>
      <c r="D473" s="6">
        <v>1550</v>
      </c>
      <c r="E473" s="6">
        <v>2024</v>
      </c>
      <c r="F473" s="6">
        <v>5.0999999999999996</v>
      </c>
      <c r="G473" s="7">
        <v>20</v>
      </c>
      <c r="H473" s="6" t="s">
        <v>13</v>
      </c>
      <c r="I473" s="6" t="s">
        <v>14</v>
      </c>
      <c r="J473" s="6" t="s">
        <v>15</v>
      </c>
    </row>
    <row r="474" spans="1:10">
      <c r="A474" s="3" t="s">
        <v>10</v>
      </c>
      <c r="B474" s="4" t="s">
        <v>17</v>
      </c>
      <c r="C474" s="4">
        <v>500000</v>
      </c>
      <c r="D474" s="4">
        <v>740</v>
      </c>
      <c r="E474" s="4">
        <v>2023</v>
      </c>
      <c r="F474" s="4">
        <v>6</v>
      </c>
      <c r="G474" s="4" t="s">
        <v>24</v>
      </c>
      <c r="H474" s="4" t="s">
        <v>19</v>
      </c>
      <c r="I474" s="4" t="s">
        <v>20</v>
      </c>
      <c r="J474" s="4" t="s">
        <v>21</v>
      </c>
    </row>
    <row r="475" spans="1:10">
      <c r="A475" s="5" t="s">
        <v>16</v>
      </c>
      <c r="B475" s="6" t="s">
        <v>27</v>
      </c>
      <c r="C475" s="6">
        <v>480000</v>
      </c>
      <c r="D475" s="6">
        <v>740</v>
      </c>
      <c r="E475" s="6">
        <v>2024</v>
      </c>
      <c r="F475" s="6">
        <v>5.3</v>
      </c>
      <c r="G475" s="6" t="s">
        <v>28</v>
      </c>
      <c r="H475" s="6" t="s">
        <v>13</v>
      </c>
      <c r="I475" s="6" t="s">
        <v>20</v>
      </c>
      <c r="J475" s="6" t="s">
        <v>29</v>
      </c>
    </row>
    <row r="476" spans="1:10">
      <c r="A476" s="3" t="s">
        <v>22</v>
      </c>
      <c r="B476" s="4" t="s">
        <v>23</v>
      </c>
      <c r="C476" s="4">
        <v>300000</v>
      </c>
      <c r="D476" s="4">
        <v>740</v>
      </c>
      <c r="E476" s="4">
        <v>2024</v>
      </c>
      <c r="F476" s="4">
        <v>5.4</v>
      </c>
      <c r="G476" s="4" t="s">
        <v>24</v>
      </c>
      <c r="H476" s="4" t="s">
        <v>25</v>
      </c>
      <c r="I476" s="4" t="s">
        <v>20</v>
      </c>
      <c r="J476" s="4" t="s">
        <v>21</v>
      </c>
    </row>
    <row r="477" spans="1:10">
      <c r="A477" s="5" t="s">
        <v>26</v>
      </c>
      <c r="B477" s="6" t="s">
        <v>11</v>
      </c>
      <c r="C477" s="6">
        <v>430000</v>
      </c>
      <c r="D477" s="6">
        <v>740</v>
      </c>
      <c r="E477" s="6">
        <v>2023</v>
      </c>
      <c r="F477" s="6">
        <v>6.2</v>
      </c>
      <c r="G477" s="6" t="s">
        <v>38</v>
      </c>
      <c r="H477" s="6" t="s">
        <v>13</v>
      </c>
      <c r="I477" s="6" t="s">
        <v>14</v>
      </c>
      <c r="J477" s="6" t="s">
        <v>15</v>
      </c>
    </row>
    <row r="478" spans="1:10">
      <c r="A478" s="3" t="s">
        <v>30</v>
      </c>
      <c r="B478" s="4" t="s">
        <v>17</v>
      </c>
      <c r="C478" s="4">
        <v>260000</v>
      </c>
      <c r="D478" s="4">
        <v>740</v>
      </c>
      <c r="E478" s="4">
        <v>2024</v>
      </c>
      <c r="F478" s="4">
        <v>5.4</v>
      </c>
      <c r="G478" s="4" t="s">
        <v>36</v>
      </c>
      <c r="H478" s="4" t="s">
        <v>25</v>
      </c>
      <c r="I478" s="4" t="s">
        <v>20</v>
      </c>
      <c r="J478" s="4" t="s">
        <v>21</v>
      </c>
    </row>
    <row r="479" spans="1:10">
      <c r="A479" s="5" t="s">
        <v>32</v>
      </c>
      <c r="B479" s="6" t="s">
        <v>11</v>
      </c>
      <c r="C479" s="6">
        <v>490000</v>
      </c>
      <c r="D479" s="6">
        <v>740</v>
      </c>
      <c r="E479" s="6">
        <v>2024</v>
      </c>
      <c r="F479" s="6">
        <v>5.2</v>
      </c>
      <c r="G479" s="6" t="s">
        <v>38</v>
      </c>
      <c r="H479" s="6" t="s">
        <v>13</v>
      </c>
      <c r="I479" s="6" t="s">
        <v>14</v>
      </c>
      <c r="J479" s="6" t="s">
        <v>15</v>
      </c>
    </row>
    <row r="480" spans="1:10">
      <c r="A480" s="3" t="s">
        <v>33</v>
      </c>
      <c r="B480" s="4" t="s">
        <v>23</v>
      </c>
      <c r="C480" s="4">
        <v>360000</v>
      </c>
      <c r="D480" s="4">
        <v>740</v>
      </c>
      <c r="E480" s="4">
        <v>2024</v>
      </c>
      <c r="F480" s="4">
        <v>5.3</v>
      </c>
      <c r="G480" s="4" t="s">
        <v>24</v>
      </c>
      <c r="H480" s="4" t="s">
        <v>19</v>
      </c>
      <c r="I480" s="4" t="s">
        <v>20</v>
      </c>
      <c r="J480" s="4" t="s">
        <v>21</v>
      </c>
    </row>
    <row r="481" spans="1:10">
      <c r="A481" s="5" t="s">
        <v>35</v>
      </c>
      <c r="B481" s="6" t="s">
        <v>27</v>
      </c>
      <c r="C481" s="6">
        <v>290000</v>
      </c>
      <c r="D481" s="6">
        <v>740</v>
      </c>
      <c r="E481" s="6">
        <v>2023</v>
      </c>
      <c r="F481" s="6">
        <v>6.5</v>
      </c>
      <c r="G481" s="6" t="s">
        <v>18</v>
      </c>
      <c r="H481" s="6" t="s">
        <v>19</v>
      </c>
      <c r="I481" s="6" t="s">
        <v>20</v>
      </c>
      <c r="J481" s="6" t="s">
        <v>29</v>
      </c>
    </row>
    <row r="482" spans="1:10">
      <c r="A482" s="3" t="s">
        <v>37</v>
      </c>
      <c r="B482" s="4" t="s">
        <v>17</v>
      </c>
      <c r="C482" s="4">
        <v>310000</v>
      </c>
      <c r="D482" s="4">
        <v>740</v>
      </c>
      <c r="E482" s="4">
        <v>2023</v>
      </c>
      <c r="F482" s="4">
        <v>6</v>
      </c>
      <c r="G482" s="4" t="s">
        <v>24</v>
      </c>
      <c r="H482" s="4" t="s">
        <v>19</v>
      </c>
      <c r="I482" s="4" t="s">
        <v>20</v>
      </c>
      <c r="J482" s="4" t="s">
        <v>21</v>
      </c>
    </row>
    <row r="483" spans="1:10">
      <c r="A483" s="5" t="s">
        <v>10</v>
      </c>
      <c r="B483" s="6" t="s">
        <v>23</v>
      </c>
      <c r="C483" s="6">
        <v>600000</v>
      </c>
      <c r="D483" s="6">
        <v>740</v>
      </c>
      <c r="E483" s="6">
        <v>2023</v>
      </c>
      <c r="F483" s="6">
        <v>6.1</v>
      </c>
      <c r="G483" s="6" t="s">
        <v>28</v>
      </c>
      <c r="H483" s="6" t="s">
        <v>13</v>
      </c>
      <c r="I483" s="6" t="s">
        <v>20</v>
      </c>
      <c r="J483" s="6" t="s">
        <v>29</v>
      </c>
    </row>
    <row r="484" spans="1:10">
      <c r="A484" s="3" t="s">
        <v>16</v>
      </c>
      <c r="B484" s="4" t="s">
        <v>11</v>
      </c>
      <c r="C484" s="4">
        <v>620000</v>
      </c>
      <c r="D484" s="4">
        <v>740</v>
      </c>
      <c r="E484" s="4">
        <v>2023</v>
      </c>
      <c r="F484" s="4">
        <v>6</v>
      </c>
      <c r="G484" s="4" t="s">
        <v>38</v>
      </c>
      <c r="H484" s="4" t="s">
        <v>43</v>
      </c>
      <c r="I484" s="4" t="s">
        <v>14</v>
      </c>
      <c r="J484" s="4" t="s">
        <v>15</v>
      </c>
    </row>
    <row r="485" spans="1:10">
      <c r="A485" s="5" t="s">
        <v>22</v>
      </c>
      <c r="B485" s="6" t="s">
        <v>17</v>
      </c>
      <c r="C485" s="6">
        <v>240000</v>
      </c>
      <c r="D485" s="6">
        <v>740</v>
      </c>
      <c r="E485" s="6">
        <v>2024</v>
      </c>
      <c r="F485" s="6">
        <v>5.4</v>
      </c>
      <c r="G485" s="6" t="s">
        <v>36</v>
      </c>
      <c r="H485" s="6" t="s">
        <v>25</v>
      </c>
      <c r="I485" s="6" t="s">
        <v>20</v>
      </c>
      <c r="J485" s="6" t="s">
        <v>21</v>
      </c>
    </row>
    <row r="486" spans="1:10">
      <c r="A486" s="3" t="s">
        <v>26</v>
      </c>
      <c r="B486" s="4" t="s">
        <v>27</v>
      </c>
      <c r="C486" s="4">
        <v>330000</v>
      </c>
      <c r="D486" s="4">
        <v>740</v>
      </c>
      <c r="E486" s="4">
        <v>2024</v>
      </c>
      <c r="F486" s="4">
        <v>5.5</v>
      </c>
      <c r="G486" s="4" t="s">
        <v>18</v>
      </c>
      <c r="H486" s="4" t="s">
        <v>19</v>
      </c>
      <c r="I486" s="4" t="s">
        <v>20</v>
      </c>
      <c r="J486" s="4" t="s">
        <v>29</v>
      </c>
    </row>
    <row r="487" spans="1:10">
      <c r="A487" s="5" t="s">
        <v>30</v>
      </c>
      <c r="B487" s="6" t="s">
        <v>23</v>
      </c>
      <c r="C487" s="6">
        <v>310000</v>
      </c>
      <c r="D487" s="6">
        <v>740</v>
      </c>
      <c r="E487" s="6">
        <v>2024</v>
      </c>
      <c r="F487" s="6">
        <v>5.4</v>
      </c>
      <c r="G487" s="6" t="s">
        <v>24</v>
      </c>
      <c r="H487" s="6" t="s">
        <v>19</v>
      </c>
      <c r="I487" s="6" t="s">
        <v>20</v>
      </c>
      <c r="J487" s="6" t="s">
        <v>21</v>
      </c>
    </row>
    <row r="488" spans="1:10">
      <c r="A488" s="3" t="s">
        <v>32</v>
      </c>
      <c r="B488" s="4" t="s">
        <v>17</v>
      </c>
      <c r="C488" s="4">
        <v>260000</v>
      </c>
      <c r="D488" s="4">
        <v>740</v>
      </c>
      <c r="E488" s="4">
        <v>2023</v>
      </c>
      <c r="F488" s="4">
        <v>5.4</v>
      </c>
      <c r="G488" s="4" t="s">
        <v>40</v>
      </c>
      <c r="H488" s="4" t="s">
        <v>25</v>
      </c>
      <c r="I488" s="4" t="s">
        <v>20</v>
      </c>
      <c r="J488" s="4" t="s">
        <v>21</v>
      </c>
    </row>
    <row r="489" spans="1:10">
      <c r="A489" s="5" t="s">
        <v>33</v>
      </c>
      <c r="B489" s="6" t="s">
        <v>11</v>
      </c>
      <c r="C489" s="6">
        <v>410000</v>
      </c>
      <c r="D489" s="6">
        <v>1480</v>
      </c>
      <c r="E489" s="6">
        <v>2024</v>
      </c>
      <c r="F489" s="6">
        <v>5.0999999999999996</v>
      </c>
      <c r="G489" s="7">
        <v>20</v>
      </c>
      <c r="H489" s="6" t="s">
        <v>13</v>
      </c>
      <c r="I489" s="6" t="s">
        <v>14</v>
      </c>
      <c r="J489" s="6" t="s">
        <v>15</v>
      </c>
    </row>
    <row r="490" spans="1:10">
      <c r="A490" s="3" t="s">
        <v>35</v>
      </c>
      <c r="B490" s="4" t="s">
        <v>23</v>
      </c>
      <c r="C490" s="4">
        <v>240000</v>
      </c>
      <c r="D490" s="4">
        <v>740</v>
      </c>
      <c r="E490" s="4">
        <v>2023</v>
      </c>
      <c r="F490" s="4">
        <v>6.6</v>
      </c>
      <c r="G490" s="4" t="s">
        <v>42</v>
      </c>
      <c r="H490" s="4" t="s">
        <v>25</v>
      </c>
      <c r="I490" s="4" t="s">
        <v>20</v>
      </c>
      <c r="J490" s="4" t="s">
        <v>21</v>
      </c>
    </row>
    <row r="491" spans="1:10">
      <c r="A491" s="5" t="s">
        <v>37</v>
      </c>
      <c r="B491" s="6" t="s">
        <v>27</v>
      </c>
      <c r="C491" s="6">
        <v>450000</v>
      </c>
      <c r="D491" s="6">
        <v>740</v>
      </c>
      <c r="E491" s="6">
        <v>2023</v>
      </c>
      <c r="F491" s="6">
        <v>6.1</v>
      </c>
      <c r="G491" s="6" t="s">
        <v>28</v>
      </c>
      <c r="H491" s="6" t="s">
        <v>13</v>
      </c>
      <c r="I491" s="6" t="s">
        <v>20</v>
      </c>
      <c r="J491" s="6" t="s">
        <v>29</v>
      </c>
    </row>
    <row r="492" spans="1:10">
      <c r="A492" s="3" t="s">
        <v>10</v>
      </c>
      <c r="B492" s="4" t="s">
        <v>11</v>
      </c>
      <c r="C492" s="4">
        <v>900000</v>
      </c>
      <c r="D492" s="4">
        <v>1650</v>
      </c>
      <c r="E492" s="4">
        <v>2024</v>
      </c>
      <c r="F492" s="4">
        <v>5.0999999999999996</v>
      </c>
      <c r="G492" s="8">
        <v>20</v>
      </c>
      <c r="H492" s="4" t="s">
        <v>43</v>
      </c>
      <c r="I492" s="4" t="s">
        <v>14</v>
      </c>
      <c r="J492" s="4" t="s">
        <v>15</v>
      </c>
    </row>
    <row r="493" spans="1:10">
      <c r="A493" s="5" t="s">
        <v>30</v>
      </c>
      <c r="B493" s="6" t="s">
        <v>27</v>
      </c>
      <c r="C493" s="6">
        <v>400000</v>
      </c>
      <c r="D493" s="6">
        <v>740</v>
      </c>
      <c r="E493" s="6">
        <v>2024</v>
      </c>
      <c r="F493" s="6">
        <v>5.2</v>
      </c>
      <c r="G493" s="6" t="s">
        <v>28</v>
      </c>
      <c r="H493" s="6" t="s">
        <v>19</v>
      </c>
      <c r="I493" s="6" t="s">
        <v>20</v>
      </c>
      <c r="J493" s="6" t="s">
        <v>29</v>
      </c>
    </row>
    <row r="494" spans="1:10">
      <c r="A494" s="3" t="s">
        <v>30</v>
      </c>
      <c r="B494" s="4" t="s">
        <v>17</v>
      </c>
      <c r="C494" s="4">
        <v>420000</v>
      </c>
      <c r="D494" s="4">
        <v>2250</v>
      </c>
      <c r="E494" s="4">
        <v>2024</v>
      </c>
      <c r="F494" s="4">
        <v>5.4</v>
      </c>
      <c r="G494" s="4" t="s">
        <v>31</v>
      </c>
      <c r="H494" s="4" t="s">
        <v>25</v>
      </c>
      <c r="I494" s="4" t="s">
        <v>20</v>
      </c>
      <c r="J494" s="4" t="s">
        <v>21</v>
      </c>
    </row>
    <row r="495" spans="1:10">
      <c r="A495" s="5" t="s">
        <v>32</v>
      </c>
      <c r="B495" s="6" t="s">
        <v>11</v>
      </c>
      <c r="C495" s="6">
        <v>480000</v>
      </c>
      <c r="D495" s="6">
        <v>1400</v>
      </c>
      <c r="E495" s="6">
        <v>2024</v>
      </c>
      <c r="F495" s="6">
        <v>5.0999999999999996</v>
      </c>
      <c r="G495" s="7">
        <v>20</v>
      </c>
      <c r="H495" s="6" t="s">
        <v>13</v>
      </c>
      <c r="I495" s="6" t="s">
        <v>14</v>
      </c>
      <c r="J495" s="6" t="s">
        <v>15</v>
      </c>
    </row>
    <row r="496" spans="1:10">
      <c r="A496" s="3" t="s">
        <v>33</v>
      </c>
      <c r="B496" s="4" t="s">
        <v>23</v>
      </c>
      <c r="C496" s="4">
        <v>300000</v>
      </c>
      <c r="D496" s="4">
        <v>900</v>
      </c>
      <c r="E496" s="4">
        <v>2024</v>
      </c>
      <c r="F496" s="4">
        <v>5.3</v>
      </c>
      <c r="G496" s="4" t="s">
        <v>24</v>
      </c>
      <c r="H496" s="4" t="s">
        <v>19</v>
      </c>
      <c r="I496" s="4" t="s">
        <v>20</v>
      </c>
      <c r="J496" s="4" t="s">
        <v>21</v>
      </c>
    </row>
    <row r="497" spans="1:10">
      <c r="A497" s="3" t="s">
        <v>37</v>
      </c>
      <c r="B497" s="4" t="s">
        <v>11</v>
      </c>
      <c r="C497" s="4">
        <v>770000</v>
      </c>
      <c r="D497" s="4">
        <v>1530</v>
      </c>
      <c r="E497" s="4">
        <v>2024</v>
      </c>
      <c r="F497" s="4">
        <v>5.0999999999999996</v>
      </c>
      <c r="G497" s="8">
        <v>22</v>
      </c>
      <c r="H497" s="4" t="s">
        <v>13</v>
      </c>
      <c r="I497" s="4" t="s">
        <v>14</v>
      </c>
      <c r="J497" s="4" t="s">
        <v>29</v>
      </c>
    </row>
    <row r="498" spans="1:10">
      <c r="A498" s="5" t="s">
        <v>10</v>
      </c>
      <c r="B498" s="6" t="s">
        <v>17</v>
      </c>
      <c r="C498" s="6">
        <v>495000</v>
      </c>
      <c r="D498" s="6">
        <v>2680</v>
      </c>
      <c r="E498" s="6">
        <v>2024</v>
      </c>
      <c r="F498" s="6">
        <v>5</v>
      </c>
      <c r="G498" s="7">
        <v>12</v>
      </c>
      <c r="H498" s="6" t="s">
        <v>19</v>
      </c>
      <c r="I498" s="6" t="s">
        <v>20</v>
      </c>
      <c r="J498" s="6" t="s">
        <v>21</v>
      </c>
    </row>
    <row r="499" spans="1:10">
      <c r="A499" s="3" t="s">
        <v>16</v>
      </c>
      <c r="B499" s="4" t="s">
        <v>27</v>
      </c>
      <c r="C499" s="4">
        <v>450000</v>
      </c>
      <c r="D499" s="4">
        <v>740</v>
      </c>
      <c r="E499" s="4">
        <v>2023</v>
      </c>
      <c r="F499" s="4">
        <v>6.1</v>
      </c>
      <c r="G499" s="4" t="s">
        <v>28</v>
      </c>
      <c r="H499" s="4" t="s">
        <v>13</v>
      </c>
      <c r="I499" s="4" t="s">
        <v>20</v>
      </c>
      <c r="J499" s="4" t="s">
        <v>29</v>
      </c>
    </row>
    <row r="500" spans="1:10">
      <c r="A500" s="5" t="s">
        <v>22</v>
      </c>
      <c r="B500" s="6" t="s">
        <v>11</v>
      </c>
      <c r="C500" s="6">
        <v>420000</v>
      </c>
      <c r="D500" s="6">
        <v>1460</v>
      </c>
      <c r="E500" s="6">
        <v>2024</v>
      </c>
      <c r="F500" s="6">
        <v>5.3</v>
      </c>
      <c r="G500" s="7">
        <v>18</v>
      </c>
      <c r="H500" s="6" t="s">
        <v>19</v>
      </c>
      <c r="I500" s="6" t="s">
        <v>14</v>
      </c>
      <c r="J500" s="6" t="s">
        <v>15</v>
      </c>
    </row>
    <row r="501" spans="1:10">
      <c r="A501" s="3" t="s">
        <v>26</v>
      </c>
      <c r="B501" s="4" t="s">
        <v>23</v>
      </c>
      <c r="C501" s="4">
        <v>270000</v>
      </c>
      <c r="D501" s="4">
        <v>740</v>
      </c>
      <c r="E501" s="4">
        <v>2023</v>
      </c>
      <c r="F501" s="4">
        <v>6.5</v>
      </c>
      <c r="G501" s="4" t="s">
        <v>24</v>
      </c>
      <c r="H501" s="4" t="s">
        <v>25</v>
      </c>
      <c r="I501" s="4" t="s">
        <v>20</v>
      </c>
      <c r="J501" s="4" t="s">
        <v>21</v>
      </c>
    </row>
    <row r="502" spans="1:10">
      <c r="A502" s="5" t="s">
        <v>30</v>
      </c>
      <c r="B502" s="6" t="s">
        <v>27</v>
      </c>
      <c r="C502" s="6">
        <v>360000</v>
      </c>
      <c r="D502" s="6">
        <v>740</v>
      </c>
      <c r="E502" s="6">
        <v>2024</v>
      </c>
      <c r="F502" s="6">
        <v>5.4</v>
      </c>
      <c r="G502" s="6" t="s">
        <v>39</v>
      </c>
      <c r="H502" s="6" t="s">
        <v>19</v>
      </c>
      <c r="I502" s="6" t="s">
        <v>20</v>
      </c>
      <c r="J502" s="6" t="s">
        <v>29</v>
      </c>
    </row>
    <row r="503" spans="1:10">
      <c r="A503" s="3" t="s">
        <v>32</v>
      </c>
      <c r="B503" s="4" t="s">
        <v>17</v>
      </c>
      <c r="C503" s="4">
        <v>260000</v>
      </c>
      <c r="D503" s="4">
        <v>740</v>
      </c>
      <c r="E503" s="4">
        <v>2024</v>
      </c>
      <c r="F503" s="4">
        <v>5.3</v>
      </c>
      <c r="G503" s="4" t="s">
        <v>40</v>
      </c>
      <c r="H503" s="4" t="s">
        <v>25</v>
      </c>
      <c r="I503" s="4" t="s">
        <v>20</v>
      </c>
      <c r="J503" s="4" t="s">
        <v>21</v>
      </c>
    </row>
    <row r="504" spans="1:10">
      <c r="A504" s="5" t="s">
        <v>33</v>
      </c>
      <c r="B504" s="6" t="s">
        <v>11</v>
      </c>
      <c r="C504" s="6">
        <v>330000</v>
      </c>
      <c r="D504" s="6">
        <v>1450</v>
      </c>
      <c r="E504" s="6">
        <v>2024</v>
      </c>
      <c r="F504" s="6">
        <v>5.0999999999999996</v>
      </c>
      <c r="G504" s="7">
        <v>20</v>
      </c>
      <c r="H504" s="6" t="s">
        <v>13</v>
      </c>
      <c r="I504" s="6" t="s">
        <v>14</v>
      </c>
      <c r="J504" s="6" t="s">
        <v>15</v>
      </c>
    </row>
    <row r="505" spans="1:10">
      <c r="A505" s="3" t="s">
        <v>35</v>
      </c>
      <c r="B505" s="4" t="s">
        <v>23</v>
      </c>
      <c r="C505" s="4">
        <v>240000</v>
      </c>
      <c r="D505" s="4">
        <v>740</v>
      </c>
      <c r="E505" s="4">
        <v>2024</v>
      </c>
      <c r="F505" s="4">
        <v>5.3</v>
      </c>
      <c r="G505" s="4" t="s">
        <v>42</v>
      </c>
      <c r="H505" s="4" t="s">
        <v>25</v>
      </c>
      <c r="I505" s="4" t="s">
        <v>20</v>
      </c>
      <c r="J505" s="4" t="s">
        <v>21</v>
      </c>
    </row>
    <row r="506" spans="1:10">
      <c r="A506" s="5" t="s">
        <v>37</v>
      </c>
      <c r="B506" s="6" t="s">
        <v>17</v>
      </c>
      <c r="C506" s="6">
        <v>330000</v>
      </c>
      <c r="D506" s="6">
        <v>2510</v>
      </c>
      <c r="E506" s="6">
        <v>2024</v>
      </c>
      <c r="F506" s="6">
        <v>5.3</v>
      </c>
      <c r="G506" s="7">
        <v>10</v>
      </c>
      <c r="H506" s="6" t="s">
        <v>19</v>
      </c>
      <c r="I506" s="6" t="s">
        <v>20</v>
      </c>
      <c r="J506" s="6" t="s">
        <v>21</v>
      </c>
    </row>
    <row r="507" spans="1:10">
      <c r="A507" s="3" t="s">
        <v>10</v>
      </c>
      <c r="B507" s="4" t="s">
        <v>23</v>
      </c>
      <c r="C507" s="4">
        <v>610000</v>
      </c>
      <c r="D507" s="4">
        <v>740</v>
      </c>
      <c r="E507" s="4">
        <v>2024</v>
      </c>
      <c r="F507" s="4">
        <v>5.0999999999999996</v>
      </c>
      <c r="G507" s="4" t="s">
        <v>28</v>
      </c>
      <c r="H507" s="4" t="s">
        <v>13</v>
      </c>
      <c r="I507" s="4" t="s">
        <v>20</v>
      </c>
      <c r="J507" s="4" t="s">
        <v>29</v>
      </c>
    </row>
    <row r="508" spans="1:10">
      <c r="A508" s="5" t="s">
        <v>16</v>
      </c>
      <c r="B508" s="6" t="s">
        <v>11</v>
      </c>
      <c r="C508" s="6">
        <v>630000</v>
      </c>
      <c r="D508" s="6">
        <v>740</v>
      </c>
      <c r="E508" s="6">
        <v>2024</v>
      </c>
      <c r="F508" s="6">
        <v>5.3</v>
      </c>
      <c r="G508" s="6" t="s">
        <v>38</v>
      </c>
      <c r="H508" s="6" t="s">
        <v>43</v>
      </c>
      <c r="I508" s="6" t="s">
        <v>14</v>
      </c>
      <c r="J508" s="6" t="s">
        <v>15</v>
      </c>
    </row>
    <row r="509" spans="1:10">
      <c r="A509" s="3" t="s">
        <v>22</v>
      </c>
      <c r="B509" s="4" t="s">
        <v>17</v>
      </c>
      <c r="C509" s="4">
        <v>240000</v>
      </c>
      <c r="D509" s="4">
        <v>740</v>
      </c>
      <c r="E509" s="4">
        <v>2023</v>
      </c>
      <c r="F509" s="4">
        <v>6.4</v>
      </c>
      <c r="G509" s="4" t="s">
        <v>36</v>
      </c>
      <c r="H509" s="4" t="s">
        <v>25</v>
      </c>
      <c r="I509" s="4" t="s">
        <v>20</v>
      </c>
      <c r="J509" s="4" t="s">
        <v>21</v>
      </c>
    </row>
    <row r="510" spans="1:10">
      <c r="A510" s="5" t="s">
        <v>26</v>
      </c>
      <c r="B510" s="6" t="s">
        <v>11</v>
      </c>
      <c r="C510" s="6">
        <v>420000</v>
      </c>
      <c r="D510" s="6">
        <v>740</v>
      </c>
      <c r="E510" s="6">
        <v>2024</v>
      </c>
      <c r="F510" s="6">
        <v>5.4</v>
      </c>
      <c r="G510" s="6" t="s">
        <v>41</v>
      </c>
      <c r="H510" s="6" t="s">
        <v>13</v>
      </c>
      <c r="I510" s="6" t="s">
        <v>14</v>
      </c>
      <c r="J510" s="6" t="s">
        <v>29</v>
      </c>
    </row>
    <row r="511" spans="1:10">
      <c r="A511" s="3" t="s">
        <v>30</v>
      </c>
      <c r="B511" s="4" t="s">
        <v>23</v>
      </c>
      <c r="C511" s="4">
        <v>310000</v>
      </c>
      <c r="D511" s="4">
        <v>740</v>
      </c>
      <c r="E511" s="4">
        <v>2023</v>
      </c>
      <c r="F511" s="4">
        <v>6.5</v>
      </c>
      <c r="G511" s="4" t="s">
        <v>24</v>
      </c>
      <c r="H511" s="4" t="s">
        <v>19</v>
      </c>
      <c r="I511" s="4" t="s">
        <v>20</v>
      </c>
      <c r="J511" s="4" t="s">
        <v>21</v>
      </c>
    </row>
    <row r="512" spans="1:10">
      <c r="A512" s="5" t="s">
        <v>32</v>
      </c>
      <c r="B512" s="6" t="s">
        <v>27</v>
      </c>
      <c r="C512" s="6">
        <v>370000</v>
      </c>
      <c r="D512" s="6">
        <v>740</v>
      </c>
      <c r="E512" s="6">
        <v>2024</v>
      </c>
      <c r="F512" s="6">
        <v>5.3</v>
      </c>
      <c r="G512" s="6" t="s">
        <v>12</v>
      </c>
      <c r="H512" s="6" t="s">
        <v>13</v>
      </c>
      <c r="I512" s="6" t="s">
        <v>20</v>
      </c>
      <c r="J512" s="6" t="s">
        <v>29</v>
      </c>
    </row>
    <row r="513" spans="1:10">
      <c r="A513" s="3" t="s">
        <v>33</v>
      </c>
      <c r="B513" s="4" t="s">
        <v>17</v>
      </c>
      <c r="C513" s="4">
        <v>310000</v>
      </c>
      <c r="D513" s="4">
        <v>740</v>
      </c>
      <c r="E513" s="4">
        <v>2024</v>
      </c>
      <c r="F513" s="4">
        <v>5.2</v>
      </c>
      <c r="G513" s="4" t="s">
        <v>18</v>
      </c>
      <c r="H513" s="4" t="s">
        <v>19</v>
      </c>
      <c r="I513" s="4" t="s">
        <v>20</v>
      </c>
      <c r="J513" s="4" t="s">
        <v>21</v>
      </c>
    </row>
    <row r="514" spans="1:10">
      <c r="A514" s="5" t="s">
        <v>35</v>
      </c>
      <c r="B514" s="6" t="s">
        <v>11</v>
      </c>
      <c r="C514" s="6">
        <v>410000</v>
      </c>
      <c r="D514" s="6">
        <v>1120</v>
      </c>
      <c r="E514" s="6">
        <v>2024</v>
      </c>
      <c r="F514" s="6">
        <v>5.4</v>
      </c>
      <c r="G514" s="7">
        <v>25</v>
      </c>
      <c r="H514" s="6" t="s">
        <v>13</v>
      </c>
      <c r="I514" s="6" t="s">
        <v>14</v>
      </c>
      <c r="J514" s="6" t="s">
        <v>15</v>
      </c>
    </row>
    <row r="515" spans="1:10">
      <c r="A515" s="3" t="s">
        <v>37</v>
      </c>
      <c r="B515" s="4" t="s">
        <v>27</v>
      </c>
      <c r="C515" s="4">
        <v>460000</v>
      </c>
      <c r="D515" s="4">
        <v>740</v>
      </c>
      <c r="E515" s="4">
        <v>2024</v>
      </c>
      <c r="F515" s="4">
        <v>5.2</v>
      </c>
      <c r="G515" s="4" t="s">
        <v>28</v>
      </c>
      <c r="H515" s="4" t="s">
        <v>13</v>
      </c>
      <c r="I515" s="4" t="s">
        <v>20</v>
      </c>
      <c r="J515" s="4" t="s">
        <v>29</v>
      </c>
    </row>
    <row r="516" spans="1:10">
      <c r="A516" s="5" t="s">
        <v>10</v>
      </c>
      <c r="B516" s="6" t="s">
        <v>11</v>
      </c>
      <c r="C516" s="6">
        <v>920000</v>
      </c>
      <c r="D516" s="6">
        <v>1620</v>
      </c>
      <c r="E516" s="6">
        <v>2024</v>
      </c>
      <c r="F516" s="6">
        <v>5.0999999999999996</v>
      </c>
      <c r="G516" s="7">
        <v>20</v>
      </c>
      <c r="H516" s="6" t="s">
        <v>43</v>
      </c>
      <c r="I516" s="6" t="s">
        <v>14</v>
      </c>
      <c r="J516" s="6" t="s">
        <v>15</v>
      </c>
    </row>
    <row r="517" spans="1:10">
      <c r="A517" s="3" t="s">
        <v>16</v>
      </c>
      <c r="B517" s="4" t="s">
        <v>23</v>
      </c>
      <c r="C517" s="4">
        <v>410000</v>
      </c>
      <c r="D517" s="4">
        <v>740</v>
      </c>
      <c r="E517" s="4">
        <v>2024</v>
      </c>
      <c r="F517" s="4">
        <v>5.4</v>
      </c>
      <c r="G517" s="4" t="s">
        <v>24</v>
      </c>
      <c r="H517" s="4" t="s">
        <v>19</v>
      </c>
      <c r="I517" s="4" t="s">
        <v>20</v>
      </c>
      <c r="J517" s="4" t="s">
        <v>21</v>
      </c>
    </row>
    <row r="518" spans="1:10">
      <c r="A518" s="5" t="s">
        <v>22</v>
      </c>
      <c r="B518" s="6" t="s">
        <v>27</v>
      </c>
      <c r="C518" s="6">
        <v>330000</v>
      </c>
      <c r="D518" s="6">
        <v>740</v>
      </c>
      <c r="E518" s="6">
        <v>2024</v>
      </c>
      <c r="F518" s="6">
        <v>5.5</v>
      </c>
      <c r="G518" s="6" t="s">
        <v>18</v>
      </c>
      <c r="H518" s="6" t="s">
        <v>19</v>
      </c>
      <c r="I518" s="6" t="s">
        <v>20</v>
      </c>
      <c r="J518" s="6" t="s">
        <v>29</v>
      </c>
    </row>
    <row r="519" spans="1:10">
      <c r="A519" s="3" t="s">
        <v>26</v>
      </c>
      <c r="B519" s="4" t="s">
        <v>17</v>
      </c>
      <c r="C519" s="4">
        <v>220000</v>
      </c>
      <c r="D519" s="4">
        <v>740</v>
      </c>
      <c r="E519" s="4">
        <v>2023</v>
      </c>
      <c r="F519" s="4">
        <v>6.6</v>
      </c>
      <c r="G519" s="4" t="s">
        <v>36</v>
      </c>
      <c r="H519" s="4" t="s">
        <v>25</v>
      </c>
      <c r="I519" s="4" t="s">
        <v>20</v>
      </c>
      <c r="J519" s="4" t="s">
        <v>21</v>
      </c>
    </row>
    <row r="520" spans="1:10">
      <c r="A520" s="5" t="s">
        <v>30</v>
      </c>
      <c r="B520" s="6" t="s">
        <v>11</v>
      </c>
      <c r="C520" s="6">
        <v>460000</v>
      </c>
      <c r="D520" s="6">
        <v>740</v>
      </c>
      <c r="E520" s="6">
        <v>2024</v>
      </c>
      <c r="F520" s="6">
        <v>5.3</v>
      </c>
      <c r="G520" s="6" t="s">
        <v>38</v>
      </c>
      <c r="H520" s="6" t="s">
        <v>13</v>
      </c>
      <c r="I520" s="6" t="s">
        <v>14</v>
      </c>
      <c r="J520" s="6" t="s">
        <v>15</v>
      </c>
    </row>
    <row r="521" spans="1:10">
      <c r="A521" s="3" t="s">
        <v>32</v>
      </c>
      <c r="B521" s="4" t="s">
        <v>23</v>
      </c>
      <c r="C521" s="4">
        <v>320000</v>
      </c>
      <c r="D521" s="4">
        <v>740</v>
      </c>
      <c r="E521" s="4">
        <v>2023</v>
      </c>
      <c r="F521" s="4">
        <v>6.4</v>
      </c>
      <c r="G521" s="4" t="s">
        <v>24</v>
      </c>
      <c r="H521" s="4" t="s">
        <v>19</v>
      </c>
      <c r="I521" s="4" t="s">
        <v>20</v>
      </c>
      <c r="J521" s="4" t="s">
        <v>21</v>
      </c>
    </row>
    <row r="522" spans="1:10">
      <c r="A522" s="5" t="s">
        <v>33</v>
      </c>
      <c r="B522" s="6" t="s">
        <v>27</v>
      </c>
      <c r="C522" s="6">
        <v>420000</v>
      </c>
      <c r="D522" s="6">
        <v>740</v>
      </c>
      <c r="E522" s="6">
        <v>2024</v>
      </c>
      <c r="F522" s="6">
        <v>5.2</v>
      </c>
      <c r="G522" s="6" t="s">
        <v>28</v>
      </c>
      <c r="H522" s="6" t="s">
        <v>13</v>
      </c>
      <c r="I522" s="6" t="s">
        <v>20</v>
      </c>
      <c r="J522" s="6" t="s">
        <v>29</v>
      </c>
    </row>
    <row r="523" spans="1:10">
      <c r="A523" s="3" t="s">
        <v>35</v>
      </c>
      <c r="B523" s="4" t="s">
        <v>17</v>
      </c>
      <c r="C523" s="4">
        <v>200000</v>
      </c>
      <c r="D523" s="4">
        <v>740</v>
      </c>
      <c r="E523" s="4">
        <v>2024</v>
      </c>
      <c r="F523" s="4">
        <v>5.4</v>
      </c>
      <c r="G523" s="4" t="s">
        <v>31</v>
      </c>
      <c r="H523" s="4" t="s">
        <v>25</v>
      </c>
      <c r="I523" s="4" t="s">
        <v>20</v>
      </c>
      <c r="J523" s="4" t="s">
        <v>21</v>
      </c>
    </row>
    <row r="524" spans="1:10">
      <c r="A524" s="5" t="s">
        <v>37</v>
      </c>
      <c r="B524" s="6" t="s">
        <v>11</v>
      </c>
      <c r="C524" s="6">
        <v>550000</v>
      </c>
      <c r="D524" s="6">
        <v>1550</v>
      </c>
      <c r="E524" s="6">
        <v>2024</v>
      </c>
      <c r="F524" s="6">
        <v>5.0999999999999996</v>
      </c>
      <c r="G524" s="7">
        <v>20</v>
      </c>
      <c r="H524" s="6" t="s">
        <v>13</v>
      </c>
      <c r="I524" s="6" t="s">
        <v>14</v>
      </c>
      <c r="J524" s="6" t="s">
        <v>15</v>
      </c>
    </row>
    <row r="525" spans="1:10">
      <c r="A525" s="3" t="s">
        <v>10</v>
      </c>
      <c r="B525" s="4" t="s">
        <v>17</v>
      </c>
      <c r="C525" s="4">
        <v>520000</v>
      </c>
      <c r="D525" s="4">
        <v>740</v>
      </c>
      <c r="E525" s="4">
        <v>2023</v>
      </c>
      <c r="F525" s="4">
        <v>6</v>
      </c>
      <c r="G525" s="4" t="s">
        <v>24</v>
      </c>
      <c r="H525" s="4" t="s">
        <v>19</v>
      </c>
      <c r="I525" s="4" t="s">
        <v>20</v>
      </c>
      <c r="J525" s="4" t="s">
        <v>21</v>
      </c>
    </row>
    <row r="526" spans="1:10">
      <c r="A526" s="5" t="s">
        <v>16</v>
      </c>
      <c r="B526" s="6" t="s">
        <v>27</v>
      </c>
      <c r="C526" s="6">
        <v>490000</v>
      </c>
      <c r="D526" s="6">
        <v>740</v>
      </c>
      <c r="E526" s="6">
        <v>2024</v>
      </c>
      <c r="F526" s="6">
        <v>5.3</v>
      </c>
      <c r="G526" s="6" t="s">
        <v>28</v>
      </c>
      <c r="H526" s="6" t="s">
        <v>13</v>
      </c>
      <c r="I526" s="6" t="s">
        <v>20</v>
      </c>
      <c r="J526" s="6" t="s">
        <v>29</v>
      </c>
    </row>
    <row r="527" spans="1:10">
      <c r="A527" s="3" t="s">
        <v>22</v>
      </c>
      <c r="B527" s="4" t="s">
        <v>23</v>
      </c>
      <c r="C527" s="4">
        <v>310000</v>
      </c>
      <c r="D527" s="4">
        <v>740</v>
      </c>
      <c r="E527" s="4">
        <v>2024</v>
      </c>
      <c r="F527" s="4">
        <v>5.4</v>
      </c>
      <c r="G527" s="4" t="s">
        <v>24</v>
      </c>
      <c r="H527" s="4" t="s">
        <v>25</v>
      </c>
      <c r="I527" s="4" t="s">
        <v>20</v>
      </c>
      <c r="J527" s="4" t="s">
        <v>21</v>
      </c>
    </row>
    <row r="528" spans="1:10">
      <c r="A528" s="5" t="s">
        <v>26</v>
      </c>
      <c r="B528" s="6" t="s">
        <v>11</v>
      </c>
      <c r="C528" s="6">
        <v>440000</v>
      </c>
      <c r="D528" s="6">
        <v>740</v>
      </c>
      <c r="E528" s="6">
        <v>2023</v>
      </c>
      <c r="F528" s="6">
        <v>6.2</v>
      </c>
      <c r="G528" s="6" t="s">
        <v>41</v>
      </c>
      <c r="H528" s="6" t="s">
        <v>13</v>
      </c>
      <c r="I528" s="6" t="s">
        <v>14</v>
      </c>
      <c r="J528" s="6" t="s">
        <v>15</v>
      </c>
    </row>
    <row r="529" spans="1:10">
      <c r="A529" s="3" t="s">
        <v>30</v>
      </c>
      <c r="B529" s="4" t="s">
        <v>17</v>
      </c>
      <c r="C529" s="4">
        <v>270000</v>
      </c>
      <c r="D529" s="4">
        <v>740</v>
      </c>
      <c r="E529" s="4">
        <v>2024</v>
      </c>
      <c r="F529" s="4">
        <v>5.4</v>
      </c>
      <c r="G529" s="4" t="s">
        <v>36</v>
      </c>
      <c r="H529" s="4" t="s">
        <v>25</v>
      </c>
      <c r="I529" s="4" t="s">
        <v>20</v>
      </c>
      <c r="J529" s="4" t="s">
        <v>21</v>
      </c>
    </row>
    <row r="530" spans="1:10">
      <c r="A530" s="5" t="s">
        <v>32</v>
      </c>
      <c r="B530" s="6" t="s">
        <v>11</v>
      </c>
      <c r="C530" s="6">
        <v>500000</v>
      </c>
      <c r="D530" s="6">
        <v>740</v>
      </c>
      <c r="E530" s="6">
        <v>2024</v>
      </c>
      <c r="F530" s="6">
        <v>5.2</v>
      </c>
      <c r="G530" s="6" t="s">
        <v>41</v>
      </c>
      <c r="H530" s="6" t="s">
        <v>13</v>
      </c>
      <c r="I530" s="6" t="s">
        <v>14</v>
      </c>
      <c r="J530" s="6" t="s">
        <v>15</v>
      </c>
    </row>
    <row r="531" spans="1:10">
      <c r="A531" s="3" t="s">
        <v>33</v>
      </c>
      <c r="B531" s="4" t="s">
        <v>23</v>
      </c>
      <c r="C531" s="4">
        <v>370000</v>
      </c>
      <c r="D531" s="4">
        <v>740</v>
      </c>
      <c r="E531" s="4">
        <v>2024</v>
      </c>
      <c r="F531" s="4">
        <v>5.3</v>
      </c>
      <c r="G531" s="4" t="s">
        <v>24</v>
      </c>
      <c r="H531" s="4" t="s">
        <v>19</v>
      </c>
      <c r="I531" s="4" t="s">
        <v>20</v>
      </c>
      <c r="J531" s="4" t="s">
        <v>21</v>
      </c>
    </row>
    <row r="532" spans="1:10">
      <c r="A532" s="5" t="s">
        <v>35</v>
      </c>
      <c r="B532" s="6" t="s">
        <v>27</v>
      </c>
      <c r="C532" s="6">
        <v>300000</v>
      </c>
      <c r="D532" s="6">
        <v>740</v>
      </c>
      <c r="E532" s="6">
        <v>2023</v>
      </c>
      <c r="F532" s="6">
        <v>6.5</v>
      </c>
      <c r="G532" s="6" t="s">
        <v>18</v>
      </c>
      <c r="H532" s="6" t="s">
        <v>19</v>
      </c>
      <c r="I532" s="6" t="s">
        <v>20</v>
      </c>
      <c r="J532" s="6" t="s">
        <v>29</v>
      </c>
    </row>
    <row r="533" spans="1:10">
      <c r="A533" s="3" t="s">
        <v>37</v>
      </c>
      <c r="B533" s="4" t="s">
        <v>17</v>
      </c>
      <c r="C533" s="4">
        <v>320000</v>
      </c>
      <c r="D533" s="4">
        <v>740</v>
      </c>
      <c r="E533" s="4">
        <v>2023</v>
      </c>
      <c r="F533" s="4">
        <v>6</v>
      </c>
      <c r="G533" s="4" t="s">
        <v>24</v>
      </c>
      <c r="H533" s="4" t="s">
        <v>19</v>
      </c>
      <c r="I533" s="4" t="s">
        <v>20</v>
      </c>
      <c r="J533" s="4" t="s">
        <v>21</v>
      </c>
    </row>
    <row r="534" spans="1:10">
      <c r="A534" s="5" t="s">
        <v>10</v>
      </c>
      <c r="B534" s="6" t="s">
        <v>11</v>
      </c>
      <c r="C534" s="6">
        <v>950000</v>
      </c>
      <c r="D534" s="6">
        <v>1650</v>
      </c>
      <c r="E534" s="6">
        <v>2024</v>
      </c>
      <c r="F534" s="6">
        <v>5.0999999999999996</v>
      </c>
      <c r="G534" s="7">
        <v>20</v>
      </c>
      <c r="H534" s="6" t="s">
        <v>43</v>
      </c>
      <c r="I534" s="6" t="s">
        <v>14</v>
      </c>
      <c r="J534" s="6" t="s">
        <v>15</v>
      </c>
    </row>
    <row r="535" spans="1:10">
      <c r="A535" s="3" t="s">
        <v>10</v>
      </c>
      <c r="B535" s="4" t="s">
        <v>17</v>
      </c>
      <c r="C535" s="4">
        <v>455000</v>
      </c>
      <c r="D535" s="4">
        <v>2700</v>
      </c>
      <c r="E535" s="4">
        <v>2024</v>
      </c>
      <c r="F535" s="4">
        <v>5</v>
      </c>
      <c r="G535" s="4">
        <v>12</v>
      </c>
      <c r="H535" s="4" t="s">
        <v>19</v>
      </c>
      <c r="I535" s="4" t="s">
        <v>20</v>
      </c>
      <c r="J535" s="4" t="s">
        <v>29</v>
      </c>
    </row>
    <row r="536" spans="1:10">
      <c r="A536" s="5" t="s">
        <v>16</v>
      </c>
      <c r="B536" s="6" t="s">
        <v>11</v>
      </c>
      <c r="C536" s="6">
        <v>590000</v>
      </c>
      <c r="D536" s="6">
        <v>600</v>
      </c>
      <c r="E536" s="6">
        <v>2024</v>
      </c>
      <c r="F536" s="6">
        <v>5.3</v>
      </c>
      <c r="G536" s="6" t="s">
        <v>38</v>
      </c>
      <c r="H536" s="6" t="s">
        <v>43</v>
      </c>
      <c r="I536" s="6" t="s">
        <v>14</v>
      </c>
      <c r="J536" s="6" t="s">
        <v>15</v>
      </c>
    </row>
    <row r="537" spans="1:10">
      <c r="A537" s="3" t="s">
        <v>22</v>
      </c>
      <c r="B537" s="4" t="s">
        <v>27</v>
      </c>
      <c r="C537" s="4">
        <v>305000</v>
      </c>
      <c r="D537" s="4">
        <v>1850</v>
      </c>
      <c r="E537" s="4">
        <v>2024</v>
      </c>
      <c r="F537" s="4">
        <v>5.4</v>
      </c>
      <c r="G537" s="4">
        <v>14</v>
      </c>
      <c r="H537" s="4" t="s">
        <v>19</v>
      </c>
      <c r="I537" s="4" t="s">
        <v>20</v>
      </c>
      <c r="J537" s="4" t="s">
        <v>21</v>
      </c>
    </row>
    <row r="538" spans="1:10">
      <c r="A538" s="5" t="s">
        <v>26</v>
      </c>
      <c r="B538" s="6" t="s">
        <v>23</v>
      </c>
      <c r="C538" s="6">
        <v>245000</v>
      </c>
      <c r="D538" s="6">
        <v>250</v>
      </c>
      <c r="E538" s="6">
        <v>2024</v>
      </c>
      <c r="F538" s="6">
        <v>5.5</v>
      </c>
      <c r="G538" s="6">
        <v>10</v>
      </c>
      <c r="H538" s="6" t="s">
        <v>25</v>
      </c>
      <c r="I538" s="6" t="s">
        <v>20</v>
      </c>
      <c r="J538" s="6" t="s">
        <v>21</v>
      </c>
    </row>
    <row r="539" spans="1:10">
      <c r="A539" s="3" t="s">
        <v>30</v>
      </c>
      <c r="B539" s="4" t="s">
        <v>17</v>
      </c>
      <c r="C539" s="4">
        <v>225000</v>
      </c>
      <c r="D539" s="4">
        <v>2100</v>
      </c>
      <c r="E539" s="4">
        <v>2024</v>
      </c>
      <c r="F539" s="4">
        <v>5.4</v>
      </c>
      <c r="G539" s="4" t="s">
        <v>45</v>
      </c>
      <c r="H539" s="4" t="s">
        <v>25</v>
      </c>
      <c r="I539" s="4" t="s">
        <v>20</v>
      </c>
      <c r="J539" s="4" t="s">
        <v>21</v>
      </c>
    </row>
    <row r="540" spans="1:10">
      <c r="A540" s="5" t="s">
        <v>32</v>
      </c>
      <c r="B540" s="6" t="s">
        <v>11</v>
      </c>
      <c r="C540" s="6">
        <v>460000</v>
      </c>
      <c r="D540" s="6">
        <v>400</v>
      </c>
      <c r="E540" s="6">
        <v>2024</v>
      </c>
      <c r="F540" s="6">
        <v>5.2</v>
      </c>
      <c r="G540" s="6" t="s">
        <v>41</v>
      </c>
      <c r="H540" s="6" t="s">
        <v>13</v>
      </c>
      <c r="I540" s="6" t="s">
        <v>14</v>
      </c>
      <c r="J540" s="6" t="s">
        <v>15</v>
      </c>
    </row>
    <row r="541" spans="1:10">
      <c r="A541" s="3" t="s">
        <v>33</v>
      </c>
      <c r="B541" s="4" t="s">
        <v>27</v>
      </c>
      <c r="C541" s="4">
        <v>375000</v>
      </c>
      <c r="D541" s="4">
        <v>1750</v>
      </c>
      <c r="E541" s="4">
        <v>2024</v>
      </c>
      <c r="F541" s="4">
        <v>5.2</v>
      </c>
      <c r="G541" s="4" t="s">
        <v>28</v>
      </c>
      <c r="H541" s="4" t="s">
        <v>13</v>
      </c>
      <c r="I541" s="4" t="s">
        <v>20</v>
      </c>
      <c r="J541" s="4" t="s">
        <v>29</v>
      </c>
    </row>
    <row r="542" spans="1:10">
      <c r="A542" s="5" t="s">
        <v>35</v>
      </c>
      <c r="B542" s="6" t="s">
        <v>17</v>
      </c>
      <c r="C542" s="6">
        <v>180000</v>
      </c>
      <c r="D542" s="6">
        <v>2150</v>
      </c>
      <c r="E542" s="6">
        <v>2024</v>
      </c>
      <c r="F542" s="6">
        <v>5.4</v>
      </c>
      <c r="G542" s="6">
        <v>8</v>
      </c>
      <c r="H542" s="6" t="s">
        <v>25</v>
      </c>
      <c r="I542" s="6" t="s">
        <v>20</v>
      </c>
      <c r="J542" s="6" t="s">
        <v>21</v>
      </c>
    </row>
    <row r="543" spans="1:10">
      <c r="A543" s="3" t="s">
        <v>37</v>
      </c>
      <c r="B543" s="4" t="s">
        <v>23</v>
      </c>
      <c r="C543" s="4">
        <v>330000</v>
      </c>
      <c r="D543" s="4">
        <v>950</v>
      </c>
      <c r="E543" s="4">
        <v>2024</v>
      </c>
      <c r="F543" s="4">
        <v>5.3</v>
      </c>
      <c r="G543" s="4">
        <v>10</v>
      </c>
      <c r="H543" s="4" t="s">
        <v>19</v>
      </c>
      <c r="I543" s="4" t="s">
        <v>20</v>
      </c>
      <c r="J543" s="4" t="s">
        <v>21</v>
      </c>
    </row>
    <row r="544" spans="1:10">
      <c r="A544" s="5" t="s">
        <v>10</v>
      </c>
      <c r="B544" s="6" t="s">
        <v>11</v>
      </c>
      <c r="C544" s="6">
        <v>810000</v>
      </c>
      <c r="D544" s="6">
        <v>1650</v>
      </c>
      <c r="E544" s="6">
        <v>2024</v>
      </c>
      <c r="F544" s="6">
        <v>5.0999999999999996</v>
      </c>
      <c r="G544" s="6" t="s">
        <v>41</v>
      </c>
      <c r="H544" s="6" t="s">
        <v>43</v>
      </c>
      <c r="I544" s="6" t="s">
        <v>14</v>
      </c>
      <c r="J544" s="6" t="s">
        <v>15</v>
      </c>
    </row>
    <row r="545" spans="1:10">
      <c r="A545" s="3" t="s">
        <v>16</v>
      </c>
      <c r="B545" s="4" t="s">
        <v>17</v>
      </c>
      <c r="C545" s="4">
        <v>310000</v>
      </c>
      <c r="D545" s="4">
        <v>2300</v>
      </c>
      <c r="E545" s="4">
        <v>2024</v>
      </c>
      <c r="F545" s="4">
        <v>5.2</v>
      </c>
      <c r="G545" s="4" t="s">
        <v>18</v>
      </c>
      <c r="H545" s="4" t="s">
        <v>19</v>
      </c>
      <c r="I545" s="4" t="s">
        <v>20</v>
      </c>
      <c r="J545" s="4" t="s">
        <v>21</v>
      </c>
    </row>
    <row r="546" spans="1:10">
      <c r="A546" s="5" t="s">
        <v>22</v>
      </c>
      <c r="B546" s="6" t="s">
        <v>23</v>
      </c>
      <c r="C546" s="6">
        <v>260000</v>
      </c>
      <c r="D546" s="6">
        <v>400</v>
      </c>
      <c r="E546" s="6">
        <v>2024</v>
      </c>
      <c r="F546" s="6">
        <v>5.4</v>
      </c>
      <c r="G546" s="6">
        <v>10</v>
      </c>
      <c r="H546" s="6" t="s">
        <v>25</v>
      </c>
      <c r="I546" s="6" t="s">
        <v>20</v>
      </c>
      <c r="J546" s="6" t="s">
        <v>21</v>
      </c>
    </row>
    <row r="547" spans="1:10">
      <c r="A547" s="3" t="s">
        <v>26</v>
      </c>
      <c r="B547" s="4" t="s">
        <v>11</v>
      </c>
      <c r="C547" s="4">
        <v>395000</v>
      </c>
      <c r="D547" s="4">
        <v>1500</v>
      </c>
      <c r="E547" s="4">
        <v>2024</v>
      </c>
      <c r="F547" s="4">
        <v>5.4</v>
      </c>
      <c r="G547" s="4" t="s">
        <v>41</v>
      </c>
      <c r="H547" s="4" t="s">
        <v>13</v>
      </c>
      <c r="I547" s="4" t="s">
        <v>14</v>
      </c>
      <c r="J547" s="4" t="s">
        <v>29</v>
      </c>
    </row>
    <row r="548" spans="1:10">
      <c r="A548" s="5" t="s">
        <v>30</v>
      </c>
      <c r="B548" s="6" t="s">
        <v>27</v>
      </c>
      <c r="C548" s="6">
        <v>345000</v>
      </c>
      <c r="D548" s="6">
        <v>1800</v>
      </c>
      <c r="E548" s="6">
        <v>2024</v>
      </c>
      <c r="F548" s="6">
        <v>5.3</v>
      </c>
      <c r="G548" s="6">
        <v>18</v>
      </c>
      <c r="H548" s="6" t="s">
        <v>13</v>
      </c>
      <c r="I548" s="6" t="s">
        <v>20</v>
      </c>
      <c r="J548" s="6" t="s">
        <v>29</v>
      </c>
    </row>
    <row r="549" spans="1:10">
      <c r="A549" s="3" t="s">
        <v>32</v>
      </c>
      <c r="B549" s="4" t="s">
        <v>17</v>
      </c>
      <c r="C549" s="4">
        <v>240000</v>
      </c>
      <c r="D549" s="4">
        <v>2250</v>
      </c>
      <c r="E549" s="4">
        <v>2024</v>
      </c>
      <c r="F549" s="4">
        <v>5.3</v>
      </c>
      <c r="G549" s="4" t="s">
        <v>40</v>
      </c>
      <c r="H549" s="4" t="s">
        <v>25</v>
      </c>
      <c r="I549" s="4" t="s">
        <v>20</v>
      </c>
      <c r="J549" s="4" t="s">
        <v>21</v>
      </c>
    </row>
    <row r="550" spans="1:10">
      <c r="A550" s="5" t="s">
        <v>33</v>
      </c>
      <c r="B550" s="6" t="s">
        <v>11</v>
      </c>
      <c r="C550" s="6">
        <v>500000</v>
      </c>
      <c r="D550" s="6">
        <v>450</v>
      </c>
      <c r="E550" s="6">
        <v>2024</v>
      </c>
      <c r="F550" s="6">
        <v>5.0999999999999996</v>
      </c>
      <c r="G550" s="6" t="s">
        <v>41</v>
      </c>
      <c r="H550" s="6" t="s">
        <v>13</v>
      </c>
      <c r="I550" s="6" t="s">
        <v>14</v>
      </c>
      <c r="J550" s="6" t="s">
        <v>15</v>
      </c>
    </row>
    <row r="551" spans="1:10">
      <c r="A551" s="3" t="s">
        <v>35</v>
      </c>
      <c r="B551" s="4" t="s">
        <v>23</v>
      </c>
      <c r="C551" s="4">
        <v>220000</v>
      </c>
      <c r="D551" s="4">
        <v>1850</v>
      </c>
      <c r="E551" s="4">
        <v>2024</v>
      </c>
      <c r="F551" s="4">
        <v>5.4</v>
      </c>
      <c r="G551" s="4" t="s">
        <v>42</v>
      </c>
      <c r="H551" s="4" t="s">
        <v>25</v>
      </c>
      <c r="I551" s="4" t="s">
        <v>20</v>
      </c>
      <c r="J551" s="4" t="s">
        <v>21</v>
      </c>
    </row>
    <row r="552" spans="1:10">
      <c r="A552" s="5" t="s">
        <v>37</v>
      </c>
      <c r="B552" s="6" t="s">
        <v>11</v>
      </c>
      <c r="C552" s="6">
        <v>540000</v>
      </c>
      <c r="D552" s="6">
        <v>1500</v>
      </c>
      <c r="E552" s="6">
        <v>2024</v>
      </c>
      <c r="F552" s="6">
        <v>5.0999999999999996</v>
      </c>
      <c r="G552" s="6" t="s">
        <v>41</v>
      </c>
      <c r="H552" s="6" t="s">
        <v>13</v>
      </c>
      <c r="I552" s="6" t="s">
        <v>14</v>
      </c>
      <c r="J552" s="6" t="s">
        <v>15</v>
      </c>
    </row>
    <row r="553" spans="1:10">
      <c r="A553" s="3" t="s">
        <v>10</v>
      </c>
      <c r="B553" s="4" t="s">
        <v>23</v>
      </c>
      <c r="C553" s="4">
        <v>565000</v>
      </c>
      <c r="D553" s="4">
        <v>2250</v>
      </c>
      <c r="E553" s="4">
        <v>2024</v>
      </c>
      <c r="F553" s="4">
        <v>5.0999999999999996</v>
      </c>
      <c r="G553" s="4" t="s">
        <v>28</v>
      </c>
      <c r="H553" s="4" t="s">
        <v>13</v>
      </c>
      <c r="I553" s="4" t="s">
        <v>20</v>
      </c>
      <c r="J553" s="4" t="s">
        <v>29</v>
      </c>
    </row>
    <row r="554" spans="1:10">
      <c r="A554" s="5" t="s">
        <v>16</v>
      </c>
      <c r="B554" s="6" t="s">
        <v>27</v>
      </c>
      <c r="C554" s="6">
        <v>445000</v>
      </c>
      <c r="D554" s="6">
        <v>2100</v>
      </c>
      <c r="E554" s="6">
        <v>2024</v>
      </c>
      <c r="F554" s="6">
        <v>5.3</v>
      </c>
      <c r="G554" s="6" t="s">
        <v>28</v>
      </c>
      <c r="H554" s="6" t="s">
        <v>13</v>
      </c>
      <c r="I554" s="6" t="s">
        <v>20</v>
      </c>
      <c r="J554" s="6" t="s">
        <v>29</v>
      </c>
    </row>
    <row r="555" spans="1:10">
      <c r="A555" s="3" t="s">
        <v>10</v>
      </c>
      <c r="B555" s="4" t="s">
        <v>17</v>
      </c>
      <c r="C555" s="4">
        <v>460000</v>
      </c>
      <c r="D555" s="4">
        <v>750</v>
      </c>
      <c r="E555" s="4">
        <v>2024</v>
      </c>
      <c r="F555" s="4">
        <v>5</v>
      </c>
      <c r="G555" s="4" t="s">
        <v>36</v>
      </c>
      <c r="H555" s="4" t="s">
        <v>19</v>
      </c>
      <c r="I555" s="4" t="s">
        <v>20</v>
      </c>
      <c r="J555" s="4" t="s">
        <v>21</v>
      </c>
    </row>
    <row r="556" spans="1:10">
      <c r="A556" s="5" t="s">
        <v>16</v>
      </c>
      <c r="B556" s="6" t="s">
        <v>11</v>
      </c>
      <c r="C556" s="6">
        <v>600000</v>
      </c>
      <c r="D556" s="6">
        <v>1700</v>
      </c>
      <c r="E556" s="6">
        <v>2024</v>
      </c>
      <c r="F556" s="6">
        <v>5.3</v>
      </c>
      <c r="G556" s="6" t="s">
        <v>38</v>
      </c>
      <c r="H556" s="6" t="s">
        <v>43</v>
      </c>
      <c r="I556" s="6" t="s">
        <v>14</v>
      </c>
      <c r="J556" s="6" t="s">
        <v>15</v>
      </c>
    </row>
    <row r="557" spans="1:10">
      <c r="A557" s="3" t="s">
        <v>22</v>
      </c>
      <c r="B557" s="4" t="s">
        <v>27</v>
      </c>
      <c r="C557" s="4">
        <v>315000</v>
      </c>
      <c r="D557" s="4">
        <v>900</v>
      </c>
      <c r="E557" s="4">
        <v>2024</v>
      </c>
      <c r="F557" s="4">
        <v>5.4</v>
      </c>
      <c r="G557" s="4" t="s">
        <v>39</v>
      </c>
      <c r="H557" s="4" t="s">
        <v>19</v>
      </c>
      <c r="I557" s="4" t="s">
        <v>20</v>
      </c>
      <c r="J557" s="4" t="s">
        <v>29</v>
      </c>
    </row>
    <row r="558" spans="1:10">
      <c r="A558" s="5" t="s">
        <v>26</v>
      </c>
      <c r="B558" s="6" t="s">
        <v>23</v>
      </c>
      <c r="C558" s="6">
        <v>250000</v>
      </c>
      <c r="D558" s="6">
        <v>2300</v>
      </c>
      <c r="E558" s="6">
        <v>2024</v>
      </c>
      <c r="F558" s="6">
        <v>5.5</v>
      </c>
      <c r="G558" s="6" t="s">
        <v>24</v>
      </c>
      <c r="H558" s="6" t="s">
        <v>25</v>
      </c>
      <c r="I558" s="6" t="s">
        <v>20</v>
      </c>
      <c r="J558" s="6" t="s">
        <v>21</v>
      </c>
    </row>
    <row r="559" spans="1:10">
      <c r="A559" s="3" t="s">
        <v>30</v>
      </c>
      <c r="B559" s="4" t="s">
        <v>17</v>
      </c>
      <c r="C559" s="4">
        <v>230000</v>
      </c>
      <c r="D559" s="4">
        <v>150</v>
      </c>
      <c r="E559" s="4">
        <v>2024</v>
      </c>
      <c r="F559" s="4">
        <v>5.4</v>
      </c>
      <c r="G559" s="4">
        <v>8</v>
      </c>
      <c r="H559" s="4" t="s">
        <v>25</v>
      </c>
      <c r="I559" s="4" t="s">
        <v>20</v>
      </c>
      <c r="J559" s="4" t="s">
        <v>21</v>
      </c>
    </row>
    <row r="560" spans="1:10">
      <c r="A560" s="3" t="s">
        <v>33</v>
      </c>
      <c r="B560" s="4" t="s">
        <v>27</v>
      </c>
      <c r="C560" s="4">
        <v>380000</v>
      </c>
      <c r="D560" s="4">
        <v>800</v>
      </c>
      <c r="E560" s="4">
        <v>2024</v>
      </c>
      <c r="F560" s="4">
        <v>5.2</v>
      </c>
      <c r="G560" s="4" t="s">
        <v>28</v>
      </c>
      <c r="H560" s="4" t="s">
        <v>13</v>
      </c>
      <c r="I560" s="4" t="s">
        <v>20</v>
      </c>
      <c r="J560" s="4" t="s">
        <v>29</v>
      </c>
    </row>
    <row r="561" spans="1:10">
      <c r="A561" s="5" t="s">
        <v>35</v>
      </c>
      <c r="B561" s="6" t="s">
        <v>17</v>
      </c>
      <c r="C561" s="6">
        <v>185000</v>
      </c>
      <c r="D561" s="6">
        <v>2200</v>
      </c>
      <c r="E561" s="6">
        <v>2024</v>
      </c>
      <c r="F561" s="6">
        <v>5.4</v>
      </c>
      <c r="G561" s="6" t="s">
        <v>31</v>
      </c>
      <c r="H561" s="6" t="s">
        <v>25</v>
      </c>
      <c r="I561" s="6" t="s">
        <v>20</v>
      </c>
      <c r="J561" s="6" t="s">
        <v>21</v>
      </c>
    </row>
    <row r="562" spans="1:10">
      <c r="A562" s="3" t="s">
        <v>37</v>
      </c>
      <c r="B562" s="4" t="s">
        <v>23</v>
      </c>
      <c r="C562" s="4">
        <v>335000</v>
      </c>
      <c r="D562" s="4">
        <v>2000</v>
      </c>
      <c r="E562" s="4">
        <v>2024</v>
      </c>
      <c r="F562" s="4">
        <v>5.3</v>
      </c>
      <c r="G562" s="4" t="s">
        <v>24</v>
      </c>
      <c r="H562" s="4" t="s">
        <v>19</v>
      </c>
      <c r="I562" s="4" t="s">
        <v>20</v>
      </c>
      <c r="J562" s="4" t="s">
        <v>21</v>
      </c>
    </row>
    <row r="563" spans="1:10">
      <c r="A563" s="5" t="s">
        <v>10</v>
      </c>
      <c r="B563" s="6" t="s">
        <v>11</v>
      </c>
      <c r="C563" s="6">
        <v>820000</v>
      </c>
      <c r="D563" s="6">
        <v>1700</v>
      </c>
      <c r="E563" s="6">
        <v>2024</v>
      </c>
      <c r="F563" s="6">
        <v>5.0999999999999996</v>
      </c>
      <c r="G563" s="6" t="s">
        <v>41</v>
      </c>
      <c r="H563" s="6" t="s">
        <v>43</v>
      </c>
      <c r="I563" s="6" t="s">
        <v>14</v>
      </c>
      <c r="J563" s="6" t="s">
        <v>15</v>
      </c>
    </row>
    <row r="564" spans="1:10">
      <c r="A564" s="3" t="s">
        <v>16</v>
      </c>
      <c r="B564" s="4" t="s">
        <v>17</v>
      </c>
      <c r="C564" s="4">
        <v>315000</v>
      </c>
      <c r="D564" s="4">
        <v>350</v>
      </c>
      <c r="E564" s="4">
        <v>2024</v>
      </c>
      <c r="F564" s="4">
        <v>5.2</v>
      </c>
      <c r="G564" s="4">
        <v>12</v>
      </c>
      <c r="H564" s="4" t="s">
        <v>19</v>
      </c>
      <c r="I564" s="4" t="s">
        <v>20</v>
      </c>
      <c r="J564" s="4" t="s">
        <v>21</v>
      </c>
    </row>
    <row r="565" spans="1:10">
      <c r="A565" s="5" t="s">
        <v>22</v>
      </c>
      <c r="B565" s="6" t="s">
        <v>23</v>
      </c>
      <c r="C565" s="6">
        <v>265000</v>
      </c>
      <c r="D565" s="6">
        <v>450</v>
      </c>
      <c r="E565" s="6">
        <v>2024</v>
      </c>
      <c r="F565" s="6">
        <v>4.5</v>
      </c>
      <c r="G565" s="6" t="s">
        <v>24</v>
      </c>
      <c r="H565" s="6" t="s">
        <v>13</v>
      </c>
      <c r="I565" s="6" t="s">
        <v>20</v>
      </c>
      <c r="J565" s="6" t="s">
        <v>21</v>
      </c>
    </row>
    <row r="566" spans="1:10">
      <c r="A566" s="3" t="s">
        <v>26</v>
      </c>
      <c r="B566" s="4" t="s">
        <v>11</v>
      </c>
      <c r="C566" s="4">
        <v>400000</v>
      </c>
      <c r="D566" s="4">
        <v>1550</v>
      </c>
      <c r="E566" s="4">
        <v>2024</v>
      </c>
      <c r="F566" s="4">
        <v>5.4</v>
      </c>
      <c r="G566" s="4" t="s">
        <v>41</v>
      </c>
      <c r="H566" s="4" t="s">
        <v>25</v>
      </c>
      <c r="I566" s="4" t="s">
        <v>14</v>
      </c>
      <c r="J566" s="4" t="s">
        <v>29</v>
      </c>
    </row>
    <row r="567" spans="1:10">
      <c r="A567" s="5" t="s">
        <v>30</v>
      </c>
      <c r="B567" s="6" t="s">
        <v>27</v>
      </c>
      <c r="C567" s="6">
        <v>350000</v>
      </c>
      <c r="D567" s="6">
        <v>1850</v>
      </c>
      <c r="E567" s="6">
        <v>2024</v>
      </c>
      <c r="F567" s="6">
        <v>5.3</v>
      </c>
      <c r="G567" s="6" t="s">
        <v>12</v>
      </c>
      <c r="H567" s="6" t="s">
        <v>25</v>
      </c>
      <c r="I567" s="6" t="s">
        <v>20</v>
      </c>
      <c r="J567" s="6" t="s">
        <v>29</v>
      </c>
    </row>
    <row r="568" spans="1:10">
      <c r="A568" s="5" t="s">
        <v>33</v>
      </c>
      <c r="B568" s="6" t="s">
        <v>11</v>
      </c>
      <c r="C568" s="6">
        <v>510000</v>
      </c>
      <c r="D568" s="6">
        <v>1500</v>
      </c>
      <c r="E568" s="6">
        <v>2024</v>
      </c>
      <c r="F568" s="6">
        <v>5.0999999999999996</v>
      </c>
      <c r="G568" s="6" t="s">
        <v>41</v>
      </c>
      <c r="H568" s="6" t="s">
        <v>25</v>
      </c>
      <c r="I568" s="6" t="s">
        <v>14</v>
      </c>
      <c r="J568" s="6" t="s">
        <v>15</v>
      </c>
    </row>
    <row r="569" spans="1:10">
      <c r="A569" s="3" t="s">
        <v>35</v>
      </c>
      <c r="B569" s="4" t="s">
        <v>23</v>
      </c>
      <c r="C569" s="4">
        <v>225000</v>
      </c>
      <c r="D569" s="4">
        <v>900</v>
      </c>
      <c r="E569" s="4">
        <v>2024</v>
      </c>
      <c r="F569" s="4">
        <v>5.4</v>
      </c>
      <c r="G569" s="4" t="s">
        <v>42</v>
      </c>
      <c r="H569" s="4" t="s">
        <v>25</v>
      </c>
      <c r="I569" s="4" t="s">
        <v>20</v>
      </c>
      <c r="J569" s="4" t="s">
        <v>21</v>
      </c>
    </row>
    <row r="570" spans="1:10">
      <c r="A570" s="5" t="s">
        <v>37</v>
      </c>
      <c r="B570" s="6" t="s">
        <v>11</v>
      </c>
      <c r="C570" s="6">
        <v>550000</v>
      </c>
      <c r="D570" s="6">
        <v>1600</v>
      </c>
      <c r="E570" s="6">
        <v>2024</v>
      </c>
      <c r="F570" s="6">
        <v>5.0999999999999996</v>
      </c>
      <c r="G570" s="6" t="s">
        <v>41</v>
      </c>
      <c r="H570" s="6" t="s">
        <v>25</v>
      </c>
      <c r="I570" s="6" t="s">
        <v>14</v>
      </c>
      <c r="J570" s="6" t="s">
        <v>15</v>
      </c>
    </row>
    <row r="571" spans="1:10">
      <c r="A571" s="3" t="s">
        <v>10</v>
      </c>
      <c r="B571" s="4" t="s">
        <v>23</v>
      </c>
      <c r="C571" s="4">
        <v>575000</v>
      </c>
      <c r="D571" s="4">
        <v>300</v>
      </c>
      <c r="E571" s="4">
        <v>2024</v>
      </c>
      <c r="F571" s="4">
        <v>5.0999999999999996</v>
      </c>
      <c r="G571" s="4">
        <v>15</v>
      </c>
      <c r="H571" s="4" t="s">
        <v>13</v>
      </c>
      <c r="I571" s="4" t="s">
        <v>20</v>
      </c>
      <c r="J571" s="4" t="s">
        <v>29</v>
      </c>
    </row>
    <row r="572" spans="1:10">
      <c r="A572" s="5" t="s">
        <v>16</v>
      </c>
      <c r="B572" s="6" t="s">
        <v>27</v>
      </c>
      <c r="C572" s="6">
        <v>450000</v>
      </c>
      <c r="D572" s="6">
        <v>2150</v>
      </c>
      <c r="E572" s="6">
        <v>2024</v>
      </c>
      <c r="F572" s="6">
        <v>5.3</v>
      </c>
      <c r="G572" s="6" t="s">
        <v>28</v>
      </c>
      <c r="H572" s="6" t="s">
        <v>25</v>
      </c>
      <c r="I572" s="6" t="s">
        <v>20</v>
      </c>
      <c r="J572" s="6" t="s">
        <v>29</v>
      </c>
    </row>
    <row r="573" spans="1:10">
      <c r="A573" s="3" t="s">
        <v>10</v>
      </c>
      <c r="B573" s="4" t="s">
        <v>17</v>
      </c>
      <c r="C573" s="4">
        <v>465000</v>
      </c>
      <c r="D573" s="4">
        <v>2800</v>
      </c>
      <c r="E573" s="4">
        <v>2024</v>
      </c>
      <c r="F573" s="4">
        <v>5</v>
      </c>
      <c r="G573" s="4" t="s">
        <v>18</v>
      </c>
      <c r="H573" s="4" t="s">
        <v>25</v>
      </c>
      <c r="I573" s="4" t="s">
        <v>20</v>
      </c>
      <c r="J573" s="4" t="s">
        <v>21</v>
      </c>
    </row>
    <row r="574" spans="1:10">
      <c r="A574" s="5" t="s">
        <v>16</v>
      </c>
      <c r="B574" s="6" t="s">
        <v>11</v>
      </c>
      <c r="C574" s="6">
        <v>610000</v>
      </c>
      <c r="D574" s="6">
        <v>1750</v>
      </c>
      <c r="E574" s="6">
        <v>2024</v>
      </c>
      <c r="F574" s="6">
        <v>5.3</v>
      </c>
      <c r="G574" s="6" t="s">
        <v>38</v>
      </c>
      <c r="H574" s="6" t="s">
        <v>43</v>
      </c>
      <c r="I574" s="6" t="s">
        <v>14</v>
      </c>
      <c r="J574" s="6" t="s">
        <v>15</v>
      </c>
    </row>
    <row r="575" spans="1:10">
      <c r="A575" s="3" t="s">
        <v>22</v>
      </c>
      <c r="B575" s="4" t="s">
        <v>27</v>
      </c>
      <c r="C575" s="4">
        <v>320000</v>
      </c>
      <c r="D575" s="4">
        <v>1950</v>
      </c>
      <c r="E575" s="4">
        <v>2024</v>
      </c>
      <c r="F575" s="4">
        <v>5.4</v>
      </c>
      <c r="G575" s="4" t="s">
        <v>39</v>
      </c>
      <c r="H575" s="4" t="s">
        <v>19</v>
      </c>
      <c r="I575" s="4" t="s">
        <v>20</v>
      </c>
      <c r="J575" s="4" t="s">
        <v>29</v>
      </c>
    </row>
    <row r="576" spans="1:10">
      <c r="A576" s="5" t="s">
        <v>26</v>
      </c>
      <c r="B576" s="6" t="s">
        <v>23</v>
      </c>
      <c r="C576" s="6">
        <v>255000</v>
      </c>
      <c r="D576" s="6">
        <v>350</v>
      </c>
      <c r="E576" s="6">
        <v>2024</v>
      </c>
      <c r="F576" s="6">
        <v>5.5</v>
      </c>
      <c r="G576" s="6">
        <v>10</v>
      </c>
      <c r="H576" s="6" t="s">
        <v>25</v>
      </c>
      <c r="I576" s="6" t="s">
        <v>20</v>
      </c>
      <c r="J576" s="6" t="s">
        <v>21</v>
      </c>
    </row>
    <row r="577" spans="1:10">
      <c r="A577" s="3" t="s">
        <v>30</v>
      </c>
      <c r="B577" s="4" t="s">
        <v>17</v>
      </c>
      <c r="C577" s="4">
        <v>235000</v>
      </c>
      <c r="D577" s="4">
        <v>2200</v>
      </c>
      <c r="E577" s="4">
        <v>2024</v>
      </c>
      <c r="F577" s="4">
        <v>5.4</v>
      </c>
      <c r="G577" s="4" t="s">
        <v>31</v>
      </c>
      <c r="H577" s="4" t="s">
        <v>25</v>
      </c>
      <c r="I577" s="4" t="s">
        <v>20</v>
      </c>
      <c r="J577" s="4" t="s">
        <v>21</v>
      </c>
    </row>
    <row r="578" spans="1:10">
      <c r="A578" s="5" t="s">
        <v>32</v>
      </c>
      <c r="B578" s="6" t="s">
        <v>11</v>
      </c>
      <c r="C578" s="6">
        <v>480000</v>
      </c>
      <c r="D578" s="6">
        <v>1500</v>
      </c>
      <c r="E578" s="6">
        <v>2024</v>
      </c>
      <c r="F578" s="6">
        <v>5.2</v>
      </c>
      <c r="G578" s="6" t="s">
        <v>41</v>
      </c>
      <c r="H578" s="6" t="s">
        <v>13</v>
      </c>
      <c r="I578" s="6" t="s">
        <v>14</v>
      </c>
      <c r="J578" s="6" t="s">
        <v>15</v>
      </c>
    </row>
    <row r="579" spans="1:10">
      <c r="A579" s="3" t="s">
        <v>33</v>
      </c>
      <c r="B579" s="4" t="s">
        <v>27</v>
      </c>
      <c r="C579" s="4">
        <v>385000</v>
      </c>
      <c r="D579" s="4">
        <v>1850</v>
      </c>
      <c r="E579" s="4">
        <v>2024</v>
      </c>
      <c r="F579" s="4">
        <v>5.2</v>
      </c>
      <c r="G579" s="4" t="s">
        <v>28</v>
      </c>
      <c r="H579" s="4" t="s">
        <v>13</v>
      </c>
      <c r="I579" s="4" t="s">
        <v>20</v>
      </c>
      <c r="J579" s="4" t="s">
        <v>29</v>
      </c>
    </row>
    <row r="580" spans="1:10">
      <c r="A580" s="5" t="s">
        <v>35</v>
      </c>
      <c r="B580" s="6" t="s">
        <v>17</v>
      </c>
      <c r="C580" s="6">
        <v>190000</v>
      </c>
      <c r="D580" s="6">
        <v>2250</v>
      </c>
      <c r="E580" s="6">
        <v>2024</v>
      </c>
      <c r="F580" s="6">
        <v>5.4</v>
      </c>
      <c r="G580" s="6" t="s">
        <v>31</v>
      </c>
      <c r="H580" s="6" t="s">
        <v>25</v>
      </c>
      <c r="I580" s="6" t="s">
        <v>20</v>
      </c>
      <c r="J580" s="6" t="s">
        <v>21</v>
      </c>
    </row>
    <row r="581" spans="1:10">
      <c r="A581" s="3" t="s">
        <v>37</v>
      </c>
      <c r="B581" s="4" t="s">
        <v>23</v>
      </c>
      <c r="C581" s="4">
        <v>340000</v>
      </c>
      <c r="D581" s="4">
        <v>2050</v>
      </c>
      <c r="E581" s="4">
        <v>2024</v>
      </c>
      <c r="F581" s="4">
        <v>5.3</v>
      </c>
      <c r="G581" s="4" t="s">
        <v>24</v>
      </c>
      <c r="H581" s="4" t="s">
        <v>19</v>
      </c>
      <c r="I581" s="4" t="s">
        <v>20</v>
      </c>
      <c r="J581" s="4" t="s">
        <v>21</v>
      </c>
    </row>
    <row r="582" spans="1:10">
      <c r="A582" s="5" t="s">
        <v>10</v>
      </c>
      <c r="B582" s="6" t="s">
        <v>11</v>
      </c>
      <c r="C582" s="6">
        <v>830000</v>
      </c>
      <c r="D582" s="6">
        <v>1750</v>
      </c>
      <c r="E582" s="6">
        <v>2024</v>
      </c>
      <c r="F582" s="6">
        <v>5.0999999999999996</v>
      </c>
      <c r="G582" s="6" t="s">
        <v>41</v>
      </c>
      <c r="H582" s="6" t="s">
        <v>43</v>
      </c>
      <c r="I582" s="6" t="s">
        <v>14</v>
      </c>
      <c r="J582" s="6" t="s">
        <v>15</v>
      </c>
    </row>
    <row r="583" spans="1:10">
      <c r="A583" s="3" t="s">
        <v>16</v>
      </c>
      <c r="B583" s="4" t="s">
        <v>17</v>
      </c>
      <c r="C583" s="4">
        <v>320000</v>
      </c>
      <c r="D583" s="4">
        <v>2400</v>
      </c>
      <c r="E583" s="4">
        <v>2024</v>
      </c>
      <c r="F583" s="4">
        <v>5.2</v>
      </c>
      <c r="G583" s="4" t="s">
        <v>18</v>
      </c>
      <c r="H583" s="4" t="s">
        <v>19</v>
      </c>
      <c r="I583" s="4" t="s">
        <v>20</v>
      </c>
      <c r="J583" s="4" t="s">
        <v>21</v>
      </c>
    </row>
    <row r="584" spans="1:10">
      <c r="A584" s="5" t="s">
        <v>22</v>
      </c>
      <c r="B584" s="6" t="s">
        <v>23</v>
      </c>
      <c r="C584" s="6">
        <v>270000</v>
      </c>
      <c r="D584" s="6">
        <v>2500</v>
      </c>
      <c r="E584" s="6">
        <v>2024</v>
      </c>
      <c r="F584" s="6">
        <v>5.4</v>
      </c>
      <c r="G584" s="6" t="s">
        <v>24</v>
      </c>
      <c r="H584" s="6" t="s">
        <v>25</v>
      </c>
      <c r="I584" s="6" t="s">
        <v>20</v>
      </c>
      <c r="J584" s="6" t="s">
        <v>21</v>
      </c>
    </row>
    <row r="585" spans="1:10">
      <c r="A585" s="3" t="s">
        <v>26</v>
      </c>
      <c r="B585" s="4" t="s">
        <v>11</v>
      </c>
      <c r="C585" s="4">
        <v>405000</v>
      </c>
      <c r="D585" s="4">
        <v>1600</v>
      </c>
      <c r="E585" s="4">
        <v>2024</v>
      </c>
      <c r="F585" s="4">
        <v>5.4</v>
      </c>
      <c r="G585" s="4" t="s">
        <v>41</v>
      </c>
      <c r="H585" s="4" t="s">
        <v>13</v>
      </c>
      <c r="I585" s="4" t="s">
        <v>14</v>
      </c>
      <c r="J585" s="4" t="s">
        <v>29</v>
      </c>
    </row>
    <row r="586" spans="1:10">
      <c r="A586" s="5" t="s">
        <v>30</v>
      </c>
      <c r="B586" s="6" t="s">
        <v>27</v>
      </c>
      <c r="C586" s="6">
        <v>355000</v>
      </c>
      <c r="D586" s="6">
        <v>1900</v>
      </c>
      <c r="E586" s="6">
        <v>2024</v>
      </c>
      <c r="F586" s="6">
        <v>5.3</v>
      </c>
      <c r="G586" s="6" t="s">
        <v>12</v>
      </c>
      <c r="H586" s="6" t="s">
        <v>13</v>
      </c>
      <c r="I586" s="6" t="s">
        <v>20</v>
      </c>
      <c r="J586" s="6" t="s">
        <v>29</v>
      </c>
    </row>
    <row r="587" spans="1:10">
      <c r="A587" s="3" t="s">
        <v>32</v>
      </c>
      <c r="B587" s="4" t="s">
        <v>17</v>
      </c>
      <c r="C587" s="4">
        <v>250000</v>
      </c>
      <c r="D587" s="4">
        <v>2350</v>
      </c>
      <c r="E587" s="4">
        <v>2024</v>
      </c>
      <c r="F587" s="4">
        <v>5.3</v>
      </c>
      <c r="G587" s="4" t="s">
        <v>40</v>
      </c>
      <c r="H587" s="4" t="s">
        <v>25</v>
      </c>
      <c r="I587" s="4" t="s">
        <v>20</v>
      </c>
      <c r="J587" s="4" t="s">
        <v>21</v>
      </c>
    </row>
    <row r="588" spans="1:10">
      <c r="A588" s="5" t="s">
        <v>33</v>
      </c>
      <c r="B588" s="6" t="s">
        <v>11</v>
      </c>
      <c r="C588" s="6">
        <v>520000</v>
      </c>
      <c r="D588" s="6">
        <v>1550</v>
      </c>
      <c r="E588" s="6">
        <v>2024</v>
      </c>
      <c r="F588" s="6">
        <v>5.0999999999999996</v>
      </c>
      <c r="G588" s="6" t="s">
        <v>41</v>
      </c>
      <c r="H588" s="6" t="s">
        <v>13</v>
      </c>
      <c r="I588" s="6" t="s">
        <v>14</v>
      </c>
      <c r="J588" s="6" t="s">
        <v>15</v>
      </c>
    </row>
    <row r="589" spans="1:10">
      <c r="A589" s="3" t="s">
        <v>35</v>
      </c>
      <c r="B589" s="4" t="s">
        <v>23</v>
      </c>
      <c r="C589" s="4">
        <v>230000</v>
      </c>
      <c r="D589" s="4">
        <v>1950</v>
      </c>
      <c r="E589" s="4">
        <v>2024</v>
      </c>
      <c r="F589" s="4">
        <v>5.4</v>
      </c>
      <c r="G589" s="4" t="s">
        <v>42</v>
      </c>
      <c r="H589" s="4" t="s">
        <v>25</v>
      </c>
      <c r="I589" s="4" t="s">
        <v>20</v>
      </c>
      <c r="J589" s="4" t="s">
        <v>21</v>
      </c>
    </row>
    <row r="590" spans="1:10">
      <c r="A590" s="5" t="s">
        <v>37</v>
      </c>
      <c r="B590" s="6" t="s">
        <v>11</v>
      </c>
      <c r="C590" s="6">
        <v>560000</v>
      </c>
      <c r="D590" s="6">
        <v>1650</v>
      </c>
      <c r="E590" s="6">
        <v>2024</v>
      </c>
      <c r="F590" s="6">
        <v>5.0999999999999996</v>
      </c>
      <c r="G590" s="6" t="s">
        <v>41</v>
      </c>
      <c r="H590" s="6" t="s">
        <v>13</v>
      </c>
      <c r="I590" s="6" t="s">
        <v>14</v>
      </c>
      <c r="J590" s="6" t="s">
        <v>15</v>
      </c>
    </row>
    <row r="591" spans="1:10">
      <c r="A591" s="5" t="s">
        <v>16</v>
      </c>
      <c r="B591" s="6" t="s">
        <v>27</v>
      </c>
      <c r="C591" s="6">
        <v>455000</v>
      </c>
      <c r="D591" s="6">
        <v>2200</v>
      </c>
      <c r="E591" s="6">
        <v>2024</v>
      </c>
      <c r="F591" s="6">
        <v>5.3</v>
      </c>
      <c r="G591" s="6" t="s">
        <v>28</v>
      </c>
      <c r="H591" s="6" t="s">
        <v>13</v>
      </c>
      <c r="I591" s="6" t="s">
        <v>20</v>
      </c>
      <c r="J591" s="6" t="s">
        <v>29</v>
      </c>
    </row>
    <row r="592" spans="1:10">
      <c r="A592" s="3" t="s">
        <v>10</v>
      </c>
      <c r="B592" s="4" t="s">
        <v>17</v>
      </c>
      <c r="C592" s="4">
        <v>470000</v>
      </c>
      <c r="D592" s="4">
        <v>850</v>
      </c>
      <c r="E592" s="4">
        <v>2024</v>
      </c>
      <c r="F592" s="4">
        <v>5</v>
      </c>
      <c r="G592" s="4" t="s">
        <v>18</v>
      </c>
      <c r="H592" s="4" t="s">
        <v>19</v>
      </c>
      <c r="I592" s="4" t="s">
        <v>20</v>
      </c>
      <c r="J592" s="4" t="s">
        <v>21</v>
      </c>
    </row>
    <row r="593" spans="1:10">
      <c r="A593" s="5" t="s">
        <v>16</v>
      </c>
      <c r="B593" s="6" t="s">
        <v>11</v>
      </c>
      <c r="C593" s="6">
        <v>620000</v>
      </c>
      <c r="D593" s="6">
        <v>1800</v>
      </c>
      <c r="E593" s="6">
        <v>2024</v>
      </c>
      <c r="F593" s="6">
        <v>5.3</v>
      </c>
      <c r="G593" s="6" t="s">
        <v>38</v>
      </c>
      <c r="H593" s="6" t="s">
        <v>43</v>
      </c>
      <c r="I593" s="6" t="s">
        <v>14</v>
      </c>
      <c r="J593" s="6" t="s">
        <v>15</v>
      </c>
    </row>
    <row r="594" spans="1:10">
      <c r="A594" s="3" t="s">
        <v>22</v>
      </c>
      <c r="B594" s="4" t="s">
        <v>27</v>
      </c>
      <c r="C594" s="4">
        <v>325000</v>
      </c>
      <c r="D594" s="4">
        <v>2000</v>
      </c>
      <c r="E594" s="4">
        <v>2024</v>
      </c>
      <c r="F594" s="4">
        <v>5.4</v>
      </c>
      <c r="G594" s="4" t="s">
        <v>39</v>
      </c>
      <c r="H594" s="4" t="s">
        <v>19</v>
      </c>
      <c r="I594" s="4" t="s">
        <v>20</v>
      </c>
      <c r="J594" s="4" t="s">
        <v>29</v>
      </c>
    </row>
    <row r="595" spans="1:10">
      <c r="A595" s="5" t="s">
        <v>26</v>
      </c>
      <c r="B595" s="6" t="s">
        <v>23</v>
      </c>
      <c r="C595" s="6">
        <v>260000</v>
      </c>
      <c r="D595" s="6">
        <v>400</v>
      </c>
      <c r="E595" s="6">
        <v>2024</v>
      </c>
      <c r="F595" s="6">
        <v>5.5</v>
      </c>
      <c r="G595" s="6">
        <v>10</v>
      </c>
      <c r="H595" s="6" t="s">
        <v>25</v>
      </c>
      <c r="I595" s="6" t="s">
        <v>20</v>
      </c>
      <c r="J595" s="6" t="s">
        <v>21</v>
      </c>
    </row>
    <row r="596" spans="1:10">
      <c r="A596" s="3" t="s">
        <v>30</v>
      </c>
      <c r="B596" s="4" t="s">
        <v>17</v>
      </c>
      <c r="C596" s="4">
        <v>240000</v>
      </c>
      <c r="D596" s="4">
        <v>2250</v>
      </c>
      <c r="E596" s="4">
        <v>2024</v>
      </c>
      <c r="F596" s="4">
        <v>5.4</v>
      </c>
      <c r="G596" s="4" t="s">
        <v>31</v>
      </c>
      <c r="H596" s="4" t="s">
        <v>25</v>
      </c>
      <c r="I596" s="4" t="s">
        <v>20</v>
      </c>
      <c r="J596" s="4" t="s">
        <v>21</v>
      </c>
    </row>
    <row r="597" spans="1:10">
      <c r="A597" s="5" t="s">
        <v>35</v>
      </c>
      <c r="B597" s="6" t="s">
        <v>17</v>
      </c>
      <c r="C597" s="6">
        <v>195000</v>
      </c>
      <c r="D597" s="6">
        <v>2300</v>
      </c>
      <c r="E597" s="6">
        <v>2024</v>
      </c>
      <c r="F597" s="6">
        <v>5.4</v>
      </c>
      <c r="G597" s="6" t="s">
        <v>31</v>
      </c>
      <c r="H597" s="6" t="s">
        <v>25</v>
      </c>
      <c r="I597" s="6" t="s">
        <v>20</v>
      </c>
      <c r="J597" s="6" t="s">
        <v>21</v>
      </c>
    </row>
    <row r="598" spans="1:10">
      <c r="A598" s="3" t="s">
        <v>37</v>
      </c>
      <c r="B598" s="4" t="s">
        <v>23</v>
      </c>
      <c r="C598" s="4">
        <v>345000</v>
      </c>
      <c r="D598" s="4">
        <v>2100</v>
      </c>
      <c r="E598" s="4">
        <v>2024</v>
      </c>
      <c r="F598" s="4">
        <v>5.3</v>
      </c>
      <c r="G598" s="4" t="s">
        <v>24</v>
      </c>
      <c r="H598" s="4" t="s">
        <v>19</v>
      </c>
      <c r="I598" s="4" t="s">
        <v>20</v>
      </c>
      <c r="J598" s="4" t="s">
        <v>21</v>
      </c>
    </row>
    <row r="599" spans="1:10">
      <c r="A599" s="5" t="s">
        <v>10</v>
      </c>
      <c r="B599" s="6" t="s">
        <v>11</v>
      </c>
      <c r="C599" s="6">
        <v>840000</v>
      </c>
      <c r="D599" s="6">
        <v>1800</v>
      </c>
      <c r="E599" s="6">
        <v>2024</v>
      </c>
      <c r="F599" s="6">
        <v>5.0999999999999996</v>
      </c>
      <c r="G599" s="6" t="s">
        <v>41</v>
      </c>
      <c r="H599" s="6" t="s">
        <v>43</v>
      </c>
      <c r="I599" s="6" t="s">
        <v>14</v>
      </c>
      <c r="J599" s="6" t="s">
        <v>15</v>
      </c>
    </row>
    <row r="600" spans="1:10">
      <c r="A600" s="3" t="s">
        <v>16</v>
      </c>
      <c r="B600" s="4" t="s">
        <v>17</v>
      </c>
      <c r="C600" s="4">
        <v>325000</v>
      </c>
      <c r="D600" s="4">
        <v>2450</v>
      </c>
      <c r="E600" s="4">
        <v>2024</v>
      </c>
      <c r="F600" s="4">
        <v>5.2</v>
      </c>
      <c r="G600" s="4" t="s">
        <v>18</v>
      </c>
      <c r="H600" s="4" t="s">
        <v>19</v>
      </c>
      <c r="I600" s="4" t="s">
        <v>20</v>
      </c>
      <c r="J600" s="4" t="s">
        <v>21</v>
      </c>
    </row>
    <row r="601" spans="1:10">
      <c r="A601" s="5" t="s">
        <v>22</v>
      </c>
      <c r="B601" s="6" t="s">
        <v>23</v>
      </c>
      <c r="C601" s="6">
        <v>275000</v>
      </c>
      <c r="D601" s="6">
        <v>2550</v>
      </c>
      <c r="E601" s="6">
        <v>2024</v>
      </c>
      <c r="F601" s="6">
        <v>5.4</v>
      </c>
      <c r="G601" s="6" t="s">
        <v>24</v>
      </c>
      <c r="H601" s="6" t="s">
        <v>25</v>
      </c>
      <c r="I601" s="6" t="s">
        <v>20</v>
      </c>
      <c r="J601" s="6" t="s">
        <v>21</v>
      </c>
    </row>
    <row r="602" spans="1:10">
      <c r="A602" s="3" t="s">
        <v>26</v>
      </c>
      <c r="B602" s="4" t="s">
        <v>11</v>
      </c>
      <c r="C602" s="4">
        <v>410000</v>
      </c>
      <c r="D602" s="4">
        <v>1650</v>
      </c>
      <c r="E602" s="4">
        <v>2024</v>
      </c>
      <c r="F602" s="4">
        <v>5.4</v>
      </c>
      <c r="G602" s="4" t="s">
        <v>41</v>
      </c>
      <c r="H602" s="4" t="s">
        <v>13</v>
      </c>
      <c r="I602" s="4" t="s">
        <v>14</v>
      </c>
      <c r="J602" s="4" t="s">
        <v>29</v>
      </c>
    </row>
    <row r="603" spans="1:10">
      <c r="A603" s="5" t="s">
        <v>30</v>
      </c>
      <c r="B603" s="6" t="s">
        <v>27</v>
      </c>
      <c r="C603" s="6">
        <v>360000</v>
      </c>
      <c r="D603" s="6">
        <v>1950</v>
      </c>
      <c r="E603" s="6">
        <v>2024</v>
      </c>
      <c r="F603" s="6">
        <v>5.3</v>
      </c>
      <c r="G603" s="6" t="s">
        <v>12</v>
      </c>
      <c r="H603" s="6" t="s">
        <v>13</v>
      </c>
      <c r="I603" s="6" t="s">
        <v>20</v>
      </c>
      <c r="J603" s="6" t="s">
        <v>29</v>
      </c>
    </row>
    <row r="604" spans="1:10">
      <c r="A604" s="3" t="s">
        <v>32</v>
      </c>
      <c r="B604" s="4" t="s">
        <v>17</v>
      </c>
      <c r="C604" s="4">
        <v>255000</v>
      </c>
      <c r="D604" s="4">
        <v>2400</v>
      </c>
      <c r="E604" s="4">
        <v>2024</v>
      </c>
      <c r="F604" s="4">
        <v>5.3</v>
      </c>
      <c r="G604" s="4" t="s">
        <v>40</v>
      </c>
      <c r="H604" s="4" t="s">
        <v>25</v>
      </c>
      <c r="I604" s="4" t="s">
        <v>20</v>
      </c>
      <c r="J604" s="4" t="s">
        <v>21</v>
      </c>
    </row>
    <row r="605" spans="1:10">
      <c r="A605" s="5" t="s">
        <v>33</v>
      </c>
      <c r="B605" s="6" t="s">
        <v>11</v>
      </c>
      <c r="C605" s="6">
        <v>530000</v>
      </c>
      <c r="D605" s="6">
        <v>1600</v>
      </c>
      <c r="E605" s="6">
        <v>2024</v>
      </c>
      <c r="F605" s="6">
        <v>5.0999999999999996</v>
      </c>
      <c r="G605" s="6" t="s">
        <v>41</v>
      </c>
      <c r="H605" s="6" t="s">
        <v>13</v>
      </c>
      <c r="I605" s="6" t="s">
        <v>14</v>
      </c>
      <c r="J605" s="6" t="s">
        <v>15</v>
      </c>
    </row>
    <row r="606" spans="1:10">
      <c r="A606" s="3" t="s">
        <v>35</v>
      </c>
      <c r="B606" s="4" t="s">
        <v>23</v>
      </c>
      <c r="C606" s="4">
        <v>235000</v>
      </c>
      <c r="D606" s="4">
        <v>2000</v>
      </c>
      <c r="E606" s="4">
        <v>2024</v>
      </c>
      <c r="F606" s="4">
        <v>5.4</v>
      </c>
      <c r="G606" s="4" t="s">
        <v>42</v>
      </c>
      <c r="H606" s="4" t="s">
        <v>25</v>
      </c>
      <c r="I606" s="4" t="s">
        <v>20</v>
      </c>
      <c r="J606" s="4" t="s">
        <v>21</v>
      </c>
    </row>
    <row r="607" spans="1:10">
      <c r="A607" s="5" t="s">
        <v>37</v>
      </c>
      <c r="B607" s="6" t="s">
        <v>11</v>
      </c>
      <c r="C607" s="6">
        <v>570000</v>
      </c>
      <c r="D607" s="6">
        <v>1700</v>
      </c>
      <c r="E607" s="6">
        <v>2024</v>
      </c>
      <c r="F607" s="6">
        <v>5.0999999999999996</v>
      </c>
      <c r="G607" s="6" t="s">
        <v>41</v>
      </c>
      <c r="H607" s="6" t="s">
        <v>13</v>
      </c>
      <c r="I607" s="6" t="s">
        <v>14</v>
      </c>
      <c r="J607" s="6" t="s">
        <v>15</v>
      </c>
    </row>
    <row r="608" spans="1:10">
      <c r="A608" s="3" t="s">
        <v>10</v>
      </c>
      <c r="B608" s="4" t="s">
        <v>23</v>
      </c>
      <c r="C608" s="4">
        <v>595000</v>
      </c>
      <c r="D608" s="4">
        <v>2400</v>
      </c>
      <c r="E608" s="4">
        <v>2024</v>
      </c>
      <c r="F608" s="4">
        <v>5.0999999999999996</v>
      </c>
      <c r="G608" s="4" t="s">
        <v>28</v>
      </c>
      <c r="H608" s="4" t="s">
        <v>13</v>
      </c>
      <c r="I608" s="4" t="s">
        <v>20</v>
      </c>
      <c r="J608" s="4" t="s">
        <v>29</v>
      </c>
    </row>
    <row r="609" spans="1:10">
      <c r="A609" s="5" t="s">
        <v>16</v>
      </c>
      <c r="B609" s="6" t="s">
        <v>27</v>
      </c>
      <c r="C609" s="6">
        <v>460000</v>
      </c>
      <c r="D609" s="6">
        <v>2250</v>
      </c>
      <c r="E609" s="6">
        <v>2024</v>
      </c>
      <c r="F609" s="6">
        <v>5.3</v>
      </c>
      <c r="G609" s="6" t="s">
        <v>28</v>
      </c>
      <c r="H609" s="6" t="s">
        <v>13</v>
      </c>
      <c r="I609" s="6" t="s">
        <v>20</v>
      </c>
      <c r="J609" s="6" t="s">
        <v>29</v>
      </c>
    </row>
    <row r="610" spans="1:10">
      <c r="A610" s="3" t="s">
        <v>10</v>
      </c>
      <c r="B610" s="4" t="s">
        <v>17</v>
      </c>
      <c r="C610" s="4">
        <v>475000</v>
      </c>
      <c r="D610" s="4">
        <v>2900</v>
      </c>
      <c r="E610" s="4">
        <v>2024</v>
      </c>
      <c r="F610" s="4">
        <v>5</v>
      </c>
      <c r="G610" s="4" t="s">
        <v>18</v>
      </c>
      <c r="H610" s="4" t="s">
        <v>19</v>
      </c>
      <c r="I610" s="4" t="s">
        <v>20</v>
      </c>
      <c r="J610" s="4" t="s">
        <v>21</v>
      </c>
    </row>
    <row r="611" spans="1:10">
      <c r="A611" s="5" t="s">
        <v>16</v>
      </c>
      <c r="B611" s="6" t="s">
        <v>11</v>
      </c>
      <c r="C611" s="6">
        <v>630000</v>
      </c>
      <c r="D611" s="6">
        <v>1850</v>
      </c>
      <c r="E611" s="6">
        <v>2024</v>
      </c>
      <c r="F611" s="6">
        <v>5.3</v>
      </c>
      <c r="G611" s="6" t="s">
        <v>38</v>
      </c>
      <c r="H611" s="6" t="s">
        <v>43</v>
      </c>
      <c r="I611" s="6" t="s">
        <v>14</v>
      </c>
      <c r="J611" s="6" t="s">
        <v>15</v>
      </c>
    </row>
    <row r="612" spans="1:10">
      <c r="A612" s="3" t="s">
        <v>22</v>
      </c>
      <c r="B612" s="4" t="s">
        <v>27</v>
      </c>
      <c r="C612" s="4">
        <v>330000</v>
      </c>
      <c r="D612" s="4">
        <v>2050</v>
      </c>
      <c r="E612" s="4">
        <v>2024</v>
      </c>
      <c r="F612" s="4">
        <v>5.4</v>
      </c>
      <c r="G612" s="4" t="s">
        <v>39</v>
      </c>
      <c r="H612" s="4" t="s">
        <v>19</v>
      </c>
      <c r="I612" s="4" t="s">
        <v>20</v>
      </c>
      <c r="J612" s="4" t="s">
        <v>29</v>
      </c>
    </row>
    <row r="613" spans="1:10">
      <c r="A613" s="5" t="s">
        <v>26</v>
      </c>
      <c r="B613" s="6" t="s">
        <v>23</v>
      </c>
      <c r="C613" s="6">
        <v>265000</v>
      </c>
      <c r="D613" s="6">
        <v>450</v>
      </c>
      <c r="E613" s="6">
        <v>2024</v>
      </c>
      <c r="F613" s="6">
        <v>5.5</v>
      </c>
      <c r="G613" s="6">
        <v>10</v>
      </c>
      <c r="H613" s="6" t="s">
        <v>25</v>
      </c>
      <c r="I613" s="6" t="s">
        <v>20</v>
      </c>
      <c r="J613" s="6" t="s">
        <v>21</v>
      </c>
    </row>
    <row r="614" spans="1:10">
      <c r="A614" s="3" t="s">
        <v>30</v>
      </c>
      <c r="B614" s="4" t="s">
        <v>17</v>
      </c>
      <c r="C614" s="4">
        <v>245000</v>
      </c>
      <c r="D614" s="4">
        <v>2300</v>
      </c>
      <c r="E614" s="4">
        <v>2024</v>
      </c>
      <c r="F614" s="4">
        <v>5.4</v>
      </c>
      <c r="G614" s="4" t="s">
        <v>31</v>
      </c>
      <c r="H614" s="4" t="s">
        <v>25</v>
      </c>
      <c r="I614" s="4" t="s">
        <v>20</v>
      </c>
      <c r="J614" s="4" t="s">
        <v>21</v>
      </c>
    </row>
    <row r="615" spans="1:10">
      <c r="A615" s="5" t="s">
        <v>32</v>
      </c>
      <c r="B615" s="6" t="s">
        <v>11</v>
      </c>
      <c r="C615" s="6">
        <v>495000</v>
      </c>
      <c r="D615" s="6">
        <v>1600</v>
      </c>
      <c r="E615" s="6">
        <v>2024</v>
      </c>
      <c r="F615" s="6">
        <v>5.2</v>
      </c>
      <c r="G615" s="6" t="s">
        <v>41</v>
      </c>
      <c r="H615" s="6" t="s">
        <v>13</v>
      </c>
      <c r="I615" s="6" t="s">
        <v>14</v>
      </c>
      <c r="J615" s="6" t="s">
        <v>15</v>
      </c>
    </row>
    <row r="616" spans="1:10">
      <c r="A616" s="5" t="s">
        <v>35</v>
      </c>
      <c r="B616" s="6" t="s">
        <v>17</v>
      </c>
      <c r="C616" s="6">
        <v>200000</v>
      </c>
      <c r="D616" s="6">
        <v>2350</v>
      </c>
      <c r="E616" s="6">
        <v>2024</v>
      </c>
      <c r="F616" s="6">
        <v>5.4</v>
      </c>
      <c r="G616" s="6" t="s">
        <v>31</v>
      </c>
      <c r="H616" s="6" t="s">
        <v>25</v>
      </c>
      <c r="I616" s="6" t="s">
        <v>20</v>
      </c>
      <c r="J616" s="6" t="s">
        <v>21</v>
      </c>
    </row>
    <row r="617" spans="1:10">
      <c r="A617" s="3" t="s">
        <v>37</v>
      </c>
      <c r="B617" s="4" t="s">
        <v>23</v>
      </c>
      <c r="C617" s="4">
        <v>350000</v>
      </c>
      <c r="D617" s="4">
        <v>2150</v>
      </c>
      <c r="E617" s="4">
        <v>2024</v>
      </c>
      <c r="F617" s="4">
        <v>5.3</v>
      </c>
      <c r="G617" s="4" t="s">
        <v>24</v>
      </c>
      <c r="H617" s="4" t="s">
        <v>19</v>
      </c>
      <c r="I617" s="4" t="s">
        <v>20</v>
      </c>
      <c r="J617" s="4" t="s">
        <v>21</v>
      </c>
    </row>
    <row r="618" spans="1:10">
      <c r="A618" s="5" t="s">
        <v>10</v>
      </c>
      <c r="B618" s="6" t="s">
        <v>11</v>
      </c>
      <c r="C618" s="6">
        <v>850000</v>
      </c>
      <c r="D618" s="6">
        <v>1850</v>
      </c>
      <c r="E618" s="6">
        <v>2024</v>
      </c>
      <c r="F618" s="6">
        <v>5.0999999999999996</v>
      </c>
      <c r="G618" s="6" t="s">
        <v>41</v>
      </c>
      <c r="H618" s="6" t="s">
        <v>43</v>
      </c>
      <c r="I618" s="6" t="s">
        <v>14</v>
      </c>
      <c r="J618" s="6" t="s">
        <v>15</v>
      </c>
    </row>
    <row r="619" spans="1:10">
      <c r="A619" s="5" t="s">
        <v>22</v>
      </c>
      <c r="B619" s="6" t="s">
        <v>23</v>
      </c>
      <c r="C619" s="6">
        <v>280000</v>
      </c>
      <c r="D619" s="6">
        <v>2600</v>
      </c>
      <c r="E619" s="6">
        <v>2024</v>
      </c>
      <c r="F619" s="6">
        <v>5.4</v>
      </c>
      <c r="G619" s="6" t="s">
        <v>24</v>
      </c>
      <c r="H619" s="6" t="s">
        <v>25</v>
      </c>
      <c r="I619" s="6" t="s">
        <v>20</v>
      </c>
      <c r="J619" s="6" t="s">
        <v>21</v>
      </c>
    </row>
    <row r="620" spans="1:10">
      <c r="A620" s="3" t="s">
        <v>26</v>
      </c>
      <c r="B620" s="4" t="s">
        <v>11</v>
      </c>
      <c r="C620" s="4">
        <v>415000</v>
      </c>
      <c r="D620" s="4">
        <v>1700</v>
      </c>
      <c r="E620" s="4">
        <v>2024</v>
      </c>
      <c r="F620" s="4">
        <v>5.4</v>
      </c>
      <c r="G620" s="4" t="s">
        <v>41</v>
      </c>
      <c r="H620" s="4" t="s">
        <v>13</v>
      </c>
      <c r="I620" s="4" t="s">
        <v>14</v>
      </c>
      <c r="J620" s="4" t="s">
        <v>29</v>
      </c>
    </row>
    <row r="621" spans="1:10">
      <c r="A621" s="5" t="s">
        <v>30</v>
      </c>
      <c r="B621" s="6" t="s">
        <v>27</v>
      </c>
      <c r="C621" s="6">
        <v>365000</v>
      </c>
      <c r="D621" s="6">
        <v>2000</v>
      </c>
      <c r="E621" s="6">
        <v>2024</v>
      </c>
      <c r="F621" s="6">
        <v>5.3</v>
      </c>
      <c r="G621" s="6" t="s">
        <v>12</v>
      </c>
      <c r="H621" s="6" t="s">
        <v>13</v>
      </c>
      <c r="I621" s="6" t="s">
        <v>20</v>
      </c>
      <c r="J621" s="6" t="s">
        <v>29</v>
      </c>
    </row>
    <row r="622" spans="1:10">
      <c r="A622" s="5" t="s">
        <v>33</v>
      </c>
      <c r="B622" s="6" t="s">
        <v>11</v>
      </c>
      <c r="C622" s="6">
        <v>540000</v>
      </c>
      <c r="D622" s="6">
        <v>1650</v>
      </c>
      <c r="E622" s="6">
        <v>2024</v>
      </c>
      <c r="F622" s="6">
        <v>5.0999999999999996</v>
      </c>
      <c r="G622" s="6" t="s">
        <v>41</v>
      </c>
      <c r="H622" s="6" t="s">
        <v>13</v>
      </c>
      <c r="I622" s="6" t="s">
        <v>14</v>
      </c>
      <c r="J622" s="6" t="s">
        <v>15</v>
      </c>
    </row>
    <row r="623" spans="1:10">
      <c r="A623" s="3" t="s">
        <v>35</v>
      </c>
      <c r="B623" s="4" t="s">
        <v>23</v>
      </c>
      <c r="C623" s="4">
        <v>240000</v>
      </c>
      <c r="D623" s="4">
        <v>2050</v>
      </c>
      <c r="E623" s="4">
        <v>2024</v>
      </c>
      <c r="F623" s="4">
        <v>5.4</v>
      </c>
      <c r="G623" s="4" t="s">
        <v>42</v>
      </c>
      <c r="H623" s="4" t="s">
        <v>25</v>
      </c>
      <c r="I623" s="4" t="s">
        <v>20</v>
      </c>
      <c r="J623" s="4" t="s">
        <v>21</v>
      </c>
    </row>
    <row r="624" spans="1:10">
      <c r="A624" s="5" t="s">
        <v>37</v>
      </c>
      <c r="B624" s="6" t="s">
        <v>11</v>
      </c>
      <c r="C624" s="6">
        <v>580000</v>
      </c>
      <c r="D624" s="6">
        <v>1750</v>
      </c>
      <c r="E624" s="6">
        <v>2024</v>
      </c>
      <c r="F624" s="6">
        <v>5.0999999999999996</v>
      </c>
      <c r="G624" s="6" t="s">
        <v>41</v>
      </c>
      <c r="H624" s="6" t="s">
        <v>13</v>
      </c>
      <c r="I624" s="6" t="s">
        <v>14</v>
      </c>
      <c r="J624" s="6" t="s">
        <v>15</v>
      </c>
    </row>
    <row r="625" spans="1:10">
      <c r="A625" s="3" t="s">
        <v>10</v>
      </c>
      <c r="B625" s="4" t="s">
        <v>23</v>
      </c>
      <c r="C625" s="4">
        <v>605000</v>
      </c>
      <c r="D625" s="4">
        <v>2450</v>
      </c>
      <c r="E625" s="4">
        <v>2024</v>
      </c>
      <c r="F625" s="4">
        <v>5.0999999999999996</v>
      </c>
      <c r="G625" s="4" t="s">
        <v>28</v>
      </c>
      <c r="H625" s="4" t="s">
        <v>13</v>
      </c>
      <c r="I625" s="4" t="s">
        <v>20</v>
      </c>
      <c r="J625" s="4" t="s">
        <v>29</v>
      </c>
    </row>
    <row r="626" spans="1:10">
      <c r="A626" s="5" t="s">
        <v>16</v>
      </c>
      <c r="B626" s="6" t="s">
        <v>27</v>
      </c>
      <c r="C626" s="6">
        <v>465000</v>
      </c>
      <c r="D626" s="6">
        <v>2300</v>
      </c>
      <c r="E626" s="6">
        <v>2024</v>
      </c>
      <c r="F626" s="6">
        <v>5.3</v>
      </c>
      <c r="G626" s="6" t="s">
        <v>28</v>
      </c>
      <c r="H626" s="6" t="s">
        <v>13</v>
      </c>
      <c r="I626" s="6" t="s">
        <v>20</v>
      </c>
      <c r="J626" s="6" t="s">
        <v>29</v>
      </c>
    </row>
    <row r="627" spans="1:10">
      <c r="A627" s="3" t="s">
        <v>10</v>
      </c>
      <c r="B627" s="4" t="s">
        <v>17</v>
      </c>
      <c r="C627" s="4">
        <v>485000</v>
      </c>
      <c r="D627" s="4">
        <v>3050</v>
      </c>
      <c r="E627" s="4">
        <v>2024</v>
      </c>
      <c r="F627" s="4">
        <v>5</v>
      </c>
      <c r="G627" s="4" t="s">
        <v>18</v>
      </c>
      <c r="H627" s="4" t="s">
        <v>19</v>
      </c>
      <c r="I627" s="4" t="s">
        <v>20</v>
      </c>
      <c r="J627" s="4" t="s">
        <v>21</v>
      </c>
    </row>
    <row r="628" spans="1:10">
      <c r="A628" s="5" t="s">
        <v>16</v>
      </c>
      <c r="B628" s="6" t="s">
        <v>11</v>
      </c>
      <c r="C628" s="6">
        <v>650000</v>
      </c>
      <c r="D628" s="6">
        <v>2000</v>
      </c>
      <c r="E628" s="6">
        <v>2024</v>
      </c>
      <c r="F628" s="6">
        <v>5.3</v>
      </c>
      <c r="G628" s="6" t="s">
        <v>38</v>
      </c>
      <c r="H628" s="6" t="s">
        <v>43</v>
      </c>
      <c r="I628" s="6" t="s">
        <v>14</v>
      </c>
      <c r="J628" s="6" t="s">
        <v>15</v>
      </c>
    </row>
    <row r="629" spans="1:10">
      <c r="A629" s="3" t="s">
        <v>22</v>
      </c>
      <c r="B629" s="4" t="s">
        <v>27</v>
      </c>
      <c r="C629" s="4">
        <v>340000</v>
      </c>
      <c r="D629" s="4">
        <v>2200</v>
      </c>
      <c r="E629" s="4">
        <v>2024</v>
      </c>
      <c r="F629" s="4">
        <v>5.4</v>
      </c>
      <c r="G629" s="4" t="s">
        <v>39</v>
      </c>
      <c r="H629" s="4" t="s">
        <v>19</v>
      </c>
      <c r="I629" s="4" t="s">
        <v>20</v>
      </c>
      <c r="J629" s="4" t="s">
        <v>29</v>
      </c>
    </row>
    <row r="630" spans="1:10">
      <c r="A630" s="5" t="s">
        <v>26</v>
      </c>
      <c r="B630" s="6" t="s">
        <v>23</v>
      </c>
      <c r="C630" s="6">
        <v>275000</v>
      </c>
      <c r="D630" s="6">
        <v>600</v>
      </c>
      <c r="E630" s="6">
        <v>2024</v>
      </c>
      <c r="F630" s="6">
        <v>5.5</v>
      </c>
      <c r="G630" s="6">
        <v>10</v>
      </c>
      <c r="H630" s="6" t="s">
        <v>25</v>
      </c>
      <c r="I630" s="6" t="s">
        <v>20</v>
      </c>
      <c r="J630" s="6" t="s">
        <v>21</v>
      </c>
    </row>
    <row r="631" spans="1:10">
      <c r="A631" s="5" t="s">
        <v>32</v>
      </c>
      <c r="B631" s="6" t="s">
        <v>11</v>
      </c>
      <c r="C631" s="6">
        <v>510000</v>
      </c>
      <c r="D631" s="6">
        <v>1750</v>
      </c>
      <c r="E631" s="6">
        <v>2024</v>
      </c>
      <c r="F631" s="6">
        <v>5.2</v>
      </c>
      <c r="G631" s="6" t="s">
        <v>41</v>
      </c>
      <c r="H631" s="6" t="s">
        <v>13</v>
      </c>
      <c r="I631" s="6" t="s">
        <v>14</v>
      </c>
      <c r="J631" s="6" t="s">
        <v>15</v>
      </c>
    </row>
    <row r="632" spans="1:10">
      <c r="A632" s="3" t="s">
        <v>33</v>
      </c>
      <c r="B632" s="4" t="s">
        <v>27</v>
      </c>
      <c r="C632" s="4">
        <v>405000</v>
      </c>
      <c r="D632" s="4">
        <v>2100</v>
      </c>
      <c r="E632" s="4">
        <v>2024</v>
      </c>
      <c r="F632" s="4">
        <v>5.2</v>
      </c>
      <c r="G632" s="4" t="s">
        <v>28</v>
      </c>
      <c r="H632" s="4" t="s">
        <v>13</v>
      </c>
      <c r="I632" s="4" t="s">
        <v>20</v>
      </c>
      <c r="J632" s="4" t="s">
        <v>29</v>
      </c>
    </row>
    <row r="633" spans="1:10">
      <c r="A633" s="5" t="s">
        <v>35</v>
      </c>
      <c r="B633" s="6" t="s">
        <v>17</v>
      </c>
      <c r="C633" s="6">
        <v>210000</v>
      </c>
      <c r="D633" s="6">
        <v>2500</v>
      </c>
      <c r="E633" s="6">
        <v>2024</v>
      </c>
      <c r="F633" s="6">
        <v>5.4</v>
      </c>
      <c r="G633" s="6" t="s">
        <v>31</v>
      </c>
      <c r="H633" s="6" t="s">
        <v>25</v>
      </c>
      <c r="I633" s="6" t="s">
        <v>20</v>
      </c>
      <c r="J633" s="6" t="s">
        <v>21</v>
      </c>
    </row>
    <row r="634" spans="1:10">
      <c r="A634" s="3" t="s">
        <v>37</v>
      </c>
      <c r="B634" s="4" t="s">
        <v>23</v>
      </c>
      <c r="C634" s="4">
        <v>360000</v>
      </c>
      <c r="D634" s="4">
        <v>2300</v>
      </c>
      <c r="E634" s="4">
        <v>2024</v>
      </c>
      <c r="F634" s="4">
        <v>5.3</v>
      </c>
      <c r="G634" s="4" t="s">
        <v>24</v>
      </c>
      <c r="H634" s="4" t="s">
        <v>19</v>
      </c>
      <c r="I634" s="4" t="s">
        <v>20</v>
      </c>
      <c r="J634" s="4" t="s">
        <v>21</v>
      </c>
    </row>
    <row r="635" spans="1:10">
      <c r="A635" s="5" t="s">
        <v>10</v>
      </c>
      <c r="B635" s="6" t="s">
        <v>11</v>
      </c>
      <c r="C635" s="6">
        <v>870000</v>
      </c>
      <c r="D635" s="6">
        <v>2000</v>
      </c>
      <c r="E635" s="6">
        <v>2024</v>
      </c>
      <c r="F635" s="6">
        <v>5.0999999999999996</v>
      </c>
      <c r="G635" s="6" t="s">
        <v>41</v>
      </c>
      <c r="H635" s="6" t="s">
        <v>43</v>
      </c>
      <c r="I635" s="6" t="s">
        <v>14</v>
      </c>
      <c r="J635" s="6" t="s">
        <v>15</v>
      </c>
    </row>
    <row r="636" spans="1:10">
      <c r="A636" s="3" t="s">
        <v>16</v>
      </c>
      <c r="B636" s="4" t="s">
        <v>17</v>
      </c>
      <c r="C636" s="4">
        <v>340000</v>
      </c>
      <c r="D636" s="4">
        <v>2650</v>
      </c>
      <c r="E636" s="4">
        <v>2024</v>
      </c>
      <c r="F636" s="4">
        <v>5.2</v>
      </c>
      <c r="G636" s="4" t="s">
        <v>18</v>
      </c>
      <c r="H636" s="4" t="s">
        <v>19</v>
      </c>
      <c r="I636" s="4" t="s">
        <v>20</v>
      </c>
      <c r="J636" s="4" t="s">
        <v>21</v>
      </c>
    </row>
    <row r="637" spans="1:10">
      <c r="A637" s="5" t="s">
        <v>22</v>
      </c>
      <c r="B637" s="6" t="s">
        <v>23</v>
      </c>
      <c r="C637" s="6">
        <v>290000</v>
      </c>
      <c r="D637" s="6">
        <v>2750</v>
      </c>
      <c r="E637" s="6">
        <v>2024</v>
      </c>
      <c r="F637" s="6">
        <v>5.4</v>
      </c>
      <c r="G637" s="6" t="s">
        <v>24</v>
      </c>
      <c r="H637" s="6" t="s">
        <v>25</v>
      </c>
      <c r="I637" s="6" t="s">
        <v>20</v>
      </c>
      <c r="J637" s="6" t="s">
        <v>21</v>
      </c>
    </row>
    <row r="638" spans="1:10">
      <c r="A638" s="3" t="s">
        <v>26</v>
      </c>
      <c r="B638" s="4" t="s">
        <v>11</v>
      </c>
      <c r="C638" s="4">
        <v>425000</v>
      </c>
      <c r="D638" s="4">
        <v>1850</v>
      </c>
      <c r="E638" s="4">
        <v>2024</v>
      </c>
      <c r="F638" s="4">
        <v>5.4</v>
      </c>
      <c r="G638" s="4" t="s">
        <v>41</v>
      </c>
      <c r="H638" s="4" t="s">
        <v>13</v>
      </c>
      <c r="I638" s="4" t="s">
        <v>14</v>
      </c>
      <c r="J638" s="4" t="s">
        <v>29</v>
      </c>
    </row>
    <row r="639" spans="1:10">
      <c r="A639" s="5" t="s">
        <v>30</v>
      </c>
      <c r="B639" s="6" t="s">
        <v>27</v>
      </c>
      <c r="C639" s="6">
        <v>375000</v>
      </c>
      <c r="D639" s="6">
        <v>2150</v>
      </c>
      <c r="E639" s="6">
        <v>2024</v>
      </c>
      <c r="F639" s="6">
        <v>5.3</v>
      </c>
      <c r="G639" s="6" t="s">
        <v>12</v>
      </c>
      <c r="H639" s="6" t="s">
        <v>13</v>
      </c>
      <c r="I639" s="6" t="s">
        <v>20</v>
      </c>
      <c r="J639" s="6" t="s">
        <v>29</v>
      </c>
    </row>
    <row r="640" spans="1:10">
      <c r="A640" s="3" t="s">
        <v>32</v>
      </c>
      <c r="B640" s="4" t="s">
        <v>17</v>
      </c>
      <c r="C640" s="4">
        <v>270000</v>
      </c>
      <c r="D640" s="4">
        <v>2600</v>
      </c>
      <c r="E640" s="4">
        <v>2024</v>
      </c>
      <c r="F640" s="4">
        <v>5.3</v>
      </c>
      <c r="G640" s="4" t="s">
        <v>40</v>
      </c>
      <c r="H640" s="4" t="s">
        <v>25</v>
      </c>
      <c r="I640" s="4" t="s">
        <v>20</v>
      </c>
      <c r="J640" s="4" t="s">
        <v>21</v>
      </c>
    </row>
    <row r="641" spans="1:10">
      <c r="A641" s="5" t="s">
        <v>33</v>
      </c>
      <c r="B641" s="6" t="s">
        <v>11</v>
      </c>
      <c r="C641" s="6">
        <v>560000</v>
      </c>
      <c r="D641" s="6">
        <v>1800</v>
      </c>
      <c r="E641" s="6">
        <v>2024</v>
      </c>
      <c r="F641" s="6">
        <v>5.0999999999999996</v>
      </c>
      <c r="G641" s="6" t="s">
        <v>41</v>
      </c>
      <c r="H641" s="6" t="s">
        <v>13</v>
      </c>
      <c r="I641" s="6" t="s">
        <v>14</v>
      </c>
      <c r="J641" s="6" t="s">
        <v>15</v>
      </c>
    </row>
    <row r="642" spans="1:10">
      <c r="A642" s="3" t="s">
        <v>35</v>
      </c>
      <c r="B642" s="4" t="s">
        <v>23</v>
      </c>
      <c r="C642" s="4">
        <v>250000</v>
      </c>
      <c r="D642" s="4">
        <v>2200</v>
      </c>
      <c r="E642" s="4">
        <v>2024</v>
      </c>
      <c r="F642" s="4">
        <v>5.4</v>
      </c>
      <c r="G642" s="4" t="s">
        <v>42</v>
      </c>
      <c r="H642" s="4" t="s">
        <v>25</v>
      </c>
      <c r="I642" s="4" t="s">
        <v>20</v>
      </c>
      <c r="J642" s="4" t="s">
        <v>21</v>
      </c>
    </row>
    <row r="643" spans="1:10">
      <c r="A643" s="5" t="s">
        <v>37</v>
      </c>
      <c r="B643" s="6" t="s">
        <v>11</v>
      </c>
      <c r="C643" s="6">
        <v>600000</v>
      </c>
      <c r="D643" s="6">
        <v>1900</v>
      </c>
      <c r="E643" s="6">
        <v>2024</v>
      </c>
      <c r="F643" s="6">
        <v>5.0999999999999996</v>
      </c>
      <c r="G643" s="6" t="s">
        <v>41</v>
      </c>
      <c r="H643" s="6" t="s">
        <v>13</v>
      </c>
      <c r="I643" s="6" t="s">
        <v>14</v>
      </c>
      <c r="J643" s="6" t="s">
        <v>15</v>
      </c>
    </row>
    <row r="644" spans="1:10">
      <c r="A644" s="3" t="s">
        <v>10</v>
      </c>
      <c r="B644" s="4" t="s">
        <v>23</v>
      </c>
      <c r="C644" s="4">
        <v>625000</v>
      </c>
      <c r="D644" s="4">
        <v>2600</v>
      </c>
      <c r="E644" s="4">
        <v>2024</v>
      </c>
      <c r="F644" s="4">
        <v>5.0999999999999996</v>
      </c>
      <c r="G644" s="4" t="s">
        <v>28</v>
      </c>
      <c r="H644" s="4" t="s">
        <v>13</v>
      </c>
      <c r="I644" s="4" t="s">
        <v>20</v>
      </c>
      <c r="J644" s="4" t="s">
        <v>29</v>
      </c>
    </row>
    <row r="645" spans="1:10">
      <c r="A645" s="5" t="s">
        <v>16</v>
      </c>
      <c r="B645" s="6" t="s">
        <v>27</v>
      </c>
      <c r="C645" s="6">
        <v>475000</v>
      </c>
      <c r="D645" s="6">
        <v>2450</v>
      </c>
      <c r="E645" s="6">
        <v>2024</v>
      </c>
      <c r="F645" s="6">
        <v>5.3</v>
      </c>
      <c r="G645" s="6" t="s">
        <v>28</v>
      </c>
      <c r="H645" s="6" t="s">
        <v>13</v>
      </c>
      <c r="I645" s="6" t="s">
        <v>20</v>
      </c>
      <c r="J645" s="6" t="s">
        <v>29</v>
      </c>
    </row>
    <row r="646" spans="1:10">
      <c r="A646" s="3" t="s">
        <v>10</v>
      </c>
      <c r="B646" s="4" t="s">
        <v>17</v>
      </c>
      <c r="C646" s="4">
        <v>488000</v>
      </c>
      <c r="D646" s="4">
        <v>3100</v>
      </c>
      <c r="E646" s="4">
        <v>2024</v>
      </c>
      <c r="F646" s="4">
        <v>5</v>
      </c>
      <c r="G646" s="4" t="s">
        <v>18</v>
      </c>
      <c r="H646" s="4" t="s">
        <v>19</v>
      </c>
      <c r="I646" s="4" t="s">
        <v>20</v>
      </c>
      <c r="J646" s="4" t="s">
        <v>21</v>
      </c>
    </row>
    <row r="647" spans="1:10">
      <c r="A647" s="5" t="s">
        <v>16</v>
      </c>
      <c r="B647" s="6" t="s">
        <v>11</v>
      </c>
      <c r="C647" s="6">
        <v>655000</v>
      </c>
      <c r="D647" s="6">
        <v>2050</v>
      </c>
      <c r="E647" s="6">
        <v>2024</v>
      </c>
      <c r="F647" s="6">
        <v>5.3</v>
      </c>
      <c r="G647" s="6" t="s">
        <v>38</v>
      </c>
      <c r="H647" s="6" t="s">
        <v>43</v>
      </c>
      <c r="I647" s="6" t="s">
        <v>14</v>
      </c>
      <c r="J647" s="6" t="s">
        <v>15</v>
      </c>
    </row>
    <row r="648" spans="1:10">
      <c r="A648" s="3" t="s">
        <v>22</v>
      </c>
      <c r="B648" s="4" t="s">
        <v>27</v>
      </c>
      <c r="C648" s="4">
        <v>345000</v>
      </c>
      <c r="D648" s="4">
        <v>2250</v>
      </c>
      <c r="E648" s="4">
        <v>2024</v>
      </c>
      <c r="F648" s="4">
        <v>5.4</v>
      </c>
      <c r="G648" s="4" t="s">
        <v>39</v>
      </c>
      <c r="H648" s="4" t="s">
        <v>19</v>
      </c>
      <c r="I648" s="4" t="s">
        <v>20</v>
      </c>
      <c r="J648" s="4" t="s">
        <v>29</v>
      </c>
    </row>
    <row r="649" spans="1:10">
      <c r="A649" s="5" t="s">
        <v>26</v>
      </c>
      <c r="B649" s="6" t="s">
        <v>23</v>
      </c>
      <c r="C649" s="6">
        <v>278000</v>
      </c>
      <c r="D649" s="6">
        <v>650</v>
      </c>
      <c r="E649" s="6">
        <v>2024</v>
      </c>
      <c r="F649" s="6">
        <v>5.5</v>
      </c>
      <c r="G649" s="6">
        <v>10</v>
      </c>
      <c r="H649" s="6" t="s">
        <v>25</v>
      </c>
      <c r="I649" s="6" t="s">
        <v>20</v>
      </c>
      <c r="J649" s="6" t="s">
        <v>21</v>
      </c>
    </row>
    <row r="650" spans="1:10">
      <c r="A650" s="3" t="s">
        <v>30</v>
      </c>
      <c r="B650" s="4" t="s">
        <v>17</v>
      </c>
      <c r="C650" s="4">
        <v>258000</v>
      </c>
      <c r="D650" s="4">
        <v>2500</v>
      </c>
      <c r="E650" s="4">
        <v>2024</v>
      </c>
      <c r="F650" s="4">
        <v>5.4</v>
      </c>
      <c r="G650" s="4" t="s">
        <v>31</v>
      </c>
      <c r="H650" s="4" t="s">
        <v>25</v>
      </c>
      <c r="I650" s="4" t="s">
        <v>20</v>
      </c>
      <c r="J650" s="4" t="s">
        <v>21</v>
      </c>
    </row>
    <row r="651" spans="1:10">
      <c r="A651" s="5" t="s">
        <v>32</v>
      </c>
      <c r="B651" s="6" t="s">
        <v>11</v>
      </c>
      <c r="C651" s="6">
        <v>515000</v>
      </c>
      <c r="D651" s="6">
        <v>1800</v>
      </c>
      <c r="E651" s="6">
        <v>2024</v>
      </c>
      <c r="F651" s="6">
        <v>5.2</v>
      </c>
      <c r="G651" s="6" t="s">
        <v>41</v>
      </c>
      <c r="H651" s="6" t="s">
        <v>13</v>
      </c>
      <c r="I651" s="6" t="s">
        <v>14</v>
      </c>
      <c r="J651" s="6" t="s">
        <v>15</v>
      </c>
    </row>
    <row r="652" spans="1:10">
      <c r="A652" s="3" t="s">
        <v>33</v>
      </c>
      <c r="B652" s="4" t="s">
        <v>27</v>
      </c>
      <c r="C652" s="4">
        <v>408000</v>
      </c>
      <c r="D652" s="4">
        <v>2150</v>
      </c>
      <c r="E652" s="4">
        <v>2024</v>
      </c>
      <c r="F652" s="4">
        <v>5.2</v>
      </c>
      <c r="G652" s="4" t="s">
        <v>28</v>
      </c>
      <c r="H652" s="4" t="s">
        <v>13</v>
      </c>
      <c r="I652" s="4" t="s">
        <v>20</v>
      </c>
      <c r="J652" s="4" t="s">
        <v>29</v>
      </c>
    </row>
    <row r="653" spans="1:10">
      <c r="A653" s="5" t="s">
        <v>35</v>
      </c>
      <c r="B653" s="6" t="s">
        <v>17</v>
      </c>
      <c r="C653" s="6">
        <v>212000</v>
      </c>
      <c r="D653" s="6">
        <v>2550</v>
      </c>
      <c r="E653" s="6">
        <v>2024</v>
      </c>
      <c r="F653" s="6">
        <v>5.4</v>
      </c>
      <c r="G653" s="6" t="s">
        <v>31</v>
      </c>
      <c r="H653" s="6" t="s">
        <v>25</v>
      </c>
      <c r="I653" s="6" t="s">
        <v>20</v>
      </c>
      <c r="J653" s="6" t="s">
        <v>21</v>
      </c>
    </row>
    <row r="654" spans="1:10">
      <c r="A654" s="3" t="s">
        <v>37</v>
      </c>
      <c r="B654" s="4" t="s">
        <v>23</v>
      </c>
      <c r="C654" s="4">
        <v>362000</v>
      </c>
      <c r="D654" s="4">
        <v>2350</v>
      </c>
      <c r="E654" s="4">
        <v>2024</v>
      </c>
      <c r="F654" s="4">
        <v>5.3</v>
      </c>
      <c r="G654" s="4" t="s">
        <v>24</v>
      </c>
      <c r="H654" s="4" t="s">
        <v>19</v>
      </c>
      <c r="I654" s="4" t="s">
        <v>20</v>
      </c>
      <c r="J654" s="4" t="s">
        <v>21</v>
      </c>
    </row>
    <row r="655" spans="1:10">
      <c r="A655" s="5" t="s">
        <v>10</v>
      </c>
      <c r="B655" s="6" t="s">
        <v>11</v>
      </c>
      <c r="C655" s="6">
        <v>875000</v>
      </c>
      <c r="D655" s="6">
        <v>2050</v>
      </c>
      <c r="E655" s="6">
        <v>2024</v>
      </c>
      <c r="F655" s="6">
        <v>5.0999999999999996</v>
      </c>
      <c r="G655" s="6" t="s">
        <v>41</v>
      </c>
      <c r="H655" s="6" t="s">
        <v>43</v>
      </c>
      <c r="I655" s="6" t="s">
        <v>14</v>
      </c>
      <c r="J655" s="6" t="s">
        <v>15</v>
      </c>
    </row>
    <row r="656" spans="1:10">
      <c r="A656" s="3" t="s">
        <v>16</v>
      </c>
      <c r="B656" s="4" t="s">
        <v>17</v>
      </c>
      <c r="C656" s="4">
        <v>343000</v>
      </c>
      <c r="D656" s="4">
        <v>2700</v>
      </c>
      <c r="E656" s="4">
        <v>2024</v>
      </c>
      <c r="F656" s="4">
        <v>5.2</v>
      </c>
      <c r="G656" s="4" t="s">
        <v>18</v>
      </c>
      <c r="H656" s="4" t="s">
        <v>19</v>
      </c>
      <c r="I656" s="4" t="s">
        <v>20</v>
      </c>
      <c r="J656" s="4" t="s">
        <v>21</v>
      </c>
    </row>
    <row r="657" spans="1:10">
      <c r="A657" s="5" t="s">
        <v>22</v>
      </c>
      <c r="B657" s="6" t="s">
        <v>23</v>
      </c>
      <c r="C657" s="6">
        <v>292000</v>
      </c>
      <c r="D657" s="6">
        <v>2800</v>
      </c>
      <c r="E657" s="6">
        <v>2024</v>
      </c>
      <c r="F657" s="6">
        <v>5.4</v>
      </c>
      <c r="G657" s="6" t="s">
        <v>24</v>
      </c>
      <c r="H657" s="6" t="s">
        <v>25</v>
      </c>
      <c r="I657" s="6" t="s">
        <v>20</v>
      </c>
      <c r="J657" s="6" t="s">
        <v>21</v>
      </c>
    </row>
    <row r="658" spans="1:10">
      <c r="A658" s="3" t="s">
        <v>26</v>
      </c>
      <c r="B658" s="4" t="s">
        <v>11</v>
      </c>
      <c r="C658" s="4">
        <v>428000</v>
      </c>
      <c r="D658" s="4">
        <v>1900</v>
      </c>
      <c r="E658" s="4">
        <v>2024</v>
      </c>
      <c r="F658" s="4">
        <v>5.4</v>
      </c>
      <c r="G658" s="4" t="s">
        <v>41</v>
      </c>
      <c r="H658" s="4" t="s">
        <v>13</v>
      </c>
      <c r="I658" s="4" t="s">
        <v>14</v>
      </c>
      <c r="J658" s="4" t="s">
        <v>29</v>
      </c>
    </row>
    <row r="659" spans="1:10">
      <c r="A659" s="5" t="s">
        <v>30</v>
      </c>
      <c r="B659" s="6" t="s">
        <v>27</v>
      </c>
      <c r="C659" s="6">
        <v>378000</v>
      </c>
      <c r="D659" s="6">
        <v>2200</v>
      </c>
      <c r="E659" s="6">
        <v>2024</v>
      </c>
      <c r="F659" s="6">
        <v>5.3</v>
      </c>
      <c r="G659" s="6" t="s">
        <v>12</v>
      </c>
      <c r="H659" s="6" t="s">
        <v>13</v>
      </c>
      <c r="I659" s="6" t="s">
        <v>20</v>
      </c>
      <c r="J659" s="6" t="s">
        <v>29</v>
      </c>
    </row>
    <row r="660" spans="1:10">
      <c r="A660" s="3" t="s">
        <v>32</v>
      </c>
      <c r="B660" s="4" t="s">
        <v>17</v>
      </c>
      <c r="C660" s="4">
        <v>272000</v>
      </c>
      <c r="D660" s="4">
        <v>2650</v>
      </c>
      <c r="E660" s="4">
        <v>2024</v>
      </c>
      <c r="F660" s="4">
        <v>5.3</v>
      </c>
      <c r="G660" s="4" t="s">
        <v>40</v>
      </c>
      <c r="H660" s="4" t="s">
        <v>25</v>
      </c>
      <c r="I660" s="4" t="s">
        <v>20</v>
      </c>
      <c r="J660" s="4" t="s">
        <v>21</v>
      </c>
    </row>
    <row r="661" spans="1:10">
      <c r="A661" s="5" t="s">
        <v>33</v>
      </c>
      <c r="B661" s="6" t="s">
        <v>11</v>
      </c>
      <c r="C661" s="6">
        <v>565000</v>
      </c>
      <c r="D661" s="6">
        <v>1850</v>
      </c>
      <c r="E661" s="6">
        <v>2024</v>
      </c>
      <c r="F661" s="6">
        <v>5.0999999999999996</v>
      </c>
      <c r="G661" s="6" t="s">
        <v>41</v>
      </c>
      <c r="H661" s="6" t="s">
        <v>13</v>
      </c>
      <c r="I661" s="6" t="s">
        <v>14</v>
      </c>
      <c r="J661" s="6" t="s">
        <v>15</v>
      </c>
    </row>
    <row r="662" spans="1:10">
      <c r="A662" s="3" t="s">
        <v>35</v>
      </c>
      <c r="B662" s="4" t="s">
        <v>23</v>
      </c>
      <c r="C662" s="4">
        <v>252000</v>
      </c>
      <c r="D662" s="4">
        <v>2250</v>
      </c>
      <c r="E662" s="4">
        <v>2024</v>
      </c>
      <c r="F662" s="4">
        <v>5.4</v>
      </c>
      <c r="G662" s="4" t="s">
        <v>42</v>
      </c>
      <c r="H662" s="4" t="s">
        <v>25</v>
      </c>
      <c r="I662" s="4" t="s">
        <v>20</v>
      </c>
      <c r="J662" s="4" t="s">
        <v>21</v>
      </c>
    </row>
    <row r="663" spans="1:10">
      <c r="A663" s="5" t="s">
        <v>37</v>
      </c>
      <c r="B663" s="6" t="s">
        <v>11</v>
      </c>
      <c r="C663" s="6">
        <v>605000</v>
      </c>
      <c r="D663" s="6">
        <v>1950</v>
      </c>
      <c r="E663" s="6">
        <v>2024</v>
      </c>
      <c r="F663" s="6">
        <v>5.0999999999999996</v>
      </c>
      <c r="G663" s="6" t="s">
        <v>41</v>
      </c>
      <c r="H663" s="6" t="s">
        <v>13</v>
      </c>
      <c r="I663" s="6" t="s">
        <v>14</v>
      </c>
      <c r="J663" s="6" t="s">
        <v>15</v>
      </c>
    </row>
    <row r="664" spans="1:10">
      <c r="A664" s="3" t="s">
        <v>10</v>
      </c>
      <c r="B664" s="4" t="s">
        <v>23</v>
      </c>
      <c r="C664" s="4">
        <v>630000</v>
      </c>
      <c r="D664" s="4">
        <v>2650</v>
      </c>
      <c r="E664" s="4">
        <v>2024</v>
      </c>
      <c r="F664" s="4">
        <v>5.0999999999999996</v>
      </c>
      <c r="G664" s="4" t="s">
        <v>28</v>
      </c>
      <c r="H664" s="4" t="s">
        <v>13</v>
      </c>
      <c r="I664" s="4" t="s">
        <v>20</v>
      </c>
      <c r="J664" s="4" t="s">
        <v>29</v>
      </c>
    </row>
    <row r="665" spans="1:10">
      <c r="A665" s="5" t="s">
        <v>16</v>
      </c>
      <c r="B665" s="6" t="s">
        <v>27</v>
      </c>
      <c r="C665" s="6">
        <v>478000</v>
      </c>
      <c r="D665" s="6">
        <v>2500</v>
      </c>
      <c r="E665" s="6">
        <v>2024</v>
      </c>
      <c r="F665" s="6">
        <v>5.3</v>
      </c>
      <c r="G665" s="6" t="s">
        <v>28</v>
      </c>
      <c r="H665" s="6" t="s">
        <v>13</v>
      </c>
      <c r="I665" s="6" t="s">
        <v>20</v>
      </c>
      <c r="J665" s="6" t="s">
        <v>29</v>
      </c>
    </row>
    <row r="666" spans="1:10">
      <c r="A666" s="3" t="s">
        <v>10</v>
      </c>
      <c r="B666" s="4" t="s">
        <v>17</v>
      </c>
      <c r="C666" s="4">
        <v>490000</v>
      </c>
      <c r="D666" s="4">
        <v>3150</v>
      </c>
      <c r="E666" s="4">
        <v>2024</v>
      </c>
      <c r="F666" s="4">
        <v>5</v>
      </c>
      <c r="G666" s="4" t="s">
        <v>18</v>
      </c>
      <c r="H666" s="4" t="s">
        <v>19</v>
      </c>
      <c r="I666" s="4" t="s">
        <v>20</v>
      </c>
      <c r="J666" s="4" t="s">
        <v>21</v>
      </c>
    </row>
    <row r="667" spans="1:10">
      <c r="A667" s="5" t="s">
        <v>16</v>
      </c>
      <c r="B667" s="6" t="s">
        <v>11</v>
      </c>
      <c r="C667" s="6">
        <v>660000</v>
      </c>
      <c r="D667" s="6">
        <v>2100</v>
      </c>
      <c r="E667" s="6">
        <v>2024</v>
      </c>
      <c r="F667" s="6">
        <v>5.3</v>
      </c>
      <c r="G667" s="6" t="s">
        <v>38</v>
      </c>
      <c r="H667" s="6" t="s">
        <v>43</v>
      </c>
      <c r="I667" s="6" t="s">
        <v>14</v>
      </c>
      <c r="J667" s="6" t="s">
        <v>15</v>
      </c>
    </row>
    <row r="668" spans="1:10">
      <c r="A668" s="3" t="s">
        <v>22</v>
      </c>
      <c r="B668" s="4" t="s">
        <v>27</v>
      </c>
      <c r="C668" s="4">
        <v>348000</v>
      </c>
      <c r="D668" s="4">
        <v>2300</v>
      </c>
      <c r="E668" s="4">
        <v>2024</v>
      </c>
      <c r="F668" s="4">
        <v>5.4</v>
      </c>
      <c r="G668" s="4" t="s">
        <v>39</v>
      </c>
      <c r="H668" s="4" t="s">
        <v>19</v>
      </c>
      <c r="I668" s="4" t="s">
        <v>20</v>
      </c>
      <c r="J668" s="4" t="s">
        <v>29</v>
      </c>
    </row>
    <row r="669" spans="1:10">
      <c r="A669" s="5" t="s">
        <v>26</v>
      </c>
      <c r="B669" s="6" t="s">
        <v>23</v>
      </c>
      <c r="C669" s="6">
        <v>280000</v>
      </c>
      <c r="D669" s="6">
        <v>700</v>
      </c>
      <c r="E669" s="6">
        <v>2024</v>
      </c>
      <c r="F669" s="6">
        <v>5.5</v>
      </c>
      <c r="G669" s="6">
        <v>10</v>
      </c>
      <c r="H669" s="6" t="s">
        <v>25</v>
      </c>
      <c r="I669" s="6" t="s">
        <v>20</v>
      </c>
      <c r="J669" s="6" t="s">
        <v>21</v>
      </c>
    </row>
    <row r="670" spans="1:10">
      <c r="A670" s="3" t="s">
        <v>30</v>
      </c>
      <c r="B670" s="4" t="s">
        <v>17</v>
      </c>
      <c r="C670" s="4">
        <v>260000</v>
      </c>
      <c r="D670" s="4">
        <v>2550</v>
      </c>
      <c r="E670" s="4">
        <v>2024</v>
      </c>
      <c r="F670" s="4">
        <v>5.4</v>
      </c>
      <c r="G670" s="4" t="s">
        <v>31</v>
      </c>
      <c r="H670" s="4" t="s">
        <v>25</v>
      </c>
      <c r="I670" s="4" t="s">
        <v>20</v>
      </c>
      <c r="J670" s="4" t="s">
        <v>21</v>
      </c>
    </row>
    <row r="671" spans="1:10">
      <c r="A671" s="5" t="s">
        <v>32</v>
      </c>
      <c r="B671" s="6" t="s">
        <v>11</v>
      </c>
      <c r="C671" s="6">
        <v>520000</v>
      </c>
      <c r="D671" s="6">
        <v>1850</v>
      </c>
      <c r="E671" s="6">
        <v>2024</v>
      </c>
      <c r="F671" s="6">
        <v>5.2</v>
      </c>
      <c r="G671" s="6" t="s">
        <v>41</v>
      </c>
      <c r="H671" s="6" t="s">
        <v>13</v>
      </c>
      <c r="I671" s="6" t="s">
        <v>14</v>
      </c>
      <c r="J671" s="6" t="s">
        <v>15</v>
      </c>
    </row>
    <row r="672" spans="1:10">
      <c r="A672" s="3" t="s">
        <v>33</v>
      </c>
      <c r="B672" s="4" t="s">
        <v>27</v>
      </c>
      <c r="C672" s="4">
        <v>410000</v>
      </c>
      <c r="D672" s="4">
        <v>2200</v>
      </c>
      <c r="E672" s="4">
        <v>2024</v>
      </c>
      <c r="F672" s="4">
        <v>5.2</v>
      </c>
      <c r="G672" s="4" t="s">
        <v>28</v>
      </c>
      <c r="H672" s="4" t="s">
        <v>13</v>
      </c>
      <c r="I672" s="4" t="s">
        <v>20</v>
      </c>
      <c r="J672" s="4" t="s">
        <v>29</v>
      </c>
    </row>
    <row r="673" spans="1:10">
      <c r="A673" s="5" t="s">
        <v>35</v>
      </c>
      <c r="B673" s="6" t="s">
        <v>17</v>
      </c>
      <c r="C673" s="6">
        <v>215000</v>
      </c>
      <c r="D673" s="6">
        <v>2600</v>
      </c>
      <c r="E673" s="6">
        <v>2024</v>
      </c>
      <c r="F673" s="6">
        <v>5.4</v>
      </c>
      <c r="G673" s="6" t="s">
        <v>31</v>
      </c>
      <c r="H673" s="6" t="s">
        <v>25</v>
      </c>
      <c r="I673" s="6" t="s">
        <v>20</v>
      </c>
      <c r="J673" s="6" t="s">
        <v>21</v>
      </c>
    </row>
    <row r="674" spans="1:10">
      <c r="A674" s="3" t="s">
        <v>37</v>
      </c>
      <c r="B674" s="4" t="s">
        <v>23</v>
      </c>
      <c r="C674" s="4">
        <v>365000</v>
      </c>
      <c r="D674" s="4">
        <v>2400</v>
      </c>
      <c r="E674" s="4">
        <v>2024</v>
      </c>
      <c r="F674" s="4">
        <v>5.3</v>
      </c>
      <c r="G674" s="4" t="s">
        <v>24</v>
      </c>
      <c r="H674" s="4" t="s">
        <v>19</v>
      </c>
      <c r="I674" s="4" t="s">
        <v>20</v>
      </c>
      <c r="J674" s="4" t="s">
        <v>21</v>
      </c>
    </row>
    <row r="675" spans="1:10">
      <c r="A675" s="5" t="s">
        <v>10</v>
      </c>
      <c r="B675" s="6" t="s">
        <v>11</v>
      </c>
      <c r="C675" s="6">
        <v>880000</v>
      </c>
      <c r="D675" s="6">
        <v>2100</v>
      </c>
      <c r="E675" s="6">
        <v>2024</v>
      </c>
      <c r="F675" s="6">
        <v>5.0999999999999996</v>
      </c>
      <c r="G675" s="6" t="s">
        <v>41</v>
      </c>
      <c r="H675" s="6" t="s">
        <v>43</v>
      </c>
      <c r="I675" s="6" t="s">
        <v>14</v>
      </c>
      <c r="J675" s="6" t="s">
        <v>15</v>
      </c>
    </row>
    <row r="676" spans="1:10">
      <c r="A676" s="3" t="s">
        <v>16</v>
      </c>
      <c r="B676" s="4" t="s">
        <v>17</v>
      </c>
      <c r="C676" s="4">
        <v>345000</v>
      </c>
      <c r="D676" s="4">
        <v>2750</v>
      </c>
      <c r="E676" s="4">
        <v>2024</v>
      </c>
      <c r="F676" s="4">
        <v>5.2</v>
      </c>
      <c r="G676" s="4" t="s">
        <v>18</v>
      </c>
      <c r="H676" s="4" t="s">
        <v>19</v>
      </c>
      <c r="I676" s="4" t="s">
        <v>20</v>
      </c>
      <c r="J676" s="4" t="s">
        <v>21</v>
      </c>
    </row>
    <row r="677" spans="1:10">
      <c r="A677" s="5" t="s">
        <v>22</v>
      </c>
      <c r="B677" s="6" t="s">
        <v>23</v>
      </c>
      <c r="C677" s="6">
        <v>295000</v>
      </c>
      <c r="D677" s="6">
        <v>2850</v>
      </c>
      <c r="E677" s="6">
        <v>2024</v>
      </c>
      <c r="F677" s="6">
        <v>5.4</v>
      </c>
      <c r="G677" s="6" t="s">
        <v>24</v>
      </c>
      <c r="H677" s="6" t="s">
        <v>25</v>
      </c>
      <c r="I677" s="6" t="s">
        <v>20</v>
      </c>
      <c r="J677" s="6" t="s">
        <v>21</v>
      </c>
    </row>
    <row r="678" spans="1:10">
      <c r="A678" s="3" t="s">
        <v>26</v>
      </c>
      <c r="B678" s="4" t="s">
        <v>11</v>
      </c>
      <c r="C678" s="4">
        <v>430000</v>
      </c>
      <c r="D678" s="4">
        <v>1950</v>
      </c>
      <c r="E678" s="4">
        <v>2024</v>
      </c>
      <c r="F678" s="4">
        <v>5.4</v>
      </c>
      <c r="G678" s="4" t="s">
        <v>41</v>
      </c>
      <c r="H678" s="4" t="s">
        <v>13</v>
      </c>
      <c r="I678" s="4" t="s">
        <v>14</v>
      </c>
      <c r="J678" s="4" t="s">
        <v>29</v>
      </c>
    </row>
    <row r="679" spans="1:10">
      <c r="A679" s="5" t="s">
        <v>30</v>
      </c>
      <c r="B679" s="6" t="s">
        <v>27</v>
      </c>
      <c r="C679" s="6">
        <v>380000</v>
      </c>
      <c r="D679" s="6">
        <v>2250</v>
      </c>
      <c r="E679" s="6">
        <v>2024</v>
      </c>
      <c r="F679" s="6">
        <v>5.3</v>
      </c>
      <c r="G679" s="6" t="s">
        <v>12</v>
      </c>
      <c r="H679" s="6" t="s">
        <v>13</v>
      </c>
      <c r="I679" s="6" t="s">
        <v>20</v>
      </c>
      <c r="J679" s="6" t="s">
        <v>29</v>
      </c>
    </row>
    <row r="680" spans="1:10">
      <c r="A680" s="3" t="s">
        <v>32</v>
      </c>
      <c r="B680" s="4" t="s">
        <v>17</v>
      </c>
      <c r="C680" s="4">
        <v>275000</v>
      </c>
      <c r="D680" s="4">
        <v>2700</v>
      </c>
      <c r="E680" s="4">
        <v>2024</v>
      </c>
      <c r="F680" s="4">
        <v>5.3</v>
      </c>
      <c r="G680" s="4" t="s">
        <v>40</v>
      </c>
      <c r="H680" s="4" t="s">
        <v>25</v>
      </c>
      <c r="I680" s="4" t="s">
        <v>20</v>
      </c>
      <c r="J680" s="4" t="s">
        <v>21</v>
      </c>
    </row>
    <row r="681" spans="1:10">
      <c r="A681" s="5" t="s">
        <v>33</v>
      </c>
      <c r="B681" s="6" t="s">
        <v>11</v>
      </c>
      <c r="C681" s="6">
        <v>570000</v>
      </c>
      <c r="D681" s="6">
        <v>1900</v>
      </c>
      <c r="E681" s="6">
        <v>2024</v>
      </c>
      <c r="F681" s="6">
        <v>5.0999999999999996</v>
      </c>
      <c r="G681" s="6" t="s">
        <v>41</v>
      </c>
      <c r="H681" s="6" t="s">
        <v>13</v>
      </c>
      <c r="I681" s="6" t="s">
        <v>14</v>
      </c>
      <c r="J681" s="6" t="s">
        <v>15</v>
      </c>
    </row>
    <row r="682" spans="1:10">
      <c r="A682" s="3" t="s">
        <v>35</v>
      </c>
      <c r="B682" s="4" t="s">
        <v>23</v>
      </c>
      <c r="C682" s="4">
        <v>255000</v>
      </c>
      <c r="D682" s="4">
        <v>2300</v>
      </c>
      <c r="E682" s="4">
        <v>2024</v>
      </c>
      <c r="F682" s="4">
        <v>5.4</v>
      </c>
      <c r="G682" s="4" t="s">
        <v>42</v>
      </c>
      <c r="H682" s="4" t="s">
        <v>25</v>
      </c>
      <c r="I682" s="4" t="s">
        <v>20</v>
      </c>
      <c r="J682" s="4" t="s">
        <v>21</v>
      </c>
    </row>
    <row r="683" spans="1:10">
      <c r="A683" s="5" t="s">
        <v>37</v>
      </c>
      <c r="B683" s="6" t="s">
        <v>11</v>
      </c>
      <c r="C683" s="6">
        <v>610000</v>
      </c>
      <c r="D683" s="6">
        <v>2000</v>
      </c>
      <c r="E683" s="6">
        <v>2024</v>
      </c>
      <c r="F683" s="6">
        <v>5.0999999999999996</v>
      </c>
      <c r="G683" s="6" t="s">
        <v>41</v>
      </c>
      <c r="H683" s="6" t="s">
        <v>13</v>
      </c>
      <c r="I683" s="6" t="s">
        <v>14</v>
      </c>
      <c r="J683" s="6" t="s">
        <v>15</v>
      </c>
    </row>
    <row r="684" spans="1:10">
      <c r="A684" s="3" t="s">
        <v>10</v>
      </c>
      <c r="B684" s="4" t="s">
        <v>23</v>
      </c>
      <c r="C684" s="4">
        <v>635000</v>
      </c>
      <c r="D684" s="4">
        <v>2700</v>
      </c>
      <c r="E684" s="4">
        <v>2024</v>
      </c>
      <c r="F684" s="4">
        <v>5.0999999999999996</v>
      </c>
      <c r="G684" s="4" t="s">
        <v>28</v>
      </c>
      <c r="H684" s="4" t="s">
        <v>13</v>
      </c>
      <c r="I684" s="4" t="s">
        <v>20</v>
      </c>
      <c r="J684" s="4" t="s">
        <v>29</v>
      </c>
    </row>
    <row r="685" spans="1:10">
      <c r="A685" s="5" t="s">
        <v>16</v>
      </c>
      <c r="B685" s="6" t="s">
        <v>27</v>
      </c>
      <c r="C685" s="6">
        <v>480000</v>
      </c>
      <c r="D685" s="6">
        <v>2550</v>
      </c>
      <c r="E685" s="6">
        <v>2024</v>
      </c>
      <c r="F685" s="6">
        <v>5.3</v>
      </c>
      <c r="G685" s="6" t="s">
        <v>28</v>
      </c>
      <c r="H685" s="6" t="s">
        <v>13</v>
      </c>
      <c r="I685" s="6" t="s">
        <v>20</v>
      </c>
      <c r="J685" s="6" t="s">
        <v>29</v>
      </c>
    </row>
    <row r="686" spans="1:10">
      <c r="A686" s="3" t="s">
        <v>10</v>
      </c>
      <c r="B686" s="4" t="s">
        <v>17</v>
      </c>
      <c r="C686" s="4">
        <v>492000</v>
      </c>
      <c r="D686" s="4">
        <v>3200</v>
      </c>
      <c r="E686" s="4">
        <v>2024</v>
      </c>
      <c r="F686" s="4">
        <v>5</v>
      </c>
      <c r="G686" s="4" t="s">
        <v>18</v>
      </c>
      <c r="H686" s="4" t="s">
        <v>19</v>
      </c>
      <c r="I686" s="4" t="s">
        <v>20</v>
      </c>
      <c r="J686" s="4" t="s">
        <v>21</v>
      </c>
    </row>
    <row r="687" spans="1:10">
      <c r="A687" s="5" t="s">
        <v>16</v>
      </c>
      <c r="B687" s="6" t="s">
        <v>11</v>
      </c>
      <c r="C687" s="6">
        <v>665000</v>
      </c>
      <c r="D687" s="6">
        <v>2150</v>
      </c>
      <c r="E687" s="6">
        <v>2024</v>
      </c>
      <c r="F687" s="6">
        <v>5.3</v>
      </c>
      <c r="G687" s="6" t="s">
        <v>38</v>
      </c>
      <c r="H687" s="6" t="s">
        <v>43</v>
      </c>
      <c r="I687" s="6" t="s">
        <v>14</v>
      </c>
      <c r="J687" s="6" t="s">
        <v>15</v>
      </c>
    </row>
    <row r="688" spans="1:10">
      <c r="A688" s="3" t="s">
        <v>22</v>
      </c>
      <c r="B688" s="4" t="s">
        <v>27</v>
      </c>
      <c r="C688" s="4">
        <v>350000</v>
      </c>
      <c r="D688" s="4">
        <v>2350</v>
      </c>
      <c r="E688" s="4">
        <v>2024</v>
      </c>
      <c r="F688" s="4">
        <v>5.4</v>
      </c>
      <c r="G688" s="4" t="s">
        <v>39</v>
      </c>
      <c r="H688" s="4" t="s">
        <v>19</v>
      </c>
      <c r="I688" s="4" t="s">
        <v>20</v>
      </c>
      <c r="J688" s="4" t="s">
        <v>29</v>
      </c>
    </row>
    <row r="689" spans="1:10">
      <c r="A689" s="5" t="s">
        <v>26</v>
      </c>
      <c r="B689" s="6" t="s">
        <v>23</v>
      </c>
      <c r="C689" s="6">
        <v>282000</v>
      </c>
      <c r="D689" s="6">
        <v>750</v>
      </c>
      <c r="E689" s="6">
        <v>2024</v>
      </c>
      <c r="F689" s="6">
        <v>5.5</v>
      </c>
      <c r="G689" s="6">
        <v>10</v>
      </c>
      <c r="H689" s="6" t="s">
        <v>25</v>
      </c>
      <c r="I689" s="6" t="s">
        <v>20</v>
      </c>
      <c r="J689" s="6" t="s">
        <v>21</v>
      </c>
    </row>
    <row r="690" spans="1:10">
      <c r="A690" s="3" t="s">
        <v>30</v>
      </c>
      <c r="B690" s="4" t="s">
        <v>17</v>
      </c>
      <c r="C690" s="4">
        <v>262000</v>
      </c>
      <c r="D690" s="4">
        <v>2600</v>
      </c>
      <c r="E690" s="4">
        <v>2024</v>
      </c>
      <c r="F690" s="4">
        <v>5.4</v>
      </c>
      <c r="G690" s="4" t="s">
        <v>31</v>
      </c>
      <c r="H690" s="4" t="s">
        <v>25</v>
      </c>
      <c r="I690" s="4" t="s">
        <v>20</v>
      </c>
      <c r="J690" s="4" t="s">
        <v>21</v>
      </c>
    </row>
    <row r="691" spans="1:10">
      <c r="A691" s="5" t="s">
        <v>32</v>
      </c>
      <c r="B691" s="6" t="s">
        <v>11</v>
      </c>
      <c r="C691" s="6">
        <v>525000</v>
      </c>
      <c r="D691" s="6">
        <v>1900</v>
      </c>
      <c r="E691" s="6">
        <v>2024</v>
      </c>
      <c r="F691" s="6">
        <v>5.2</v>
      </c>
      <c r="G691" s="6" t="s">
        <v>41</v>
      </c>
      <c r="H691" s="6" t="s">
        <v>13</v>
      </c>
      <c r="I691" s="6" t="s">
        <v>14</v>
      </c>
      <c r="J691" s="6" t="s">
        <v>15</v>
      </c>
    </row>
    <row r="692" spans="1:10">
      <c r="A692" s="3" t="s">
        <v>33</v>
      </c>
      <c r="B692" s="4" t="s">
        <v>27</v>
      </c>
      <c r="C692" s="4">
        <v>412000</v>
      </c>
      <c r="D692" s="4">
        <v>2250</v>
      </c>
      <c r="E692" s="4">
        <v>2024</v>
      </c>
      <c r="F692" s="4">
        <v>5.2</v>
      </c>
      <c r="G692" s="4" t="s">
        <v>28</v>
      </c>
      <c r="H692" s="4" t="s">
        <v>13</v>
      </c>
      <c r="I692" s="4" t="s">
        <v>20</v>
      </c>
      <c r="J692" s="4" t="s">
        <v>29</v>
      </c>
    </row>
    <row r="693" spans="1:10">
      <c r="A693" s="5" t="s">
        <v>35</v>
      </c>
      <c r="B693" s="6" t="s">
        <v>17</v>
      </c>
      <c r="C693" s="6">
        <v>218000</v>
      </c>
      <c r="D693" s="6">
        <v>2650</v>
      </c>
      <c r="E693" s="6">
        <v>2024</v>
      </c>
      <c r="F693" s="6">
        <v>5.4</v>
      </c>
      <c r="G693" s="6" t="s">
        <v>31</v>
      </c>
      <c r="H693" s="6" t="s">
        <v>25</v>
      </c>
      <c r="I693" s="6" t="s">
        <v>20</v>
      </c>
      <c r="J693" s="6" t="s">
        <v>21</v>
      </c>
    </row>
    <row r="694" spans="1:10">
      <c r="A694" s="3" t="s">
        <v>37</v>
      </c>
      <c r="B694" s="4" t="s">
        <v>23</v>
      </c>
      <c r="C694" s="4">
        <v>368000</v>
      </c>
      <c r="D694" s="4">
        <v>2450</v>
      </c>
      <c r="E694" s="4">
        <v>2024</v>
      </c>
      <c r="F694" s="4">
        <v>5.3</v>
      </c>
      <c r="G694" s="4" t="s">
        <v>24</v>
      </c>
      <c r="H694" s="4" t="s">
        <v>19</v>
      </c>
      <c r="I694" s="4" t="s">
        <v>20</v>
      </c>
      <c r="J694" s="4" t="s">
        <v>21</v>
      </c>
    </row>
    <row r="695" spans="1:10">
      <c r="A695" s="5" t="s">
        <v>10</v>
      </c>
      <c r="B695" s="6" t="s">
        <v>11</v>
      </c>
      <c r="C695" s="6">
        <v>885000</v>
      </c>
      <c r="D695" s="6">
        <v>2150</v>
      </c>
      <c r="E695" s="6">
        <v>2024</v>
      </c>
      <c r="F695" s="6">
        <v>5.0999999999999996</v>
      </c>
      <c r="G695" s="6" t="s">
        <v>41</v>
      </c>
      <c r="H695" s="6" t="s">
        <v>43</v>
      </c>
      <c r="I695" s="6" t="s">
        <v>14</v>
      </c>
      <c r="J695" s="6" t="s">
        <v>15</v>
      </c>
    </row>
    <row r="696" spans="1:10">
      <c r="A696" s="3" t="s">
        <v>16</v>
      </c>
      <c r="B696" s="4" t="s">
        <v>17</v>
      </c>
      <c r="C696" s="4">
        <v>348000</v>
      </c>
      <c r="D696" s="4">
        <v>2800</v>
      </c>
      <c r="E696" s="4">
        <v>2024</v>
      </c>
      <c r="F696" s="4">
        <v>5.2</v>
      </c>
      <c r="G696" s="4" t="s">
        <v>18</v>
      </c>
      <c r="H696" s="4" t="s">
        <v>19</v>
      </c>
      <c r="I696" s="4" t="s">
        <v>20</v>
      </c>
      <c r="J696" s="4" t="s">
        <v>21</v>
      </c>
    </row>
    <row r="697" spans="1:10">
      <c r="A697" s="5" t="s">
        <v>22</v>
      </c>
      <c r="B697" s="6" t="s">
        <v>23</v>
      </c>
      <c r="C697" s="6">
        <v>298000</v>
      </c>
      <c r="D697" s="6">
        <v>2900</v>
      </c>
      <c r="E697" s="6">
        <v>2024</v>
      </c>
      <c r="F697" s="6">
        <v>5.4</v>
      </c>
      <c r="G697" s="6" t="s">
        <v>24</v>
      </c>
      <c r="H697" s="6" t="s">
        <v>25</v>
      </c>
      <c r="I697" s="6" t="s">
        <v>20</v>
      </c>
      <c r="J697" s="6" t="s">
        <v>21</v>
      </c>
    </row>
    <row r="698" spans="1:10">
      <c r="A698" s="3" t="s">
        <v>26</v>
      </c>
      <c r="B698" s="4" t="s">
        <v>11</v>
      </c>
      <c r="C698" s="4">
        <v>432000</v>
      </c>
      <c r="D698" s="4">
        <v>2000</v>
      </c>
      <c r="E698" s="4">
        <v>2024</v>
      </c>
      <c r="F698" s="4">
        <v>5.4</v>
      </c>
      <c r="G698" s="4" t="s">
        <v>41</v>
      </c>
      <c r="H698" s="4" t="s">
        <v>13</v>
      </c>
      <c r="I698" s="4" t="s">
        <v>14</v>
      </c>
      <c r="J698" s="4" t="s">
        <v>29</v>
      </c>
    </row>
    <row r="699" spans="1:10">
      <c r="A699" s="5" t="s">
        <v>30</v>
      </c>
      <c r="B699" s="6" t="s">
        <v>27</v>
      </c>
      <c r="C699" s="6">
        <v>382000</v>
      </c>
      <c r="D699" s="6">
        <v>2300</v>
      </c>
      <c r="E699" s="6">
        <v>2024</v>
      </c>
      <c r="F699" s="6">
        <v>5.3</v>
      </c>
      <c r="G699" s="6" t="s">
        <v>12</v>
      </c>
      <c r="H699" s="6" t="s">
        <v>13</v>
      </c>
      <c r="I699" s="6" t="s">
        <v>20</v>
      </c>
      <c r="J699" s="6" t="s">
        <v>29</v>
      </c>
    </row>
    <row r="700" spans="1:10">
      <c r="A700" s="3" t="s">
        <v>32</v>
      </c>
      <c r="B700" s="4" t="s">
        <v>17</v>
      </c>
      <c r="C700" s="4">
        <v>278000</v>
      </c>
      <c r="D700" s="4">
        <v>2750</v>
      </c>
      <c r="E700" s="4">
        <v>2024</v>
      </c>
      <c r="F700" s="4">
        <v>5.3</v>
      </c>
      <c r="G700" s="4" t="s">
        <v>40</v>
      </c>
      <c r="H700" s="4" t="s">
        <v>25</v>
      </c>
      <c r="I700" s="4" t="s">
        <v>20</v>
      </c>
      <c r="J700" s="4" t="s">
        <v>21</v>
      </c>
    </row>
    <row r="701" spans="1:10">
      <c r="A701" s="5" t="s">
        <v>33</v>
      </c>
      <c r="B701" s="6" t="s">
        <v>11</v>
      </c>
      <c r="C701" s="6">
        <v>575000</v>
      </c>
      <c r="D701" s="6">
        <v>1950</v>
      </c>
      <c r="E701" s="6">
        <v>2024</v>
      </c>
      <c r="F701" s="6">
        <v>5.0999999999999996</v>
      </c>
      <c r="G701" s="6" t="s">
        <v>41</v>
      </c>
      <c r="H701" s="6" t="s">
        <v>13</v>
      </c>
      <c r="I701" s="6" t="s">
        <v>14</v>
      </c>
      <c r="J701" s="6" t="s">
        <v>15</v>
      </c>
    </row>
    <row r="702" spans="1:10">
      <c r="A702" s="3" t="s">
        <v>35</v>
      </c>
      <c r="B702" s="4" t="s">
        <v>23</v>
      </c>
      <c r="C702" s="4">
        <v>258000</v>
      </c>
      <c r="D702" s="4">
        <v>2350</v>
      </c>
      <c r="E702" s="4">
        <v>2024</v>
      </c>
      <c r="F702" s="4">
        <v>5.4</v>
      </c>
      <c r="G702" s="4" t="s">
        <v>42</v>
      </c>
      <c r="H702" s="4" t="s">
        <v>25</v>
      </c>
      <c r="I702" s="4" t="s">
        <v>20</v>
      </c>
      <c r="J702" s="4" t="s">
        <v>21</v>
      </c>
    </row>
    <row r="703" spans="1:10">
      <c r="A703" s="5" t="s">
        <v>37</v>
      </c>
      <c r="B703" s="6" t="s">
        <v>11</v>
      </c>
      <c r="C703" s="6">
        <v>615000</v>
      </c>
      <c r="D703" s="6">
        <v>2050</v>
      </c>
      <c r="E703" s="6">
        <v>2024</v>
      </c>
      <c r="F703" s="6">
        <v>5.0999999999999996</v>
      </c>
      <c r="G703" s="6" t="s">
        <v>41</v>
      </c>
      <c r="H703" s="6" t="s">
        <v>13</v>
      </c>
      <c r="I703" s="6" t="s">
        <v>14</v>
      </c>
      <c r="J703" s="6" t="s">
        <v>15</v>
      </c>
    </row>
    <row r="704" spans="1:10">
      <c r="A704" s="3" t="s">
        <v>10</v>
      </c>
      <c r="B704" s="4" t="s">
        <v>23</v>
      </c>
      <c r="C704" s="4">
        <v>640000</v>
      </c>
      <c r="D704" s="4">
        <v>2750</v>
      </c>
      <c r="E704" s="4">
        <v>2024</v>
      </c>
      <c r="F704" s="4">
        <v>5.0999999999999996</v>
      </c>
      <c r="G704" s="4" t="s">
        <v>28</v>
      </c>
      <c r="H704" s="4" t="s">
        <v>13</v>
      </c>
      <c r="I704" s="4" t="s">
        <v>20</v>
      </c>
      <c r="J704" s="4" t="s">
        <v>29</v>
      </c>
    </row>
    <row r="705" spans="1:10">
      <c r="A705" s="5" t="s">
        <v>16</v>
      </c>
      <c r="B705" s="6" t="s">
        <v>27</v>
      </c>
      <c r="C705" s="6">
        <v>482000</v>
      </c>
      <c r="D705" s="6">
        <v>2600</v>
      </c>
      <c r="E705" s="6">
        <v>2024</v>
      </c>
      <c r="F705" s="6">
        <v>5.3</v>
      </c>
      <c r="G705" s="6" t="s">
        <v>28</v>
      </c>
      <c r="H705" s="6" t="s">
        <v>13</v>
      </c>
      <c r="I705" s="6" t="s">
        <v>20</v>
      </c>
      <c r="J705" s="6" t="s">
        <v>29</v>
      </c>
    </row>
    <row r="706" spans="1:10">
      <c r="A706" s="3" t="s">
        <v>10</v>
      </c>
      <c r="B706" s="4" t="s">
        <v>17</v>
      </c>
      <c r="C706" s="4">
        <v>495000</v>
      </c>
      <c r="D706" s="4">
        <v>3250</v>
      </c>
      <c r="E706" s="4">
        <v>2024</v>
      </c>
      <c r="F706" s="4">
        <v>5</v>
      </c>
      <c r="G706" s="4" t="s">
        <v>18</v>
      </c>
      <c r="H706" s="4" t="s">
        <v>19</v>
      </c>
      <c r="I706" s="4" t="s">
        <v>20</v>
      </c>
      <c r="J706" s="4" t="s">
        <v>21</v>
      </c>
    </row>
    <row r="707" spans="1:10">
      <c r="A707" s="5" t="s">
        <v>16</v>
      </c>
      <c r="B707" s="6" t="s">
        <v>11</v>
      </c>
      <c r="C707" s="6">
        <v>670000</v>
      </c>
      <c r="D707" s="6">
        <v>2200</v>
      </c>
      <c r="E707" s="6">
        <v>2024</v>
      </c>
      <c r="F707" s="6">
        <v>5.3</v>
      </c>
      <c r="G707" s="6" t="s">
        <v>38</v>
      </c>
      <c r="H707" s="6" t="s">
        <v>43</v>
      </c>
      <c r="I707" s="6" t="s">
        <v>14</v>
      </c>
      <c r="J707" s="6" t="s">
        <v>15</v>
      </c>
    </row>
    <row r="708" spans="1:10">
      <c r="A708" s="3" t="s">
        <v>22</v>
      </c>
      <c r="B708" s="4" t="s">
        <v>27</v>
      </c>
      <c r="C708" s="4">
        <v>352000</v>
      </c>
      <c r="D708" s="4">
        <v>2400</v>
      </c>
      <c r="E708" s="4">
        <v>2024</v>
      </c>
      <c r="F708" s="4">
        <v>5.4</v>
      </c>
      <c r="G708" s="4" t="s">
        <v>39</v>
      </c>
      <c r="H708" s="4" t="s">
        <v>19</v>
      </c>
      <c r="I708" s="4" t="s">
        <v>20</v>
      </c>
      <c r="J708" s="4" t="s">
        <v>29</v>
      </c>
    </row>
    <row r="709" spans="1:10">
      <c r="A709" s="5" t="s">
        <v>26</v>
      </c>
      <c r="B709" s="6" t="s">
        <v>23</v>
      </c>
      <c r="C709" s="6">
        <v>285000</v>
      </c>
      <c r="D709" s="6">
        <v>800</v>
      </c>
      <c r="E709" s="6">
        <v>2024</v>
      </c>
      <c r="F709" s="6">
        <v>5.5</v>
      </c>
      <c r="G709" s="6">
        <v>10</v>
      </c>
      <c r="H709" s="6" t="s">
        <v>25</v>
      </c>
      <c r="I709" s="6" t="s">
        <v>20</v>
      </c>
      <c r="J709" s="6" t="s">
        <v>21</v>
      </c>
    </row>
    <row r="710" spans="1:10">
      <c r="A710" s="3" t="s">
        <v>30</v>
      </c>
      <c r="B710" s="4" t="s">
        <v>17</v>
      </c>
      <c r="C710" s="4">
        <v>265000</v>
      </c>
      <c r="D710" s="4">
        <v>2650</v>
      </c>
      <c r="E710" s="4">
        <v>2024</v>
      </c>
      <c r="F710" s="4">
        <v>5.4</v>
      </c>
      <c r="G710" s="4" t="s">
        <v>31</v>
      </c>
      <c r="H710" s="4" t="s">
        <v>25</v>
      </c>
      <c r="I710" s="4" t="s">
        <v>20</v>
      </c>
      <c r="J710" s="4" t="s">
        <v>21</v>
      </c>
    </row>
    <row r="711" spans="1:10">
      <c r="A711" s="5" t="s">
        <v>32</v>
      </c>
      <c r="B711" s="6" t="s">
        <v>11</v>
      </c>
      <c r="C711" s="6">
        <v>530000</v>
      </c>
      <c r="D711" s="6">
        <v>1950</v>
      </c>
      <c r="E711" s="6">
        <v>2024</v>
      </c>
      <c r="F711" s="6">
        <v>5.2</v>
      </c>
      <c r="G711" s="6" t="s">
        <v>41</v>
      </c>
      <c r="H711" s="6" t="s">
        <v>13</v>
      </c>
      <c r="I711" s="6" t="s">
        <v>14</v>
      </c>
      <c r="J711" s="6" t="s">
        <v>15</v>
      </c>
    </row>
    <row r="712" spans="1:10">
      <c r="A712" s="3" t="s">
        <v>33</v>
      </c>
      <c r="B712" s="4" t="s">
        <v>27</v>
      </c>
      <c r="C712" s="4">
        <v>415000</v>
      </c>
      <c r="D712" s="4">
        <v>2300</v>
      </c>
      <c r="E712" s="4">
        <v>2024</v>
      </c>
      <c r="F712" s="4">
        <v>5.2</v>
      </c>
      <c r="G712" s="4" t="s">
        <v>28</v>
      </c>
      <c r="H712" s="4" t="s">
        <v>13</v>
      </c>
      <c r="I712" s="4" t="s">
        <v>20</v>
      </c>
      <c r="J712" s="4" t="s">
        <v>29</v>
      </c>
    </row>
    <row r="713" spans="1:10">
      <c r="A713" s="5" t="s">
        <v>35</v>
      </c>
      <c r="B713" s="6" t="s">
        <v>17</v>
      </c>
      <c r="C713" s="6">
        <v>220000</v>
      </c>
      <c r="D713" s="6">
        <v>2700</v>
      </c>
      <c r="E713" s="6">
        <v>2024</v>
      </c>
      <c r="F713" s="6">
        <v>5.4</v>
      </c>
      <c r="G713" s="6" t="s">
        <v>31</v>
      </c>
      <c r="H713" s="6" t="s">
        <v>25</v>
      </c>
      <c r="I713" s="6" t="s">
        <v>20</v>
      </c>
      <c r="J713" s="6" t="s">
        <v>21</v>
      </c>
    </row>
    <row r="714" spans="1:10">
      <c r="A714" s="3" t="s">
        <v>37</v>
      </c>
      <c r="B714" s="4" t="s">
        <v>23</v>
      </c>
      <c r="C714" s="4">
        <v>370000</v>
      </c>
      <c r="D714" s="4">
        <v>2500</v>
      </c>
      <c r="E714" s="4">
        <v>2024</v>
      </c>
      <c r="F714" s="4">
        <v>5.3</v>
      </c>
      <c r="G714" s="4" t="s">
        <v>24</v>
      </c>
      <c r="H714" s="4" t="s">
        <v>19</v>
      </c>
      <c r="I714" s="4" t="s">
        <v>20</v>
      </c>
      <c r="J714" s="4" t="s">
        <v>21</v>
      </c>
    </row>
    <row r="715" spans="1:10">
      <c r="A715" s="5" t="s">
        <v>10</v>
      </c>
      <c r="B715" s="6" t="s">
        <v>11</v>
      </c>
      <c r="C715" s="6">
        <v>890000</v>
      </c>
      <c r="D715" s="6">
        <v>2200</v>
      </c>
      <c r="E715" s="6">
        <v>2024</v>
      </c>
      <c r="F715" s="6">
        <v>5.0999999999999996</v>
      </c>
      <c r="G715" s="6" t="s">
        <v>41</v>
      </c>
      <c r="H715" s="6" t="s">
        <v>43</v>
      </c>
      <c r="I715" s="6" t="s">
        <v>14</v>
      </c>
      <c r="J715" s="6" t="s">
        <v>15</v>
      </c>
    </row>
    <row r="716" spans="1:10">
      <c r="A716" s="3" t="s">
        <v>16</v>
      </c>
      <c r="B716" s="4" t="s">
        <v>17</v>
      </c>
      <c r="C716" s="4">
        <v>350000</v>
      </c>
      <c r="D716" s="4">
        <v>2850</v>
      </c>
      <c r="E716" s="4">
        <v>2024</v>
      </c>
      <c r="F716" s="4">
        <v>5.2</v>
      </c>
      <c r="G716" s="4" t="s">
        <v>18</v>
      </c>
      <c r="H716" s="4" t="s">
        <v>19</v>
      </c>
      <c r="I716" s="4" t="s">
        <v>20</v>
      </c>
      <c r="J716" s="4" t="s">
        <v>21</v>
      </c>
    </row>
    <row r="717" spans="1:10">
      <c r="A717" s="5" t="s">
        <v>22</v>
      </c>
      <c r="B717" s="6" t="s">
        <v>23</v>
      </c>
      <c r="C717" s="6">
        <v>300000</v>
      </c>
      <c r="D717" s="6">
        <v>2950</v>
      </c>
      <c r="E717" s="6">
        <v>2024</v>
      </c>
      <c r="F717" s="6">
        <v>5.4</v>
      </c>
      <c r="G717" s="6" t="s">
        <v>24</v>
      </c>
      <c r="H717" s="6" t="s">
        <v>25</v>
      </c>
      <c r="I717" s="6" t="s">
        <v>20</v>
      </c>
      <c r="J717" s="6" t="s">
        <v>21</v>
      </c>
    </row>
    <row r="718" spans="1:10">
      <c r="A718" s="3" t="s">
        <v>26</v>
      </c>
      <c r="B718" s="4" t="s">
        <v>11</v>
      </c>
      <c r="C718" s="4">
        <v>435000</v>
      </c>
      <c r="D718" s="4">
        <v>2050</v>
      </c>
      <c r="E718" s="4">
        <v>2024</v>
      </c>
      <c r="F718" s="4">
        <v>5.4</v>
      </c>
      <c r="G718" s="4" t="s">
        <v>41</v>
      </c>
      <c r="H718" s="4" t="s">
        <v>13</v>
      </c>
      <c r="I718" s="4" t="s">
        <v>14</v>
      </c>
      <c r="J718" s="4" t="s">
        <v>29</v>
      </c>
    </row>
    <row r="719" spans="1:10">
      <c r="A719" s="5" t="s">
        <v>30</v>
      </c>
      <c r="B719" s="6" t="s">
        <v>27</v>
      </c>
      <c r="C719" s="6">
        <v>385000</v>
      </c>
      <c r="D719" s="6">
        <v>2350</v>
      </c>
      <c r="E719" s="6">
        <v>2024</v>
      </c>
      <c r="F719" s="6">
        <v>5.3</v>
      </c>
      <c r="G719" s="6" t="s">
        <v>12</v>
      </c>
      <c r="H719" s="6" t="s">
        <v>13</v>
      </c>
      <c r="I719" s="6" t="s">
        <v>20</v>
      </c>
      <c r="J719" s="6" t="s">
        <v>29</v>
      </c>
    </row>
    <row r="720" spans="1:10">
      <c r="A720" s="3" t="s">
        <v>32</v>
      </c>
      <c r="B720" s="4" t="s">
        <v>17</v>
      </c>
      <c r="C720" s="4">
        <v>280000</v>
      </c>
      <c r="D720" s="4">
        <v>2800</v>
      </c>
      <c r="E720" s="4">
        <v>2024</v>
      </c>
      <c r="F720" s="4">
        <v>5.3</v>
      </c>
      <c r="G720" s="4" t="s">
        <v>40</v>
      </c>
      <c r="H720" s="4" t="s">
        <v>25</v>
      </c>
      <c r="I720" s="4" t="s">
        <v>20</v>
      </c>
      <c r="J720" s="4" t="s">
        <v>21</v>
      </c>
    </row>
    <row r="721" spans="1:10">
      <c r="A721" s="5" t="s">
        <v>10</v>
      </c>
      <c r="B721" s="6" t="s">
        <v>17</v>
      </c>
      <c r="C721" s="6">
        <v>500000</v>
      </c>
      <c r="D721" s="6">
        <v>3300</v>
      </c>
      <c r="E721" s="6">
        <v>2024</v>
      </c>
      <c r="F721" s="6">
        <v>5</v>
      </c>
      <c r="G721" s="6" t="s">
        <v>18</v>
      </c>
      <c r="H721" s="6" t="s">
        <v>19</v>
      </c>
      <c r="I721" s="6" t="s">
        <v>20</v>
      </c>
      <c r="J721" s="6" t="s">
        <v>21</v>
      </c>
    </row>
    <row r="722" spans="1:10">
      <c r="A722" s="3" t="s">
        <v>16</v>
      </c>
      <c r="B722" s="4" t="s">
        <v>11</v>
      </c>
      <c r="C722" s="4">
        <v>675000</v>
      </c>
      <c r="D722" s="4">
        <v>2650</v>
      </c>
      <c r="E722" s="4">
        <v>2024</v>
      </c>
      <c r="F722" s="4">
        <v>5.3</v>
      </c>
      <c r="G722" s="4" t="s">
        <v>38</v>
      </c>
      <c r="H722" s="4" t="s">
        <v>43</v>
      </c>
      <c r="I722" s="4" t="s">
        <v>14</v>
      </c>
      <c r="J722" s="4" t="s">
        <v>15</v>
      </c>
    </row>
    <row r="723" spans="1:10">
      <c r="A723" s="5" t="s">
        <v>22</v>
      </c>
      <c r="B723" s="6" t="s">
        <v>27</v>
      </c>
      <c r="C723" s="6">
        <v>355000</v>
      </c>
      <c r="D723" s="6">
        <v>2450</v>
      </c>
      <c r="E723" s="6">
        <v>2024</v>
      </c>
      <c r="F723" s="6">
        <v>5.4</v>
      </c>
      <c r="G723" s="6" t="s">
        <v>39</v>
      </c>
      <c r="H723" s="6" t="s">
        <v>19</v>
      </c>
      <c r="I723" s="6" t="s">
        <v>20</v>
      </c>
      <c r="J723" s="6" t="s">
        <v>29</v>
      </c>
    </row>
    <row r="724" spans="1:10">
      <c r="A724" s="3" t="s">
        <v>26</v>
      </c>
      <c r="B724" s="4" t="s">
        <v>23</v>
      </c>
      <c r="C724" s="4">
        <v>290000</v>
      </c>
      <c r="D724" s="4">
        <v>2850</v>
      </c>
      <c r="E724" s="4">
        <v>2024</v>
      </c>
      <c r="F724" s="4">
        <v>5.5</v>
      </c>
      <c r="G724" s="4" t="s">
        <v>24</v>
      </c>
      <c r="H724" s="4" t="s">
        <v>25</v>
      </c>
      <c r="I724" s="4" t="s">
        <v>20</v>
      </c>
      <c r="J724" s="4" t="s">
        <v>21</v>
      </c>
    </row>
    <row r="725" spans="1:10">
      <c r="A725" s="5" t="s">
        <v>30</v>
      </c>
      <c r="B725" s="6" t="s">
        <v>17</v>
      </c>
      <c r="C725" s="6">
        <v>270000</v>
      </c>
      <c r="D725" s="6">
        <v>2750</v>
      </c>
      <c r="E725" s="6">
        <v>2024</v>
      </c>
      <c r="F725" s="6">
        <v>5.4</v>
      </c>
      <c r="G725" s="6" t="s">
        <v>31</v>
      </c>
      <c r="H725" s="6" t="s">
        <v>25</v>
      </c>
      <c r="I725" s="6" t="s">
        <v>20</v>
      </c>
      <c r="J725" s="6" t="s">
        <v>21</v>
      </c>
    </row>
    <row r="726" spans="1:10">
      <c r="A726" s="3" t="s">
        <v>32</v>
      </c>
      <c r="B726" s="4" t="s">
        <v>11</v>
      </c>
      <c r="C726" s="4">
        <v>540000</v>
      </c>
      <c r="D726" s="4">
        <v>2000</v>
      </c>
      <c r="E726" s="4">
        <v>2024</v>
      </c>
      <c r="F726" s="4">
        <v>5.2</v>
      </c>
      <c r="G726" s="4" t="s">
        <v>41</v>
      </c>
      <c r="H726" s="4" t="s">
        <v>13</v>
      </c>
      <c r="I726" s="4" t="s">
        <v>14</v>
      </c>
      <c r="J726" s="4" t="s">
        <v>15</v>
      </c>
    </row>
    <row r="727" spans="1:10">
      <c r="A727" s="5" t="s">
        <v>33</v>
      </c>
      <c r="B727" s="6" t="s">
        <v>27</v>
      </c>
      <c r="C727" s="6">
        <v>420000</v>
      </c>
      <c r="D727" s="6">
        <v>2350</v>
      </c>
      <c r="E727" s="6">
        <v>2024</v>
      </c>
      <c r="F727" s="6">
        <v>5.2</v>
      </c>
      <c r="G727" s="6" t="s">
        <v>28</v>
      </c>
      <c r="H727" s="6" t="s">
        <v>13</v>
      </c>
      <c r="I727" s="6" t="s">
        <v>20</v>
      </c>
      <c r="J727" s="6" t="s">
        <v>29</v>
      </c>
    </row>
    <row r="728" spans="1:10">
      <c r="A728" s="3" t="s">
        <v>35</v>
      </c>
      <c r="B728" s="4" t="s">
        <v>17</v>
      </c>
      <c r="C728" s="4">
        <v>225000</v>
      </c>
      <c r="D728" s="4">
        <v>2800</v>
      </c>
      <c r="E728" s="4">
        <v>2024</v>
      </c>
      <c r="F728" s="4">
        <v>5.4</v>
      </c>
      <c r="G728" s="4" t="s">
        <v>31</v>
      </c>
      <c r="H728" s="4" t="s">
        <v>25</v>
      </c>
      <c r="I728" s="4" t="s">
        <v>20</v>
      </c>
      <c r="J728" s="4" t="s">
        <v>21</v>
      </c>
    </row>
    <row r="729" spans="1:10">
      <c r="A729" s="5" t="s">
        <v>37</v>
      </c>
      <c r="B729" s="6" t="s">
        <v>23</v>
      </c>
      <c r="C729" s="6">
        <v>380000</v>
      </c>
      <c r="D729" s="6">
        <v>2550</v>
      </c>
      <c r="E729" s="6">
        <v>2024</v>
      </c>
      <c r="F729" s="6">
        <v>5.3</v>
      </c>
      <c r="G729" s="6" t="s">
        <v>24</v>
      </c>
      <c r="H729" s="6" t="s">
        <v>19</v>
      </c>
      <c r="I729" s="6" t="s">
        <v>20</v>
      </c>
      <c r="J729" s="6" t="s">
        <v>21</v>
      </c>
    </row>
    <row r="730" spans="1:10">
      <c r="A730" s="3" t="s">
        <v>10</v>
      </c>
      <c r="B730" s="4" t="s">
        <v>11</v>
      </c>
      <c r="C730" s="4">
        <v>900000</v>
      </c>
      <c r="D730" s="4">
        <v>2250</v>
      </c>
      <c r="E730" s="4">
        <v>2024</v>
      </c>
      <c r="F730" s="4">
        <v>5.0999999999999996</v>
      </c>
      <c r="G730" s="4" t="s">
        <v>41</v>
      </c>
      <c r="H730" s="4" t="s">
        <v>43</v>
      </c>
      <c r="I730" s="4" t="s">
        <v>14</v>
      </c>
      <c r="J730" s="4" t="s">
        <v>15</v>
      </c>
    </row>
    <row r="731" spans="1:10">
      <c r="A731" s="5" t="s">
        <v>16</v>
      </c>
      <c r="B731" s="6" t="s">
        <v>17</v>
      </c>
      <c r="C731" s="6">
        <v>360000</v>
      </c>
      <c r="D731" s="6">
        <v>2900</v>
      </c>
      <c r="E731" s="6">
        <v>2024</v>
      </c>
      <c r="F731" s="6">
        <v>5.2</v>
      </c>
      <c r="G731" s="6" t="s">
        <v>18</v>
      </c>
      <c r="H731" s="6" t="s">
        <v>19</v>
      </c>
      <c r="I731" s="6" t="s">
        <v>20</v>
      </c>
      <c r="J731" s="6" t="s">
        <v>21</v>
      </c>
    </row>
    <row r="732" spans="1:10">
      <c r="A732" s="3" t="s">
        <v>22</v>
      </c>
      <c r="B732" s="4" t="s">
        <v>23</v>
      </c>
      <c r="C732" s="4">
        <v>310000</v>
      </c>
      <c r="D732" s="4">
        <v>3000</v>
      </c>
      <c r="E732" s="4">
        <v>2024</v>
      </c>
      <c r="F732" s="4">
        <v>5.4</v>
      </c>
      <c r="G732" s="4" t="s">
        <v>24</v>
      </c>
      <c r="H732" s="4" t="s">
        <v>25</v>
      </c>
      <c r="I732" s="4" t="s">
        <v>20</v>
      </c>
      <c r="J732" s="4" t="s">
        <v>21</v>
      </c>
    </row>
    <row r="733" spans="1:10">
      <c r="A733" s="5" t="s">
        <v>26</v>
      </c>
      <c r="B733" s="6" t="s">
        <v>11</v>
      </c>
      <c r="C733" s="6">
        <v>450000</v>
      </c>
      <c r="D733" s="6">
        <v>2100</v>
      </c>
      <c r="E733" s="6">
        <v>2024</v>
      </c>
      <c r="F733" s="6">
        <v>5.4</v>
      </c>
      <c r="G733" s="6" t="s">
        <v>41</v>
      </c>
      <c r="H733" s="6" t="s">
        <v>13</v>
      </c>
      <c r="I733" s="6" t="s">
        <v>14</v>
      </c>
      <c r="J733" s="6" t="s">
        <v>29</v>
      </c>
    </row>
    <row r="734" spans="1:10">
      <c r="A734" s="3" t="s">
        <v>30</v>
      </c>
      <c r="B734" s="4" t="s">
        <v>27</v>
      </c>
      <c r="C734" s="4">
        <v>395000</v>
      </c>
      <c r="D734" s="4">
        <v>2500</v>
      </c>
      <c r="E734" s="4">
        <v>2024</v>
      </c>
      <c r="F734" s="4">
        <v>5.3</v>
      </c>
      <c r="G734" s="4" t="s">
        <v>12</v>
      </c>
      <c r="H734" s="4" t="s">
        <v>13</v>
      </c>
      <c r="I734" s="4" t="s">
        <v>20</v>
      </c>
      <c r="J734" s="4" t="s">
        <v>29</v>
      </c>
    </row>
    <row r="735" spans="1:10">
      <c r="A735" s="5" t="s">
        <v>32</v>
      </c>
      <c r="B735" s="6" t="s">
        <v>17</v>
      </c>
      <c r="C735" s="6">
        <v>290000</v>
      </c>
      <c r="D735" s="6">
        <v>2850</v>
      </c>
      <c r="E735" s="6">
        <v>2024</v>
      </c>
      <c r="F735" s="6">
        <v>5.3</v>
      </c>
      <c r="G735" s="6" t="s">
        <v>40</v>
      </c>
      <c r="H735" s="6" t="s">
        <v>25</v>
      </c>
      <c r="I735" s="6" t="s">
        <v>20</v>
      </c>
      <c r="J735" s="6" t="s">
        <v>21</v>
      </c>
    </row>
    <row r="736" spans="1:10">
      <c r="A736" s="3" t="s">
        <v>33</v>
      </c>
      <c r="B736" s="4" t="s">
        <v>11</v>
      </c>
      <c r="C736" s="4">
        <v>590000</v>
      </c>
      <c r="D736" s="4">
        <v>2050</v>
      </c>
      <c r="E736" s="4">
        <v>2024</v>
      </c>
      <c r="F736" s="4">
        <v>5.0999999999999996</v>
      </c>
      <c r="G736" s="4" t="s">
        <v>41</v>
      </c>
      <c r="H736" s="4" t="s">
        <v>13</v>
      </c>
      <c r="I736" s="4" t="s">
        <v>14</v>
      </c>
      <c r="J736" s="4" t="s">
        <v>15</v>
      </c>
    </row>
    <row r="737" spans="1:10">
      <c r="A737" s="5" t="s">
        <v>35</v>
      </c>
      <c r="B737" s="6" t="s">
        <v>23</v>
      </c>
      <c r="C737" s="6">
        <v>270000</v>
      </c>
      <c r="D737" s="6">
        <v>2600</v>
      </c>
      <c r="E737" s="6">
        <v>2024</v>
      </c>
      <c r="F737" s="6">
        <v>5.4</v>
      </c>
      <c r="G737" s="6" t="s">
        <v>42</v>
      </c>
      <c r="H737" s="6" t="s">
        <v>25</v>
      </c>
      <c r="I737" s="6" t="s">
        <v>20</v>
      </c>
      <c r="J737" s="6" t="s">
        <v>21</v>
      </c>
    </row>
    <row r="738" spans="1:10">
      <c r="A738" s="3" t="s">
        <v>37</v>
      </c>
      <c r="B738" s="4" t="s">
        <v>11</v>
      </c>
      <c r="C738" s="4">
        <v>630000</v>
      </c>
      <c r="D738" s="4">
        <v>2150</v>
      </c>
      <c r="E738" s="4">
        <v>2024</v>
      </c>
      <c r="F738" s="4">
        <v>5.0999999999999996</v>
      </c>
      <c r="G738" s="4" t="s">
        <v>41</v>
      </c>
      <c r="H738" s="4" t="s">
        <v>13</v>
      </c>
      <c r="I738" s="4" t="s">
        <v>14</v>
      </c>
      <c r="J738" s="4" t="s">
        <v>15</v>
      </c>
    </row>
    <row r="739" spans="1:10">
      <c r="A739" s="5" t="s">
        <v>10</v>
      </c>
      <c r="B739" s="6" t="s">
        <v>23</v>
      </c>
      <c r="C739" s="6">
        <v>650000</v>
      </c>
      <c r="D739" s="6">
        <v>2950</v>
      </c>
      <c r="E739" s="6">
        <v>2024</v>
      </c>
      <c r="F739" s="6">
        <v>5.0999999999999996</v>
      </c>
      <c r="G739" s="6" t="s">
        <v>28</v>
      </c>
      <c r="H739" s="6" t="s">
        <v>13</v>
      </c>
      <c r="I739" s="6" t="s">
        <v>20</v>
      </c>
      <c r="J739" s="6" t="s">
        <v>29</v>
      </c>
    </row>
    <row r="740" spans="1:10">
      <c r="A740" s="3" t="s">
        <v>16</v>
      </c>
      <c r="B740" s="4" t="s">
        <v>27</v>
      </c>
      <c r="C740" s="4">
        <v>500000</v>
      </c>
      <c r="D740" s="4">
        <v>2700</v>
      </c>
      <c r="E740" s="4">
        <v>2024</v>
      </c>
      <c r="F740" s="4">
        <v>5.3</v>
      </c>
      <c r="G740" s="4" t="s">
        <v>28</v>
      </c>
      <c r="H740" s="4" t="s">
        <v>13</v>
      </c>
      <c r="I740" s="4" t="s">
        <v>20</v>
      </c>
      <c r="J740" s="4" t="s">
        <v>29</v>
      </c>
    </row>
    <row r="741" spans="1:10">
      <c r="A741" s="5" t="s">
        <v>10</v>
      </c>
      <c r="B741" s="6" t="s">
        <v>17</v>
      </c>
      <c r="C741" s="6">
        <v>505000</v>
      </c>
      <c r="D741" s="6">
        <v>3350</v>
      </c>
      <c r="E741" s="6">
        <v>2024</v>
      </c>
      <c r="F741" s="6">
        <v>5</v>
      </c>
      <c r="G741" s="6" t="s">
        <v>18</v>
      </c>
      <c r="H741" s="6" t="s">
        <v>19</v>
      </c>
      <c r="I741" s="6" t="s">
        <v>20</v>
      </c>
      <c r="J741" s="6" t="s">
        <v>21</v>
      </c>
    </row>
    <row r="742" spans="1:10">
      <c r="A742" s="3" t="s">
        <v>16</v>
      </c>
      <c r="B742" s="4" t="s">
        <v>11</v>
      </c>
      <c r="C742" s="4">
        <v>680000</v>
      </c>
      <c r="D742" s="4">
        <v>2700</v>
      </c>
      <c r="E742" s="4">
        <v>2024</v>
      </c>
      <c r="F742" s="4">
        <v>5.3</v>
      </c>
      <c r="G742" s="4" t="s">
        <v>38</v>
      </c>
      <c r="H742" s="4" t="s">
        <v>43</v>
      </c>
      <c r="I742" s="4" t="s">
        <v>14</v>
      </c>
      <c r="J742" s="4" t="s">
        <v>15</v>
      </c>
    </row>
    <row r="743" spans="1:10">
      <c r="A743" s="5" t="s">
        <v>22</v>
      </c>
      <c r="B743" s="6" t="s">
        <v>27</v>
      </c>
      <c r="C743" s="6">
        <v>360000</v>
      </c>
      <c r="D743" s="6">
        <v>2500</v>
      </c>
      <c r="E743" s="6">
        <v>2024</v>
      </c>
      <c r="F743" s="6">
        <v>5.4</v>
      </c>
      <c r="G743" s="6" t="s">
        <v>39</v>
      </c>
      <c r="H743" s="6" t="s">
        <v>19</v>
      </c>
      <c r="I743" s="6" t="s">
        <v>20</v>
      </c>
      <c r="J743" s="6" t="s">
        <v>29</v>
      </c>
    </row>
    <row r="744" spans="1:10">
      <c r="A744" s="3" t="s">
        <v>26</v>
      </c>
      <c r="B744" s="4" t="s">
        <v>23</v>
      </c>
      <c r="C744" s="4">
        <v>295000</v>
      </c>
      <c r="D744" s="4">
        <v>2900</v>
      </c>
      <c r="E744" s="4">
        <v>2024</v>
      </c>
      <c r="F744" s="4">
        <v>5.5</v>
      </c>
      <c r="G744" s="4" t="s">
        <v>24</v>
      </c>
      <c r="H744" s="4" t="s">
        <v>25</v>
      </c>
      <c r="I744" s="4" t="s">
        <v>20</v>
      </c>
      <c r="J744" s="4" t="s">
        <v>21</v>
      </c>
    </row>
    <row r="745" spans="1:10">
      <c r="A745" s="5" t="s">
        <v>30</v>
      </c>
      <c r="B745" s="6" t="s">
        <v>17</v>
      </c>
      <c r="C745" s="6">
        <v>275000</v>
      </c>
      <c r="D745" s="6">
        <v>2800</v>
      </c>
      <c r="E745" s="6">
        <v>2024</v>
      </c>
      <c r="F745" s="6">
        <v>5.4</v>
      </c>
      <c r="G745" s="6" t="s">
        <v>31</v>
      </c>
      <c r="H745" s="6" t="s">
        <v>25</v>
      </c>
      <c r="I745" s="6" t="s">
        <v>20</v>
      </c>
      <c r="J745" s="6" t="s">
        <v>21</v>
      </c>
    </row>
    <row r="746" spans="1:10">
      <c r="A746" s="3" t="s">
        <v>32</v>
      </c>
      <c r="B746" s="4" t="s">
        <v>11</v>
      </c>
      <c r="C746" s="4">
        <v>545000</v>
      </c>
      <c r="D746" s="4">
        <v>2050</v>
      </c>
      <c r="E746" s="4">
        <v>2024</v>
      </c>
      <c r="F746" s="4">
        <v>5.2</v>
      </c>
      <c r="G746" s="4" t="s">
        <v>41</v>
      </c>
      <c r="H746" s="4" t="s">
        <v>13</v>
      </c>
      <c r="I746" s="4" t="s">
        <v>14</v>
      </c>
      <c r="J746" s="4" t="s">
        <v>15</v>
      </c>
    </row>
    <row r="747" spans="1:10">
      <c r="A747" s="5" t="s">
        <v>33</v>
      </c>
      <c r="B747" s="6" t="s">
        <v>27</v>
      </c>
      <c r="C747" s="6">
        <v>425000</v>
      </c>
      <c r="D747" s="6">
        <v>2400</v>
      </c>
      <c r="E747" s="6">
        <v>2024</v>
      </c>
      <c r="F747" s="6">
        <v>5.2</v>
      </c>
      <c r="G747" s="6" t="s">
        <v>28</v>
      </c>
      <c r="H747" s="6" t="s">
        <v>13</v>
      </c>
      <c r="I747" s="6" t="s">
        <v>20</v>
      </c>
      <c r="J747" s="6" t="s">
        <v>29</v>
      </c>
    </row>
    <row r="748" spans="1:10">
      <c r="A748" s="3" t="s">
        <v>35</v>
      </c>
      <c r="B748" s="4" t="s">
        <v>17</v>
      </c>
      <c r="C748" s="4">
        <v>230000</v>
      </c>
      <c r="D748" s="4">
        <v>2850</v>
      </c>
      <c r="E748" s="4">
        <v>2024</v>
      </c>
      <c r="F748" s="4">
        <v>5.4</v>
      </c>
      <c r="G748" s="4" t="s">
        <v>31</v>
      </c>
      <c r="H748" s="4" t="s">
        <v>25</v>
      </c>
      <c r="I748" s="4" t="s">
        <v>20</v>
      </c>
      <c r="J748" s="4" t="s">
        <v>21</v>
      </c>
    </row>
    <row r="749" spans="1:10">
      <c r="A749" s="5" t="s">
        <v>37</v>
      </c>
      <c r="B749" s="6" t="s">
        <v>23</v>
      </c>
      <c r="C749" s="6">
        <v>385000</v>
      </c>
      <c r="D749" s="6">
        <v>2600</v>
      </c>
      <c r="E749" s="6">
        <v>2024</v>
      </c>
      <c r="F749" s="6">
        <v>5.3</v>
      </c>
      <c r="G749" s="6" t="s">
        <v>24</v>
      </c>
      <c r="H749" s="6" t="s">
        <v>19</v>
      </c>
      <c r="I749" s="6" t="s">
        <v>20</v>
      </c>
      <c r="J749" s="6" t="s">
        <v>21</v>
      </c>
    </row>
    <row r="750" spans="1:10">
      <c r="A750" s="3" t="s">
        <v>10</v>
      </c>
      <c r="B750" s="4" t="s">
        <v>11</v>
      </c>
      <c r="C750" s="4">
        <v>910000</v>
      </c>
      <c r="D750" s="4">
        <v>2300</v>
      </c>
      <c r="E750" s="4">
        <v>2024</v>
      </c>
      <c r="F750" s="4">
        <v>5.0999999999999996</v>
      </c>
      <c r="G750" s="4" t="s">
        <v>41</v>
      </c>
      <c r="H750" s="4" t="s">
        <v>43</v>
      </c>
      <c r="I750" s="4" t="s">
        <v>14</v>
      </c>
      <c r="J750" s="4" t="s">
        <v>15</v>
      </c>
    </row>
    <row r="751" spans="1:10">
      <c r="A751" s="5" t="s">
        <v>16</v>
      </c>
      <c r="B751" s="6" t="s">
        <v>17</v>
      </c>
      <c r="C751" s="6">
        <v>365000</v>
      </c>
      <c r="D751" s="6">
        <v>2950</v>
      </c>
      <c r="E751" s="6">
        <v>2024</v>
      </c>
      <c r="F751" s="6">
        <v>5.2</v>
      </c>
      <c r="G751" s="6" t="s">
        <v>18</v>
      </c>
      <c r="H751" s="6" t="s">
        <v>19</v>
      </c>
      <c r="I751" s="6" t="s">
        <v>20</v>
      </c>
      <c r="J751" s="6" t="s">
        <v>21</v>
      </c>
    </row>
    <row r="752" spans="1:10">
      <c r="A752" s="3" t="s">
        <v>22</v>
      </c>
      <c r="B752" s="4" t="s">
        <v>23</v>
      </c>
      <c r="C752" s="4">
        <v>315000</v>
      </c>
      <c r="D752" s="4">
        <v>3050</v>
      </c>
      <c r="E752" s="4">
        <v>2024</v>
      </c>
      <c r="F752" s="4">
        <v>5.4</v>
      </c>
      <c r="G752" s="4" t="s">
        <v>24</v>
      </c>
      <c r="H752" s="4" t="s">
        <v>25</v>
      </c>
      <c r="I752" s="4" t="s">
        <v>20</v>
      </c>
      <c r="J752" s="4" t="s">
        <v>21</v>
      </c>
    </row>
    <row r="753" spans="1:10">
      <c r="A753" s="5" t="s">
        <v>26</v>
      </c>
      <c r="B753" s="6" t="s">
        <v>11</v>
      </c>
      <c r="C753" s="6">
        <v>455000</v>
      </c>
      <c r="D753" s="6">
        <v>2150</v>
      </c>
      <c r="E753" s="6">
        <v>2024</v>
      </c>
      <c r="F753" s="6">
        <v>5.4</v>
      </c>
      <c r="G753" s="6" t="s">
        <v>41</v>
      </c>
      <c r="H753" s="6" t="s">
        <v>13</v>
      </c>
      <c r="I753" s="6" t="s">
        <v>14</v>
      </c>
      <c r="J753" s="6" t="s">
        <v>29</v>
      </c>
    </row>
    <row r="754" spans="1:10">
      <c r="A754" s="3" t="s">
        <v>30</v>
      </c>
      <c r="B754" s="4" t="s">
        <v>27</v>
      </c>
      <c r="C754" s="4">
        <v>400000</v>
      </c>
      <c r="D754" s="4">
        <v>2550</v>
      </c>
      <c r="E754" s="4">
        <v>2024</v>
      </c>
      <c r="F754" s="4">
        <v>5.3</v>
      </c>
      <c r="G754" s="4" t="s">
        <v>12</v>
      </c>
      <c r="H754" s="4" t="s">
        <v>13</v>
      </c>
      <c r="I754" s="4" t="s">
        <v>20</v>
      </c>
      <c r="J754" s="4" t="s">
        <v>29</v>
      </c>
    </row>
    <row r="755" spans="1:10">
      <c r="A755" s="5" t="s">
        <v>32</v>
      </c>
      <c r="B755" s="6" t="s">
        <v>17</v>
      </c>
      <c r="C755" s="6">
        <v>295000</v>
      </c>
      <c r="D755" s="6">
        <v>2900</v>
      </c>
      <c r="E755" s="6">
        <v>2024</v>
      </c>
      <c r="F755" s="6">
        <v>5.3</v>
      </c>
      <c r="G755" s="6" t="s">
        <v>40</v>
      </c>
      <c r="H755" s="6" t="s">
        <v>25</v>
      </c>
      <c r="I755" s="6" t="s">
        <v>20</v>
      </c>
      <c r="J755" s="6" t="s">
        <v>21</v>
      </c>
    </row>
    <row r="756" spans="1:10">
      <c r="A756" s="3" t="s">
        <v>33</v>
      </c>
      <c r="B756" s="4" t="s">
        <v>11</v>
      </c>
      <c r="C756" s="4">
        <v>600000</v>
      </c>
      <c r="D756" s="4">
        <v>2100</v>
      </c>
      <c r="E756" s="4">
        <v>2024</v>
      </c>
      <c r="F756" s="4">
        <v>5.0999999999999996</v>
      </c>
      <c r="G756" s="4" t="s">
        <v>41</v>
      </c>
      <c r="H756" s="4" t="s">
        <v>13</v>
      </c>
      <c r="I756" s="4" t="s">
        <v>14</v>
      </c>
      <c r="J756" s="4" t="s">
        <v>15</v>
      </c>
    </row>
    <row r="757" spans="1:10">
      <c r="A757" s="5" t="s">
        <v>35</v>
      </c>
      <c r="B757" s="6" t="s">
        <v>23</v>
      </c>
      <c r="C757" s="6">
        <v>275000</v>
      </c>
      <c r="D757" s="6">
        <v>2650</v>
      </c>
      <c r="E757" s="6">
        <v>2024</v>
      </c>
      <c r="F757" s="6">
        <v>5.4</v>
      </c>
      <c r="G757" s="6" t="s">
        <v>42</v>
      </c>
      <c r="H757" s="6" t="s">
        <v>25</v>
      </c>
      <c r="I757" s="6" t="s">
        <v>20</v>
      </c>
      <c r="J757" s="6" t="s">
        <v>21</v>
      </c>
    </row>
    <row r="758" spans="1:10">
      <c r="A758" s="3" t="s">
        <v>37</v>
      </c>
      <c r="B758" s="4" t="s">
        <v>11</v>
      </c>
      <c r="C758" s="4">
        <v>640000</v>
      </c>
      <c r="D758" s="4">
        <v>2200</v>
      </c>
      <c r="E758" s="4">
        <v>2024</v>
      </c>
      <c r="F758" s="4">
        <v>5.0999999999999996</v>
      </c>
      <c r="G758" s="4" t="s">
        <v>41</v>
      </c>
      <c r="H758" s="4" t="s">
        <v>13</v>
      </c>
      <c r="I758" s="4" t="s">
        <v>14</v>
      </c>
      <c r="J758" s="4" t="s">
        <v>15</v>
      </c>
    </row>
    <row r="759" spans="1:10">
      <c r="A759" s="5" t="s">
        <v>10</v>
      </c>
      <c r="B759" s="6" t="s">
        <v>23</v>
      </c>
      <c r="C759" s="6">
        <v>660000</v>
      </c>
      <c r="D759" s="6">
        <v>3000</v>
      </c>
      <c r="E759" s="6">
        <v>2024</v>
      </c>
      <c r="F759" s="6">
        <v>5.0999999999999996</v>
      </c>
      <c r="G759" s="6" t="s">
        <v>28</v>
      </c>
      <c r="H759" s="6" t="s">
        <v>13</v>
      </c>
      <c r="I759" s="6" t="s">
        <v>20</v>
      </c>
      <c r="J759" s="6" t="s">
        <v>29</v>
      </c>
    </row>
    <row r="760" spans="1:10">
      <c r="A760" s="3" t="s">
        <v>16</v>
      </c>
      <c r="B760" s="4" t="s">
        <v>27</v>
      </c>
      <c r="C760" s="4">
        <v>505000</v>
      </c>
      <c r="D760" s="4">
        <v>2750</v>
      </c>
      <c r="E760" s="4">
        <v>2024</v>
      </c>
      <c r="F760" s="4">
        <v>5.3</v>
      </c>
      <c r="G760" s="4" t="s">
        <v>28</v>
      </c>
      <c r="H760" s="4" t="s">
        <v>13</v>
      </c>
      <c r="I760" s="4" t="s">
        <v>20</v>
      </c>
      <c r="J760" s="4" t="s">
        <v>29</v>
      </c>
    </row>
    <row r="761" spans="1:10">
      <c r="A761" s="5" t="s">
        <v>10</v>
      </c>
      <c r="B761" s="6" t="s">
        <v>17</v>
      </c>
      <c r="C761" s="6">
        <v>510000</v>
      </c>
      <c r="D761" s="6">
        <v>3400</v>
      </c>
      <c r="E761" s="6">
        <v>2024</v>
      </c>
      <c r="F761" s="6">
        <v>5</v>
      </c>
      <c r="G761" s="6" t="s">
        <v>18</v>
      </c>
      <c r="H761" s="6" t="s">
        <v>19</v>
      </c>
      <c r="I761" s="6" t="s">
        <v>20</v>
      </c>
      <c r="J761" s="6" t="s">
        <v>21</v>
      </c>
    </row>
    <row r="762" spans="1:10">
      <c r="A762" s="3" t="s">
        <v>16</v>
      </c>
      <c r="B762" s="4" t="s">
        <v>11</v>
      </c>
      <c r="C762" s="4">
        <v>685000</v>
      </c>
      <c r="D762" s="4">
        <v>2750</v>
      </c>
      <c r="E762" s="4">
        <v>2024</v>
      </c>
      <c r="F762" s="4">
        <v>5.3</v>
      </c>
      <c r="G762" s="4" t="s">
        <v>38</v>
      </c>
      <c r="H762" s="4" t="s">
        <v>43</v>
      </c>
      <c r="I762" s="4" t="s">
        <v>14</v>
      </c>
      <c r="J762" s="4" t="s">
        <v>15</v>
      </c>
    </row>
    <row r="763" spans="1:10">
      <c r="A763" s="5" t="s">
        <v>22</v>
      </c>
      <c r="B763" s="6" t="s">
        <v>27</v>
      </c>
      <c r="C763" s="6">
        <v>365000</v>
      </c>
      <c r="D763" s="6">
        <v>2550</v>
      </c>
      <c r="E763" s="6">
        <v>2024</v>
      </c>
      <c r="F763" s="6">
        <v>5.4</v>
      </c>
      <c r="G763" s="6" t="s">
        <v>39</v>
      </c>
      <c r="H763" s="6" t="s">
        <v>19</v>
      </c>
      <c r="I763" s="6" t="s">
        <v>20</v>
      </c>
      <c r="J763" s="6" t="s">
        <v>29</v>
      </c>
    </row>
    <row r="764" spans="1:10">
      <c r="A764" s="3" t="s">
        <v>26</v>
      </c>
      <c r="B764" s="4" t="s">
        <v>23</v>
      </c>
      <c r="C764" s="4">
        <v>300000</v>
      </c>
      <c r="D764" s="4">
        <v>2950</v>
      </c>
      <c r="E764" s="4">
        <v>2024</v>
      </c>
      <c r="F764" s="4">
        <v>5.5</v>
      </c>
      <c r="G764" s="4" t="s">
        <v>24</v>
      </c>
      <c r="H764" s="4" t="s">
        <v>25</v>
      </c>
      <c r="I764" s="4" t="s">
        <v>20</v>
      </c>
      <c r="J764" s="4" t="s">
        <v>21</v>
      </c>
    </row>
    <row r="765" spans="1:10">
      <c r="A765" s="5" t="s">
        <v>30</v>
      </c>
      <c r="B765" s="6" t="s">
        <v>17</v>
      </c>
      <c r="C765" s="6">
        <v>280000</v>
      </c>
      <c r="D765" s="6">
        <v>2850</v>
      </c>
      <c r="E765" s="6">
        <v>2024</v>
      </c>
      <c r="F765" s="6">
        <v>5.4</v>
      </c>
      <c r="G765" s="6" t="s">
        <v>31</v>
      </c>
      <c r="H765" s="6" t="s">
        <v>25</v>
      </c>
      <c r="I765" s="6" t="s">
        <v>20</v>
      </c>
      <c r="J765" s="6" t="s">
        <v>21</v>
      </c>
    </row>
    <row r="766" spans="1:10">
      <c r="A766" s="3" t="s">
        <v>32</v>
      </c>
      <c r="B766" s="4" t="s">
        <v>11</v>
      </c>
      <c r="C766" s="4">
        <v>550000</v>
      </c>
      <c r="D766" s="4">
        <v>2100</v>
      </c>
      <c r="E766" s="4">
        <v>2024</v>
      </c>
      <c r="F766" s="4">
        <v>5.2</v>
      </c>
      <c r="G766" s="4" t="s">
        <v>41</v>
      </c>
      <c r="H766" s="4" t="s">
        <v>13</v>
      </c>
      <c r="I766" s="4" t="s">
        <v>14</v>
      </c>
      <c r="J766" s="4" t="s">
        <v>15</v>
      </c>
    </row>
    <row r="767" spans="1:10">
      <c r="A767" s="5" t="s">
        <v>33</v>
      </c>
      <c r="B767" s="6" t="s">
        <v>27</v>
      </c>
      <c r="C767" s="6">
        <v>430000</v>
      </c>
      <c r="D767" s="6">
        <v>2450</v>
      </c>
      <c r="E767" s="6">
        <v>2024</v>
      </c>
      <c r="F767" s="6">
        <v>5.2</v>
      </c>
      <c r="G767" s="6" t="s">
        <v>28</v>
      </c>
      <c r="H767" s="6" t="s">
        <v>13</v>
      </c>
      <c r="I767" s="6" t="s">
        <v>20</v>
      </c>
      <c r="J767" s="6" t="s">
        <v>29</v>
      </c>
    </row>
    <row r="768" spans="1:10">
      <c r="A768" s="3" t="s">
        <v>35</v>
      </c>
      <c r="B768" s="4" t="s">
        <v>17</v>
      </c>
      <c r="C768" s="4">
        <v>235000</v>
      </c>
      <c r="D768" s="4">
        <v>2900</v>
      </c>
      <c r="E768" s="4">
        <v>2024</v>
      </c>
      <c r="F768" s="4">
        <v>5.4</v>
      </c>
      <c r="G768" s="4" t="s">
        <v>31</v>
      </c>
      <c r="H768" s="4" t="s">
        <v>25</v>
      </c>
      <c r="I768" s="4" t="s">
        <v>20</v>
      </c>
      <c r="J768" s="4" t="s">
        <v>21</v>
      </c>
    </row>
    <row r="769" spans="1:10">
      <c r="A769" s="5" t="s">
        <v>37</v>
      </c>
      <c r="B769" s="6" t="s">
        <v>23</v>
      </c>
      <c r="C769" s="6">
        <v>390000</v>
      </c>
      <c r="D769" s="6">
        <v>2650</v>
      </c>
      <c r="E769" s="6">
        <v>2024</v>
      </c>
      <c r="F769" s="6">
        <v>5.3</v>
      </c>
      <c r="G769" s="6" t="s">
        <v>24</v>
      </c>
      <c r="H769" s="6" t="s">
        <v>19</v>
      </c>
      <c r="I769" s="6" t="s">
        <v>20</v>
      </c>
      <c r="J769" s="6" t="s">
        <v>21</v>
      </c>
    </row>
    <row r="770" spans="1:10">
      <c r="A770" s="3" t="s">
        <v>10</v>
      </c>
      <c r="B770" s="4" t="s">
        <v>11</v>
      </c>
      <c r="C770" s="4">
        <v>920000</v>
      </c>
      <c r="D770" s="4">
        <v>2350</v>
      </c>
      <c r="E770" s="4">
        <v>2024</v>
      </c>
      <c r="F770" s="4">
        <v>5.0999999999999996</v>
      </c>
      <c r="G770" s="4" t="s">
        <v>41</v>
      </c>
      <c r="H770" s="4" t="s">
        <v>43</v>
      </c>
      <c r="I770" s="4" t="s">
        <v>14</v>
      </c>
      <c r="J770" s="4" t="s">
        <v>15</v>
      </c>
    </row>
    <row r="771" spans="1:10">
      <c r="A771" s="5" t="s">
        <v>16</v>
      </c>
      <c r="B771" s="6" t="s">
        <v>17</v>
      </c>
      <c r="C771" s="6">
        <v>370000</v>
      </c>
      <c r="D771" s="6">
        <v>3000</v>
      </c>
      <c r="E771" s="6">
        <v>2024</v>
      </c>
      <c r="F771" s="6">
        <v>5.2</v>
      </c>
      <c r="G771" s="6" t="s">
        <v>18</v>
      </c>
      <c r="H771" s="6" t="s">
        <v>19</v>
      </c>
      <c r="I771" s="6" t="s">
        <v>20</v>
      </c>
      <c r="J771" s="6" t="s">
        <v>21</v>
      </c>
    </row>
    <row r="772" spans="1:10">
      <c r="A772" s="3" t="s">
        <v>22</v>
      </c>
      <c r="B772" s="4" t="s">
        <v>23</v>
      </c>
      <c r="C772" s="4">
        <v>320000</v>
      </c>
      <c r="D772" s="4">
        <v>3100</v>
      </c>
      <c r="E772" s="4">
        <v>2024</v>
      </c>
      <c r="F772" s="4">
        <v>5.4</v>
      </c>
      <c r="G772" s="4" t="s">
        <v>24</v>
      </c>
      <c r="H772" s="4" t="s">
        <v>25</v>
      </c>
      <c r="I772" s="4" t="s">
        <v>20</v>
      </c>
      <c r="J772" s="4" t="s">
        <v>21</v>
      </c>
    </row>
    <row r="773" spans="1:10">
      <c r="A773" s="5" t="s">
        <v>26</v>
      </c>
      <c r="B773" s="6" t="s">
        <v>11</v>
      </c>
      <c r="C773" s="6">
        <v>460000</v>
      </c>
      <c r="D773" s="6">
        <v>2200</v>
      </c>
      <c r="E773" s="6">
        <v>2024</v>
      </c>
      <c r="F773" s="6">
        <v>5.4</v>
      </c>
      <c r="G773" s="6" t="s">
        <v>41</v>
      </c>
      <c r="H773" s="6" t="s">
        <v>13</v>
      </c>
      <c r="I773" s="6" t="s">
        <v>14</v>
      </c>
      <c r="J773" s="6" t="s">
        <v>29</v>
      </c>
    </row>
    <row r="774" spans="1:10">
      <c r="A774" s="3" t="s">
        <v>30</v>
      </c>
      <c r="B774" s="4" t="s">
        <v>27</v>
      </c>
      <c r="C774" s="4">
        <v>405000</v>
      </c>
      <c r="D774" s="4">
        <v>2600</v>
      </c>
      <c r="E774" s="4">
        <v>2024</v>
      </c>
      <c r="F774" s="4">
        <v>5.3</v>
      </c>
      <c r="G774" s="4" t="s">
        <v>12</v>
      </c>
      <c r="H774" s="4" t="s">
        <v>13</v>
      </c>
      <c r="I774" s="4" t="s">
        <v>20</v>
      </c>
      <c r="J774" s="4" t="s">
        <v>29</v>
      </c>
    </row>
    <row r="775" spans="1:10">
      <c r="A775" s="5" t="s">
        <v>32</v>
      </c>
      <c r="B775" s="6" t="s">
        <v>17</v>
      </c>
      <c r="C775" s="6">
        <v>300000</v>
      </c>
      <c r="D775" s="6">
        <v>2950</v>
      </c>
      <c r="E775" s="6">
        <v>2024</v>
      </c>
      <c r="F775" s="6">
        <v>5.3</v>
      </c>
      <c r="G775" s="6" t="s">
        <v>40</v>
      </c>
      <c r="H775" s="6" t="s">
        <v>25</v>
      </c>
      <c r="I775" s="6" t="s">
        <v>20</v>
      </c>
      <c r="J775" s="6" t="s">
        <v>21</v>
      </c>
    </row>
    <row r="776" spans="1:10">
      <c r="A776" s="3" t="s">
        <v>33</v>
      </c>
      <c r="B776" s="4" t="s">
        <v>11</v>
      </c>
      <c r="C776" s="4">
        <v>610000</v>
      </c>
      <c r="D776" s="4">
        <v>2150</v>
      </c>
      <c r="E776" s="4">
        <v>2024</v>
      </c>
      <c r="F776" s="4">
        <v>5.0999999999999996</v>
      </c>
      <c r="G776" s="4" t="s">
        <v>41</v>
      </c>
      <c r="H776" s="4" t="s">
        <v>13</v>
      </c>
      <c r="I776" s="4" t="s">
        <v>14</v>
      </c>
      <c r="J776" s="4" t="s">
        <v>15</v>
      </c>
    </row>
    <row r="777" spans="1:10">
      <c r="A777" s="5" t="s">
        <v>35</v>
      </c>
      <c r="B777" s="6" t="s">
        <v>23</v>
      </c>
      <c r="C777" s="6">
        <v>280000</v>
      </c>
      <c r="D777" s="6">
        <v>2700</v>
      </c>
      <c r="E777" s="6">
        <v>2024</v>
      </c>
      <c r="F777" s="6">
        <v>5.4</v>
      </c>
      <c r="G777" s="6" t="s">
        <v>42</v>
      </c>
      <c r="H777" s="6" t="s">
        <v>25</v>
      </c>
      <c r="I777" s="6" t="s">
        <v>20</v>
      </c>
      <c r="J777" s="6" t="s">
        <v>21</v>
      </c>
    </row>
    <row r="778" spans="1:10">
      <c r="A778" s="3" t="s">
        <v>37</v>
      </c>
      <c r="B778" s="4" t="s">
        <v>11</v>
      </c>
      <c r="C778" s="4">
        <v>650000</v>
      </c>
      <c r="D778" s="4">
        <v>2250</v>
      </c>
      <c r="E778" s="4">
        <v>2024</v>
      </c>
      <c r="F778" s="4">
        <v>5.0999999999999996</v>
      </c>
      <c r="G778" s="4" t="s">
        <v>41</v>
      </c>
      <c r="H778" s="4" t="s">
        <v>13</v>
      </c>
      <c r="I778" s="4" t="s">
        <v>14</v>
      </c>
      <c r="J778" s="4" t="s">
        <v>15</v>
      </c>
    </row>
    <row r="779" spans="1:10">
      <c r="A779" s="5" t="s">
        <v>10</v>
      </c>
      <c r="B779" s="6" t="s">
        <v>23</v>
      </c>
      <c r="C779" s="6">
        <v>670000</v>
      </c>
      <c r="D779" s="6">
        <v>3050</v>
      </c>
      <c r="E779" s="6">
        <v>2024</v>
      </c>
      <c r="F779" s="6">
        <v>5.0999999999999996</v>
      </c>
      <c r="G779" s="6" t="s">
        <v>28</v>
      </c>
      <c r="H779" s="6" t="s">
        <v>13</v>
      </c>
      <c r="I779" s="6" t="s">
        <v>20</v>
      </c>
      <c r="J779" s="6" t="s">
        <v>29</v>
      </c>
    </row>
    <row r="780" spans="1:10">
      <c r="A780" s="3" t="s">
        <v>16</v>
      </c>
      <c r="B780" s="4" t="s">
        <v>27</v>
      </c>
      <c r="C780" s="4">
        <v>510000</v>
      </c>
      <c r="D780" s="4">
        <v>2800</v>
      </c>
      <c r="E780" s="4">
        <v>2024</v>
      </c>
      <c r="F780" s="4">
        <v>5.3</v>
      </c>
      <c r="G780" s="4" t="s">
        <v>28</v>
      </c>
      <c r="H780" s="4" t="s">
        <v>13</v>
      </c>
      <c r="I780" s="4" t="s">
        <v>20</v>
      </c>
      <c r="J780" s="4" t="s">
        <v>29</v>
      </c>
    </row>
    <row r="781" spans="1:10">
      <c r="A781" s="5" t="s">
        <v>10</v>
      </c>
      <c r="B781" s="6" t="s">
        <v>17</v>
      </c>
      <c r="C781" s="6">
        <v>515000</v>
      </c>
      <c r="D781" s="6">
        <v>3405</v>
      </c>
      <c r="E781" s="6">
        <v>2024</v>
      </c>
      <c r="F781" s="6">
        <v>5</v>
      </c>
      <c r="G781" s="6" t="s">
        <v>18</v>
      </c>
      <c r="H781" s="6" t="s">
        <v>19</v>
      </c>
      <c r="I781" s="6" t="s">
        <v>20</v>
      </c>
      <c r="J781" s="6" t="s">
        <v>21</v>
      </c>
    </row>
    <row r="782" spans="1:10">
      <c r="A782" s="3" t="s">
        <v>16</v>
      </c>
      <c r="B782" s="4" t="s">
        <v>11</v>
      </c>
      <c r="C782" s="4">
        <v>690000</v>
      </c>
      <c r="D782" s="4">
        <v>2760</v>
      </c>
      <c r="E782" s="4">
        <v>2024</v>
      </c>
      <c r="F782" s="4">
        <v>5.3</v>
      </c>
      <c r="G782" s="4" t="s">
        <v>38</v>
      </c>
      <c r="H782" s="4" t="s">
        <v>43</v>
      </c>
      <c r="I782" s="4" t="s">
        <v>14</v>
      </c>
      <c r="J782" s="4" t="s">
        <v>15</v>
      </c>
    </row>
    <row r="783" spans="1:10">
      <c r="A783" s="5" t="s">
        <v>22</v>
      </c>
      <c r="B783" s="6" t="s">
        <v>27</v>
      </c>
      <c r="C783" s="6">
        <v>368000</v>
      </c>
      <c r="D783" s="6">
        <v>2555</v>
      </c>
      <c r="E783" s="6">
        <v>2024</v>
      </c>
      <c r="F783" s="6">
        <v>5.4</v>
      </c>
      <c r="G783" s="6" t="s">
        <v>39</v>
      </c>
      <c r="H783" s="6" t="s">
        <v>19</v>
      </c>
      <c r="I783" s="6" t="s">
        <v>20</v>
      </c>
      <c r="J783" s="6" t="s">
        <v>29</v>
      </c>
    </row>
    <row r="784" spans="1:10">
      <c r="A784" s="3" t="s">
        <v>26</v>
      </c>
      <c r="B784" s="4" t="s">
        <v>23</v>
      </c>
      <c r="C784" s="4">
        <v>302000</v>
      </c>
      <c r="D784" s="4">
        <v>2960</v>
      </c>
      <c r="E784" s="4">
        <v>2024</v>
      </c>
      <c r="F784" s="4">
        <v>5.5</v>
      </c>
      <c r="G784" s="4" t="s">
        <v>24</v>
      </c>
      <c r="H784" s="4" t="s">
        <v>25</v>
      </c>
      <c r="I784" s="4" t="s">
        <v>20</v>
      </c>
      <c r="J784" s="4" t="s">
        <v>21</v>
      </c>
    </row>
    <row r="785" spans="1:10">
      <c r="A785" s="5" t="s">
        <v>30</v>
      </c>
      <c r="B785" s="6" t="s">
        <v>17</v>
      </c>
      <c r="C785" s="6">
        <v>282000</v>
      </c>
      <c r="D785" s="6">
        <v>2860</v>
      </c>
      <c r="E785" s="6">
        <v>2024</v>
      </c>
      <c r="F785" s="6">
        <v>5.4</v>
      </c>
      <c r="G785" s="6" t="s">
        <v>31</v>
      </c>
      <c r="H785" s="6" t="s">
        <v>25</v>
      </c>
      <c r="I785" s="6" t="s">
        <v>20</v>
      </c>
      <c r="J785" s="6" t="s">
        <v>21</v>
      </c>
    </row>
    <row r="786" spans="1:10">
      <c r="A786" s="3" t="s">
        <v>32</v>
      </c>
      <c r="B786" s="4" t="s">
        <v>11</v>
      </c>
      <c r="C786" s="4">
        <v>552000</v>
      </c>
      <c r="D786" s="4">
        <v>2105</v>
      </c>
      <c r="E786" s="4">
        <v>2024</v>
      </c>
      <c r="F786" s="4">
        <v>5.2</v>
      </c>
      <c r="G786" s="4" t="s">
        <v>41</v>
      </c>
      <c r="H786" s="4" t="s">
        <v>13</v>
      </c>
      <c r="I786" s="4" t="s">
        <v>14</v>
      </c>
      <c r="J786" s="4" t="s">
        <v>15</v>
      </c>
    </row>
    <row r="787" spans="1:10">
      <c r="A787" s="5" t="s">
        <v>33</v>
      </c>
      <c r="B787" s="6" t="s">
        <v>27</v>
      </c>
      <c r="C787" s="6">
        <v>432000</v>
      </c>
      <c r="D787" s="6">
        <v>2460</v>
      </c>
      <c r="E787" s="6">
        <v>2024</v>
      </c>
      <c r="F787" s="6">
        <v>5.2</v>
      </c>
      <c r="G787" s="6" t="s">
        <v>28</v>
      </c>
      <c r="H787" s="6" t="s">
        <v>13</v>
      </c>
      <c r="I787" s="6" t="s">
        <v>20</v>
      </c>
      <c r="J787" s="6" t="s">
        <v>29</v>
      </c>
    </row>
    <row r="788" spans="1:10">
      <c r="A788" s="3" t="s">
        <v>35</v>
      </c>
      <c r="B788" s="4" t="s">
        <v>17</v>
      </c>
      <c r="C788" s="4">
        <v>236000</v>
      </c>
      <c r="D788" s="4">
        <v>2910</v>
      </c>
      <c r="E788" s="4">
        <v>2024</v>
      </c>
      <c r="F788" s="4">
        <v>5.4</v>
      </c>
      <c r="G788" s="4" t="s">
        <v>31</v>
      </c>
      <c r="H788" s="4" t="s">
        <v>25</v>
      </c>
      <c r="I788" s="4" t="s">
        <v>20</v>
      </c>
      <c r="J788" s="4" t="s">
        <v>21</v>
      </c>
    </row>
    <row r="789" spans="1:10">
      <c r="A789" s="5" t="s">
        <v>37</v>
      </c>
      <c r="B789" s="6" t="s">
        <v>23</v>
      </c>
      <c r="C789" s="6">
        <v>392000</v>
      </c>
      <c r="D789" s="6">
        <v>2660</v>
      </c>
      <c r="E789" s="6">
        <v>2024</v>
      </c>
      <c r="F789" s="6">
        <v>5.3</v>
      </c>
      <c r="G789" s="6" t="s">
        <v>24</v>
      </c>
      <c r="H789" s="6" t="s">
        <v>19</v>
      </c>
      <c r="I789" s="6" t="s">
        <v>20</v>
      </c>
      <c r="J789" s="6" t="s">
        <v>21</v>
      </c>
    </row>
    <row r="790" spans="1:10">
      <c r="A790" s="3" t="s">
        <v>10</v>
      </c>
      <c r="B790" s="4" t="s">
        <v>11</v>
      </c>
      <c r="C790" s="4">
        <v>925000</v>
      </c>
      <c r="D790" s="4">
        <v>2360</v>
      </c>
      <c r="E790" s="4">
        <v>2024</v>
      </c>
      <c r="F790" s="4">
        <v>5.0999999999999996</v>
      </c>
      <c r="G790" s="4" t="s">
        <v>41</v>
      </c>
      <c r="H790" s="4" t="s">
        <v>43</v>
      </c>
      <c r="I790" s="4" t="s">
        <v>14</v>
      </c>
      <c r="J790" s="4" t="s">
        <v>15</v>
      </c>
    </row>
    <row r="791" spans="1:10">
      <c r="A791" s="5" t="s">
        <v>16</v>
      </c>
      <c r="B791" s="6" t="s">
        <v>17</v>
      </c>
      <c r="C791" s="6">
        <v>372000</v>
      </c>
      <c r="D791" s="6">
        <v>3010</v>
      </c>
      <c r="E791" s="6">
        <v>2024</v>
      </c>
      <c r="F791" s="6">
        <v>5.2</v>
      </c>
      <c r="G791" s="6" t="s">
        <v>18</v>
      </c>
      <c r="H791" s="6" t="s">
        <v>19</v>
      </c>
      <c r="I791" s="6" t="s">
        <v>20</v>
      </c>
      <c r="J791" s="6" t="s">
        <v>21</v>
      </c>
    </row>
    <row r="792" spans="1:10">
      <c r="A792" s="3" t="s">
        <v>22</v>
      </c>
      <c r="B792" s="4" t="s">
        <v>23</v>
      </c>
      <c r="C792" s="4">
        <v>322000</v>
      </c>
      <c r="D792" s="4">
        <v>3110</v>
      </c>
      <c r="E792" s="4">
        <v>2024</v>
      </c>
      <c r="F792" s="4">
        <v>5.4</v>
      </c>
      <c r="G792" s="4" t="s">
        <v>24</v>
      </c>
      <c r="H792" s="4" t="s">
        <v>25</v>
      </c>
      <c r="I792" s="4" t="s">
        <v>20</v>
      </c>
      <c r="J792" s="4" t="s">
        <v>21</v>
      </c>
    </row>
    <row r="793" spans="1:10">
      <c r="A793" s="5" t="s">
        <v>26</v>
      </c>
      <c r="B793" s="6" t="s">
        <v>11</v>
      </c>
      <c r="C793" s="6">
        <v>462000</v>
      </c>
      <c r="D793" s="6">
        <v>2210</v>
      </c>
      <c r="E793" s="6">
        <v>2024</v>
      </c>
      <c r="F793" s="6">
        <v>5.4</v>
      </c>
      <c r="G793" s="6" t="s">
        <v>41</v>
      </c>
      <c r="H793" s="6" t="s">
        <v>13</v>
      </c>
      <c r="I793" s="6" t="s">
        <v>14</v>
      </c>
      <c r="J793" s="6" t="s">
        <v>29</v>
      </c>
    </row>
    <row r="794" spans="1:10">
      <c r="A794" s="3" t="s">
        <v>30</v>
      </c>
      <c r="B794" s="4" t="s">
        <v>27</v>
      </c>
      <c r="C794" s="4">
        <v>408000</v>
      </c>
      <c r="D794" s="4">
        <v>2610</v>
      </c>
      <c r="E794" s="4">
        <v>2024</v>
      </c>
      <c r="F794" s="4">
        <v>5.3</v>
      </c>
      <c r="G794" s="4" t="s">
        <v>12</v>
      </c>
      <c r="H794" s="4" t="s">
        <v>13</v>
      </c>
      <c r="I794" s="4" t="s">
        <v>20</v>
      </c>
      <c r="J794" s="4" t="s">
        <v>29</v>
      </c>
    </row>
    <row r="795" spans="1:10">
      <c r="A795" s="5" t="s">
        <v>32</v>
      </c>
      <c r="B795" s="6" t="s">
        <v>17</v>
      </c>
      <c r="C795" s="6">
        <v>302000</v>
      </c>
      <c r="D795" s="6">
        <v>2965</v>
      </c>
      <c r="E795" s="6">
        <v>2024</v>
      </c>
      <c r="F795" s="6">
        <v>5.3</v>
      </c>
      <c r="G795" s="6" t="s">
        <v>40</v>
      </c>
      <c r="H795" s="6" t="s">
        <v>25</v>
      </c>
      <c r="I795" s="6" t="s">
        <v>20</v>
      </c>
      <c r="J795" s="6" t="s">
        <v>21</v>
      </c>
    </row>
    <row r="796" spans="1:10">
      <c r="A796" s="3" t="s">
        <v>33</v>
      </c>
      <c r="B796" s="4" t="s">
        <v>11</v>
      </c>
      <c r="C796" s="4">
        <v>615000</v>
      </c>
      <c r="D796" s="4">
        <v>2160</v>
      </c>
      <c r="E796" s="4">
        <v>2024</v>
      </c>
      <c r="F796" s="4">
        <v>5.0999999999999996</v>
      </c>
      <c r="G796" s="4" t="s">
        <v>41</v>
      </c>
      <c r="H796" s="4" t="s">
        <v>13</v>
      </c>
      <c r="I796" s="4" t="s">
        <v>14</v>
      </c>
      <c r="J796" s="4" t="s">
        <v>15</v>
      </c>
    </row>
    <row r="797" spans="1:10">
      <c r="A797" s="5" t="s">
        <v>35</v>
      </c>
      <c r="B797" s="6" t="s">
        <v>23</v>
      </c>
      <c r="C797" s="6">
        <v>282000</v>
      </c>
      <c r="D797" s="6">
        <v>2710</v>
      </c>
      <c r="E797" s="6">
        <v>2024</v>
      </c>
      <c r="F797" s="6">
        <v>5.4</v>
      </c>
      <c r="G797" s="6" t="s">
        <v>42</v>
      </c>
      <c r="H797" s="6" t="s">
        <v>25</v>
      </c>
      <c r="I797" s="6" t="s">
        <v>20</v>
      </c>
      <c r="J797" s="6" t="s">
        <v>21</v>
      </c>
    </row>
    <row r="798" spans="1:10">
      <c r="A798" s="3" t="s">
        <v>37</v>
      </c>
      <c r="B798" s="4" t="s">
        <v>11</v>
      </c>
      <c r="C798" s="4">
        <v>655000</v>
      </c>
      <c r="D798" s="4">
        <v>2260</v>
      </c>
      <c r="E798" s="4">
        <v>2024</v>
      </c>
      <c r="F798" s="4">
        <v>5.0999999999999996</v>
      </c>
      <c r="G798" s="4" t="s">
        <v>41</v>
      </c>
      <c r="H798" s="4" t="s">
        <v>13</v>
      </c>
      <c r="I798" s="4" t="s">
        <v>14</v>
      </c>
      <c r="J798" s="4" t="s">
        <v>15</v>
      </c>
    </row>
    <row r="799" spans="1:10">
      <c r="A799" s="5" t="s">
        <v>10</v>
      </c>
      <c r="B799" s="6" t="s">
        <v>23</v>
      </c>
      <c r="C799" s="6">
        <v>675000</v>
      </c>
      <c r="D799" s="6">
        <v>3060</v>
      </c>
      <c r="E799" s="6">
        <v>2024</v>
      </c>
      <c r="F799" s="6">
        <v>5.0999999999999996</v>
      </c>
      <c r="G799" s="6" t="s">
        <v>28</v>
      </c>
      <c r="H799" s="6" t="s">
        <v>13</v>
      </c>
      <c r="I799" s="6" t="s">
        <v>20</v>
      </c>
      <c r="J799" s="6" t="s">
        <v>29</v>
      </c>
    </row>
    <row r="800" spans="1:10">
      <c r="A800" s="3" t="s">
        <v>16</v>
      </c>
      <c r="B800" s="4" t="s">
        <v>27</v>
      </c>
      <c r="C800" s="4">
        <v>512000</v>
      </c>
      <c r="D800" s="4">
        <v>2810</v>
      </c>
      <c r="E800" s="4">
        <v>2024</v>
      </c>
      <c r="F800" s="4">
        <v>5.3</v>
      </c>
      <c r="G800" s="4" t="s">
        <v>28</v>
      </c>
      <c r="H800" s="4" t="s">
        <v>13</v>
      </c>
      <c r="I800" s="4" t="s">
        <v>20</v>
      </c>
      <c r="J800" s="4" t="s">
        <v>29</v>
      </c>
    </row>
  </sheetData>
  <autoFilter ref="A1:J800" xr:uid="{EE12841F-4211-40A7-BCFD-60C6662FA921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9F224-C7EE-45BA-AA7E-1B01D2856655}">
  <dimension ref="A1:S800"/>
  <sheetViews>
    <sheetView tabSelected="1" workbookViewId="0">
      <pane ySplit="1" topLeftCell="A2" activePane="bottomLeft" state="frozen"/>
      <selection pane="bottomLeft" activeCell="R32" sqref="R32"/>
    </sheetView>
  </sheetViews>
  <sheetFormatPr defaultRowHeight="15"/>
  <cols>
    <col min="1" max="1" width="14.5703125" bestFit="1" customWidth="1"/>
    <col min="2" max="2" width="16.7109375" bestFit="1" customWidth="1"/>
    <col min="3" max="3" width="16.28515625" bestFit="1" customWidth="1"/>
    <col min="4" max="4" width="16.140625" bestFit="1" customWidth="1"/>
    <col min="6" max="6" width="17.7109375" customWidth="1"/>
    <col min="7" max="7" width="18.28515625" bestFit="1" customWidth="1"/>
    <col min="8" max="8" width="16.42578125" bestFit="1" customWidth="1"/>
    <col min="9" max="9" width="14.42578125" customWidth="1"/>
    <col min="10" max="10" width="14" bestFit="1" customWidth="1"/>
    <col min="11" max="11" width="26.140625" style="20" bestFit="1" customWidth="1"/>
    <col min="12" max="12" width="26" bestFit="1" customWidth="1"/>
    <col min="13" max="13" width="20.140625" bestFit="1" customWidth="1"/>
    <col min="14" max="14" width="19.28515625" bestFit="1" customWidth="1"/>
    <col min="15" max="15" width="15.5703125" bestFit="1" customWidth="1"/>
    <col min="16" max="16" width="19.85546875" bestFit="1" customWidth="1"/>
    <col min="19" max="19" width="17.5703125" customWidth="1"/>
  </cols>
  <sheetData>
    <row r="1" spans="1:19" s="17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2" t="s">
        <v>46</v>
      </c>
      <c r="L1" s="17" t="s">
        <v>47</v>
      </c>
      <c r="M1" s="17" t="s">
        <v>48</v>
      </c>
      <c r="N1" s="17" t="s">
        <v>49</v>
      </c>
      <c r="O1" s="17" t="s">
        <v>50</v>
      </c>
      <c r="P1" s="17" t="s">
        <v>51</v>
      </c>
      <c r="S1" s="17" t="s">
        <v>52</v>
      </c>
    </row>
    <row r="2" spans="1:19">
      <c r="A2" s="6" t="s">
        <v>35</v>
      </c>
      <c r="B2" s="6" t="s">
        <v>17</v>
      </c>
      <c r="C2" s="6">
        <v>175000</v>
      </c>
      <c r="D2" s="6">
        <v>2200</v>
      </c>
      <c r="E2" s="6">
        <v>2023</v>
      </c>
      <c r="F2" s="6">
        <v>6.4</v>
      </c>
      <c r="G2" s="6" t="s">
        <v>36</v>
      </c>
      <c r="H2" s="6" t="s">
        <v>25</v>
      </c>
      <c r="I2" s="6" t="s">
        <v>20</v>
      </c>
      <c r="J2" s="6" t="s">
        <v>21</v>
      </c>
      <c r="K2" s="20">
        <f>C2/D2</f>
        <v>79.545454545454547</v>
      </c>
      <c r="L2" s="11">
        <f>PMT(F2/100/12, 300, -(C2 *
(1 - G2/100)))</f>
        <v>1112.1657449891725</v>
      </c>
      <c r="M2" s="11">
        <f>-CUMIPMT(F2/1200,300,O2,1,300,0)</f>
        <v>167399.7234967518</v>
      </c>
      <c r="N2" s="11">
        <f>O2+M2</f>
        <v>333649.7234967518</v>
      </c>
      <c r="O2">
        <f>C2*(1-G2/100)</f>
        <v>166250</v>
      </c>
      <c r="P2">
        <v>880.30377142857139</v>
      </c>
      <c r="R2" t="str">
        <f>IF(H2="A","4",IF(H2="B","3",IF(H2="C","2",IF(H2="D","1",0))))</f>
        <v>1</v>
      </c>
      <c r="S2">
        <f>D2*0.4 +R2*0.3 +(1/(K2*0.3))</f>
        <v>880.34190476190474</v>
      </c>
    </row>
    <row r="3" spans="1:19">
      <c r="A3" s="4" t="s">
        <v>26</v>
      </c>
      <c r="B3" s="4" t="s">
        <v>17</v>
      </c>
      <c r="C3" s="4">
        <v>190000</v>
      </c>
      <c r="D3" s="4">
        <v>2380</v>
      </c>
      <c r="E3" s="4">
        <v>2024</v>
      </c>
      <c r="F3" s="4">
        <v>5.5</v>
      </c>
      <c r="G3" s="4" t="s">
        <v>36</v>
      </c>
      <c r="H3" s="4" t="s">
        <v>25</v>
      </c>
      <c r="I3" s="4" t="s">
        <v>20</v>
      </c>
      <c r="J3" s="4" t="s">
        <v>21</v>
      </c>
      <c r="K3" s="20">
        <f>C3/D3</f>
        <v>79.831932773109244</v>
      </c>
      <c r="L3" s="11">
        <f>PMT(F3/100/12, 300, -(C3 *
(1 - G3/100)))</f>
        <v>1108.4279235680538</v>
      </c>
      <c r="M3" s="11">
        <f t="shared" ref="M3:M66" si="0">-CUMIPMT(F3/1200,300,O3,1,300,0)</f>
        <v>152028.37707041611</v>
      </c>
      <c r="N3" s="11">
        <f t="shared" ref="N3:N66" si="1">O3+M3</f>
        <v>332528.37707041611</v>
      </c>
      <c r="O3">
        <f t="shared" ref="O3:O66" si="2">C3*(1-G3/100)</f>
        <v>180500</v>
      </c>
      <c r="P3">
        <v>952.3037578947368</v>
      </c>
      <c r="R3" t="str">
        <f t="shared" ref="R3:R66" si="3">IF(H3="A","4",IF(H3="B","3",IF(H3="C","2",IF(H3="D","1",0))))</f>
        <v>1</v>
      </c>
      <c r="S3">
        <f t="shared" ref="S3:S66" si="4">D3*0.4 +R3*0.3 +(1/(K3*0.3))</f>
        <v>952.34175438596492</v>
      </c>
    </row>
    <row r="4" spans="1:19">
      <c r="A4" s="4" t="s">
        <v>35</v>
      </c>
      <c r="B4" s="4" t="s">
        <v>17</v>
      </c>
      <c r="C4" s="4">
        <v>225000</v>
      </c>
      <c r="D4" s="4">
        <v>2800</v>
      </c>
      <c r="E4" s="4">
        <v>2024</v>
      </c>
      <c r="F4" s="4">
        <v>5.4</v>
      </c>
      <c r="G4" s="4" t="s">
        <v>31</v>
      </c>
      <c r="H4" s="4" t="s">
        <v>25</v>
      </c>
      <c r="I4" s="4" t="s">
        <v>20</v>
      </c>
      <c r="J4" s="4" t="s">
        <v>21</v>
      </c>
      <c r="K4" s="20">
        <f>C4/D4</f>
        <v>80.357142857142861</v>
      </c>
      <c r="L4" s="11">
        <f>PMT(F4/100/12, 300, -(C4 *
(1 - G4/100)))</f>
        <v>1258.8289290349828</v>
      </c>
      <c r="M4" s="11">
        <f t="shared" si="0"/>
        <v>170648.67871049483</v>
      </c>
      <c r="N4" s="11">
        <f t="shared" si="1"/>
        <v>377648.67871049483</v>
      </c>
      <c r="O4">
        <f t="shared" si="2"/>
        <v>207000</v>
      </c>
      <c r="P4">
        <v>1120.3037333333332</v>
      </c>
      <c r="R4" t="str">
        <f t="shared" si="3"/>
        <v>1</v>
      </c>
      <c r="S4">
        <f t="shared" si="4"/>
        <v>1120.3414814814814</v>
      </c>
    </row>
    <row r="5" spans="1:19">
      <c r="A5" s="4" t="s">
        <v>35</v>
      </c>
      <c r="B5" s="4" t="s">
        <v>17</v>
      </c>
      <c r="C5" s="4">
        <v>230000</v>
      </c>
      <c r="D5" s="4">
        <v>2850</v>
      </c>
      <c r="E5" s="4">
        <v>2024</v>
      </c>
      <c r="F5" s="4">
        <v>5.4</v>
      </c>
      <c r="G5" s="4" t="s">
        <v>31</v>
      </c>
      <c r="H5" s="4" t="s">
        <v>25</v>
      </c>
      <c r="I5" s="4" t="s">
        <v>20</v>
      </c>
      <c r="J5" s="4" t="s">
        <v>21</v>
      </c>
      <c r="K5" s="20">
        <f>C5/D5</f>
        <v>80.701754385964918</v>
      </c>
      <c r="L5" s="11">
        <f>PMT(F5/100/12, 300, -(C5 *
(1 - G5/100)))</f>
        <v>1286.8029052357601</v>
      </c>
      <c r="M5" s="11">
        <f t="shared" si="0"/>
        <v>174440.87157072802</v>
      </c>
      <c r="N5" s="11">
        <f t="shared" si="1"/>
        <v>386040.87157072802</v>
      </c>
      <c r="O5">
        <f t="shared" si="2"/>
        <v>211600</v>
      </c>
      <c r="P5">
        <v>1140.3037173913042</v>
      </c>
      <c r="R5" t="str">
        <f t="shared" si="3"/>
        <v>1</v>
      </c>
      <c r="S5">
        <f t="shared" si="4"/>
        <v>1140.3413043478261</v>
      </c>
    </row>
    <row r="6" spans="1:19">
      <c r="A6" s="4" t="s">
        <v>26</v>
      </c>
      <c r="B6" s="4" t="s">
        <v>17</v>
      </c>
      <c r="C6" s="4">
        <v>194000</v>
      </c>
      <c r="D6" s="4">
        <v>2400</v>
      </c>
      <c r="E6" s="4">
        <v>2024</v>
      </c>
      <c r="F6" s="4">
        <v>5.4</v>
      </c>
      <c r="G6" s="4" t="s">
        <v>36</v>
      </c>
      <c r="H6" s="4" t="s">
        <v>25</v>
      </c>
      <c r="I6" s="4" t="s">
        <v>20</v>
      </c>
      <c r="J6" s="4" t="s">
        <v>21</v>
      </c>
      <c r="K6" s="20">
        <f>C6/D6</f>
        <v>80.833333333333329</v>
      </c>
      <c r="L6" s="11">
        <f>PMT(F6/100/12, 300, -(C6 *
(1 - G6/100)))</f>
        <v>1120.7834377833203</v>
      </c>
      <c r="M6" s="11">
        <f t="shared" si="0"/>
        <v>151935.03133499614</v>
      </c>
      <c r="N6" s="11">
        <f t="shared" si="1"/>
        <v>336235.03133499611</v>
      </c>
      <c r="O6">
        <f t="shared" si="2"/>
        <v>184300</v>
      </c>
      <c r="P6">
        <v>960.30371134020618</v>
      </c>
      <c r="R6" t="str">
        <f t="shared" si="3"/>
        <v>1</v>
      </c>
      <c r="S6">
        <f t="shared" si="4"/>
        <v>960.34123711340203</v>
      </c>
    </row>
    <row r="7" spans="1:19">
      <c r="A7" s="4" t="s">
        <v>35</v>
      </c>
      <c r="B7" s="4" t="s">
        <v>17</v>
      </c>
      <c r="C7" s="4">
        <v>235000</v>
      </c>
      <c r="D7" s="4">
        <v>2900</v>
      </c>
      <c r="E7" s="4">
        <v>2024</v>
      </c>
      <c r="F7" s="4">
        <v>5.4</v>
      </c>
      <c r="G7" s="4" t="s">
        <v>31</v>
      </c>
      <c r="H7" s="4" t="s">
        <v>25</v>
      </c>
      <c r="I7" s="4" t="s">
        <v>20</v>
      </c>
      <c r="J7" s="4" t="s">
        <v>21</v>
      </c>
      <c r="K7" s="20">
        <f>C7/D7</f>
        <v>81.034482758620683</v>
      </c>
      <c r="L7" s="11">
        <f>PMT(F7/100/12, 300, -(C7 *
(1 - G7/100)))</f>
        <v>1314.7768814365375</v>
      </c>
      <c r="M7" s="11">
        <f t="shared" si="0"/>
        <v>178233.06443096124</v>
      </c>
      <c r="N7" s="11">
        <f t="shared" si="1"/>
        <v>394433.06443096127</v>
      </c>
      <c r="O7">
        <f t="shared" si="2"/>
        <v>216200</v>
      </c>
      <c r="P7">
        <v>1160.3037021276596</v>
      </c>
      <c r="R7" t="str">
        <f t="shared" si="3"/>
        <v>1</v>
      </c>
      <c r="S7">
        <f t="shared" si="4"/>
        <v>1160.3411347517731</v>
      </c>
    </row>
    <row r="8" spans="1:19">
      <c r="A8" s="4" t="s">
        <v>35</v>
      </c>
      <c r="B8" s="4" t="s">
        <v>17</v>
      </c>
      <c r="C8" s="4">
        <v>236000</v>
      </c>
      <c r="D8" s="4">
        <v>2910</v>
      </c>
      <c r="E8" s="4">
        <v>2024</v>
      </c>
      <c r="F8" s="4">
        <v>5.4</v>
      </c>
      <c r="G8" s="4" t="s">
        <v>31</v>
      </c>
      <c r="H8" s="4" t="s">
        <v>25</v>
      </c>
      <c r="I8" s="4" t="s">
        <v>20</v>
      </c>
      <c r="J8" s="4" t="s">
        <v>21</v>
      </c>
      <c r="K8" s="20">
        <f>C8/D8</f>
        <v>81.099656357388312</v>
      </c>
      <c r="L8" s="11">
        <f>PMT(F8/100/12, 300, -(C8 *
(1 - G8/100)))</f>
        <v>1320.3716766766929</v>
      </c>
      <c r="M8" s="11">
        <f t="shared" si="0"/>
        <v>178991.50300300785</v>
      </c>
      <c r="N8" s="11">
        <f t="shared" si="1"/>
        <v>396111.50300300785</v>
      </c>
      <c r="O8">
        <f t="shared" si="2"/>
        <v>217120</v>
      </c>
      <c r="P8">
        <v>1164.3036991525423</v>
      </c>
      <c r="R8" t="str">
        <f t="shared" si="3"/>
        <v>1</v>
      </c>
      <c r="S8">
        <f t="shared" si="4"/>
        <v>1164.3411016949151</v>
      </c>
    </row>
    <row r="9" spans="1:19">
      <c r="A9" s="6" t="s">
        <v>35</v>
      </c>
      <c r="B9" s="6" t="s">
        <v>17</v>
      </c>
      <c r="C9" s="6">
        <v>220000</v>
      </c>
      <c r="D9" s="6">
        <v>2700</v>
      </c>
      <c r="E9" s="6">
        <v>2024</v>
      </c>
      <c r="F9" s="6">
        <v>5.4</v>
      </c>
      <c r="G9" s="6" t="s">
        <v>31</v>
      </c>
      <c r="H9" s="6" t="s">
        <v>25</v>
      </c>
      <c r="I9" s="6" t="s">
        <v>20</v>
      </c>
      <c r="J9" s="6" t="s">
        <v>21</v>
      </c>
      <c r="K9" s="20">
        <f>C9/D9</f>
        <v>81.481481481481481</v>
      </c>
      <c r="L9" s="11">
        <f>PMT(F9/100/12, 300, -(C9 *
(1 - G9/100)))</f>
        <v>1230.8549528342053</v>
      </c>
      <c r="M9" s="11">
        <f t="shared" si="0"/>
        <v>166856.48585026161</v>
      </c>
      <c r="N9" s="11">
        <f t="shared" si="1"/>
        <v>369256.48585026164</v>
      </c>
      <c r="O9">
        <f t="shared" si="2"/>
        <v>202400</v>
      </c>
      <c r="P9">
        <v>1080.3036818181818</v>
      </c>
      <c r="R9" t="str">
        <f t="shared" si="3"/>
        <v>1</v>
      </c>
      <c r="S9">
        <f t="shared" si="4"/>
        <v>1080.340909090909</v>
      </c>
    </row>
    <row r="10" spans="1:19">
      <c r="A10" s="6" t="s">
        <v>26</v>
      </c>
      <c r="B10" s="6" t="s">
        <v>17</v>
      </c>
      <c r="C10" s="6">
        <v>200000</v>
      </c>
      <c r="D10" s="6">
        <v>2450</v>
      </c>
      <c r="E10" s="6">
        <v>2024</v>
      </c>
      <c r="F10" s="6">
        <v>5.4</v>
      </c>
      <c r="G10" s="6" t="s">
        <v>36</v>
      </c>
      <c r="H10" s="6" t="s">
        <v>25</v>
      </c>
      <c r="I10" s="6" t="s">
        <v>20</v>
      </c>
      <c r="J10" s="6" t="s">
        <v>21</v>
      </c>
      <c r="K10" s="20">
        <f>C10/D10</f>
        <v>81.632653061224488</v>
      </c>
      <c r="L10" s="11">
        <f>PMT(F10/100/12, 300, -(C10 *
(1 - G10/100)))</f>
        <v>1155.446843075588</v>
      </c>
      <c r="M10" s="11">
        <f t="shared" si="0"/>
        <v>156634.05292267646</v>
      </c>
      <c r="N10" s="11">
        <f t="shared" si="1"/>
        <v>346634.05292267643</v>
      </c>
      <c r="O10">
        <f t="shared" si="2"/>
        <v>190000</v>
      </c>
      <c r="P10">
        <v>980.303675</v>
      </c>
      <c r="R10" t="str">
        <f t="shared" si="3"/>
        <v>1</v>
      </c>
      <c r="S10">
        <f t="shared" si="4"/>
        <v>980.34083333333331</v>
      </c>
    </row>
    <row r="11" spans="1:19">
      <c r="A11" s="4" t="s">
        <v>26</v>
      </c>
      <c r="B11" s="4" t="s">
        <v>17</v>
      </c>
      <c r="C11" s="4">
        <v>198000</v>
      </c>
      <c r="D11" s="4">
        <v>2420</v>
      </c>
      <c r="E11" s="4">
        <v>2023</v>
      </c>
      <c r="F11" s="4">
        <v>6.6</v>
      </c>
      <c r="G11" s="4" t="s">
        <v>36</v>
      </c>
      <c r="H11" s="4" t="s">
        <v>25</v>
      </c>
      <c r="I11" s="4" t="s">
        <v>20</v>
      </c>
      <c r="J11" s="4" t="s">
        <v>21</v>
      </c>
      <c r="K11" s="20">
        <f>C11/D11</f>
        <v>81.818181818181813</v>
      </c>
      <c r="L11" s="11">
        <f>PMT(F11/100/12, 300, -(C11 *
(1 - G11/100)))</f>
        <v>1281.8433761077576</v>
      </c>
      <c r="M11" s="11">
        <f t="shared" si="0"/>
        <v>196453.01283232722</v>
      </c>
      <c r="N11" s="11">
        <f t="shared" si="1"/>
        <v>384553.01283232722</v>
      </c>
      <c r="O11">
        <f t="shared" si="2"/>
        <v>188100</v>
      </c>
      <c r="P11">
        <v>968.30366666666657</v>
      </c>
      <c r="R11" t="str">
        <f t="shared" si="3"/>
        <v>1</v>
      </c>
      <c r="S11">
        <f t="shared" si="4"/>
        <v>968.34074074074067</v>
      </c>
    </row>
    <row r="12" spans="1:19">
      <c r="A12" s="6" t="s">
        <v>35</v>
      </c>
      <c r="B12" s="6" t="s">
        <v>17</v>
      </c>
      <c r="C12" s="6">
        <v>180000</v>
      </c>
      <c r="D12" s="6">
        <v>2200</v>
      </c>
      <c r="E12" s="6">
        <v>2023</v>
      </c>
      <c r="F12" s="6">
        <v>6.4</v>
      </c>
      <c r="G12" s="6" t="s">
        <v>36</v>
      </c>
      <c r="H12" s="6" t="s">
        <v>25</v>
      </c>
      <c r="I12" s="6" t="s">
        <v>20</v>
      </c>
      <c r="J12" s="6" t="s">
        <v>21</v>
      </c>
      <c r="K12" s="20">
        <f>C12/D12</f>
        <v>81.818181818181813</v>
      </c>
      <c r="L12" s="11">
        <f>PMT(F12/100/12, 300, -(C12 *
(1 - G12/100)))</f>
        <v>1143.9419091317204</v>
      </c>
      <c r="M12" s="11">
        <f t="shared" si="0"/>
        <v>172182.57273951615</v>
      </c>
      <c r="N12" s="11">
        <f t="shared" si="1"/>
        <v>343182.57273951615</v>
      </c>
      <c r="O12">
        <f t="shared" si="2"/>
        <v>171000</v>
      </c>
      <c r="P12">
        <v>880.30366666666657</v>
      </c>
      <c r="R12" t="str">
        <f t="shared" si="3"/>
        <v>1</v>
      </c>
      <c r="S12">
        <f t="shared" si="4"/>
        <v>880.34074074074067</v>
      </c>
    </row>
    <row r="13" spans="1:19">
      <c r="A13" s="6" t="s">
        <v>26</v>
      </c>
      <c r="B13" s="6" t="s">
        <v>17</v>
      </c>
      <c r="C13" s="6">
        <v>188000</v>
      </c>
      <c r="D13" s="6">
        <v>2290</v>
      </c>
      <c r="E13" s="6">
        <v>2023</v>
      </c>
      <c r="F13" s="6">
        <v>6.5</v>
      </c>
      <c r="G13" s="6" t="s">
        <v>36</v>
      </c>
      <c r="H13" s="6" t="s">
        <v>25</v>
      </c>
      <c r="I13" s="6" t="s">
        <v>20</v>
      </c>
      <c r="J13" s="6" t="s">
        <v>21</v>
      </c>
      <c r="K13" s="20">
        <f>C13/D13</f>
        <v>82.096069868995627</v>
      </c>
      <c r="L13" s="11">
        <f>PMT(F13/100/12, 300, -(C13 *
(1 - G13/100)))</f>
        <v>1205.9199901668844</v>
      </c>
      <c r="M13" s="11">
        <f t="shared" si="0"/>
        <v>183175.99705006531</v>
      </c>
      <c r="N13" s="11">
        <f t="shared" si="1"/>
        <v>361775.99705006531</v>
      </c>
      <c r="O13">
        <f t="shared" si="2"/>
        <v>178600</v>
      </c>
      <c r="P13">
        <v>916.30365425531909</v>
      </c>
      <c r="R13" t="str">
        <f t="shared" si="3"/>
        <v>1</v>
      </c>
      <c r="S13">
        <f t="shared" si="4"/>
        <v>916.34060283687938</v>
      </c>
    </row>
    <row r="14" spans="1:19">
      <c r="A14" s="4" t="s">
        <v>35</v>
      </c>
      <c r="B14" s="4" t="s">
        <v>17</v>
      </c>
      <c r="C14" s="4">
        <v>170000</v>
      </c>
      <c r="D14" s="4">
        <v>2070</v>
      </c>
      <c r="E14" s="4">
        <v>2024</v>
      </c>
      <c r="F14" s="4">
        <v>5.4</v>
      </c>
      <c r="G14" s="4" t="s">
        <v>31</v>
      </c>
      <c r="H14" s="4" t="s">
        <v>25</v>
      </c>
      <c r="I14" s="4" t="s">
        <v>20</v>
      </c>
      <c r="J14" s="4" t="s">
        <v>21</v>
      </c>
      <c r="K14" s="20">
        <f>C14/D14</f>
        <v>82.125603864734302</v>
      </c>
      <c r="L14" s="11">
        <f>PMT(F14/100/12, 300, -(C14 *
(1 - G14/100)))</f>
        <v>951.11519082643133</v>
      </c>
      <c r="M14" s="11">
        <f t="shared" si="0"/>
        <v>128934.55724792942</v>
      </c>
      <c r="N14" s="11">
        <f t="shared" si="1"/>
        <v>285334.55724792939</v>
      </c>
      <c r="O14">
        <f t="shared" si="2"/>
        <v>156400</v>
      </c>
      <c r="P14">
        <v>828.30365294117644</v>
      </c>
      <c r="R14" t="str">
        <f t="shared" si="3"/>
        <v>1</v>
      </c>
      <c r="S14">
        <f t="shared" si="4"/>
        <v>828.34058823529404</v>
      </c>
    </row>
    <row r="15" spans="1:19">
      <c r="A15" s="6" t="s">
        <v>35</v>
      </c>
      <c r="B15" s="6" t="s">
        <v>17</v>
      </c>
      <c r="C15" s="6">
        <v>218000</v>
      </c>
      <c r="D15" s="6">
        <v>2650</v>
      </c>
      <c r="E15" s="6">
        <v>2024</v>
      </c>
      <c r="F15" s="6">
        <v>5.4</v>
      </c>
      <c r="G15" s="6" t="s">
        <v>31</v>
      </c>
      <c r="H15" s="6" t="s">
        <v>25</v>
      </c>
      <c r="I15" s="6" t="s">
        <v>20</v>
      </c>
      <c r="J15" s="6" t="s">
        <v>21</v>
      </c>
      <c r="K15" s="20">
        <f>C15/D15</f>
        <v>82.264150943396231</v>
      </c>
      <c r="L15" s="11">
        <f>PMT(F15/100/12, 300, -(C15 *
(1 - G15/100)))</f>
        <v>1219.6653623538944</v>
      </c>
      <c r="M15" s="11">
        <f t="shared" si="0"/>
        <v>165339.60870616831</v>
      </c>
      <c r="N15" s="11">
        <f t="shared" si="1"/>
        <v>365899.60870616831</v>
      </c>
      <c r="O15">
        <f t="shared" si="2"/>
        <v>200560</v>
      </c>
      <c r="P15">
        <v>1060.3036467889908</v>
      </c>
      <c r="R15" t="str">
        <f t="shared" si="3"/>
        <v>1</v>
      </c>
      <c r="S15">
        <f t="shared" si="4"/>
        <v>1060.3405198776759</v>
      </c>
    </row>
    <row r="16" spans="1:19">
      <c r="A16" s="4" t="s">
        <v>35</v>
      </c>
      <c r="B16" s="4" t="s">
        <v>17</v>
      </c>
      <c r="C16" s="4">
        <v>172000</v>
      </c>
      <c r="D16" s="4">
        <v>2090</v>
      </c>
      <c r="E16" s="4">
        <v>2024</v>
      </c>
      <c r="F16" s="4">
        <v>5.3</v>
      </c>
      <c r="G16" s="4" t="s">
        <v>31</v>
      </c>
      <c r="H16" s="4" t="s">
        <v>25</v>
      </c>
      <c r="I16" s="4" t="s">
        <v>20</v>
      </c>
      <c r="J16" s="4" t="s">
        <v>21</v>
      </c>
      <c r="K16" s="20">
        <f>C16/D16</f>
        <v>82.296650717703344</v>
      </c>
      <c r="L16" s="11">
        <f>PMT(F16/100/12, 300, -(C16 *
(1 - G16/100)))</f>
        <v>952.9231729556725</v>
      </c>
      <c r="M16" s="11">
        <f t="shared" si="0"/>
        <v>127636.95188670175</v>
      </c>
      <c r="N16" s="11">
        <f t="shared" si="1"/>
        <v>285876.95188670175</v>
      </c>
      <c r="O16">
        <f t="shared" si="2"/>
        <v>158240</v>
      </c>
      <c r="P16">
        <v>836.30364534883711</v>
      </c>
      <c r="R16" t="str">
        <f t="shared" si="3"/>
        <v>1</v>
      </c>
      <c r="S16">
        <f t="shared" si="4"/>
        <v>836.34050387596892</v>
      </c>
    </row>
    <row r="17" spans="1:19">
      <c r="A17" s="4" t="s">
        <v>26</v>
      </c>
      <c r="B17" s="4" t="s">
        <v>17</v>
      </c>
      <c r="C17" s="4">
        <v>205000</v>
      </c>
      <c r="D17" s="4">
        <v>2480</v>
      </c>
      <c r="E17" s="4">
        <v>2023</v>
      </c>
      <c r="F17" s="4">
        <v>6.5</v>
      </c>
      <c r="G17" s="4" t="s">
        <v>36</v>
      </c>
      <c r="H17" s="4" t="s">
        <v>25</v>
      </c>
      <c r="I17" s="4" t="s">
        <v>20</v>
      </c>
      <c r="J17" s="4" t="s">
        <v>21</v>
      </c>
      <c r="K17" s="20">
        <f>C17/D17</f>
        <v>82.661290322580641</v>
      </c>
      <c r="L17" s="11">
        <f>PMT(F17/100/12, 300, -(C17 *
(1 - G17/100)))</f>
        <v>1314.9659467245281</v>
      </c>
      <c r="M17" s="11">
        <f t="shared" si="0"/>
        <v>199739.78401735844</v>
      </c>
      <c r="N17" s="11">
        <f t="shared" si="1"/>
        <v>394489.78401735844</v>
      </c>
      <c r="O17">
        <f t="shared" si="2"/>
        <v>194750</v>
      </c>
      <c r="P17">
        <v>992.30362926829264</v>
      </c>
      <c r="R17" t="str">
        <f t="shared" si="3"/>
        <v>1</v>
      </c>
      <c r="S17">
        <f t="shared" si="4"/>
        <v>992.34032520325195</v>
      </c>
    </row>
    <row r="18" spans="1:19">
      <c r="A18" s="6" t="s">
        <v>35</v>
      </c>
      <c r="B18" s="6" t="s">
        <v>17</v>
      </c>
      <c r="C18" s="6">
        <v>215000</v>
      </c>
      <c r="D18" s="6">
        <v>2600</v>
      </c>
      <c r="E18" s="6">
        <v>2024</v>
      </c>
      <c r="F18" s="6">
        <v>5.4</v>
      </c>
      <c r="G18" s="6" t="s">
        <v>31</v>
      </c>
      <c r="H18" s="6" t="s">
        <v>25</v>
      </c>
      <c r="I18" s="6" t="s">
        <v>20</v>
      </c>
      <c r="J18" s="6" t="s">
        <v>21</v>
      </c>
      <c r="K18" s="20">
        <f>C18/D18</f>
        <v>82.692307692307693</v>
      </c>
      <c r="L18" s="11">
        <f>PMT(F18/100/12, 300, -(C18 *
(1 - G18/100)))</f>
        <v>1202.8809766334277</v>
      </c>
      <c r="M18" s="11">
        <f t="shared" si="0"/>
        <v>163064.29299002836</v>
      </c>
      <c r="N18" s="11">
        <f t="shared" si="1"/>
        <v>360864.29299002839</v>
      </c>
      <c r="O18">
        <f t="shared" si="2"/>
        <v>197800</v>
      </c>
      <c r="P18">
        <v>1040.3036279069768</v>
      </c>
      <c r="R18" t="str">
        <f t="shared" si="3"/>
        <v>1</v>
      </c>
      <c r="S18">
        <f t="shared" si="4"/>
        <v>1040.3403100775192</v>
      </c>
    </row>
    <row r="19" spans="1:19">
      <c r="A19" s="6" t="s">
        <v>35</v>
      </c>
      <c r="B19" s="6" t="s">
        <v>17</v>
      </c>
      <c r="C19" s="6">
        <v>212000</v>
      </c>
      <c r="D19" s="6">
        <v>2550</v>
      </c>
      <c r="E19" s="6">
        <v>2024</v>
      </c>
      <c r="F19" s="6">
        <v>5.4</v>
      </c>
      <c r="G19" s="6" t="s">
        <v>31</v>
      </c>
      <c r="H19" s="6" t="s">
        <v>25</v>
      </c>
      <c r="I19" s="6" t="s">
        <v>20</v>
      </c>
      <c r="J19" s="6" t="s">
        <v>21</v>
      </c>
      <c r="K19" s="20">
        <f>C19/D19</f>
        <v>83.137254901960787</v>
      </c>
      <c r="L19" s="11">
        <f>PMT(F19/100/12, 300, -(C19 *
(1 - G19/100)))</f>
        <v>1186.0965909129616</v>
      </c>
      <c r="M19" s="11">
        <f t="shared" si="0"/>
        <v>160788.97727388848</v>
      </c>
      <c r="N19" s="11">
        <f t="shared" si="1"/>
        <v>355828.97727388848</v>
      </c>
      <c r="O19">
        <f t="shared" si="2"/>
        <v>195040</v>
      </c>
      <c r="P19">
        <v>1020.303608490566</v>
      </c>
      <c r="R19" t="str">
        <f t="shared" si="3"/>
        <v>1</v>
      </c>
      <c r="S19">
        <f t="shared" si="4"/>
        <v>1020.3400943396226</v>
      </c>
    </row>
    <row r="20" spans="1:19">
      <c r="A20" s="4" t="s">
        <v>35</v>
      </c>
      <c r="B20" s="4" t="s">
        <v>17</v>
      </c>
      <c r="C20" s="4">
        <v>178000</v>
      </c>
      <c r="D20" s="4">
        <v>2140</v>
      </c>
      <c r="E20" s="4">
        <v>2024</v>
      </c>
      <c r="F20" s="4">
        <v>5.4</v>
      </c>
      <c r="G20" s="4" t="s">
        <v>31</v>
      </c>
      <c r="H20" s="4" t="s">
        <v>25</v>
      </c>
      <c r="I20" s="4" t="s">
        <v>20</v>
      </c>
      <c r="J20" s="4" t="s">
        <v>21</v>
      </c>
      <c r="K20" s="20">
        <f>C20/D20</f>
        <v>83.177570093457945</v>
      </c>
      <c r="L20" s="11">
        <f>PMT(F20/100/12, 300, -(C20 *
(1 - G20/100)))</f>
        <v>995.87355274767526</v>
      </c>
      <c r="M20" s="11">
        <f t="shared" si="0"/>
        <v>135002.06582430258</v>
      </c>
      <c r="N20" s="11">
        <f t="shared" si="1"/>
        <v>298762.06582430261</v>
      </c>
      <c r="O20">
        <f t="shared" si="2"/>
        <v>163760</v>
      </c>
      <c r="P20">
        <v>856.30360674157293</v>
      </c>
      <c r="R20" t="str">
        <f t="shared" si="3"/>
        <v>1</v>
      </c>
      <c r="S20">
        <f t="shared" si="4"/>
        <v>856.34007490636702</v>
      </c>
    </row>
    <row r="21" spans="1:19">
      <c r="A21" s="4" t="s">
        <v>22</v>
      </c>
      <c r="B21" s="4" t="s">
        <v>17</v>
      </c>
      <c r="C21" s="4">
        <v>205000</v>
      </c>
      <c r="D21" s="4">
        <v>2460</v>
      </c>
      <c r="E21" s="4">
        <v>2024</v>
      </c>
      <c r="F21" s="4">
        <v>5.4</v>
      </c>
      <c r="G21" s="4" t="s">
        <v>36</v>
      </c>
      <c r="H21" s="4" t="s">
        <v>25</v>
      </c>
      <c r="I21" s="4" t="s">
        <v>20</v>
      </c>
      <c r="J21" s="4" t="s">
        <v>21</v>
      </c>
      <c r="K21" s="20">
        <f>C21/D21</f>
        <v>83.333333333333329</v>
      </c>
      <c r="L21" s="11">
        <f>PMT(F21/100/12, 300, -(C21 *
(1 - G21/100)))</f>
        <v>1184.3330141524777</v>
      </c>
      <c r="M21" s="11">
        <f t="shared" si="0"/>
        <v>160549.9042457433</v>
      </c>
      <c r="N21" s="11">
        <f t="shared" si="1"/>
        <v>355299.9042457433</v>
      </c>
      <c r="O21">
        <f t="shared" si="2"/>
        <v>194750</v>
      </c>
      <c r="P21">
        <v>984.30359999999996</v>
      </c>
      <c r="R21" t="str">
        <f t="shared" si="3"/>
        <v>1</v>
      </c>
      <c r="S21">
        <f t="shared" si="4"/>
        <v>984.33999999999992</v>
      </c>
    </row>
    <row r="22" spans="1:19">
      <c r="A22" s="6" t="s">
        <v>35</v>
      </c>
      <c r="B22" s="6" t="s">
        <v>17</v>
      </c>
      <c r="C22" s="6">
        <v>180000</v>
      </c>
      <c r="D22" s="6">
        <v>2160</v>
      </c>
      <c r="E22" s="6">
        <v>2023</v>
      </c>
      <c r="F22" s="6">
        <v>6.4</v>
      </c>
      <c r="G22" s="6" t="s">
        <v>31</v>
      </c>
      <c r="H22" s="6" t="s">
        <v>25</v>
      </c>
      <c r="I22" s="6" t="s">
        <v>20</v>
      </c>
      <c r="J22" s="6" t="s">
        <v>21</v>
      </c>
      <c r="K22" s="20">
        <f>C22/D22</f>
        <v>83.333333333333329</v>
      </c>
      <c r="L22" s="11">
        <f>PMT(F22/100/12, 300, -(C22 *
(1 - G22/100)))</f>
        <v>1107.8174277907185</v>
      </c>
      <c r="M22" s="11">
        <f t="shared" si="0"/>
        <v>166745.22833721561</v>
      </c>
      <c r="N22" s="11">
        <f t="shared" si="1"/>
        <v>332345.22833721561</v>
      </c>
      <c r="O22">
        <f t="shared" si="2"/>
        <v>165600</v>
      </c>
      <c r="P22">
        <v>864.30359999999996</v>
      </c>
      <c r="R22" t="str">
        <f t="shared" si="3"/>
        <v>1</v>
      </c>
      <c r="S22">
        <f t="shared" si="4"/>
        <v>864.33999999999992</v>
      </c>
    </row>
    <row r="23" spans="1:19">
      <c r="A23" s="6" t="s">
        <v>35</v>
      </c>
      <c r="B23" s="6" t="s">
        <v>17</v>
      </c>
      <c r="C23" s="6">
        <v>190000</v>
      </c>
      <c r="D23" s="6">
        <v>2280</v>
      </c>
      <c r="E23" s="6">
        <v>2024</v>
      </c>
      <c r="F23" s="6">
        <v>5.4</v>
      </c>
      <c r="G23" s="6" t="s">
        <v>31</v>
      </c>
      <c r="H23" s="6" t="s">
        <v>25</v>
      </c>
      <c r="I23" s="6" t="s">
        <v>20</v>
      </c>
      <c r="J23" s="6" t="s">
        <v>21</v>
      </c>
      <c r="K23" s="20">
        <f>C23/D23</f>
        <v>83.333333333333329</v>
      </c>
      <c r="L23" s="11">
        <f>PMT(F23/100/12, 300, -(C23 *
(1 - G23/100)))</f>
        <v>1063.0110956295409</v>
      </c>
      <c r="M23" s="11">
        <f t="shared" si="0"/>
        <v>144103.3286888623</v>
      </c>
      <c r="N23" s="11">
        <f t="shared" si="1"/>
        <v>318903.32868886227</v>
      </c>
      <c r="O23">
        <f t="shared" si="2"/>
        <v>174800</v>
      </c>
      <c r="P23">
        <v>912.30359999999996</v>
      </c>
      <c r="R23" t="str">
        <f t="shared" si="3"/>
        <v>1</v>
      </c>
      <c r="S23">
        <f t="shared" si="4"/>
        <v>912.33999999999992</v>
      </c>
    </row>
    <row r="24" spans="1:19">
      <c r="A24" s="4" t="s">
        <v>35</v>
      </c>
      <c r="B24" s="4" t="s">
        <v>17</v>
      </c>
      <c r="C24" s="4">
        <v>182000</v>
      </c>
      <c r="D24" s="4">
        <v>2180</v>
      </c>
      <c r="E24" s="4">
        <v>2024</v>
      </c>
      <c r="F24" s="4">
        <v>5.4</v>
      </c>
      <c r="G24" s="4" t="s">
        <v>31</v>
      </c>
      <c r="H24" s="4" t="s">
        <v>25</v>
      </c>
      <c r="I24" s="4" t="s">
        <v>20</v>
      </c>
      <c r="J24" s="4" t="s">
        <v>21</v>
      </c>
      <c r="K24" s="20">
        <f>C24/D24</f>
        <v>83.486238532110093</v>
      </c>
      <c r="L24" s="11">
        <f>PMT(F24/100/12, 300, -(C24 *
(1 - G24/100)))</f>
        <v>1018.2527337082971</v>
      </c>
      <c r="M24" s="11">
        <f t="shared" si="0"/>
        <v>138035.82011248913</v>
      </c>
      <c r="N24" s="11">
        <f t="shared" si="1"/>
        <v>305475.82011248916</v>
      </c>
      <c r="O24">
        <f t="shared" si="2"/>
        <v>167440</v>
      </c>
      <c r="P24">
        <v>872.30359340659334</v>
      </c>
      <c r="R24" t="str">
        <f t="shared" si="3"/>
        <v>1</v>
      </c>
      <c r="S24">
        <f t="shared" si="4"/>
        <v>872.33992673992668</v>
      </c>
    </row>
    <row r="25" spans="1:19">
      <c r="A25" s="4" t="s">
        <v>35</v>
      </c>
      <c r="B25" s="4" t="s">
        <v>17</v>
      </c>
      <c r="C25" s="4">
        <v>188000</v>
      </c>
      <c r="D25" s="4">
        <v>2250</v>
      </c>
      <c r="E25" s="4">
        <v>2024</v>
      </c>
      <c r="F25" s="4">
        <v>5.4</v>
      </c>
      <c r="G25" s="4" t="s">
        <v>31</v>
      </c>
      <c r="H25" s="4" t="s">
        <v>25</v>
      </c>
      <c r="I25" s="4" t="s">
        <v>20</v>
      </c>
      <c r="J25" s="4" t="s">
        <v>21</v>
      </c>
      <c r="K25" s="20">
        <f>C25/D25</f>
        <v>83.555555555555557</v>
      </c>
      <c r="L25" s="11">
        <f>PMT(F25/100/12, 300, -(C25 *
(1 - G25/100)))</f>
        <v>1051.82150514923</v>
      </c>
      <c r="M25" s="11">
        <f t="shared" si="0"/>
        <v>142586.45154476902</v>
      </c>
      <c r="N25" s="11">
        <f t="shared" si="1"/>
        <v>315546.45154476899</v>
      </c>
      <c r="O25">
        <f t="shared" si="2"/>
        <v>172960</v>
      </c>
      <c r="P25">
        <v>900.30359042553187</v>
      </c>
      <c r="R25" t="str">
        <f t="shared" si="3"/>
        <v>1</v>
      </c>
      <c r="S25">
        <f t="shared" si="4"/>
        <v>900.33989361702118</v>
      </c>
    </row>
    <row r="26" spans="1:19">
      <c r="A26" s="6" t="s">
        <v>35</v>
      </c>
      <c r="B26" s="6" t="s">
        <v>17</v>
      </c>
      <c r="C26" s="6">
        <v>180000</v>
      </c>
      <c r="D26" s="6">
        <v>2150</v>
      </c>
      <c r="E26" s="6">
        <v>2024</v>
      </c>
      <c r="F26" s="6">
        <v>5.4</v>
      </c>
      <c r="G26" s="6">
        <v>8</v>
      </c>
      <c r="H26" s="6" t="s">
        <v>25</v>
      </c>
      <c r="I26" s="6" t="s">
        <v>20</v>
      </c>
      <c r="J26" s="6" t="s">
        <v>21</v>
      </c>
      <c r="K26" s="20">
        <f>C26/D26</f>
        <v>83.720930232558146</v>
      </c>
      <c r="L26" s="11">
        <f>PMT(F26/100/12, 300, -(C26 *
(1 - G26/100)))</f>
        <v>1007.0631432279862</v>
      </c>
      <c r="M26" s="11">
        <f t="shared" si="0"/>
        <v>136518.94296839586</v>
      </c>
      <c r="N26" s="11">
        <f t="shared" si="1"/>
        <v>302118.94296839589</v>
      </c>
      <c r="O26">
        <f t="shared" si="2"/>
        <v>165600</v>
      </c>
      <c r="P26">
        <v>860.30358333333334</v>
      </c>
      <c r="R26" t="str">
        <f t="shared" si="3"/>
        <v>1</v>
      </c>
      <c r="S26">
        <f t="shared" si="4"/>
        <v>860.33981481481476</v>
      </c>
    </row>
    <row r="27" spans="1:19">
      <c r="A27" s="6" t="s">
        <v>35</v>
      </c>
      <c r="B27" s="6" t="s">
        <v>17</v>
      </c>
      <c r="C27" s="6">
        <v>166000</v>
      </c>
      <c r="D27" s="6">
        <v>1980</v>
      </c>
      <c r="E27" s="6">
        <v>2023</v>
      </c>
      <c r="F27" s="6">
        <v>6.4</v>
      </c>
      <c r="G27" s="6" t="s">
        <v>31</v>
      </c>
      <c r="H27" s="6" t="s">
        <v>25</v>
      </c>
      <c r="I27" s="6" t="s">
        <v>20</v>
      </c>
      <c r="J27" s="6" t="s">
        <v>21</v>
      </c>
      <c r="K27" s="20">
        <f>C27/D27</f>
        <v>83.838383838383834</v>
      </c>
      <c r="L27" s="11">
        <f>PMT(F27/100/12, 300, -(C27 *
(1 - G27/100)))</f>
        <v>1021.6538500736627</v>
      </c>
      <c r="M27" s="11">
        <f t="shared" si="0"/>
        <v>153776.15502209886</v>
      </c>
      <c r="N27" s="11">
        <f t="shared" si="1"/>
        <v>306496.15502209886</v>
      </c>
      <c r="O27">
        <f t="shared" si="2"/>
        <v>152720</v>
      </c>
      <c r="P27">
        <v>792.30357831325296</v>
      </c>
      <c r="R27" t="str">
        <f t="shared" si="3"/>
        <v>1</v>
      </c>
      <c r="S27">
        <f t="shared" si="4"/>
        <v>792.33975903614453</v>
      </c>
    </row>
    <row r="28" spans="1:19">
      <c r="A28" s="4" t="s">
        <v>26</v>
      </c>
      <c r="B28" s="4" t="s">
        <v>17</v>
      </c>
      <c r="C28" s="4">
        <v>210000</v>
      </c>
      <c r="D28" s="4">
        <v>2500</v>
      </c>
      <c r="E28" s="4">
        <v>2024</v>
      </c>
      <c r="F28" s="4">
        <v>5.4</v>
      </c>
      <c r="G28" s="4" t="s">
        <v>36</v>
      </c>
      <c r="H28" s="4" t="s">
        <v>25</v>
      </c>
      <c r="I28" s="4" t="s">
        <v>20</v>
      </c>
      <c r="J28" s="4" t="s">
        <v>21</v>
      </c>
      <c r="K28" s="20">
        <f>C28/D28</f>
        <v>84</v>
      </c>
      <c r="L28" s="11">
        <f>PMT(F28/100/12, 300, -(C28 *
(1 - G28/100)))</f>
        <v>1213.2191852293674</v>
      </c>
      <c r="M28" s="11">
        <f t="shared" si="0"/>
        <v>164465.75556881024</v>
      </c>
      <c r="N28" s="11">
        <f t="shared" si="1"/>
        <v>363965.75556881027</v>
      </c>
      <c r="O28">
        <f t="shared" si="2"/>
        <v>199500</v>
      </c>
      <c r="P28">
        <v>1000.3035714285713</v>
      </c>
      <c r="R28" t="str">
        <f t="shared" si="3"/>
        <v>1</v>
      </c>
      <c r="S28">
        <f t="shared" si="4"/>
        <v>1000.3396825396825</v>
      </c>
    </row>
    <row r="29" spans="1:19">
      <c r="A29" s="6" t="s">
        <v>35</v>
      </c>
      <c r="B29" s="6" t="s">
        <v>17</v>
      </c>
      <c r="C29" s="6">
        <v>210000</v>
      </c>
      <c r="D29" s="6">
        <v>2500</v>
      </c>
      <c r="E29" s="6">
        <v>2024</v>
      </c>
      <c r="F29" s="6">
        <v>5.4</v>
      </c>
      <c r="G29" s="6" t="s">
        <v>31</v>
      </c>
      <c r="H29" s="6" t="s">
        <v>25</v>
      </c>
      <c r="I29" s="6" t="s">
        <v>20</v>
      </c>
      <c r="J29" s="6" t="s">
        <v>21</v>
      </c>
      <c r="K29" s="20">
        <f>C29/D29</f>
        <v>84</v>
      </c>
      <c r="L29" s="11">
        <f>PMT(F29/100/12, 300, -(C29 *
(1 - G29/100)))</f>
        <v>1174.9070004326504</v>
      </c>
      <c r="M29" s="11">
        <f t="shared" si="0"/>
        <v>159272.10012979517</v>
      </c>
      <c r="N29" s="11">
        <f t="shared" si="1"/>
        <v>352472.10012979514</v>
      </c>
      <c r="O29">
        <f t="shared" si="2"/>
        <v>193200</v>
      </c>
      <c r="P29">
        <v>1000.3035714285713</v>
      </c>
      <c r="R29" t="str">
        <f t="shared" si="3"/>
        <v>1</v>
      </c>
      <c r="S29">
        <f t="shared" si="4"/>
        <v>1000.3396825396825</v>
      </c>
    </row>
    <row r="30" spans="1:19">
      <c r="A30" s="6" t="s">
        <v>35</v>
      </c>
      <c r="B30" s="6" t="s">
        <v>17</v>
      </c>
      <c r="C30" s="6">
        <v>185000</v>
      </c>
      <c r="D30" s="6">
        <v>2200</v>
      </c>
      <c r="E30" s="6">
        <v>2023</v>
      </c>
      <c r="F30" s="6">
        <v>6.4</v>
      </c>
      <c r="G30" s="6" t="s">
        <v>36</v>
      </c>
      <c r="H30" s="6" t="s">
        <v>25</v>
      </c>
      <c r="I30" s="6" t="s">
        <v>20</v>
      </c>
      <c r="J30" s="6" t="s">
        <v>21</v>
      </c>
      <c r="K30" s="20">
        <f>C30/D30</f>
        <v>84.090909090909093</v>
      </c>
      <c r="L30" s="11">
        <f>PMT(F30/100/12, 300, -(C30 *
(1 - G30/100)))</f>
        <v>1175.7180732742681</v>
      </c>
      <c r="M30" s="11">
        <f t="shared" si="0"/>
        <v>176965.42198228047</v>
      </c>
      <c r="N30" s="11">
        <f t="shared" si="1"/>
        <v>352715.42198228044</v>
      </c>
      <c r="O30">
        <f t="shared" si="2"/>
        <v>175750</v>
      </c>
      <c r="P30">
        <v>880.30356756756748</v>
      </c>
      <c r="R30" t="str">
        <f t="shared" si="3"/>
        <v>1</v>
      </c>
      <c r="S30">
        <f t="shared" si="4"/>
        <v>880.33963963963959</v>
      </c>
    </row>
    <row r="31" spans="1:19">
      <c r="A31" s="6" t="s">
        <v>35</v>
      </c>
      <c r="B31" s="6" t="s">
        <v>17</v>
      </c>
      <c r="C31" s="6">
        <v>185000</v>
      </c>
      <c r="D31" s="6">
        <v>2200</v>
      </c>
      <c r="E31" s="6">
        <v>2024</v>
      </c>
      <c r="F31" s="6">
        <v>5.4</v>
      </c>
      <c r="G31" s="6" t="s">
        <v>31</v>
      </c>
      <c r="H31" s="6" t="s">
        <v>25</v>
      </c>
      <c r="I31" s="6" t="s">
        <v>20</v>
      </c>
      <c r="J31" s="6" t="s">
        <v>21</v>
      </c>
      <c r="K31" s="20">
        <f>C31/D31</f>
        <v>84.090909090909093</v>
      </c>
      <c r="L31" s="11">
        <f>PMT(F31/100/12, 300, -(C31 *
(1 - G31/100)))</f>
        <v>1035.0371194287636</v>
      </c>
      <c r="M31" s="11">
        <f t="shared" si="0"/>
        <v>140311.13582862908</v>
      </c>
      <c r="N31" s="11">
        <f t="shared" si="1"/>
        <v>310511.13582862908</v>
      </c>
      <c r="O31">
        <f t="shared" si="2"/>
        <v>170200</v>
      </c>
      <c r="P31">
        <v>880.30356756756748</v>
      </c>
      <c r="R31" t="str">
        <f t="shared" si="3"/>
        <v>1</v>
      </c>
      <c r="S31">
        <f t="shared" si="4"/>
        <v>880.33963963963959</v>
      </c>
    </row>
    <row r="32" spans="1:19">
      <c r="A32" s="6" t="s">
        <v>35</v>
      </c>
      <c r="B32" s="6" t="s">
        <v>17</v>
      </c>
      <c r="C32" s="6">
        <v>190000</v>
      </c>
      <c r="D32" s="6">
        <v>2250</v>
      </c>
      <c r="E32" s="6">
        <v>2024</v>
      </c>
      <c r="F32" s="6">
        <v>5.4</v>
      </c>
      <c r="G32" s="6" t="s">
        <v>31</v>
      </c>
      <c r="H32" s="6" t="s">
        <v>25</v>
      </c>
      <c r="I32" s="6" t="s">
        <v>20</v>
      </c>
      <c r="J32" s="6" t="s">
        <v>21</v>
      </c>
      <c r="K32" s="20">
        <f>C32/D32</f>
        <v>84.444444444444443</v>
      </c>
      <c r="L32" s="11">
        <f>PMT(F32/100/12, 300, -(C32 *
(1 - G32/100)))</f>
        <v>1063.0110956295409</v>
      </c>
      <c r="M32" s="11">
        <f t="shared" si="0"/>
        <v>144103.3286888623</v>
      </c>
      <c r="N32" s="11">
        <f t="shared" si="1"/>
        <v>318903.32868886227</v>
      </c>
      <c r="O32">
        <f t="shared" si="2"/>
        <v>174800</v>
      </c>
      <c r="P32">
        <v>900.3035526315789</v>
      </c>
      <c r="R32" t="str">
        <f t="shared" si="3"/>
        <v>1</v>
      </c>
      <c r="S32">
        <f t="shared" si="4"/>
        <v>900.33947368421047</v>
      </c>
    </row>
    <row r="33" spans="1:19">
      <c r="A33" s="4" t="s">
        <v>22</v>
      </c>
      <c r="B33" s="4" t="s">
        <v>17</v>
      </c>
      <c r="C33" s="4">
        <v>210000</v>
      </c>
      <c r="D33" s="4">
        <v>2480</v>
      </c>
      <c r="E33" s="4">
        <v>2024</v>
      </c>
      <c r="F33" s="4">
        <v>5.4</v>
      </c>
      <c r="G33" s="4" t="s">
        <v>36</v>
      </c>
      <c r="H33" s="4" t="s">
        <v>25</v>
      </c>
      <c r="I33" s="4" t="s">
        <v>20</v>
      </c>
      <c r="J33" s="4" t="s">
        <v>21</v>
      </c>
      <c r="K33" s="20">
        <f>C33/D33</f>
        <v>84.677419354838705</v>
      </c>
      <c r="L33" s="11">
        <f>PMT(F33/100/12, 300, -(C33 *
(1 - G33/100)))</f>
        <v>1213.2191852293674</v>
      </c>
      <c r="M33" s="11">
        <f t="shared" si="0"/>
        <v>164465.75556881024</v>
      </c>
      <c r="N33" s="11">
        <f t="shared" si="1"/>
        <v>363965.75556881027</v>
      </c>
      <c r="O33">
        <f t="shared" si="2"/>
        <v>199500</v>
      </c>
      <c r="P33">
        <v>992.30354285714282</v>
      </c>
      <c r="R33" t="str">
        <f t="shared" si="3"/>
        <v>1</v>
      </c>
      <c r="S33">
        <f t="shared" si="4"/>
        <v>992.33936507936505</v>
      </c>
    </row>
    <row r="34" spans="1:19">
      <c r="A34" s="4" t="s">
        <v>26</v>
      </c>
      <c r="B34" s="4" t="s">
        <v>17</v>
      </c>
      <c r="C34" s="4">
        <v>205000</v>
      </c>
      <c r="D34" s="4">
        <v>2420</v>
      </c>
      <c r="E34" s="4">
        <v>2023</v>
      </c>
      <c r="F34" s="4">
        <v>6.6</v>
      </c>
      <c r="G34" s="4" t="s">
        <v>36</v>
      </c>
      <c r="H34" s="4" t="s">
        <v>25</v>
      </c>
      <c r="I34" s="4" t="s">
        <v>20</v>
      </c>
      <c r="J34" s="4" t="s">
        <v>21</v>
      </c>
      <c r="K34" s="20">
        <f>C34/D34</f>
        <v>84.710743801652896</v>
      </c>
      <c r="L34" s="11">
        <f>PMT(F34/100/12, 300, -(C34 *
(1 - G34/100)))</f>
        <v>1327.1610712226784</v>
      </c>
      <c r="M34" s="11">
        <f t="shared" si="0"/>
        <v>203398.32136680343</v>
      </c>
      <c r="N34" s="11">
        <f t="shared" si="1"/>
        <v>398148.32136680343</v>
      </c>
      <c r="O34">
        <f t="shared" si="2"/>
        <v>194750</v>
      </c>
      <c r="P34">
        <v>968.3035414634146</v>
      </c>
      <c r="R34" t="str">
        <f t="shared" si="3"/>
        <v>1</v>
      </c>
      <c r="S34">
        <f t="shared" si="4"/>
        <v>968.33934959349585</v>
      </c>
    </row>
    <row r="35" spans="1:19">
      <c r="A35" s="4" t="s">
        <v>35</v>
      </c>
      <c r="B35" s="4" t="s">
        <v>17</v>
      </c>
      <c r="C35" s="4">
        <v>195000</v>
      </c>
      <c r="D35" s="4">
        <v>2300</v>
      </c>
      <c r="E35" s="4">
        <v>2023</v>
      </c>
      <c r="F35" s="4">
        <v>6.4</v>
      </c>
      <c r="G35" s="4" t="s">
        <v>31</v>
      </c>
      <c r="H35" s="4" t="s">
        <v>25</v>
      </c>
      <c r="I35" s="4" t="s">
        <v>20</v>
      </c>
      <c r="J35" s="4" t="s">
        <v>21</v>
      </c>
      <c r="K35" s="20">
        <f>C35/D35</f>
        <v>84.782608695652172</v>
      </c>
      <c r="L35" s="11">
        <f>PMT(F35/100/12, 300, -(C35 *
(1 - G35/100)))</f>
        <v>1200.1355467732785</v>
      </c>
      <c r="M35" s="11">
        <f t="shared" si="0"/>
        <v>180640.66403198353</v>
      </c>
      <c r="N35" s="11">
        <f t="shared" si="1"/>
        <v>360040.66403198353</v>
      </c>
      <c r="O35">
        <f t="shared" si="2"/>
        <v>179400</v>
      </c>
      <c r="P35">
        <v>920.30353846153844</v>
      </c>
      <c r="R35" t="str">
        <f t="shared" si="3"/>
        <v>1</v>
      </c>
      <c r="S35">
        <f t="shared" si="4"/>
        <v>920.33931623931619</v>
      </c>
    </row>
    <row r="36" spans="1:19">
      <c r="A36" s="6" t="s">
        <v>35</v>
      </c>
      <c r="B36" s="6" t="s">
        <v>17</v>
      </c>
      <c r="C36" s="6">
        <v>195000</v>
      </c>
      <c r="D36" s="6">
        <v>2300</v>
      </c>
      <c r="E36" s="6">
        <v>2024</v>
      </c>
      <c r="F36" s="6">
        <v>5.4</v>
      </c>
      <c r="G36" s="6" t="s">
        <v>31</v>
      </c>
      <c r="H36" s="6" t="s">
        <v>25</v>
      </c>
      <c r="I36" s="6" t="s">
        <v>20</v>
      </c>
      <c r="J36" s="6" t="s">
        <v>21</v>
      </c>
      <c r="K36" s="20">
        <f>C36/D36</f>
        <v>84.782608695652172</v>
      </c>
      <c r="L36" s="11">
        <f>PMT(F36/100/12, 300, -(C36 *
(1 - G36/100)))</f>
        <v>1090.9850718303185</v>
      </c>
      <c r="M36" s="11">
        <f t="shared" si="0"/>
        <v>147895.52154909552</v>
      </c>
      <c r="N36" s="11">
        <f t="shared" si="1"/>
        <v>327295.52154909552</v>
      </c>
      <c r="O36">
        <f t="shared" si="2"/>
        <v>179400</v>
      </c>
      <c r="P36">
        <v>920.30353846153844</v>
      </c>
      <c r="R36" t="str">
        <f t="shared" si="3"/>
        <v>1</v>
      </c>
      <c r="S36">
        <f t="shared" si="4"/>
        <v>920.33931623931619</v>
      </c>
    </row>
    <row r="37" spans="1:19">
      <c r="A37" s="4" t="s">
        <v>22</v>
      </c>
      <c r="B37" s="4" t="s">
        <v>17</v>
      </c>
      <c r="C37" s="4">
        <v>212000</v>
      </c>
      <c r="D37" s="4">
        <v>2500</v>
      </c>
      <c r="E37" s="4">
        <v>2023</v>
      </c>
      <c r="F37" s="4">
        <v>6.4</v>
      </c>
      <c r="G37" s="4" t="s">
        <v>36</v>
      </c>
      <c r="H37" s="4" t="s">
        <v>25</v>
      </c>
      <c r="I37" s="4" t="s">
        <v>20</v>
      </c>
      <c r="J37" s="4" t="s">
        <v>21</v>
      </c>
      <c r="K37" s="20">
        <f>C37/D37</f>
        <v>84.8</v>
      </c>
      <c r="L37" s="11">
        <f>PMT(F37/100/12, 300, -(C37 *
(1 - G37/100)))</f>
        <v>1347.3093596440262</v>
      </c>
      <c r="M37" s="11">
        <f t="shared" si="0"/>
        <v>202792.80789320791</v>
      </c>
      <c r="N37" s="11">
        <f t="shared" si="1"/>
        <v>404192.80789320788</v>
      </c>
      <c r="O37">
        <f t="shared" si="2"/>
        <v>201400</v>
      </c>
      <c r="P37">
        <v>1000.303537735849</v>
      </c>
      <c r="R37" t="str">
        <f t="shared" si="3"/>
        <v>1</v>
      </c>
      <c r="S37">
        <f t="shared" si="4"/>
        <v>1000.3393081761005</v>
      </c>
    </row>
    <row r="38" spans="1:19">
      <c r="A38" s="6" t="s">
        <v>35</v>
      </c>
      <c r="B38" s="6" t="s">
        <v>17</v>
      </c>
      <c r="C38" s="6">
        <v>200000</v>
      </c>
      <c r="D38" s="6">
        <v>2350</v>
      </c>
      <c r="E38" s="6">
        <v>2023</v>
      </c>
      <c r="F38" s="6">
        <v>6.4</v>
      </c>
      <c r="G38" s="6" t="s">
        <v>36</v>
      </c>
      <c r="H38" s="6" t="s">
        <v>25</v>
      </c>
      <c r="I38" s="6" t="s">
        <v>20</v>
      </c>
      <c r="J38" s="6" t="s">
        <v>21</v>
      </c>
      <c r="K38" s="20">
        <f>C38/D38</f>
        <v>85.106382978723403</v>
      </c>
      <c r="L38" s="11">
        <f>PMT(F38/100/12, 300, -(C38 *
(1 - G38/100)))</f>
        <v>1271.0465657019113</v>
      </c>
      <c r="M38" s="11">
        <f t="shared" si="0"/>
        <v>191313.96971057344</v>
      </c>
      <c r="N38" s="11">
        <f t="shared" si="1"/>
        <v>381313.96971057344</v>
      </c>
      <c r="O38">
        <f t="shared" si="2"/>
        <v>190000</v>
      </c>
      <c r="P38">
        <v>940.30352499999992</v>
      </c>
      <c r="R38" t="str">
        <f t="shared" si="3"/>
        <v>1</v>
      </c>
      <c r="S38">
        <f t="shared" si="4"/>
        <v>940.33916666666664</v>
      </c>
    </row>
    <row r="39" spans="1:19">
      <c r="A39" s="6" t="s">
        <v>35</v>
      </c>
      <c r="B39" s="6" t="s">
        <v>17</v>
      </c>
      <c r="C39" s="6">
        <v>200000</v>
      </c>
      <c r="D39" s="6">
        <v>2350</v>
      </c>
      <c r="E39" s="6">
        <v>2024</v>
      </c>
      <c r="F39" s="6">
        <v>5.4</v>
      </c>
      <c r="G39" s="6" t="s">
        <v>31</v>
      </c>
      <c r="H39" s="6" t="s">
        <v>25</v>
      </c>
      <c r="I39" s="6" t="s">
        <v>20</v>
      </c>
      <c r="J39" s="6" t="s">
        <v>21</v>
      </c>
      <c r="K39" s="20">
        <f>C39/D39</f>
        <v>85.106382978723403</v>
      </c>
      <c r="L39" s="11">
        <f>PMT(F39/100/12, 300, -(C39 *
(1 - G39/100)))</f>
        <v>1118.9590480310958</v>
      </c>
      <c r="M39" s="11">
        <f t="shared" si="0"/>
        <v>151687.71440932879</v>
      </c>
      <c r="N39" s="11">
        <f t="shared" si="1"/>
        <v>335687.71440932876</v>
      </c>
      <c r="O39">
        <f t="shared" si="2"/>
        <v>184000</v>
      </c>
      <c r="P39">
        <v>940.30352499999992</v>
      </c>
      <c r="R39" t="str">
        <f t="shared" si="3"/>
        <v>1</v>
      </c>
      <c r="S39">
        <f t="shared" si="4"/>
        <v>940.33916666666664</v>
      </c>
    </row>
    <row r="40" spans="1:19">
      <c r="A40" s="6" t="s">
        <v>22</v>
      </c>
      <c r="B40" s="6" t="s">
        <v>17</v>
      </c>
      <c r="C40" s="6">
        <v>207000</v>
      </c>
      <c r="D40" s="6">
        <v>2430</v>
      </c>
      <c r="E40" s="6">
        <v>2023</v>
      </c>
      <c r="F40" s="6">
        <v>6.4</v>
      </c>
      <c r="G40" s="6" t="s">
        <v>36</v>
      </c>
      <c r="H40" s="6" t="s">
        <v>25</v>
      </c>
      <c r="I40" s="6" t="s">
        <v>20</v>
      </c>
      <c r="J40" s="6" t="s">
        <v>21</v>
      </c>
      <c r="K40" s="20">
        <f>C40/D40</f>
        <v>85.18518518518519</v>
      </c>
      <c r="L40" s="11">
        <f>PMT(F40/100/12, 300, -(C40 *
(1 - G40/100)))</f>
        <v>1315.5331955014783</v>
      </c>
      <c r="M40" s="11">
        <f t="shared" si="0"/>
        <v>198009.95865044359</v>
      </c>
      <c r="N40" s="11">
        <f t="shared" si="1"/>
        <v>394659.95865044359</v>
      </c>
      <c r="O40">
        <f t="shared" si="2"/>
        <v>196650</v>
      </c>
      <c r="P40">
        <v>972.30352173913036</v>
      </c>
      <c r="R40" t="str">
        <f t="shared" si="3"/>
        <v>1</v>
      </c>
      <c r="S40">
        <f t="shared" si="4"/>
        <v>972.33913043478253</v>
      </c>
    </row>
    <row r="41" spans="1:19">
      <c r="A41" s="6" t="s">
        <v>22</v>
      </c>
      <c r="B41" s="6" t="s">
        <v>17</v>
      </c>
      <c r="C41" s="6">
        <v>215000</v>
      </c>
      <c r="D41" s="6">
        <v>2520</v>
      </c>
      <c r="E41" s="6">
        <v>2024</v>
      </c>
      <c r="F41" s="6">
        <v>5.4</v>
      </c>
      <c r="G41" s="6" t="s">
        <v>36</v>
      </c>
      <c r="H41" s="6" t="s">
        <v>25</v>
      </c>
      <c r="I41" s="6" t="s">
        <v>20</v>
      </c>
      <c r="J41" s="6" t="s">
        <v>21</v>
      </c>
      <c r="K41" s="20">
        <f>C41/D41</f>
        <v>85.317460317460316</v>
      </c>
      <c r="L41" s="11">
        <f>PMT(F41/100/12, 300, -(C41 *
(1 - G41/100)))</f>
        <v>1242.1053563062569</v>
      </c>
      <c r="M41" s="11">
        <f t="shared" si="0"/>
        <v>168381.60689187711</v>
      </c>
      <c r="N41" s="11">
        <f t="shared" si="1"/>
        <v>372631.60689187713</v>
      </c>
      <c r="O41">
        <f t="shared" si="2"/>
        <v>204250</v>
      </c>
      <c r="P41">
        <v>1008.3035162790698</v>
      </c>
      <c r="R41" t="str">
        <f t="shared" si="3"/>
        <v>1</v>
      </c>
      <c r="S41">
        <f t="shared" si="4"/>
        <v>1008.3390697674419</v>
      </c>
    </row>
    <row r="42" spans="1:19">
      <c r="A42" s="6" t="s">
        <v>26</v>
      </c>
      <c r="B42" s="6" t="s">
        <v>17</v>
      </c>
      <c r="C42" s="6">
        <v>215000</v>
      </c>
      <c r="D42" s="6">
        <v>2520</v>
      </c>
      <c r="E42" s="6">
        <v>2023</v>
      </c>
      <c r="F42" s="6">
        <v>6.5</v>
      </c>
      <c r="G42" s="6" t="s">
        <v>36</v>
      </c>
      <c r="H42" s="6" t="s">
        <v>25</v>
      </c>
      <c r="I42" s="6" t="s">
        <v>20</v>
      </c>
      <c r="J42" s="6" t="s">
        <v>21</v>
      </c>
      <c r="K42" s="20">
        <f>C42/D42</f>
        <v>85.317460317460316</v>
      </c>
      <c r="L42" s="11">
        <f>PMT(F42/100/12, 300, -(C42 *
(1 - G42/100)))</f>
        <v>1379.1106270525538</v>
      </c>
      <c r="M42" s="11">
        <f t="shared" si="0"/>
        <v>209483.18811576618</v>
      </c>
      <c r="N42" s="11">
        <f t="shared" si="1"/>
        <v>413733.18811576616</v>
      </c>
      <c r="O42">
        <f t="shared" si="2"/>
        <v>204250</v>
      </c>
      <c r="P42">
        <v>1008.3035162790698</v>
      </c>
      <c r="R42" t="str">
        <f t="shared" si="3"/>
        <v>1</v>
      </c>
      <c r="S42">
        <f t="shared" si="4"/>
        <v>1008.3390697674419</v>
      </c>
    </row>
    <row r="43" spans="1:19">
      <c r="A43" s="4" t="s">
        <v>35</v>
      </c>
      <c r="B43" s="4" t="s">
        <v>17</v>
      </c>
      <c r="C43" s="4">
        <v>205000</v>
      </c>
      <c r="D43" s="4">
        <v>2400</v>
      </c>
      <c r="E43" s="4">
        <v>2024</v>
      </c>
      <c r="F43" s="4">
        <v>5.4</v>
      </c>
      <c r="G43" s="4" t="s">
        <v>31</v>
      </c>
      <c r="H43" s="4" t="s">
        <v>25</v>
      </c>
      <c r="I43" s="4" t="s">
        <v>20</v>
      </c>
      <c r="J43" s="4" t="s">
        <v>21</v>
      </c>
      <c r="K43" s="20">
        <f>C43/D43</f>
        <v>85.416666666666671</v>
      </c>
      <c r="L43" s="11">
        <f>PMT(F43/100/12, 300, -(C43 *
(1 - G43/100)))</f>
        <v>1146.9330242318731</v>
      </c>
      <c r="M43" s="11">
        <f t="shared" si="0"/>
        <v>155479.90726956195</v>
      </c>
      <c r="N43" s="11">
        <f t="shared" si="1"/>
        <v>344079.90726956195</v>
      </c>
      <c r="O43">
        <f t="shared" si="2"/>
        <v>188600</v>
      </c>
      <c r="P43">
        <v>960.30351219512193</v>
      </c>
      <c r="R43" t="str">
        <f t="shared" si="3"/>
        <v>1</v>
      </c>
      <c r="S43">
        <f t="shared" si="4"/>
        <v>960.33902439024382</v>
      </c>
    </row>
    <row r="44" spans="1:19">
      <c r="A44" s="4" t="s">
        <v>22</v>
      </c>
      <c r="B44" s="4" t="s">
        <v>17</v>
      </c>
      <c r="C44" s="4">
        <v>218000</v>
      </c>
      <c r="D44" s="4">
        <v>2550</v>
      </c>
      <c r="E44" s="4">
        <v>2023</v>
      </c>
      <c r="F44" s="4">
        <v>6.4</v>
      </c>
      <c r="G44" s="4" t="s">
        <v>36</v>
      </c>
      <c r="H44" s="4" t="s">
        <v>25</v>
      </c>
      <c r="I44" s="4" t="s">
        <v>20</v>
      </c>
      <c r="J44" s="4" t="s">
        <v>21</v>
      </c>
      <c r="K44" s="20">
        <f>C44/D44</f>
        <v>85.490196078431367</v>
      </c>
      <c r="L44" s="11">
        <f>PMT(F44/100/12, 300, -(C44 *
(1 - G44/100)))</f>
        <v>1385.4407566150835</v>
      </c>
      <c r="M44" s="11">
        <f t="shared" si="0"/>
        <v>208532.2269845251</v>
      </c>
      <c r="N44" s="11">
        <f t="shared" si="1"/>
        <v>415632.2269845251</v>
      </c>
      <c r="O44">
        <f t="shared" si="2"/>
        <v>207100</v>
      </c>
      <c r="P44">
        <v>1020.3035091743119</v>
      </c>
      <c r="R44" t="str">
        <f t="shared" si="3"/>
        <v>1</v>
      </c>
      <c r="S44">
        <f t="shared" si="4"/>
        <v>1020.338990825688</v>
      </c>
    </row>
    <row r="45" spans="1:19">
      <c r="A45" s="6" t="s">
        <v>35</v>
      </c>
      <c r="B45" s="6" t="s">
        <v>17</v>
      </c>
      <c r="C45" s="6">
        <v>185000</v>
      </c>
      <c r="D45" s="6">
        <v>2160</v>
      </c>
      <c r="E45" s="6">
        <v>2023</v>
      </c>
      <c r="F45" s="6">
        <v>6.4</v>
      </c>
      <c r="G45" s="6" t="s">
        <v>31</v>
      </c>
      <c r="H45" s="6" t="s">
        <v>25</v>
      </c>
      <c r="I45" s="6" t="s">
        <v>20</v>
      </c>
      <c r="J45" s="6" t="s">
        <v>21</v>
      </c>
      <c r="K45" s="20">
        <f>C45/D45</f>
        <v>85.648148148148152</v>
      </c>
      <c r="L45" s="11">
        <f>PMT(F45/100/12, 300, -(C45 *
(1 - G45/100)))</f>
        <v>1138.5901341182387</v>
      </c>
      <c r="M45" s="11">
        <f t="shared" si="0"/>
        <v>171377.04023547159</v>
      </c>
      <c r="N45" s="11">
        <f t="shared" si="1"/>
        <v>341577.04023547156</v>
      </c>
      <c r="O45">
        <f t="shared" si="2"/>
        <v>170200</v>
      </c>
      <c r="P45">
        <v>864.30350270270264</v>
      </c>
      <c r="R45" t="str">
        <f t="shared" si="3"/>
        <v>1</v>
      </c>
      <c r="S45">
        <f t="shared" si="4"/>
        <v>864.33891891891892</v>
      </c>
    </row>
    <row r="46" spans="1:19">
      <c r="A46" s="6" t="s">
        <v>35</v>
      </c>
      <c r="B46" s="6" t="s">
        <v>17</v>
      </c>
      <c r="C46" s="6">
        <v>210000</v>
      </c>
      <c r="D46" s="6">
        <v>2450</v>
      </c>
      <c r="E46" s="6">
        <v>2024</v>
      </c>
      <c r="F46" s="6">
        <v>5.4</v>
      </c>
      <c r="G46" s="6" t="s">
        <v>31</v>
      </c>
      <c r="H46" s="6" t="s">
        <v>25</v>
      </c>
      <c r="I46" s="6" t="s">
        <v>20</v>
      </c>
      <c r="J46" s="6" t="s">
        <v>21</v>
      </c>
      <c r="K46" s="20">
        <f>C46/D46</f>
        <v>85.714285714285708</v>
      </c>
      <c r="L46" s="11">
        <f>PMT(F46/100/12, 300, -(C46 *
(1 - G46/100)))</f>
        <v>1174.9070004326504</v>
      </c>
      <c r="M46" s="11">
        <f t="shared" si="0"/>
        <v>159272.10012979517</v>
      </c>
      <c r="N46" s="11">
        <f t="shared" si="1"/>
        <v>352472.10012979514</v>
      </c>
      <c r="O46">
        <f t="shared" si="2"/>
        <v>193200</v>
      </c>
      <c r="P46">
        <v>980.30349999999999</v>
      </c>
      <c r="R46" t="str">
        <f t="shared" si="3"/>
        <v>1</v>
      </c>
      <c r="S46">
        <f t="shared" si="4"/>
        <v>980.33888888888885</v>
      </c>
    </row>
    <row r="47" spans="1:19">
      <c r="A47" s="6" t="s">
        <v>26</v>
      </c>
      <c r="B47" s="6" t="s">
        <v>17</v>
      </c>
      <c r="C47" s="6">
        <v>210000</v>
      </c>
      <c r="D47" s="6">
        <v>2450</v>
      </c>
      <c r="E47" s="6">
        <v>2024</v>
      </c>
      <c r="F47" s="6">
        <v>5.4</v>
      </c>
      <c r="G47" s="6" t="s">
        <v>36</v>
      </c>
      <c r="H47" s="6" t="s">
        <v>25</v>
      </c>
      <c r="I47" s="6" t="s">
        <v>20</v>
      </c>
      <c r="J47" s="6" t="s">
        <v>21</v>
      </c>
      <c r="K47" s="20">
        <f>C47/D47</f>
        <v>85.714285714285708</v>
      </c>
      <c r="L47" s="11">
        <f>PMT(F47/100/12, 300, -(C47 *
(1 - G47/100)))</f>
        <v>1213.2191852293674</v>
      </c>
      <c r="M47" s="11">
        <f t="shared" si="0"/>
        <v>164465.75556881024</v>
      </c>
      <c r="N47" s="11">
        <f t="shared" si="1"/>
        <v>363965.75556881027</v>
      </c>
      <c r="O47">
        <f t="shared" si="2"/>
        <v>199500</v>
      </c>
      <c r="P47">
        <v>980.30349999999999</v>
      </c>
      <c r="R47" t="str">
        <f t="shared" si="3"/>
        <v>1</v>
      </c>
      <c r="S47">
        <f t="shared" si="4"/>
        <v>980.33888888888885</v>
      </c>
    </row>
    <row r="48" spans="1:19">
      <c r="A48" s="4" t="s">
        <v>26</v>
      </c>
      <c r="B48" s="4" t="s">
        <v>17</v>
      </c>
      <c r="C48" s="4">
        <v>220000</v>
      </c>
      <c r="D48" s="4">
        <v>2550</v>
      </c>
      <c r="E48" s="4">
        <v>2024</v>
      </c>
      <c r="F48" s="4">
        <v>5.4</v>
      </c>
      <c r="G48" s="4" t="s">
        <v>36</v>
      </c>
      <c r="H48" s="4" t="s">
        <v>25</v>
      </c>
      <c r="I48" s="4" t="s">
        <v>20</v>
      </c>
      <c r="J48" s="4" t="s">
        <v>21</v>
      </c>
      <c r="K48" s="20">
        <f>C48/D48</f>
        <v>86.274509803921575</v>
      </c>
      <c r="L48" s="11">
        <f>PMT(F48/100/12, 300, -(C48 *
(1 - G48/100)))</f>
        <v>1270.9915273831468</v>
      </c>
      <c r="M48" s="11">
        <f t="shared" si="0"/>
        <v>172297.45821494405</v>
      </c>
      <c r="N48" s="11">
        <f t="shared" si="1"/>
        <v>381297.45821494405</v>
      </c>
      <c r="O48">
        <f t="shared" si="2"/>
        <v>209000</v>
      </c>
      <c r="P48">
        <v>1020.3034772727273</v>
      </c>
      <c r="R48" t="str">
        <f t="shared" si="3"/>
        <v>1</v>
      </c>
      <c r="S48">
        <f t="shared" si="4"/>
        <v>1020.3386363636363</v>
      </c>
    </row>
    <row r="49" spans="1:19">
      <c r="A49" s="4" t="s">
        <v>35</v>
      </c>
      <c r="B49" s="4" t="s">
        <v>17</v>
      </c>
      <c r="C49" s="4">
        <v>185000</v>
      </c>
      <c r="D49" s="4">
        <v>2140</v>
      </c>
      <c r="E49" s="4">
        <v>2024</v>
      </c>
      <c r="F49" s="4">
        <v>5.4</v>
      </c>
      <c r="G49" s="4" t="s">
        <v>31</v>
      </c>
      <c r="H49" s="4" t="s">
        <v>25</v>
      </c>
      <c r="I49" s="4" t="s">
        <v>20</v>
      </c>
      <c r="J49" s="4" t="s">
        <v>21</v>
      </c>
      <c r="K49" s="20">
        <f>C49/D49</f>
        <v>86.44859813084112</v>
      </c>
      <c r="L49" s="11">
        <f>PMT(F49/100/12, 300, -(C49 *
(1 - G49/100)))</f>
        <v>1035.0371194287636</v>
      </c>
      <c r="M49" s="11">
        <f t="shared" si="0"/>
        <v>140311.13582862908</v>
      </c>
      <c r="N49" s="11">
        <f t="shared" si="1"/>
        <v>310511.13582862908</v>
      </c>
      <c r="O49">
        <f t="shared" si="2"/>
        <v>170200</v>
      </c>
      <c r="P49">
        <v>856.30347027027028</v>
      </c>
      <c r="R49" t="str">
        <f t="shared" si="3"/>
        <v>1</v>
      </c>
      <c r="S49">
        <f t="shared" si="4"/>
        <v>856.33855855855847</v>
      </c>
    </row>
    <row r="50" spans="1:19">
      <c r="A50" s="4" t="s">
        <v>22</v>
      </c>
      <c r="B50" s="4" t="s">
        <v>17</v>
      </c>
      <c r="C50" s="4">
        <v>225000</v>
      </c>
      <c r="D50" s="4">
        <v>2600</v>
      </c>
      <c r="E50" s="4">
        <v>2024</v>
      </c>
      <c r="F50" s="4">
        <v>5.4</v>
      </c>
      <c r="G50" s="4" t="s">
        <v>36</v>
      </c>
      <c r="H50" s="4" t="s">
        <v>25</v>
      </c>
      <c r="I50" s="4" t="s">
        <v>20</v>
      </c>
      <c r="J50" s="4" t="s">
        <v>21</v>
      </c>
      <c r="K50" s="20">
        <f>C50/D50</f>
        <v>86.538461538461533</v>
      </c>
      <c r="L50" s="11">
        <f>PMT(F50/100/12, 300, -(C50 *
(1 - G50/100)))</f>
        <v>1299.8776984600365</v>
      </c>
      <c r="M50" s="11">
        <f t="shared" si="0"/>
        <v>176213.30953801097</v>
      </c>
      <c r="N50" s="11">
        <f t="shared" si="1"/>
        <v>389963.30953801097</v>
      </c>
      <c r="O50">
        <f t="shared" si="2"/>
        <v>213750</v>
      </c>
      <c r="P50">
        <v>1040.3034666666665</v>
      </c>
      <c r="R50" t="str">
        <f t="shared" si="3"/>
        <v>1</v>
      </c>
      <c r="S50">
        <f t="shared" si="4"/>
        <v>1040.3385185185184</v>
      </c>
    </row>
    <row r="51" spans="1:19">
      <c r="A51" s="6" t="s">
        <v>22</v>
      </c>
      <c r="B51" s="6" t="s">
        <v>17</v>
      </c>
      <c r="C51" s="6">
        <v>230000</v>
      </c>
      <c r="D51" s="6">
        <v>2650</v>
      </c>
      <c r="E51" s="6">
        <v>2023</v>
      </c>
      <c r="F51" s="6">
        <v>6.4</v>
      </c>
      <c r="G51" s="6" t="s">
        <v>36</v>
      </c>
      <c r="H51" s="6" t="s">
        <v>25</v>
      </c>
      <c r="I51" s="6" t="s">
        <v>20</v>
      </c>
      <c r="J51" s="6" t="s">
        <v>21</v>
      </c>
      <c r="K51" s="20">
        <f>C51/D51</f>
        <v>86.79245283018868</v>
      </c>
      <c r="L51" s="11">
        <f>PMT(F51/100/12, 300, -(C51 *
(1 - G51/100)))</f>
        <v>1461.7035505571982</v>
      </c>
      <c r="M51" s="11">
        <f t="shared" si="0"/>
        <v>220011.06516715951</v>
      </c>
      <c r="N51" s="11">
        <f t="shared" si="1"/>
        <v>438511.06516715954</v>
      </c>
      <c r="O51">
        <f t="shared" si="2"/>
        <v>218500</v>
      </c>
      <c r="P51">
        <v>1060.303456521739</v>
      </c>
      <c r="R51" t="str">
        <f t="shared" si="3"/>
        <v>1</v>
      </c>
      <c r="S51">
        <f t="shared" si="4"/>
        <v>1060.3384057971014</v>
      </c>
    </row>
    <row r="52" spans="1:19">
      <c r="A52" s="4" t="s">
        <v>26</v>
      </c>
      <c r="B52" s="4" t="s">
        <v>17</v>
      </c>
      <c r="C52" s="4">
        <v>230000</v>
      </c>
      <c r="D52" s="4">
        <v>2650</v>
      </c>
      <c r="E52" s="4">
        <v>2024</v>
      </c>
      <c r="F52" s="4">
        <v>5.4</v>
      </c>
      <c r="G52" s="4" t="s">
        <v>36</v>
      </c>
      <c r="H52" s="4" t="s">
        <v>25</v>
      </c>
      <c r="I52" s="4" t="s">
        <v>20</v>
      </c>
      <c r="J52" s="4" t="s">
        <v>21</v>
      </c>
      <c r="K52" s="20">
        <f>C52/D52</f>
        <v>86.79245283018868</v>
      </c>
      <c r="L52" s="11">
        <f>PMT(F52/100/12, 300, -(C52 *
(1 - G52/100)))</f>
        <v>1328.7638695369262</v>
      </c>
      <c r="M52" s="11">
        <f t="shared" si="0"/>
        <v>180129.16086107795</v>
      </c>
      <c r="N52" s="11">
        <f t="shared" si="1"/>
        <v>398629.16086107795</v>
      </c>
      <c r="O52">
        <f t="shared" si="2"/>
        <v>218500</v>
      </c>
      <c r="P52">
        <v>1060.303456521739</v>
      </c>
      <c r="R52" t="str">
        <f t="shared" si="3"/>
        <v>1</v>
      </c>
      <c r="S52">
        <f t="shared" si="4"/>
        <v>1060.3384057971014</v>
      </c>
    </row>
    <row r="53" spans="1:19">
      <c r="A53" s="6" t="s">
        <v>26</v>
      </c>
      <c r="B53" s="6" t="s">
        <v>17</v>
      </c>
      <c r="C53" s="6">
        <v>235000</v>
      </c>
      <c r="D53" s="6">
        <v>2700</v>
      </c>
      <c r="E53" s="6">
        <v>2023</v>
      </c>
      <c r="F53" s="6">
        <v>6.5</v>
      </c>
      <c r="G53" s="6" t="s">
        <v>36</v>
      </c>
      <c r="H53" s="6" t="s">
        <v>25</v>
      </c>
      <c r="I53" s="6" t="s">
        <v>20</v>
      </c>
      <c r="J53" s="6" t="s">
        <v>21</v>
      </c>
      <c r="K53" s="20">
        <f>C53/D53</f>
        <v>87.037037037037038</v>
      </c>
      <c r="L53" s="11">
        <f>PMT(F53/100/12, 300, -(C53 *
(1 - G53/100)))</f>
        <v>1507.3999877086053</v>
      </c>
      <c r="M53" s="11">
        <f t="shared" si="0"/>
        <v>228969.99631258161</v>
      </c>
      <c r="N53" s="11">
        <f t="shared" si="1"/>
        <v>452219.99631258158</v>
      </c>
      <c r="O53">
        <f t="shared" si="2"/>
        <v>223250</v>
      </c>
      <c r="P53">
        <v>1080.3034468085107</v>
      </c>
      <c r="R53" t="str">
        <f t="shared" si="3"/>
        <v>1</v>
      </c>
      <c r="S53">
        <f t="shared" si="4"/>
        <v>1080.3382978723405</v>
      </c>
    </row>
    <row r="54" spans="1:19">
      <c r="A54" s="4" t="s">
        <v>22</v>
      </c>
      <c r="B54" s="4" t="s">
        <v>17</v>
      </c>
      <c r="C54" s="4">
        <v>218000</v>
      </c>
      <c r="D54" s="4">
        <v>2500</v>
      </c>
      <c r="E54" s="4">
        <v>2023</v>
      </c>
      <c r="F54" s="4">
        <v>6.4</v>
      </c>
      <c r="G54" s="4" t="s">
        <v>36</v>
      </c>
      <c r="H54" s="4" t="s">
        <v>25</v>
      </c>
      <c r="I54" s="4" t="s">
        <v>20</v>
      </c>
      <c r="J54" s="4" t="s">
        <v>21</v>
      </c>
      <c r="K54" s="20">
        <f>C54/D54</f>
        <v>87.2</v>
      </c>
      <c r="L54" s="11">
        <f>PMT(F54/100/12, 300, -(C54 *
(1 - G54/100)))</f>
        <v>1385.4407566150835</v>
      </c>
      <c r="M54" s="11">
        <f t="shared" si="0"/>
        <v>208532.2269845251</v>
      </c>
      <c r="N54" s="11">
        <f t="shared" si="1"/>
        <v>415632.2269845251</v>
      </c>
      <c r="O54">
        <f t="shared" si="2"/>
        <v>207100</v>
      </c>
      <c r="P54">
        <v>1000.3034403669724</v>
      </c>
      <c r="R54" t="str">
        <f t="shared" si="3"/>
        <v>1</v>
      </c>
      <c r="S54">
        <f t="shared" si="4"/>
        <v>1000.3382262996942</v>
      </c>
    </row>
    <row r="55" spans="1:19">
      <c r="A55" s="6" t="s">
        <v>22</v>
      </c>
      <c r="B55" s="6" t="s">
        <v>17</v>
      </c>
      <c r="C55" s="6">
        <v>220000</v>
      </c>
      <c r="D55" s="6">
        <v>2520</v>
      </c>
      <c r="E55" s="6">
        <v>2024</v>
      </c>
      <c r="F55" s="6">
        <v>5.4</v>
      </c>
      <c r="G55" s="6" t="s">
        <v>36</v>
      </c>
      <c r="H55" s="6" t="s">
        <v>25</v>
      </c>
      <c r="I55" s="6" t="s">
        <v>20</v>
      </c>
      <c r="J55" s="6" t="s">
        <v>21</v>
      </c>
      <c r="K55" s="20">
        <f>C55/D55</f>
        <v>87.301587301587304</v>
      </c>
      <c r="L55" s="11">
        <f>PMT(F55/100/12, 300, -(C55 *
(1 - G55/100)))</f>
        <v>1270.9915273831468</v>
      </c>
      <c r="M55" s="11">
        <f t="shared" si="0"/>
        <v>172297.45821494405</v>
      </c>
      <c r="N55" s="11">
        <f t="shared" si="1"/>
        <v>381297.45821494405</v>
      </c>
      <c r="O55">
        <f t="shared" si="2"/>
        <v>209000</v>
      </c>
      <c r="P55">
        <v>1008.3034363636364</v>
      </c>
      <c r="R55" t="str">
        <f t="shared" si="3"/>
        <v>1</v>
      </c>
      <c r="S55">
        <f t="shared" si="4"/>
        <v>1008.3381818181817</v>
      </c>
    </row>
    <row r="56" spans="1:19">
      <c r="A56" s="4" t="s">
        <v>22</v>
      </c>
      <c r="B56" s="4" t="s">
        <v>17</v>
      </c>
      <c r="C56" s="4">
        <v>235000</v>
      </c>
      <c r="D56" s="4">
        <v>2680</v>
      </c>
      <c r="E56" s="4">
        <v>2024</v>
      </c>
      <c r="F56" s="4">
        <v>5.4</v>
      </c>
      <c r="G56" s="4" t="s">
        <v>36</v>
      </c>
      <c r="H56" s="4" t="s">
        <v>25</v>
      </c>
      <c r="I56" s="4" t="s">
        <v>20</v>
      </c>
      <c r="J56" s="4" t="s">
        <v>21</v>
      </c>
      <c r="K56" s="20">
        <f>C56/D56</f>
        <v>87.68656716417911</v>
      </c>
      <c r="L56" s="11">
        <f>PMT(F56/100/12, 300, -(C56 *
(1 - G56/100)))</f>
        <v>1357.6500406138157</v>
      </c>
      <c r="M56" s="11">
        <f t="shared" si="0"/>
        <v>184045.01218414475</v>
      </c>
      <c r="N56" s="11">
        <f t="shared" si="1"/>
        <v>407295.01218414475</v>
      </c>
      <c r="O56">
        <f t="shared" si="2"/>
        <v>223250</v>
      </c>
      <c r="P56">
        <v>1072.3034212765956</v>
      </c>
      <c r="R56" t="str">
        <f t="shared" si="3"/>
        <v>1</v>
      </c>
      <c r="S56">
        <f t="shared" si="4"/>
        <v>1072.338014184397</v>
      </c>
    </row>
    <row r="57" spans="1:19">
      <c r="A57" s="4" t="s">
        <v>22</v>
      </c>
      <c r="B57" s="4" t="s">
        <v>17</v>
      </c>
      <c r="C57" s="4">
        <v>225000</v>
      </c>
      <c r="D57" s="4">
        <v>2550</v>
      </c>
      <c r="E57" s="4">
        <v>2023</v>
      </c>
      <c r="F57" s="4">
        <v>6.4</v>
      </c>
      <c r="G57" s="4" t="s">
        <v>36</v>
      </c>
      <c r="H57" s="4" t="s">
        <v>25</v>
      </c>
      <c r="I57" s="4" t="s">
        <v>20</v>
      </c>
      <c r="J57" s="4" t="s">
        <v>21</v>
      </c>
      <c r="K57" s="20">
        <f>C57/D57</f>
        <v>88.235294117647058</v>
      </c>
      <c r="L57" s="11">
        <f>PMT(F57/100/12, 300, -(C57 *
(1 - G57/100)))</f>
        <v>1429.9273864146505</v>
      </c>
      <c r="M57" s="11">
        <f t="shared" si="0"/>
        <v>215228.21592439522</v>
      </c>
      <c r="N57" s="11">
        <f t="shared" si="1"/>
        <v>428978.21592439525</v>
      </c>
      <c r="O57">
        <f t="shared" si="2"/>
        <v>213750</v>
      </c>
      <c r="P57">
        <v>1020.3034</v>
      </c>
      <c r="R57" t="str">
        <f t="shared" si="3"/>
        <v>1</v>
      </c>
      <c r="S57">
        <f t="shared" si="4"/>
        <v>1020.3377777777778</v>
      </c>
    </row>
    <row r="58" spans="1:19">
      <c r="A58" s="4" t="s">
        <v>26</v>
      </c>
      <c r="B58" s="4" t="s">
        <v>17</v>
      </c>
      <c r="C58" s="4">
        <v>220000</v>
      </c>
      <c r="D58" s="4">
        <v>2480</v>
      </c>
      <c r="E58" s="4">
        <v>2023</v>
      </c>
      <c r="F58" s="4">
        <v>6.5</v>
      </c>
      <c r="G58" s="4" t="s">
        <v>36</v>
      </c>
      <c r="H58" s="4" t="s">
        <v>25</v>
      </c>
      <c r="I58" s="4" t="s">
        <v>20</v>
      </c>
      <c r="J58" s="4" t="s">
        <v>21</v>
      </c>
      <c r="K58" s="20">
        <f>C58/D58</f>
        <v>88.709677419354833</v>
      </c>
      <c r="L58" s="11">
        <f>PMT(F58/100/12, 300, -(C58 *
(1 - G58/100)))</f>
        <v>1411.1829672165668</v>
      </c>
      <c r="M58" s="11">
        <f t="shared" si="0"/>
        <v>214354.89016496998</v>
      </c>
      <c r="N58" s="11">
        <f t="shared" si="1"/>
        <v>423354.89016496995</v>
      </c>
      <c r="O58">
        <f t="shared" si="2"/>
        <v>209000</v>
      </c>
      <c r="P58">
        <v>992.30338181818172</v>
      </c>
      <c r="R58" t="str">
        <f t="shared" si="3"/>
        <v>1</v>
      </c>
      <c r="S58">
        <f t="shared" si="4"/>
        <v>992.33757575757568</v>
      </c>
    </row>
    <row r="59" spans="1:19">
      <c r="A59" s="4" t="s">
        <v>22</v>
      </c>
      <c r="B59" s="4" t="s">
        <v>17</v>
      </c>
      <c r="C59" s="4">
        <v>245000</v>
      </c>
      <c r="D59" s="4">
        <v>2750</v>
      </c>
      <c r="E59" s="4">
        <v>2024</v>
      </c>
      <c r="F59" s="4">
        <v>5.4</v>
      </c>
      <c r="G59" s="4" t="s">
        <v>36</v>
      </c>
      <c r="H59" s="4" t="s">
        <v>25</v>
      </c>
      <c r="I59" s="4" t="s">
        <v>20</v>
      </c>
      <c r="J59" s="4" t="s">
        <v>21</v>
      </c>
      <c r="K59" s="20">
        <f>C59/D59</f>
        <v>89.090909090909093</v>
      </c>
      <c r="L59" s="11">
        <f>PMT(F59/100/12, 300, -(C59 *
(1 - G59/100)))</f>
        <v>1415.4223827675953</v>
      </c>
      <c r="M59" s="11">
        <f t="shared" si="0"/>
        <v>191876.71483027862</v>
      </c>
      <c r="N59" s="11">
        <f t="shared" si="1"/>
        <v>424626.71483027865</v>
      </c>
      <c r="O59">
        <f t="shared" si="2"/>
        <v>232750</v>
      </c>
      <c r="P59">
        <v>1100.3033673469388</v>
      </c>
      <c r="R59" t="str">
        <f t="shared" si="3"/>
        <v>1</v>
      </c>
      <c r="S59">
        <f t="shared" si="4"/>
        <v>1100.3374149659865</v>
      </c>
    </row>
    <row r="60" spans="1:19">
      <c r="A60" s="6" t="s">
        <v>22</v>
      </c>
      <c r="B60" s="6" t="s">
        <v>17</v>
      </c>
      <c r="C60" s="6">
        <v>250000</v>
      </c>
      <c r="D60" s="6">
        <v>2800</v>
      </c>
      <c r="E60" s="6">
        <v>2023</v>
      </c>
      <c r="F60" s="6">
        <v>6.4</v>
      </c>
      <c r="G60" s="6" t="s">
        <v>36</v>
      </c>
      <c r="H60" s="6" t="s">
        <v>25</v>
      </c>
      <c r="I60" s="6" t="s">
        <v>20</v>
      </c>
      <c r="J60" s="6" t="s">
        <v>21</v>
      </c>
      <c r="K60" s="20">
        <f>C60/D60</f>
        <v>89.285714285714292</v>
      </c>
      <c r="L60" s="11">
        <f>PMT(F60/100/12, 300, -(C60 *
(1 - G60/100)))</f>
        <v>1588.8082071273891</v>
      </c>
      <c r="M60" s="11">
        <f t="shared" si="0"/>
        <v>239142.46213821683</v>
      </c>
      <c r="N60" s="11">
        <f t="shared" si="1"/>
        <v>476642.46213821683</v>
      </c>
      <c r="O60">
        <f t="shared" si="2"/>
        <v>237500</v>
      </c>
      <c r="P60">
        <v>1120.3033599999999</v>
      </c>
      <c r="R60" t="str">
        <f t="shared" si="3"/>
        <v>1</v>
      </c>
      <c r="S60">
        <f t="shared" si="4"/>
        <v>1120.3373333333334</v>
      </c>
    </row>
    <row r="61" spans="1:19">
      <c r="A61" s="6" t="s">
        <v>35</v>
      </c>
      <c r="B61" s="6" t="s">
        <v>17</v>
      </c>
      <c r="C61" s="6">
        <v>168000</v>
      </c>
      <c r="D61" s="6">
        <v>1880</v>
      </c>
      <c r="E61" s="6">
        <v>2024</v>
      </c>
      <c r="F61" s="6">
        <v>5.3</v>
      </c>
      <c r="G61" s="6" t="s">
        <v>36</v>
      </c>
      <c r="H61" s="6" t="s">
        <v>25</v>
      </c>
      <c r="I61" s="6" t="s">
        <v>20</v>
      </c>
      <c r="J61" s="6" t="s">
        <v>21</v>
      </c>
      <c r="K61" s="20">
        <f>C61/D61</f>
        <v>89.361702127659569</v>
      </c>
      <c r="L61" s="11">
        <f>PMT(F61/100/12, 300, -(C61 *
(1 - G61/100)))</f>
        <v>961.11310922475559</v>
      </c>
      <c r="M61" s="11">
        <f t="shared" si="0"/>
        <v>128733.93276742662</v>
      </c>
      <c r="N61" s="11">
        <f t="shared" si="1"/>
        <v>288333.9327674266</v>
      </c>
      <c r="O61">
        <f t="shared" si="2"/>
        <v>159600</v>
      </c>
      <c r="P61">
        <v>752.30335714285707</v>
      </c>
      <c r="R61" t="str">
        <f t="shared" si="3"/>
        <v>1</v>
      </c>
      <c r="S61">
        <f t="shared" si="4"/>
        <v>752.33730158730157</v>
      </c>
    </row>
    <row r="62" spans="1:19">
      <c r="A62" s="4" t="s">
        <v>35</v>
      </c>
      <c r="B62" s="4" t="s">
        <v>17</v>
      </c>
      <c r="C62" s="4">
        <v>195000</v>
      </c>
      <c r="D62" s="4">
        <v>2180</v>
      </c>
      <c r="E62" s="4">
        <v>2024</v>
      </c>
      <c r="F62" s="4">
        <v>5.4</v>
      </c>
      <c r="G62" s="4" t="s">
        <v>31</v>
      </c>
      <c r="H62" s="4" t="s">
        <v>25</v>
      </c>
      <c r="I62" s="4" t="s">
        <v>20</v>
      </c>
      <c r="J62" s="4" t="s">
        <v>21</v>
      </c>
      <c r="K62" s="20">
        <f>C62/D62</f>
        <v>89.449541284403665</v>
      </c>
      <c r="L62" s="11">
        <f>PMT(F62/100/12, 300, -(C62 *
(1 - G62/100)))</f>
        <v>1090.9850718303185</v>
      </c>
      <c r="M62" s="11">
        <f t="shared" si="0"/>
        <v>147895.52154909552</v>
      </c>
      <c r="N62" s="11">
        <f t="shared" si="1"/>
        <v>327295.52154909552</v>
      </c>
      <c r="O62">
        <f t="shared" si="2"/>
        <v>179400</v>
      </c>
      <c r="P62">
        <v>872.30335384615375</v>
      </c>
      <c r="R62" t="str">
        <f t="shared" si="3"/>
        <v>1</v>
      </c>
      <c r="S62">
        <f t="shared" si="4"/>
        <v>872.33726495726489</v>
      </c>
    </row>
    <row r="63" spans="1:19">
      <c r="A63" s="4" t="s">
        <v>22</v>
      </c>
      <c r="B63" s="4" t="s">
        <v>17</v>
      </c>
      <c r="C63" s="4">
        <v>255000</v>
      </c>
      <c r="D63" s="4">
        <v>2850</v>
      </c>
      <c r="E63" s="4">
        <v>2023</v>
      </c>
      <c r="F63" s="4">
        <v>6.4</v>
      </c>
      <c r="G63" s="4" t="s">
        <v>36</v>
      </c>
      <c r="H63" s="4" t="s">
        <v>25</v>
      </c>
      <c r="I63" s="4" t="s">
        <v>20</v>
      </c>
      <c r="J63" s="4" t="s">
        <v>21</v>
      </c>
      <c r="K63" s="20">
        <f>C63/D63</f>
        <v>89.473684210526315</v>
      </c>
      <c r="L63" s="11">
        <f>PMT(F63/100/12, 300, -(C63 *
(1 - G63/100)))</f>
        <v>1620.584371269937</v>
      </c>
      <c r="M63" s="11">
        <f t="shared" si="0"/>
        <v>243925.31138098118</v>
      </c>
      <c r="N63" s="11">
        <f t="shared" si="1"/>
        <v>486175.31138098118</v>
      </c>
      <c r="O63">
        <f t="shared" si="2"/>
        <v>242250</v>
      </c>
      <c r="P63">
        <v>1140.3033529411764</v>
      </c>
      <c r="R63" t="str">
        <f t="shared" si="3"/>
        <v>1</v>
      </c>
      <c r="S63">
        <f t="shared" si="4"/>
        <v>1140.3372549019607</v>
      </c>
    </row>
    <row r="64" spans="1:19">
      <c r="A64" s="6" t="s">
        <v>30</v>
      </c>
      <c r="B64" s="6" t="s">
        <v>17</v>
      </c>
      <c r="C64" s="6">
        <v>270000</v>
      </c>
      <c r="D64" s="6">
        <v>2750</v>
      </c>
      <c r="E64" s="6">
        <v>2024</v>
      </c>
      <c r="F64" s="6">
        <v>5.4</v>
      </c>
      <c r="G64" s="6" t="s">
        <v>31</v>
      </c>
      <c r="H64" s="6" t="s">
        <v>25</v>
      </c>
      <c r="I64" s="6" t="s">
        <v>20</v>
      </c>
      <c r="J64" s="6" t="s">
        <v>21</v>
      </c>
      <c r="K64" s="20">
        <f>C64/D64</f>
        <v>98.181818181818187</v>
      </c>
      <c r="L64" s="11">
        <f>PMT(F64/100/12, 300, -(C64 *
(1 - G64/100)))</f>
        <v>1510.5947148419793</v>
      </c>
      <c r="M64" s="11">
        <f t="shared" si="0"/>
        <v>204778.41445259377</v>
      </c>
      <c r="N64" s="11">
        <f t="shared" si="1"/>
        <v>453178.41445259377</v>
      </c>
      <c r="O64">
        <f t="shared" si="2"/>
        <v>248400</v>
      </c>
      <c r="P64">
        <v>1100.3030555555556</v>
      </c>
      <c r="R64" t="str">
        <f t="shared" si="3"/>
        <v>1</v>
      </c>
      <c r="S64">
        <f t="shared" si="4"/>
        <v>1100.333950617284</v>
      </c>
    </row>
    <row r="65" spans="1:19">
      <c r="A65" s="6" t="s">
        <v>30</v>
      </c>
      <c r="B65" s="6" t="s">
        <v>17</v>
      </c>
      <c r="C65" s="6">
        <v>275000</v>
      </c>
      <c r="D65" s="6">
        <v>2800</v>
      </c>
      <c r="E65" s="6">
        <v>2024</v>
      </c>
      <c r="F65" s="6">
        <v>5.4</v>
      </c>
      <c r="G65" s="6" t="s">
        <v>31</v>
      </c>
      <c r="H65" s="6" t="s">
        <v>25</v>
      </c>
      <c r="I65" s="6" t="s">
        <v>20</v>
      </c>
      <c r="J65" s="6" t="s">
        <v>21</v>
      </c>
      <c r="K65" s="20">
        <f>C65/D65</f>
        <v>98.214285714285708</v>
      </c>
      <c r="L65" s="11">
        <f>PMT(F65/100/12, 300, -(C65 *
(1 - G65/100)))</f>
        <v>1538.5686910427567</v>
      </c>
      <c r="M65" s="11">
        <f t="shared" si="0"/>
        <v>208570.60731282708</v>
      </c>
      <c r="N65" s="11">
        <f t="shared" si="1"/>
        <v>461570.60731282708</v>
      </c>
      <c r="O65">
        <f t="shared" si="2"/>
        <v>253000</v>
      </c>
      <c r="P65">
        <v>1120.3030545454544</v>
      </c>
      <c r="R65" t="str">
        <f t="shared" si="3"/>
        <v>1</v>
      </c>
      <c r="S65">
        <f t="shared" si="4"/>
        <v>1120.3339393939393</v>
      </c>
    </row>
    <row r="66" spans="1:19">
      <c r="A66" s="6" t="s">
        <v>30</v>
      </c>
      <c r="B66" s="6" t="s">
        <v>17</v>
      </c>
      <c r="C66" s="6">
        <v>280000</v>
      </c>
      <c r="D66" s="6">
        <v>2850</v>
      </c>
      <c r="E66" s="6">
        <v>2024</v>
      </c>
      <c r="F66" s="6">
        <v>5.4</v>
      </c>
      <c r="G66" s="6" t="s">
        <v>31</v>
      </c>
      <c r="H66" s="6" t="s">
        <v>25</v>
      </c>
      <c r="I66" s="6" t="s">
        <v>20</v>
      </c>
      <c r="J66" s="6" t="s">
        <v>21</v>
      </c>
      <c r="K66" s="20">
        <f>C66/D66</f>
        <v>98.245614035087726</v>
      </c>
      <c r="L66" s="11">
        <f>PMT(F66/100/12, 300, -(C66 *
(1 - G66/100)))</f>
        <v>1566.542667243534</v>
      </c>
      <c r="M66" s="11">
        <f t="shared" si="0"/>
        <v>212362.80017306024</v>
      </c>
      <c r="N66" s="11">
        <f t="shared" si="1"/>
        <v>469962.80017306027</v>
      </c>
      <c r="O66">
        <f t="shared" si="2"/>
        <v>257600</v>
      </c>
      <c r="P66">
        <v>1140.3030535714286</v>
      </c>
      <c r="R66" t="str">
        <f t="shared" si="3"/>
        <v>1</v>
      </c>
      <c r="S66">
        <f t="shared" si="4"/>
        <v>1140.3339285714285</v>
      </c>
    </row>
    <row r="67" spans="1:19">
      <c r="A67" s="6" t="s">
        <v>30</v>
      </c>
      <c r="B67" s="6" t="s">
        <v>17</v>
      </c>
      <c r="C67" s="6">
        <v>282000</v>
      </c>
      <c r="D67" s="6">
        <v>2860</v>
      </c>
      <c r="E67" s="6">
        <v>2024</v>
      </c>
      <c r="F67" s="6">
        <v>5.4</v>
      </c>
      <c r="G67" s="6" t="s">
        <v>31</v>
      </c>
      <c r="H67" s="6" t="s">
        <v>25</v>
      </c>
      <c r="I67" s="6" t="s">
        <v>20</v>
      </c>
      <c r="J67" s="6" t="s">
        <v>21</v>
      </c>
      <c r="K67" s="20">
        <f>C67/D67</f>
        <v>98.6013986013986</v>
      </c>
      <c r="L67" s="11">
        <f>PMT(F67/100/12, 300, -(C67 *
(1 - G67/100)))</f>
        <v>1577.7322577238449</v>
      </c>
      <c r="M67" s="11">
        <f t="shared" ref="M67:M130" si="5">-CUMIPMT(F67/1200,300,O67,1,300,0)</f>
        <v>213879.67731715352</v>
      </c>
      <c r="N67" s="11">
        <f t="shared" ref="N67:N130" si="6">O67+M67</f>
        <v>473319.67731715355</v>
      </c>
      <c r="O67">
        <f t="shared" ref="O67:O130" si="7">C67*(1-G67/100)</f>
        <v>259440</v>
      </c>
      <c r="P67">
        <v>1144.3030425531915</v>
      </c>
      <c r="R67" t="str">
        <f t="shared" ref="R67:R130" si="8">IF(H67="A","4",IF(H67="B","3",IF(H67="C","2",IF(H67="D","1",0))))</f>
        <v>1</v>
      </c>
      <c r="S67">
        <f t="shared" ref="S67:S130" si="9">D67*0.4 +R67*0.3 +(1/(K67*0.3))</f>
        <v>1144.333806146572</v>
      </c>
    </row>
    <row r="68" spans="1:19">
      <c r="A68" s="4" t="s">
        <v>30</v>
      </c>
      <c r="B68" s="4" t="s">
        <v>17</v>
      </c>
      <c r="C68" s="4">
        <v>225000</v>
      </c>
      <c r="D68" s="4">
        <v>2250</v>
      </c>
      <c r="E68" s="4">
        <v>2024</v>
      </c>
      <c r="F68" s="4">
        <v>5.3</v>
      </c>
      <c r="G68" s="4" t="s">
        <v>31</v>
      </c>
      <c r="H68" s="4" t="s">
        <v>25</v>
      </c>
      <c r="I68" s="4" t="s">
        <v>20</v>
      </c>
      <c r="J68" s="4" t="s">
        <v>21</v>
      </c>
      <c r="K68" s="20">
        <f>C68/D68</f>
        <v>100</v>
      </c>
      <c r="L68" s="11">
        <f>PMT(F68/100/12, 300, -(C68 *
(1 - G68/100)))</f>
        <v>1246.5564762501529</v>
      </c>
      <c r="M68" s="11">
        <f t="shared" si="5"/>
        <v>166966.94287504588</v>
      </c>
      <c r="N68" s="11">
        <f t="shared" si="6"/>
        <v>373966.94287504588</v>
      </c>
      <c r="O68">
        <f t="shared" si="7"/>
        <v>207000</v>
      </c>
      <c r="P68">
        <v>900.303</v>
      </c>
      <c r="R68" t="str">
        <f t="shared" si="8"/>
        <v>1</v>
      </c>
      <c r="S68">
        <f t="shared" si="9"/>
        <v>900.33333333333326</v>
      </c>
    </row>
    <row r="69" spans="1:19">
      <c r="A69" s="4" t="s">
        <v>30</v>
      </c>
      <c r="B69" s="4" t="s">
        <v>17</v>
      </c>
      <c r="C69" s="4">
        <v>265000</v>
      </c>
      <c r="D69" s="4">
        <v>2650</v>
      </c>
      <c r="E69" s="4">
        <v>2024</v>
      </c>
      <c r="F69" s="4">
        <v>5.4</v>
      </c>
      <c r="G69" s="4" t="s">
        <v>31</v>
      </c>
      <c r="H69" s="4" t="s">
        <v>25</v>
      </c>
      <c r="I69" s="4" t="s">
        <v>20</v>
      </c>
      <c r="J69" s="4" t="s">
        <v>21</v>
      </c>
      <c r="K69" s="20">
        <f>C69/D69</f>
        <v>100</v>
      </c>
      <c r="L69" s="11">
        <f>PMT(F69/100/12, 300, -(C69 *
(1 - G69/100)))</f>
        <v>1482.6207386412018</v>
      </c>
      <c r="M69" s="11">
        <f t="shared" si="5"/>
        <v>200986.22159236055</v>
      </c>
      <c r="N69" s="11">
        <f t="shared" si="6"/>
        <v>444786.22159236053</v>
      </c>
      <c r="O69">
        <f t="shared" si="7"/>
        <v>243800</v>
      </c>
      <c r="P69">
        <v>1060.3029999999999</v>
      </c>
      <c r="R69" t="str">
        <f t="shared" si="8"/>
        <v>1</v>
      </c>
      <c r="S69">
        <f t="shared" si="9"/>
        <v>1060.3333333333333</v>
      </c>
    </row>
    <row r="70" spans="1:19">
      <c r="A70" s="4" t="s">
        <v>32</v>
      </c>
      <c r="B70" s="4" t="s">
        <v>17</v>
      </c>
      <c r="C70" s="4">
        <v>280000</v>
      </c>
      <c r="D70" s="4">
        <v>2800</v>
      </c>
      <c r="E70" s="4">
        <v>2024</v>
      </c>
      <c r="F70" s="4">
        <v>5.3</v>
      </c>
      <c r="G70" s="4" t="s">
        <v>40</v>
      </c>
      <c r="H70" s="4" t="s">
        <v>25</v>
      </c>
      <c r="I70" s="4" t="s">
        <v>20</v>
      </c>
      <c r="J70" s="4" t="s">
        <v>21</v>
      </c>
      <c r="K70" s="20">
        <f>C70/D70</f>
        <v>100</v>
      </c>
      <c r="L70" s="11">
        <f>PMT(F70/100/12, 300, -(C70 *
(1 - G70/100)))</f>
        <v>1568.1319150509171</v>
      </c>
      <c r="M70" s="11">
        <f t="shared" si="5"/>
        <v>210039.5745152751</v>
      </c>
      <c r="N70" s="11">
        <f t="shared" si="6"/>
        <v>470439.57451527508</v>
      </c>
      <c r="O70">
        <f t="shared" si="7"/>
        <v>260399.99999999997</v>
      </c>
      <c r="P70">
        <v>1120.3029999999999</v>
      </c>
      <c r="R70" t="str">
        <f t="shared" si="8"/>
        <v>1</v>
      </c>
      <c r="S70">
        <f t="shared" si="9"/>
        <v>1120.3333333333333</v>
      </c>
    </row>
    <row r="71" spans="1:19">
      <c r="A71" s="4" t="s">
        <v>30</v>
      </c>
      <c r="B71" s="4" t="s">
        <v>17</v>
      </c>
      <c r="C71" s="4">
        <v>262000</v>
      </c>
      <c r="D71" s="4">
        <v>2600</v>
      </c>
      <c r="E71" s="4">
        <v>2024</v>
      </c>
      <c r="F71" s="4">
        <v>5.4</v>
      </c>
      <c r="G71" s="4" t="s">
        <v>31</v>
      </c>
      <c r="H71" s="4" t="s">
        <v>25</v>
      </c>
      <c r="I71" s="4" t="s">
        <v>20</v>
      </c>
      <c r="J71" s="4" t="s">
        <v>21</v>
      </c>
      <c r="K71" s="20">
        <f>C71/D71</f>
        <v>100.76923076923077</v>
      </c>
      <c r="L71" s="11">
        <f>PMT(F71/100/12, 300, -(C71 *
(1 - G71/100)))</f>
        <v>1465.8363529207354</v>
      </c>
      <c r="M71" s="11">
        <f t="shared" si="5"/>
        <v>198710.90587622064</v>
      </c>
      <c r="N71" s="11">
        <f t="shared" si="6"/>
        <v>439750.90587622067</v>
      </c>
      <c r="O71">
        <f t="shared" si="7"/>
        <v>241040</v>
      </c>
      <c r="P71">
        <v>1040.3029770992366</v>
      </c>
      <c r="R71" t="str">
        <f t="shared" si="8"/>
        <v>1</v>
      </c>
      <c r="S71">
        <f t="shared" si="9"/>
        <v>1040.3330788804071</v>
      </c>
    </row>
    <row r="72" spans="1:19">
      <c r="A72" s="4" t="s">
        <v>32</v>
      </c>
      <c r="B72" s="4" t="s">
        <v>17</v>
      </c>
      <c r="C72" s="4">
        <v>278000</v>
      </c>
      <c r="D72" s="4">
        <v>2750</v>
      </c>
      <c r="E72" s="4">
        <v>2024</v>
      </c>
      <c r="F72" s="4">
        <v>5.3</v>
      </c>
      <c r="G72" s="4" t="s">
        <v>40</v>
      </c>
      <c r="H72" s="4" t="s">
        <v>25</v>
      </c>
      <c r="I72" s="4" t="s">
        <v>20</v>
      </c>
      <c r="J72" s="4" t="s">
        <v>21</v>
      </c>
      <c r="K72" s="20">
        <f>C72/D72</f>
        <v>101.09090909090909</v>
      </c>
      <c r="L72" s="11">
        <f>PMT(F72/100/12, 300, -(C72 *
(1 - G72/100)))</f>
        <v>1556.9309728005533</v>
      </c>
      <c r="M72" s="11">
        <f t="shared" si="5"/>
        <v>208539.29184016594</v>
      </c>
      <c r="N72" s="11">
        <f t="shared" si="6"/>
        <v>467079.29184016591</v>
      </c>
      <c r="O72">
        <f t="shared" si="7"/>
        <v>258539.99999999997</v>
      </c>
      <c r="P72">
        <v>1100.3029676258993</v>
      </c>
      <c r="R72" t="str">
        <f t="shared" si="8"/>
        <v>1</v>
      </c>
      <c r="S72">
        <f t="shared" si="9"/>
        <v>1100.3329736211031</v>
      </c>
    </row>
    <row r="73" spans="1:19">
      <c r="A73" s="6" t="s">
        <v>22</v>
      </c>
      <c r="B73" s="6" t="s">
        <v>23</v>
      </c>
      <c r="C73" s="6">
        <v>300000</v>
      </c>
      <c r="D73" s="6">
        <v>2950</v>
      </c>
      <c r="E73" s="6">
        <v>2024</v>
      </c>
      <c r="F73" s="6">
        <v>5.4</v>
      </c>
      <c r="G73" s="6" t="s">
        <v>24</v>
      </c>
      <c r="H73" s="6" t="s">
        <v>25</v>
      </c>
      <c r="I73" s="6" t="s">
        <v>20</v>
      </c>
      <c r="J73" s="6" t="s">
        <v>21</v>
      </c>
      <c r="K73" s="20">
        <f>C73/D73</f>
        <v>101.69491525423729</v>
      </c>
      <c r="L73" s="11">
        <f>PMT(F73/100/12, 300, -(C73 *
(1 - G73/100)))</f>
        <v>1641.9507770021514</v>
      </c>
      <c r="M73" s="11">
        <f t="shared" si="5"/>
        <v>222585.23310064548</v>
      </c>
      <c r="N73" s="11">
        <f t="shared" si="6"/>
        <v>492585.23310064548</v>
      </c>
      <c r="O73">
        <f t="shared" si="7"/>
        <v>270000</v>
      </c>
      <c r="P73">
        <v>1180.30295</v>
      </c>
      <c r="R73" t="str">
        <f t="shared" si="8"/>
        <v>1</v>
      </c>
      <c r="S73">
        <f t="shared" si="9"/>
        <v>1180.3327777777777</v>
      </c>
    </row>
    <row r="74" spans="1:19">
      <c r="A74" s="4" t="s">
        <v>26</v>
      </c>
      <c r="B74" s="4" t="s">
        <v>23</v>
      </c>
      <c r="C74" s="4">
        <v>300000</v>
      </c>
      <c r="D74" s="4">
        <v>2950</v>
      </c>
      <c r="E74" s="4">
        <v>2024</v>
      </c>
      <c r="F74" s="4">
        <v>5.5</v>
      </c>
      <c r="G74" s="4" t="s">
        <v>24</v>
      </c>
      <c r="H74" s="4" t="s">
        <v>25</v>
      </c>
      <c r="I74" s="4" t="s">
        <v>20</v>
      </c>
      <c r="J74" s="4" t="s">
        <v>21</v>
      </c>
      <c r="K74" s="20">
        <f>C74/D74</f>
        <v>101.69491525423729</v>
      </c>
      <c r="L74" s="11">
        <f>PMT(F74/100/12, 300, -(C74 *
(1 - G74/100)))</f>
        <v>1658.0362291599697</v>
      </c>
      <c r="M74" s="11">
        <f t="shared" si="5"/>
        <v>227410.86874799087</v>
      </c>
      <c r="N74" s="11">
        <f t="shared" si="6"/>
        <v>497410.86874799087</v>
      </c>
      <c r="O74">
        <f t="shared" si="7"/>
        <v>270000</v>
      </c>
      <c r="P74">
        <v>1180.30295</v>
      </c>
      <c r="R74" t="str">
        <f t="shared" si="8"/>
        <v>1</v>
      </c>
      <c r="S74">
        <f t="shared" si="9"/>
        <v>1180.3327777777777</v>
      </c>
    </row>
    <row r="75" spans="1:19">
      <c r="A75" s="6" t="s">
        <v>32</v>
      </c>
      <c r="B75" s="6" t="s">
        <v>17</v>
      </c>
      <c r="C75" s="6">
        <v>300000</v>
      </c>
      <c r="D75" s="6">
        <v>2950</v>
      </c>
      <c r="E75" s="6">
        <v>2024</v>
      </c>
      <c r="F75" s="6">
        <v>5.3</v>
      </c>
      <c r="G75" s="6" t="s">
        <v>40</v>
      </c>
      <c r="H75" s="6" t="s">
        <v>25</v>
      </c>
      <c r="I75" s="6" t="s">
        <v>20</v>
      </c>
      <c r="J75" s="6" t="s">
        <v>21</v>
      </c>
      <c r="K75" s="20">
        <f>C75/D75</f>
        <v>101.69491525423729</v>
      </c>
      <c r="L75" s="11">
        <f>PMT(F75/100/12, 300, -(C75 *
(1 - G75/100)))</f>
        <v>1680.141337554554</v>
      </c>
      <c r="M75" s="11">
        <f t="shared" si="5"/>
        <v>225042.40126636619</v>
      </c>
      <c r="N75" s="11">
        <f t="shared" si="6"/>
        <v>504042.40126636619</v>
      </c>
      <c r="O75">
        <f t="shared" si="7"/>
        <v>279000</v>
      </c>
      <c r="P75">
        <v>1180.30295</v>
      </c>
      <c r="R75" t="str">
        <f t="shared" si="8"/>
        <v>1</v>
      </c>
      <c r="S75">
        <f t="shared" si="9"/>
        <v>1180.3327777777777</v>
      </c>
    </row>
    <row r="76" spans="1:19">
      <c r="A76" s="4" t="s">
        <v>26</v>
      </c>
      <c r="B76" s="4" t="s">
        <v>23</v>
      </c>
      <c r="C76" s="4">
        <v>295000</v>
      </c>
      <c r="D76" s="4">
        <v>2900</v>
      </c>
      <c r="E76" s="4">
        <v>2024</v>
      </c>
      <c r="F76" s="4">
        <v>5.5</v>
      </c>
      <c r="G76" s="4" t="s">
        <v>24</v>
      </c>
      <c r="H76" s="4" t="s">
        <v>25</v>
      </c>
      <c r="I76" s="4" t="s">
        <v>20</v>
      </c>
      <c r="J76" s="4" t="s">
        <v>21</v>
      </c>
      <c r="K76" s="20">
        <f>C76/D76</f>
        <v>101.72413793103448</v>
      </c>
      <c r="L76" s="11">
        <f>PMT(F76/100/12, 300, -(C76 *
(1 - G76/100)))</f>
        <v>1630.4022920073035</v>
      </c>
      <c r="M76" s="11">
        <f t="shared" si="5"/>
        <v>223620.687602191</v>
      </c>
      <c r="N76" s="11">
        <f t="shared" si="6"/>
        <v>489120.687602191</v>
      </c>
      <c r="O76">
        <f t="shared" si="7"/>
        <v>265500</v>
      </c>
      <c r="P76">
        <v>1160.3029491525424</v>
      </c>
      <c r="R76" t="str">
        <f t="shared" si="8"/>
        <v>1</v>
      </c>
      <c r="S76">
        <f t="shared" si="9"/>
        <v>1160.3327683615819</v>
      </c>
    </row>
    <row r="77" spans="1:19">
      <c r="A77" s="6" t="s">
        <v>32</v>
      </c>
      <c r="B77" s="6" t="s">
        <v>17</v>
      </c>
      <c r="C77" s="6">
        <v>295000</v>
      </c>
      <c r="D77" s="6">
        <v>2900</v>
      </c>
      <c r="E77" s="6">
        <v>2024</v>
      </c>
      <c r="F77" s="6">
        <v>5.3</v>
      </c>
      <c r="G77" s="6" t="s">
        <v>40</v>
      </c>
      <c r="H77" s="6" t="s">
        <v>25</v>
      </c>
      <c r="I77" s="6" t="s">
        <v>20</v>
      </c>
      <c r="J77" s="6" t="s">
        <v>21</v>
      </c>
      <c r="K77" s="20">
        <f>C77/D77</f>
        <v>101.72413793103448</v>
      </c>
      <c r="L77" s="11">
        <f>PMT(F77/100/12, 300, -(C77 *
(1 - G77/100)))</f>
        <v>1652.1389819286449</v>
      </c>
      <c r="M77" s="11">
        <f t="shared" si="5"/>
        <v>221291.69457859342</v>
      </c>
      <c r="N77" s="11">
        <f t="shared" si="6"/>
        <v>495641.69457859342</v>
      </c>
      <c r="O77">
        <f t="shared" si="7"/>
        <v>274350</v>
      </c>
      <c r="P77">
        <v>1160.3029491525424</v>
      </c>
      <c r="R77" t="str">
        <f t="shared" si="8"/>
        <v>1</v>
      </c>
      <c r="S77">
        <f t="shared" si="9"/>
        <v>1160.3327683615819</v>
      </c>
    </row>
    <row r="78" spans="1:19">
      <c r="A78" s="4" t="s">
        <v>26</v>
      </c>
      <c r="B78" s="4" t="s">
        <v>23</v>
      </c>
      <c r="C78" s="4">
        <v>290000</v>
      </c>
      <c r="D78" s="4">
        <v>2850</v>
      </c>
      <c r="E78" s="4">
        <v>2024</v>
      </c>
      <c r="F78" s="4">
        <v>5.5</v>
      </c>
      <c r="G78" s="4" t="s">
        <v>24</v>
      </c>
      <c r="H78" s="4" t="s">
        <v>25</v>
      </c>
      <c r="I78" s="4" t="s">
        <v>20</v>
      </c>
      <c r="J78" s="4" t="s">
        <v>21</v>
      </c>
      <c r="K78" s="20">
        <f>C78/D78</f>
        <v>101.75438596491227</v>
      </c>
      <c r="L78" s="11">
        <f>PMT(F78/100/12, 300, -(C78 *
(1 - G78/100)))</f>
        <v>1602.7683548546374</v>
      </c>
      <c r="M78" s="11">
        <f t="shared" si="5"/>
        <v>219830.50645639119</v>
      </c>
      <c r="N78" s="11">
        <f t="shared" si="6"/>
        <v>480830.50645639119</v>
      </c>
      <c r="O78">
        <f t="shared" si="7"/>
        <v>261000</v>
      </c>
      <c r="P78">
        <v>1140.302948275862</v>
      </c>
      <c r="R78" t="str">
        <f t="shared" si="8"/>
        <v>1</v>
      </c>
      <c r="S78">
        <f t="shared" si="9"/>
        <v>1140.3327586206897</v>
      </c>
    </row>
    <row r="79" spans="1:19">
      <c r="A79" s="6" t="s">
        <v>32</v>
      </c>
      <c r="B79" s="6" t="s">
        <v>17</v>
      </c>
      <c r="C79" s="6">
        <v>290000</v>
      </c>
      <c r="D79" s="6">
        <v>2850</v>
      </c>
      <c r="E79" s="6">
        <v>2024</v>
      </c>
      <c r="F79" s="6">
        <v>5.3</v>
      </c>
      <c r="G79" s="6" t="s">
        <v>40</v>
      </c>
      <c r="H79" s="6" t="s">
        <v>25</v>
      </c>
      <c r="I79" s="6" t="s">
        <v>20</v>
      </c>
      <c r="J79" s="6" t="s">
        <v>21</v>
      </c>
      <c r="K79" s="20">
        <f>C79/D79</f>
        <v>101.75438596491227</v>
      </c>
      <c r="L79" s="11">
        <f>PMT(F79/100/12, 300, -(C79 *
(1 - G79/100)))</f>
        <v>1624.1366263027357</v>
      </c>
      <c r="M79" s="11">
        <f t="shared" si="5"/>
        <v>217540.98789082072</v>
      </c>
      <c r="N79" s="11">
        <f t="shared" si="6"/>
        <v>487240.98789082072</v>
      </c>
      <c r="O79">
        <f t="shared" si="7"/>
        <v>269700</v>
      </c>
      <c r="P79">
        <v>1140.302948275862</v>
      </c>
      <c r="R79" t="str">
        <f t="shared" si="8"/>
        <v>1</v>
      </c>
      <c r="S79">
        <f t="shared" si="9"/>
        <v>1140.3327586206897</v>
      </c>
    </row>
    <row r="80" spans="1:19">
      <c r="A80" s="4" t="s">
        <v>32</v>
      </c>
      <c r="B80" s="4" t="s">
        <v>17</v>
      </c>
      <c r="C80" s="4">
        <v>275000</v>
      </c>
      <c r="D80" s="4">
        <v>2700</v>
      </c>
      <c r="E80" s="4">
        <v>2024</v>
      </c>
      <c r="F80" s="4">
        <v>5.3</v>
      </c>
      <c r="G80" s="4" t="s">
        <v>40</v>
      </c>
      <c r="H80" s="4" t="s">
        <v>25</v>
      </c>
      <c r="I80" s="4" t="s">
        <v>20</v>
      </c>
      <c r="J80" s="4" t="s">
        <v>21</v>
      </c>
      <c r="K80" s="20">
        <f>C80/D80</f>
        <v>101.85185185185185</v>
      </c>
      <c r="L80" s="11">
        <f>PMT(F80/100/12, 300, -(C80 *
(1 - G80/100)))</f>
        <v>1540.1295594250075</v>
      </c>
      <c r="M80" s="11">
        <f t="shared" si="5"/>
        <v>206288.86782750228</v>
      </c>
      <c r="N80" s="11">
        <f t="shared" si="6"/>
        <v>462038.86782750225</v>
      </c>
      <c r="O80">
        <f t="shared" si="7"/>
        <v>255749.99999999997</v>
      </c>
      <c r="P80">
        <v>1080.3029454545454</v>
      </c>
      <c r="R80" t="str">
        <f t="shared" si="8"/>
        <v>1</v>
      </c>
      <c r="S80">
        <f t="shared" si="9"/>
        <v>1080.3327272727272</v>
      </c>
    </row>
    <row r="81" spans="1:19">
      <c r="A81" s="6" t="s">
        <v>32</v>
      </c>
      <c r="B81" s="6" t="s">
        <v>17</v>
      </c>
      <c r="C81" s="6">
        <v>302000</v>
      </c>
      <c r="D81" s="6">
        <v>2965</v>
      </c>
      <c r="E81" s="6">
        <v>2024</v>
      </c>
      <c r="F81" s="6">
        <v>5.3</v>
      </c>
      <c r="G81" s="6" t="s">
        <v>40</v>
      </c>
      <c r="H81" s="6" t="s">
        <v>25</v>
      </c>
      <c r="I81" s="6" t="s">
        <v>20</v>
      </c>
      <c r="J81" s="6" t="s">
        <v>21</v>
      </c>
      <c r="K81" s="20">
        <f>C81/D81</f>
        <v>101.85497470489038</v>
      </c>
      <c r="L81" s="11">
        <f>PMT(F81/100/12, 300, -(C81 *
(1 - G81/100)))</f>
        <v>1691.3422798049178</v>
      </c>
      <c r="M81" s="11">
        <f t="shared" si="5"/>
        <v>226542.68394147535</v>
      </c>
      <c r="N81" s="11">
        <f t="shared" si="6"/>
        <v>507402.68394147535</v>
      </c>
      <c r="O81">
        <f t="shared" si="7"/>
        <v>280860</v>
      </c>
      <c r="P81">
        <v>1186.3029453642384</v>
      </c>
      <c r="R81" t="str">
        <f t="shared" si="8"/>
        <v>1</v>
      </c>
      <c r="S81">
        <f t="shared" si="9"/>
        <v>1186.3327262693156</v>
      </c>
    </row>
    <row r="82" spans="1:19">
      <c r="A82" s="4" t="s">
        <v>30</v>
      </c>
      <c r="B82" s="4" t="s">
        <v>17</v>
      </c>
      <c r="C82" s="4">
        <v>260000</v>
      </c>
      <c r="D82" s="4">
        <v>2550</v>
      </c>
      <c r="E82" s="4">
        <v>2024</v>
      </c>
      <c r="F82" s="4">
        <v>5.4</v>
      </c>
      <c r="G82" s="4" t="s">
        <v>31</v>
      </c>
      <c r="H82" s="4" t="s">
        <v>25</v>
      </c>
      <c r="I82" s="4" t="s">
        <v>20</v>
      </c>
      <c r="J82" s="4" t="s">
        <v>21</v>
      </c>
      <c r="K82" s="20">
        <f>C82/D82</f>
        <v>101.96078431372548</v>
      </c>
      <c r="L82" s="11">
        <f>PMT(F82/100/12, 300, -(C82 *
(1 - G82/100)))</f>
        <v>1454.6467624404245</v>
      </c>
      <c r="M82" s="11">
        <f t="shared" si="5"/>
        <v>197194.02873212736</v>
      </c>
      <c r="N82" s="11">
        <f t="shared" si="6"/>
        <v>436394.02873212739</v>
      </c>
      <c r="O82">
        <f t="shared" si="7"/>
        <v>239200</v>
      </c>
      <c r="P82">
        <v>1020.3029423076922</v>
      </c>
      <c r="R82" t="str">
        <f t="shared" si="8"/>
        <v>1</v>
      </c>
      <c r="S82">
        <f t="shared" si="9"/>
        <v>1020.3326923076922</v>
      </c>
    </row>
    <row r="83" spans="1:19">
      <c r="A83" s="4" t="s">
        <v>26</v>
      </c>
      <c r="B83" s="4" t="s">
        <v>23</v>
      </c>
      <c r="C83" s="4">
        <v>302000</v>
      </c>
      <c r="D83" s="4">
        <v>2960</v>
      </c>
      <c r="E83" s="4">
        <v>2024</v>
      </c>
      <c r="F83" s="4">
        <v>5.5</v>
      </c>
      <c r="G83" s="4" t="s">
        <v>24</v>
      </c>
      <c r="H83" s="4" t="s">
        <v>25</v>
      </c>
      <c r="I83" s="4" t="s">
        <v>20</v>
      </c>
      <c r="J83" s="4" t="s">
        <v>21</v>
      </c>
      <c r="K83" s="20">
        <f>C83/D83</f>
        <v>102.02702702702703</v>
      </c>
      <c r="L83" s="11">
        <f>PMT(F83/100/12, 300, -(C83 *
(1 - G83/100)))</f>
        <v>1669.0898040210361</v>
      </c>
      <c r="M83" s="11">
        <f t="shared" si="5"/>
        <v>228926.94120631082</v>
      </c>
      <c r="N83" s="11">
        <f t="shared" si="6"/>
        <v>500726.94120631082</v>
      </c>
      <c r="O83">
        <f t="shared" si="7"/>
        <v>271800</v>
      </c>
      <c r="P83">
        <v>1184.302940397351</v>
      </c>
      <c r="R83" t="str">
        <f t="shared" si="8"/>
        <v>1</v>
      </c>
      <c r="S83">
        <f t="shared" si="9"/>
        <v>1184.3326710816777</v>
      </c>
    </row>
    <row r="84" spans="1:19">
      <c r="A84" s="6" t="s">
        <v>30</v>
      </c>
      <c r="B84" s="6" t="s">
        <v>17</v>
      </c>
      <c r="C84" s="6">
        <v>240000</v>
      </c>
      <c r="D84" s="6">
        <v>2350</v>
      </c>
      <c r="E84" s="6">
        <v>2024</v>
      </c>
      <c r="F84" s="6">
        <v>5.4</v>
      </c>
      <c r="G84" s="6" t="s">
        <v>31</v>
      </c>
      <c r="H84" s="6" t="s">
        <v>25</v>
      </c>
      <c r="I84" s="6" t="s">
        <v>20</v>
      </c>
      <c r="J84" s="6" t="s">
        <v>21</v>
      </c>
      <c r="K84" s="20">
        <f>C84/D84</f>
        <v>102.12765957446808</v>
      </c>
      <c r="L84" s="11">
        <f>PMT(F84/100/12, 300, -(C84 *
(1 - G84/100)))</f>
        <v>1342.7508576373148</v>
      </c>
      <c r="M84" s="11">
        <f t="shared" si="5"/>
        <v>182025.25729119443</v>
      </c>
      <c r="N84" s="11">
        <f t="shared" si="6"/>
        <v>402825.2572911944</v>
      </c>
      <c r="O84">
        <f t="shared" si="7"/>
        <v>220800</v>
      </c>
      <c r="P84">
        <v>940.30293749999998</v>
      </c>
      <c r="R84" t="str">
        <f t="shared" si="8"/>
        <v>1</v>
      </c>
      <c r="S84">
        <f t="shared" si="9"/>
        <v>940.33263888888882</v>
      </c>
    </row>
    <row r="85" spans="1:19">
      <c r="A85" s="4" t="s">
        <v>30</v>
      </c>
      <c r="B85" s="4" t="s">
        <v>17</v>
      </c>
      <c r="C85" s="4">
        <v>235000</v>
      </c>
      <c r="D85" s="4">
        <v>2300</v>
      </c>
      <c r="E85" s="4">
        <v>2023</v>
      </c>
      <c r="F85" s="4">
        <v>6.5</v>
      </c>
      <c r="G85" s="4" t="s">
        <v>31</v>
      </c>
      <c r="H85" s="4" t="s">
        <v>25</v>
      </c>
      <c r="I85" s="4" t="s">
        <v>20</v>
      </c>
      <c r="J85" s="4" t="s">
        <v>21</v>
      </c>
      <c r="K85" s="20">
        <f>C85/D85</f>
        <v>102.17391304347827</v>
      </c>
      <c r="L85" s="11">
        <f>PMT(F85/100/12, 300, -(C85 *
(1 - G85/100)))</f>
        <v>1459.7978828335968</v>
      </c>
      <c r="M85" s="11">
        <f t="shared" si="5"/>
        <v>221739.36485007903</v>
      </c>
      <c r="N85" s="11">
        <f t="shared" si="6"/>
        <v>437939.36485007906</v>
      </c>
      <c r="O85">
        <f t="shared" si="7"/>
        <v>216200</v>
      </c>
      <c r="P85">
        <v>920.30293617021277</v>
      </c>
      <c r="R85" t="str">
        <f t="shared" si="8"/>
        <v>1</v>
      </c>
      <c r="S85">
        <f t="shared" si="9"/>
        <v>920.33262411347516</v>
      </c>
    </row>
    <row r="86" spans="1:19">
      <c r="A86" s="4" t="s">
        <v>30</v>
      </c>
      <c r="B86" s="4" t="s">
        <v>17</v>
      </c>
      <c r="C86" s="4">
        <v>230000</v>
      </c>
      <c r="D86" s="4">
        <v>2250</v>
      </c>
      <c r="E86" s="4">
        <v>2023</v>
      </c>
      <c r="F86" s="4">
        <v>6.5</v>
      </c>
      <c r="G86" s="4" t="s">
        <v>31</v>
      </c>
      <c r="H86" s="4" t="s">
        <v>25</v>
      </c>
      <c r="I86" s="4" t="s">
        <v>20</v>
      </c>
      <c r="J86" s="4" t="s">
        <v>21</v>
      </c>
      <c r="K86" s="20">
        <f>C86/D86</f>
        <v>102.22222222222223</v>
      </c>
      <c r="L86" s="11">
        <f>PMT(F86/100/12, 300, -(C86 *
(1 - G86/100)))</f>
        <v>1428.7383534116054</v>
      </c>
      <c r="M86" s="11">
        <f t="shared" si="5"/>
        <v>217021.5060234816</v>
      </c>
      <c r="N86" s="11">
        <f t="shared" si="6"/>
        <v>428621.5060234816</v>
      </c>
      <c r="O86">
        <f t="shared" si="7"/>
        <v>211600</v>
      </c>
      <c r="P86">
        <v>900.30293478260865</v>
      </c>
      <c r="R86" t="str">
        <f t="shared" si="8"/>
        <v>1</v>
      </c>
      <c r="S86">
        <f t="shared" si="9"/>
        <v>900.33260869565208</v>
      </c>
    </row>
    <row r="87" spans="1:19">
      <c r="A87" s="4" t="s">
        <v>32</v>
      </c>
      <c r="B87" s="4" t="s">
        <v>17</v>
      </c>
      <c r="C87" s="4">
        <v>272000</v>
      </c>
      <c r="D87" s="4">
        <v>2650</v>
      </c>
      <c r="E87" s="4">
        <v>2024</v>
      </c>
      <c r="F87" s="4">
        <v>5.3</v>
      </c>
      <c r="G87" s="4" t="s">
        <v>40</v>
      </c>
      <c r="H87" s="4" t="s">
        <v>25</v>
      </c>
      <c r="I87" s="4" t="s">
        <v>20</v>
      </c>
      <c r="J87" s="4" t="s">
        <v>21</v>
      </c>
      <c r="K87" s="20">
        <f>C87/D87</f>
        <v>102.64150943396227</v>
      </c>
      <c r="L87" s="11">
        <f>PMT(F87/100/12, 300, -(C87 *
(1 - G87/100)))</f>
        <v>1523.328146049462</v>
      </c>
      <c r="M87" s="11">
        <f t="shared" si="5"/>
        <v>204038.44381483863</v>
      </c>
      <c r="N87" s="11">
        <f t="shared" si="6"/>
        <v>456998.4438148386</v>
      </c>
      <c r="O87">
        <f t="shared" si="7"/>
        <v>252959.99999999997</v>
      </c>
      <c r="P87">
        <v>1060.3029227941176</v>
      </c>
      <c r="R87" t="str">
        <f t="shared" si="8"/>
        <v>1</v>
      </c>
      <c r="S87">
        <f t="shared" si="9"/>
        <v>1060.332475490196</v>
      </c>
    </row>
    <row r="88" spans="1:19">
      <c r="A88" s="6" t="s">
        <v>22</v>
      </c>
      <c r="B88" s="6" t="s">
        <v>23</v>
      </c>
      <c r="C88" s="6">
        <v>298000</v>
      </c>
      <c r="D88" s="6">
        <v>2900</v>
      </c>
      <c r="E88" s="6">
        <v>2024</v>
      </c>
      <c r="F88" s="6">
        <v>5.4</v>
      </c>
      <c r="G88" s="6" t="s">
        <v>24</v>
      </c>
      <c r="H88" s="6" t="s">
        <v>25</v>
      </c>
      <c r="I88" s="6" t="s">
        <v>20</v>
      </c>
      <c r="J88" s="6" t="s">
        <v>21</v>
      </c>
      <c r="K88" s="20">
        <f>C88/D88</f>
        <v>102.75862068965517</v>
      </c>
      <c r="L88" s="11">
        <f>PMT(F88/100/12, 300, -(C88 *
(1 - G88/100)))</f>
        <v>1631.0044384888035</v>
      </c>
      <c r="M88" s="11">
        <f t="shared" si="5"/>
        <v>221101.33154664107</v>
      </c>
      <c r="N88" s="11">
        <f t="shared" si="6"/>
        <v>489301.33154664107</v>
      </c>
      <c r="O88">
        <f t="shared" si="7"/>
        <v>268200</v>
      </c>
      <c r="P88">
        <v>1160.3029194630872</v>
      </c>
      <c r="R88" t="str">
        <f t="shared" si="8"/>
        <v>1</v>
      </c>
      <c r="S88">
        <f t="shared" si="9"/>
        <v>1160.3324384787472</v>
      </c>
    </row>
    <row r="89" spans="1:19">
      <c r="A89" s="4" t="s">
        <v>30</v>
      </c>
      <c r="B89" s="4" t="s">
        <v>17</v>
      </c>
      <c r="C89" s="4">
        <v>232000</v>
      </c>
      <c r="D89" s="4">
        <v>2250</v>
      </c>
      <c r="E89" s="4">
        <v>2024</v>
      </c>
      <c r="F89" s="4">
        <v>5.3</v>
      </c>
      <c r="G89" s="4" t="s">
        <v>31</v>
      </c>
      <c r="H89" s="4" t="s">
        <v>25</v>
      </c>
      <c r="I89" s="4" t="s">
        <v>20</v>
      </c>
      <c r="J89" s="4" t="s">
        <v>21</v>
      </c>
      <c r="K89" s="20">
        <f>C89/D89</f>
        <v>103.11111111111111</v>
      </c>
      <c r="L89" s="11">
        <f>PMT(F89/100/12, 300, -(C89 *
(1 - G89/100)))</f>
        <v>1285.3382332890467</v>
      </c>
      <c r="M89" s="11">
        <f t="shared" si="5"/>
        <v>172161.46998671402</v>
      </c>
      <c r="N89" s="11">
        <f t="shared" si="6"/>
        <v>385601.46998671402</v>
      </c>
      <c r="O89">
        <f t="shared" si="7"/>
        <v>213440</v>
      </c>
      <c r="P89">
        <v>900.30290948275854</v>
      </c>
      <c r="R89" t="str">
        <f t="shared" si="8"/>
        <v>1</v>
      </c>
      <c r="S89">
        <f t="shared" si="9"/>
        <v>900.33232758620682</v>
      </c>
    </row>
    <row r="90" spans="1:19">
      <c r="A90" s="4" t="s">
        <v>30</v>
      </c>
      <c r="B90" s="4" t="s">
        <v>17</v>
      </c>
      <c r="C90" s="4">
        <v>258000</v>
      </c>
      <c r="D90" s="4">
        <v>2500</v>
      </c>
      <c r="E90" s="4">
        <v>2024</v>
      </c>
      <c r="F90" s="4">
        <v>5.4</v>
      </c>
      <c r="G90" s="4" t="s">
        <v>31</v>
      </c>
      <c r="H90" s="4" t="s">
        <v>25</v>
      </c>
      <c r="I90" s="4" t="s">
        <v>20</v>
      </c>
      <c r="J90" s="4" t="s">
        <v>21</v>
      </c>
      <c r="K90" s="20">
        <f>C90/D90</f>
        <v>103.2</v>
      </c>
      <c r="L90" s="11">
        <f>PMT(F90/100/12, 300, -(C90 *
(1 - G90/100)))</f>
        <v>1443.4571719601136</v>
      </c>
      <c r="M90" s="11">
        <f t="shared" si="5"/>
        <v>195677.15158803409</v>
      </c>
      <c r="N90" s="11">
        <f t="shared" si="6"/>
        <v>433037.15158803412</v>
      </c>
      <c r="O90">
        <f t="shared" si="7"/>
        <v>237360</v>
      </c>
      <c r="P90">
        <v>1000.3029069767441</v>
      </c>
      <c r="R90" t="str">
        <f t="shared" si="8"/>
        <v>1</v>
      </c>
      <c r="S90">
        <f t="shared" si="9"/>
        <v>1000.332299741602</v>
      </c>
    </row>
    <row r="91" spans="1:19">
      <c r="A91" s="4" t="s">
        <v>30</v>
      </c>
      <c r="B91" s="4" t="s">
        <v>17</v>
      </c>
      <c r="C91" s="4">
        <v>225000</v>
      </c>
      <c r="D91" s="4">
        <v>2180</v>
      </c>
      <c r="E91" s="4">
        <v>2024</v>
      </c>
      <c r="F91" s="4">
        <v>5.4</v>
      </c>
      <c r="G91" s="4" t="s">
        <v>36</v>
      </c>
      <c r="H91" s="4" t="s">
        <v>25</v>
      </c>
      <c r="I91" s="4" t="s">
        <v>20</v>
      </c>
      <c r="J91" s="4" t="s">
        <v>21</v>
      </c>
      <c r="K91" s="20">
        <f>C91/D91</f>
        <v>103.21100917431193</v>
      </c>
      <c r="L91" s="11">
        <f>PMT(F91/100/12, 300, -(C91 *
(1 - G91/100)))</f>
        <v>1299.8776984600365</v>
      </c>
      <c r="M91" s="11">
        <f t="shared" si="5"/>
        <v>176213.30953801097</v>
      </c>
      <c r="N91" s="11">
        <f t="shared" si="6"/>
        <v>389963.30953801097</v>
      </c>
      <c r="O91">
        <f t="shared" si="7"/>
        <v>213750</v>
      </c>
      <c r="P91">
        <v>872.30290666666667</v>
      </c>
      <c r="R91" t="str">
        <f t="shared" si="8"/>
        <v>1</v>
      </c>
      <c r="S91">
        <f t="shared" si="9"/>
        <v>872.33229629629625</v>
      </c>
    </row>
    <row r="92" spans="1:19">
      <c r="A92" s="4" t="s">
        <v>22</v>
      </c>
      <c r="B92" s="4" t="s">
        <v>23</v>
      </c>
      <c r="C92" s="4">
        <v>320000</v>
      </c>
      <c r="D92" s="4">
        <v>3100</v>
      </c>
      <c r="E92" s="4">
        <v>2024</v>
      </c>
      <c r="F92" s="4">
        <v>5.4</v>
      </c>
      <c r="G92" s="4" t="s">
        <v>24</v>
      </c>
      <c r="H92" s="4" t="s">
        <v>25</v>
      </c>
      <c r="I92" s="4" t="s">
        <v>20</v>
      </c>
      <c r="J92" s="4" t="s">
        <v>21</v>
      </c>
      <c r="K92" s="20">
        <f>C92/D92</f>
        <v>103.2258064516129</v>
      </c>
      <c r="L92" s="11">
        <f>PMT(F92/100/12, 300, -(C92 *
(1 - G92/100)))</f>
        <v>1751.4141621356282</v>
      </c>
      <c r="M92" s="11">
        <f t="shared" si="5"/>
        <v>237424.24864068849</v>
      </c>
      <c r="N92" s="11">
        <f t="shared" si="6"/>
        <v>525424.24864068849</v>
      </c>
      <c r="O92">
        <f t="shared" si="7"/>
        <v>288000</v>
      </c>
      <c r="P92">
        <v>1240.30290625</v>
      </c>
      <c r="R92" t="str">
        <f t="shared" si="8"/>
        <v>1</v>
      </c>
      <c r="S92">
        <f t="shared" si="9"/>
        <v>1240.3322916666666</v>
      </c>
    </row>
    <row r="93" spans="1:19">
      <c r="A93" s="4" t="s">
        <v>22</v>
      </c>
      <c r="B93" s="4" t="s">
        <v>23</v>
      </c>
      <c r="C93" s="4">
        <v>315000</v>
      </c>
      <c r="D93" s="4">
        <v>3050</v>
      </c>
      <c r="E93" s="4">
        <v>2024</v>
      </c>
      <c r="F93" s="4">
        <v>5.4</v>
      </c>
      <c r="G93" s="4" t="s">
        <v>24</v>
      </c>
      <c r="H93" s="4" t="s">
        <v>25</v>
      </c>
      <c r="I93" s="4" t="s">
        <v>20</v>
      </c>
      <c r="J93" s="4" t="s">
        <v>21</v>
      </c>
      <c r="K93" s="20">
        <f>C93/D93</f>
        <v>103.27868852459017</v>
      </c>
      <c r="L93" s="11">
        <f>PMT(F93/100/12, 300, -(C93 *
(1 - G93/100)))</f>
        <v>1724.0483158522588</v>
      </c>
      <c r="M93" s="11">
        <f t="shared" si="5"/>
        <v>233714.4947556777</v>
      </c>
      <c r="N93" s="11">
        <f t="shared" si="6"/>
        <v>517214.4947556777</v>
      </c>
      <c r="O93">
        <f t="shared" si="7"/>
        <v>283500</v>
      </c>
      <c r="P93">
        <v>1220.3029047619048</v>
      </c>
      <c r="R93" t="str">
        <f t="shared" si="8"/>
        <v>1</v>
      </c>
      <c r="S93">
        <f t="shared" si="9"/>
        <v>1220.3322751322751</v>
      </c>
    </row>
    <row r="94" spans="1:19">
      <c r="A94" s="4" t="s">
        <v>22</v>
      </c>
      <c r="B94" s="4" t="s">
        <v>23</v>
      </c>
      <c r="C94" s="4">
        <v>310000</v>
      </c>
      <c r="D94" s="4">
        <v>3000</v>
      </c>
      <c r="E94" s="4">
        <v>2024</v>
      </c>
      <c r="F94" s="4">
        <v>5.4</v>
      </c>
      <c r="G94" s="4" t="s">
        <v>24</v>
      </c>
      <c r="H94" s="4" t="s">
        <v>25</v>
      </c>
      <c r="I94" s="4" t="s">
        <v>20</v>
      </c>
      <c r="J94" s="4" t="s">
        <v>21</v>
      </c>
      <c r="K94" s="20">
        <f>C94/D94</f>
        <v>103.33333333333333</v>
      </c>
      <c r="L94" s="11">
        <f>PMT(F94/100/12, 300, -(C94 *
(1 - G94/100)))</f>
        <v>1696.6824695688897</v>
      </c>
      <c r="M94" s="11">
        <f t="shared" si="5"/>
        <v>230004.74087066698</v>
      </c>
      <c r="N94" s="11">
        <f t="shared" si="6"/>
        <v>509004.74087066698</v>
      </c>
      <c r="O94">
        <f t="shared" si="7"/>
        <v>279000</v>
      </c>
      <c r="P94">
        <v>1200.3029032258064</v>
      </c>
      <c r="R94" t="str">
        <f t="shared" si="8"/>
        <v>1</v>
      </c>
      <c r="S94">
        <f t="shared" si="9"/>
        <v>1200.3322580645161</v>
      </c>
    </row>
    <row r="95" spans="1:19">
      <c r="A95" s="6" t="s">
        <v>22</v>
      </c>
      <c r="B95" s="6" t="s">
        <v>23</v>
      </c>
      <c r="C95" s="6">
        <v>295000</v>
      </c>
      <c r="D95" s="6">
        <v>2850</v>
      </c>
      <c r="E95" s="6">
        <v>2024</v>
      </c>
      <c r="F95" s="6">
        <v>5.4</v>
      </c>
      <c r="G95" s="6" t="s">
        <v>24</v>
      </c>
      <c r="H95" s="6" t="s">
        <v>25</v>
      </c>
      <c r="I95" s="6" t="s">
        <v>20</v>
      </c>
      <c r="J95" s="6" t="s">
        <v>21</v>
      </c>
      <c r="K95" s="20">
        <f>C95/D95</f>
        <v>103.50877192982456</v>
      </c>
      <c r="L95" s="11">
        <f>PMT(F95/100/12, 300, -(C95 *
(1 - G95/100)))</f>
        <v>1614.5849307187821</v>
      </c>
      <c r="M95" s="11">
        <f t="shared" si="5"/>
        <v>218875.4792156347</v>
      </c>
      <c r="N95" s="11">
        <f t="shared" si="6"/>
        <v>484375.4792156347</v>
      </c>
      <c r="O95">
        <f t="shared" si="7"/>
        <v>265500</v>
      </c>
      <c r="P95">
        <v>1140.3028983050847</v>
      </c>
      <c r="R95" t="str">
        <f t="shared" si="8"/>
        <v>1</v>
      </c>
      <c r="S95">
        <f t="shared" si="9"/>
        <v>1140.3322033898305</v>
      </c>
    </row>
    <row r="96" spans="1:19">
      <c r="A96" s="4" t="s">
        <v>22</v>
      </c>
      <c r="B96" s="4" t="s">
        <v>23</v>
      </c>
      <c r="C96" s="4">
        <v>322000</v>
      </c>
      <c r="D96" s="4">
        <v>3110</v>
      </c>
      <c r="E96" s="4">
        <v>2024</v>
      </c>
      <c r="F96" s="4">
        <v>5.4</v>
      </c>
      <c r="G96" s="4" t="s">
        <v>24</v>
      </c>
      <c r="H96" s="4" t="s">
        <v>25</v>
      </c>
      <c r="I96" s="4" t="s">
        <v>20</v>
      </c>
      <c r="J96" s="4" t="s">
        <v>21</v>
      </c>
      <c r="K96" s="20">
        <f>C96/D96</f>
        <v>103.53697749196141</v>
      </c>
      <c r="L96" s="11">
        <f>PMT(F96/100/12, 300, -(C96 *
(1 - G96/100)))</f>
        <v>1762.3605006489756</v>
      </c>
      <c r="M96" s="11">
        <f t="shared" si="5"/>
        <v>238908.15019469272</v>
      </c>
      <c r="N96" s="11">
        <f t="shared" si="6"/>
        <v>528708.15019469266</v>
      </c>
      <c r="O96">
        <f t="shared" si="7"/>
        <v>289800</v>
      </c>
      <c r="P96">
        <v>1244.302897515528</v>
      </c>
      <c r="R96" t="str">
        <f t="shared" si="8"/>
        <v>1</v>
      </c>
      <c r="S96">
        <f t="shared" si="9"/>
        <v>1244.3321946169772</v>
      </c>
    </row>
    <row r="97" spans="1:19">
      <c r="A97" s="6" t="s">
        <v>35</v>
      </c>
      <c r="B97" s="6" t="s">
        <v>23</v>
      </c>
      <c r="C97" s="6">
        <v>280000</v>
      </c>
      <c r="D97" s="6">
        <v>2700</v>
      </c>
      <c r="E97" s="6">
        <v>2024</v>
      </c>
      <c r="F97" s="6">
        <v>5.4</v>
      </c>
      <c r="G97" s="6" t="s">
        <v>42</v>
      </c>
      <c r="H97" s="6" t="s">
        <v>25</v>
      </c>
      <c r="I97" s="6" t="s">
        <v>20</v>
      </c>
      <c r="J97" s="6" t="s">
        <v>21</v>
      </c>
      <c r="K97" s="20">
        <f>C97/D97</f>
        <v>103.70370370370371</v>
      </c>
      <c r="L97" s="11">
        <f>PMT(F97/100/12, 300, -(C97 *
(1 - G97/100)))</f>
        <v>1600.5979426183935</v>
      </c>
      <c r="M97" s="11">
        <f t="shared" si="5"/>
        <v>216979.38278551813</v>
      </c>
      <c r="N97" s="11">
        <f t="shared" si="6"/>
        <v>480179.38278551813</v>
      </c>
      <c r="O97">
        <f t="shared" si="7"/>
        <v>263200</v>
      </c>
      <c r="P97">
        <v>1080.3028928571428</v>
      </c>
      <c r="R97" t="str">
        <f t="shared" si="8"/>
        <v>1</v>
      </c>
      <c r="S97">
        <f t="shared" si="9"/>
        <v>1080.3321428571428</v>
      </c>
    </row>
    <row r="98" spans="1:19">
      <c r="A98" s="6" t="s">
        <v>30</v>
      </c>
      <c r="B98" s="6" t="s">
        <v>17</v>
      </c>
      <c r="C98" s="6">
        <v>220000</v>
      </c>
      <c r="D98" s="6">
        <v>2120</v>
      </c>
      <c r="E98" s="6">
        <v>2023</v>
      </c>
      <c r="F98" s="6">
        <v>6.6</v>
      </c>
      <c r="G98" s="6" t="s">
        <v>31</v>
      </c>
      <c r="H98" s="6" t="s">
        <v>25</v>
      </c>
      <c r="I98" s="6" t="s">
        <v>20</v>
      </c>
      <c r="J98" s="6" t="s">
        <v>21</v>
      </c>
      <c r="K98" s="20">
        <f>C98/D98</f>
        <v>103.77358490566037</v>
      </c>
      <c r="L98" s="11">
        <f>PMT(F98/100/12, 300, -(C98 *
(1 - G98/100)))</f>
        <v>1379.2934573323241</v>
      </c>
      <c r="M98" s="11">
        <f t="shared" si="5"/>
        <v>211388.03719969722</v>
      </c>
      <c r="N98" s="11">
        <f t="shared" si="6"/>
        <v>413788.03719969722</v>
      </c>
      <c r="O98">
        <f t="shared" si="7"/>
        <v>202400</v>
      </c>
      <c r="P98">
        <v>848.30289090909082</v>
      </c>
      <c r="R98" t="str">
        <f t="shared" si="8"/>
        <v>1</v>
      </c>
      <c r="S98">
        <f t="shared" si="9"/>
        <v>848.33212121212114</v>
      </c>
    </row>
    <row r="99" spans="1:19">
      <c r="A99" s="6" t="s">
        <v>35</v>
      </c>
      <c r="B99" s="6" t="s">
        <v>23</v>
      </c>
      <c r="C99" s="6">
        <v>275000</v>
      </c>
      <c r="D99" s="6">
        <v>2650</v>
      </c>
      <c r="E99" s="6">
        <v>2024</v>
      </c>
      <c r="F99" s="6">
        <v>5.4</v>
      </c>
      <c r="G99" s="6" t="s">
        <v>42</v>
      </c>
      <c r="H99" s="6" t="s">
        <v>25</v>
      </c>
      <c r="I99" s="6" t="s">
        <v>20</v>
      </c>
      <c r="J99" s="6" t="s">
        <v>21</v>
      </c>
      <c r="K99" s="20">
        <f>C99/D99</f>
        <v>103.77358490566037</v>
      </c>
      <c r="L99" s="11">
        <f>PMT(F99/100/12, 300, -(C99 *
(1 - G99/100)))</f>
        <v>1572.0158365002078</v>
      </c>
      <c r="M99" s="11">
        <f t="shared" si="5"/>
        <v>213104.75095006239</v>
      </c>
      <c r="N99" s="11">
        <f t="shared" si="6"/>
        <v>471604.75095006236</v>
      </c>
      <c r="O99">
        <f t="shared" si="7"/>
        <v>258499.99999999997</v>
      </c>
      <c r="P99">
        <v>1060.3028909090908</v>
      </c>
      <c r="R99" t="str">
        <f t="shared" si="8"/>
        <v>1</v>
      </c>
      <c r="S99">
        <f t="shared" si="9"/>
        <v>1060.3321212121211</v>
      </c>
    </row>
    <row r="100" spans="1:19">
      <c r="A100" s="4" t="s">
        <v>32</v>
      </c>
      <c r="B100" s="4" t="s">
        <v>17</v>
      </c>
      <c r="C100" s="4">
        <v>270000</v>
      </c>
      <c r="D100" s="4">
        <v>2600</v>
      </c>
      <c r="E100" s="4">
        <v>2024</v>
      </c>
      <c r="F100" s="4">
        <v>5.3</v>
      </c>
      <c r="G100" s="4" t="s">
        <v>40</v>
      </c>
      <c r="H100" s="4" t="s">
        <v>25</v>
      </c>
      <c r="I100" s="4" t="s">
        <v>20</v>
      </c>
      <c r="J100" s="4" t="s">
        <v>21</v>
      </c>
      <c r="K100" s="20">
        <f>C100/D100</f>
        <v>103.84615384615384</v>
      </c>
      <c r="L100" s="11">
        <f>PMT(F100/100/12, 300, -(C100 *
(1 - G100/100)))</f>
        <v>1512.1272037990984</v>
      </c>
      <c r="M100" s="11">
        <f t="shared" si="5"/>
        <v>202538.16113972955</v>
      </c>
      <c r="N100" s="11">
        <f t="shared" si="6"/>
        <v>453638.16113972955</v>
      </c>
      <c r="O100">
        <f t="shared" si="7"/>
        <v>251099.99999999997</v>
      </c>
      <c r="P100">
        <v>1040.3028888888889</v>
      </c>
      <c r="R100" t="str">
        <f t="shared" si="8"/>
        <v>1</v>
      </c>
      <c r="S100">
        <f t="shared" si="9"/>
        <v>1040.332098765432</v>
      </c>
    </row>
    <row r="101" spans="1:19">
      <c r="A101" s="6" t="s">
        <v>35</v>
      </c>
      <c r="B101" s="6" t="s">
        <v>23</v>
      </c>
      <c r="C101" s="6">
        <v>270000</v>
      </c>
      <c r="D101" s="6">
        <v>2600</v>
      </c>
      <c r="E101" s="6">
        <v>2024</v>
      </c>
      <c r="F101" s="6">
        <v>5.4</v>
      </c>
      <c r="G101" s="6" t="s">
        <v>42</v>
      </c>
      <c r="H101" s="6" t="s">
        <v>25</v>
      </c>
      <c r="I101" s="6" t="s">
        <v>20</v>
      </c>
      <c r="J101" s="6" t="s">
        <v>21</v>
      </c>
      <c r="K101" s="20">
        <f>C101/D101</f>
        <v>103.84615384615384</v>
      </c>
      <c r="L101" s="11">
        <f>PMT(F101/100/12, 300, -(C101 *
(1 - G101/100)))</f>
        <v>1543.4337303820223</v>
      </c>
      <c r="M101" s="11">
        <f t="shared" si="5"/>
        <v>209230.1191146067</v>
      </c>
      <c r="N101" s="11">
        <f t="shared" si="6"/>
        <v>463030.1191146067</v>
      </c>
      <c r="O101">
        <f t="shared" si="7"/>
        <v>253800</v>
      </c>
      <c r="P101">
        <v>1040.3028888888889</v>
      </c>
      <c r="R101" t="str">
        <f t="shared" si="8"/>
        <v>1</v>
      </c>
      <c r="S101">
        <f t="shared" si="9"/>
        <v>1040.332098765432</v>
      </c>
    </row>
    <row r="102" spans="1:19">
      <c r="A102" s="6" t="s">
        <v>30</v>
      </c>
      <c r="B102" s="6" t="s">
        <v>17</v>
      </c>
      <c r="C102" s="6">
        <v>260000</v>
      </c>
      <c r="D102" s="6">
        <v>2500</v>
      </c>
      <c r="E102" s="6">
        <v>2024</v>
      </c>
      <c r="F102" s="6">
        <v>5.4</v>
      </c>
      <c r="G102" s="6" t="s">
        <v>31</v>
      </c>
      <c r="H102" s="6" t="s">
        <v>25</v>
      </c>
      <c r="I102" s="6" t="s">
        <v>20</v>
      </c>
      <c r="J102" s="6" t="s">
        <v>21</v>
      </c>
      <c r="K102" s="20">
        <f>C102/D102</f>
        <v>104</v>
      </c>
      <c r="L102" s="11">
        <f>PMT(F102/100/12, 300, -(C102 *
(1 - G102/100)))</f>
        <v>1454.6467624404245</v>
      </c>
      <c r="M102" s="11">
        <f t="shared" si="5"/>
        <v>197194.02873212736</v>
      </c>
      <c r="N102" s="11">
        <f t="shared" si="6"/>
        <v>436394.02873212739</v>
      </c>
      <c r="O102">
        <f t="shared" si="7"/>
        <v>239200</v>
      </c>
      <c r="P102">
        <v>1000.3028846153845</v>
      </c>
      <c r="R102" t="str">
        <f t="shared" si="8"/>
        <v>1</v>
      </c>
      <c r="S102">
        <f t="shared" si="9"/>
        <v>1000.3320512820512</v>
      </c>
    </row>
    <row r="103" spans="1:19">
      <c r="A103" s="4" t="s">
        <v>32</v>
      </c>
      <c r="B103" s="4" t="s">
        <v>17</v>
      </c>
      <c r="C103" s="4">
        <v>232000</v>
      </c>
      <c r="D103" s="4">
        <v>2230</v>
      </c>
      <c r="E103" s="4">
        <v>2024</v>
      </c>
      <c r="F103" s="4">
        <v>5.3</v>
      </c>
      <c r="G103" s="4" t="s">
        <v>40</v>
      </c>
      <c r="H103" s="4" t="s">
        <v>25</v>
      </c>
      <c r="I103" s="4" t="s">
        <v>20</v>
      </c>
      <c r="J103" s="4" t="s">
        <v>21</v>
      </c>
      <c r="K103" s="20">
        <f>C103/D103</f>
        <v>104.03587443946188</v>
      </c>
      <c r="L103" s="11">
        <f>PMT(F103/100/12, 300, -(C103 *
(1 - G103/100)))</f>
        <v>1299.3093010421885</v>
      </c>
      <c r="M103" s="11">
        <f t="shared" si="5"/>
        <v>174032.79031265652</v>
      </c>
      <c r="N103" s="11">
        <f t="shared" si="6"/>
        <v>389792.79031265655</v>
      </c>
      <c r="O103">
        <f t="shared" si="7"/>
        <v>215760</v>
      </c>
      <c r="P103">
        <v>892.30288362068961</v>
      </c>
      <c r="R103" t="str">
        <f t="shared" si="8"/>
        <v>1</v>
      </c>
      <c r="S103">
        <f t="shared" si="9"/>
        <v>892.33204022988502</v>
      </c>
    </row>
    <row r="104" spans="1:19">
      <c r="A104" s="6" t="s">
        <v>35</v>
      </c>
      <c r="B104" s="6" t="s">
        <v>23</v>
      </c>
      <c r="C104" s="6">
        <v>282000</v>
      </c>
      <c r="D104" s="6">
        <v>2710</v>
      </c>
      <c r="E104" s="6">
        <v>2024</v>
      </c>
      <c r="F104" s="6">
        <v>5.4</v>
      </c>
      <c r="G104" s="6" t="s">
        <v>42</v>
      </c>
      <c r="H104" s="6" t="s">
        <v>25</v>
      </c>
      <c r="I104" s="6" t="s">
        <v>20</v>
      </c>
      <c r="J104" s="6" t="s">
        <v>21</v>
      </c>
      <c r="K104" s="20">
        <f>C104/D104</f>
        <v>104.0590405904059</v>
      </c>
      <c r="L104" s="11">
        <f>PMT(F104/100/12, 300, -(C104 *
(1 - G104/100)))</f>
        <v>1612.0307850656677</v>
      </c>
      <c r="M104" s="11">
        <f t="shared" si="5"/>
        <v>218529.23551970033</v>
      </c>
      <c r="N104" s="11">
        <f t="shared" si="6"/>
        <v>483609.23551970033</v>
      </c>
      <c r="O104">
        <f t="shared" si="7"/>
        <v>265080</v>
      </c>
      <c r="P104">
        <v>1084.3028829787233</v>
      </c>
      <c r="R104" t="str">
        <f t="shared" si="8"/>
        <v>1</v>
      </c>
      <c r="S104">
        <f t="shared" si="9"/>
        <v>1084.3320330969266</v>
      </c>
    </row>
    <row r="105" spans="1:19">
      <c r="A105" s="4" t="s">
        <v>30</v>
      </c>
      <c r="B105" s="4" t="s">
        <v>17</v>
      </c>
      <c r="C105" s="4">
        <v>255000</v>
      </c>
      <c r="D105" s="4">
        <v>2450</v>
      </c>
      <c r="E105" s="4">
        <v>2024</v>
      </c>
      <c r="F105" s="4">
        <v>5.4</v>
      </c>
      <c r="G105" s="4" t="s">
        <v>31</v>
      </c>
      <c r="H105" s="4" t="s">
        <v>25</v>
      </c>
      <c r="I105" s="4" t="s">
        <v>20</v>
      </c>
      <c r="J105" s="4" t="s">
        <v>21</v>
      </c>
      <c r="K105" s="20">
        <f>C105/D105</f>
        <v>104.08163265306122</v>
      </c>
      <c r="L105" s="11">
        <f>PMT(F105/100/12, 300, -(C105 *
(1 - G105/100)))</f>
        <v>1426.6727862396469</v>
      </c>
      <c r="M105" s="11">
        <f t="shared" si="5"/>
        <v>193401.83587189415</v>
      </c>
      <c r="N105" s="11">
        <f t="shared" si="6"/>
        <v>428001.83587189415</v>
      </c>
      <c r="O105">
        <f t="shared" si="7"/>
        <v>234600</v>
      </c>
      <c r="P105">
        <v>980.30288235294108</v>
      </c>
      <c r="R105" t="str">
        <f t="shared" si="8"/>
        <v>1</v>
      </c>
      <c r="S105">
        <f t="shared" si="9"/>
        <v>980.33202614379081</v>
      </c>
    </row>
    <row r="106" spans="1:19">
      <c r="A106" s="4" t="s">
        <v>30</v>
      </c>
      <c r="B106" s="4" t="s">
        <v>17</v>
      </c>
      <c r="C106" s="4">
        <v>250000</v>
      </c>
      <c r="D106" s="4">
        <v>2400</v>
      </c>
      <c r="E106" s="4">
        <v>2023</v>
      </c>
      <c r="F106" s="4">
        <v>6.5</v>
      </c>
      <c r="G106" s="4" t="s">
        <v>31</v>
      </c>
      <c r="H106" s="4" t="s">
        <v>25</v>
      </c>
      <c r="I106" s="4" t="s">
        <v>20</v>
      </c>
      <c r="J106" s="4" t="s">
        <v>21</v>
      </c>
      <c r="K106" s="20">
        <f>C106/D106</f>
        <v>104.16666666666667</v>
      </c>
      <c r="L106" s="11">
        <f>PMT(F106/100/12, 300, -(C106 *
(1 - G106/100)))</f>
        <v>1552.976471099571</v>
      </c>
      <c r="M106" s="11">
        <f t="shared" si="5"/>
        <v>235892.94132987133</v>
      </c>
      <c r="N106" s="11">
        <f t="shared" si="6"/>
        <v>465892.9413298713</v>
      </c>
      <c r="O106">
        <f t="shared" si="7"/>
        <v>230000</v>
      </c>
      <c r="P106">
        <v>960.30287999999996</v>
      </c>
      <c r="R106" t="str">
        <f t="shared" si="8"/>
        <v>1</v>
      </c>
      <c r="S106">
        <f t="shared" si="9"/>
        <v>960.33199999999999</v>
      </c>
    </row>
    <row r="107" spans="1:19">
      <c r="A107" s="4" t="s">
        <v>32</v>
      </c>
      <c r="B107" s="4" t="s">
        <v>17</v>
      </c>
      <c r="C107" s="4">
        <v>223000</v>
      </c>
      <c r="D107" s="4">
        <v>2140</v>
      </c>
      <c r="E107" s="4">
        <v>2024</v>
      </c>
      <c r="F107" s="4">
        <v>5.4</v>
      </c>
      <c r="G107" s="4" t="s">
        <v>40</v>
      </c>
      <c r="H107" s="4" t="s">
        <v>25</v>
      </c>
      <c r="I107" s="4" t="s">
        <v>20</v>
      </c>
      <c r="J107" s="4" t="s">
        <v>21</v>
      </c>
      <c r="K107" s="20">
        <f>C107/D107</f>
        <v>104.20560747663552</v>
      </c>
      <c r="L107" s="11">
        <f>PMT(F107/100/12, 300, -(C107 *
(1 - G107/100)))</f>
        <v>1261.2006357128748</v>
      </c>
      <c r="M107" s="11">
        <f t="shared" si="5"/>
        <v>170970.19071386242</v>
      </c>
      <c r="N107" s="11">
        <f t="shared" si="6"/>
        <v>378360.19071386242</v>
      </c>
      <c r="O107">
        <f t="shared" si="7"/>
        <v>207390</v>
      </c>
      <c r="P107">
        <v>856.3028789237668</v>
      </c>
      <c r="R107" t="str">
        <f t="shared" si="8"/>
        <v>1</v>
      </c>
      <c r="S107">
        <f t="shared" si="9"/>
        <v>856.33198804185349</v>
      </c>
    </row>
    <row r="108" spans="1:19">
      <c r="A108" s="6" t="s">
        <v>22</v>
      </c>
      <c r="B108" s="6" t="s">
        <v>23</v>
      </c>
      <c r="C108" s="6">
        <v>292000</v>
      </c>
      <c r="D108" s="6">
        <v>2800</v>
      </c>
      <c r="E108" s="6">
        <v>2024</v>
      </c>
      <c r="F108" s="6">
        <v>5.4</v>
      </c>
      <c r="G108" s="6" t="s">
        <v>24</v>
      </c>
      <c r="H108" s="6" t="s">
        <v>25</v>
      </c>
      <c r="I108" s="6" t="s">
        <v>20</v>
      </c>
      <c r="J108" s="6" t="s">
        <v>21</v>
      </c>
      <c r="K108" s="20">
        <f>C108/D108</f>
        <v>104.28571428571429</v>
      </c>
      <c r="L108" s="11">
        <f>PMT(F108/100/12, 300, -(C108 *
(1 - G108/100)))</f>
        <v>1598.1654229487606</v>
      </c>
      <c r="M108" s="11">
        <f t="shared" si="5"/>
        <v>216649.62688462815</v>
      </c>
      <c r="N108" s="11">
        <f t="shared" si="6"/>
        <v>479449.62688462815</v>
      </c>
      <c r="O108">
        <f t="shared" si="7"/>
        <v>262800</v>
      </c>
      <c r="P108">
        <v>1120.3028767123287</v>
      </c>
      <c r="R108" t="str">
        <f t="shared" si="8"/>
        <v>1</v>
      </c>
      <c r="S108">
        <f t="shared" si="9"/>
        <v>1120.3319634703196</v>
      </c>
    </row>
    <row r="109" spans="1:19">
      <c r="A109" s="4" t="s">
        <v>32</v>
      </c>
      <c r="B109" s="4" t="s">
        <v>17</v>
      </c>
      <c r="C109" s="4">
        <v>235000</v>
      </c>
      <c r="D109" s="4">
        <v>2250</v>
      </c>
      <c r="E109" s="4">
        <v>2023</v>
      </c>
      <c r="F109" s="4">
        <v>6.3</v>
      </c>
      <c r="G109" s="4" t="s">
        <v>40</v>
      </c>
      <c r="H109" s="4" t="s">
        <v>25</v>
      </c>
      <c r="I109" s="4" t="s">
        <v>20</v>
      </c>
      <c r="J109" s="4" t="s">
        <v>21</v>
      </c>
      <c r="K109" s="20">
        <f>C109/D109</f>
        <v>104.44444444444444</v>
      </c>
      <c r="L109" s="11">
        <f>PMT(F109/100/12, 300, -(C109 *
(1 - G109/100)))</f>
        <v>1448.4695263217291</v>
      </c>
      <c r="M109" s="11">
        <f t="shared" si="5"/>
        <v>215990.85789651869</v>
      </c>
      <c r="N109" s="11">
        <f t="shared" si="6"/>
        <v>434540.85789651866</v>
      </c>
      <c r="O109">
        <f t="shared" si="7"/>
        <v>218549.99999999997</v>
      </c>
      <c r="P109">
        <v>900.30287234042544</v>
      </c>
      <c r="R109" t="str">
        <f t="shared" si="8"/>
        <v>1</v>
      </c>
      <c r="S109">
        <f t="shared" si="9"/>
        <v>900.33191489361695</v>
      </c>
    </row>
    <row r="110" spans="1:19">
      <c r="A110" s="6" t="s">
        <v>30</v>
      </c>
      <c r="B110" s="6" t="s">
        <v>17</v>
      </c>
      <c r="C110" s="6">
        <v>230000</v>
      </c>
      <c r="D110" s="6">
        <v>2200</v>
      </c>
      <c r="E110" s="6">
        <v>2023</v>
      </c>
      <c r="F110" s="6">
        <v>6.5</v>
      </c>
      <c r="G110" s="6" t="s">
        <v>31</v>
      </c>
      <c r="H110" s="6" t="s">
        <v>25</v>
      </c>
      <c r="I110" s="6" t="s">
        <v>20</v>
      </c>
      <c r="J110" s="6" t="s">
        <v>21</v>
      </c>
      <c r="K110" s="20">
        <f>C110/D110</f>
        <v>104.54545454545455</v>
      </c>
      <c r="L110" s="11">
        <f>PMT(F110/100/12, 300, -(C110 *
(1 - G110/100)))</f>
        <v>1428.7383534116054</v>
      </c>
      <c r="M110" s="11">
        <f t="shared" si="5"/>
        <v>217021.5060234816</v>
      </c>
      <c r="N110" s="11">
        <f t="shared" si="6"/>
        <v>428621.5060234816</v>
      </c>
      <c r="O110">
        <f t="shared" si="7"/>
        <v>211600</v>
      </c>
      <c r="P110">
        <v>880.30286956521729</v>
      </c>
      <c r="R110" t="str">
        <f t="shared" si="8"/>
        <v>1</v>
      </c>
      <c r="S110">
        <f t="shared" si="9"/>
        <v>880.33188405797102</v>
      </c>
    </row>
    <row r="111" spans="1:19">
      <c r="A111" s="6" t="s">
        <v>32</v>
      </c>
      <c r="B111" s="6" t="s">
        <v>17</v>
      </c>
      <c r="C111" s="6">
        <v>240000</v>
      </c>
      <c r="D111" s="6">
        <v>2280</v>
      </c>
      <c r="E111" s="6">
        <v>2024</v>
      </c>
      <c r="F111" s="6">
        <v>5.3</v>
      </c>
      <c r="G111" s="6" t="s">
        <v>40</v>
      </c>
      <c r="H111" s="6" t="s">
        <v>25</v>
      </c>
      <c r="I111" s="6" t="s">
        <v>20</v>
      </c>
      <c r="J111" s="6" t="s">
        <v>21</v>
      </c>
      <c r="K111" s="20">
        <f>C111/D111</f>
        <v>105.26315789473684</v>
      </c>
      <c r="L111" s="11">
        <f>PMT(F111/100/12, 300, -(C111 *
(1 - G111/100)))</f>
        <v>1344.1130700436431</v>
      </c>
      <c r="M111" s="11">
        <f t="shared" si="5"/>
        <v>180033.92101309294</v>
      </c>
      <c r="N111" s="11">
        <f t="shared" si="6"/>
        <v>403233.92101309291</v>
      </c>
      <c r="O111">
        <f t="shared" si="7"/>
        <v>223199.99999999997</v>
      </c>
      <c r="P111">
        <v>912.30284999999992</v>
      </c>
      <c r="R111" t="str">
        <f t="shared" si="8"/>
        <v>1</v>
      </c>
      <c r="S111">
        <f t="shared" si="9"/>
        <v>912.33166666666659</v>
      </c>
    </row>
    <row r="112" spans="1:19">
      <c r="A112" s="4" t="s">
        <v>30</v>
      </c>
      <c r="B112" s="4" t="s">
        <v>17</v>
      </c>
      <c r="C112" s="4">
        <v>214000</v>
      </c>
      <c r="D112" s="4">
        <v>2030</v>
      </c>
      <c r="E112" s="4">
        <v>2024</v>
      </c>
      <c r="F112" s="4">
        <v>5.4</v>
      </c>
      <c r="G112" s="4" t="s">
        <v>36</v>
      </c>
      <c r="H112" s="4" t="s">
        <v>25</v>
      </c>
      <c r="I112" s="4" t="s">
        <v>20</v>
      </c>
      <c r="J112" s="4" t="s">
        <v>21</v>
      </c>
      <c r="K112" s="20">
        <f>C112/D112</f>
        <v>105.41871921182266</v>
      </c>
      <c r="L112" s="11">
        <f>PMT(F112/100/12, 300, -(C112 *
(1 - G112/100)))</f>
        <v>1236.3281220908791</v>
      </c>
      <c r="M112" s="11">
        <f t="shared" si="5"/>
        <v>167598.43662726379</v>
      </c>
      <c r="N112" s="11">
        <f t="shared" si="6"/>
        <v>370898.43662726379</v>
      </c>
      <c r="O112">
        <f t="shared" si="7"/>
        <v>203300</v>
      </c>
      <c r="P112">
        <v>812.30284579439251</v>
      </c>
      <c r="R112" t="str">
        <f t="shared" si="8"/>
        <v>1</v>
      </c>
      <c r="S112">
        <f t="shared" si="9"/>
        <v>812.33161993769465</v>
      </c>
    </row>
    <row r="113" spans="1:19">
      <c r="A113" s="6" t="s">
        <v>22</v>
      </c>
      <c r="B113" s="6" t="s">
        <v>23</v>
      </c>
      <c r="C113" s="6">
        <v>290000</v>
      </c>
      <c r="D113" s="6">
        <v>2750</v>
      </c>
      <c r="E113" s="6">
        <v>2024</v>
      </c>
      <c r="F113" s="6">
        <v>5.4</v>
      </c>
      <c r="G113" s="6" t="s">
        <v>24</v>
      </c>
      <c r="H113" s="6" t="s">
        <v>25</v>
      </c>
      <c r="I113" s="6" t="s">
        <v>20</v>
      </c>
      <c r="J113" s="6" t="s">
        <v>21</v>
      </c>
      <c r="K113" s="20">
        <f>C113/D113</f>
        <v>105.45454545454545</v>
      </c>
      <c r="L113" s="11">
        <f>PMT(F113/100/12, 300, -(C113 *
(1 - G113/100)))</f>
        <v>1587.2190844354129</v>
      </c>
      <c r="M113" s="11">
        <f t="shared" si="5"/>
        <v>215165.72533062389</v>
      </c>
      <c r="N113" s="11">
        <f t="shared" si="6"/>
        <v>476165.72533062391</v>
      </c>
      <c r="O113">
        <f t="shared" si="7"/>
        <v>261000</v>
      </c>
      <c r="P113">
        <v>1100.3028448275861</v>
      </c>
      <c r="R113" t="str">
        <f t="shared" si="8"/>
        <v>1</v>
      </c>
      <c r="S113">
        <f t="shared" si="9"/>
        <v>1100.3316091954023</v>
      </c>
    </row>
    <row r="114" spans="1:19">
      <c r="A114" s="6" t="s">
        <v>32</v>
      </c>
      <c r="B114" s="6" t="s">
        <v>17</v>
      </c>
      <c r="C114" s="6">
        <v>230000</v>
      </c>
      <c r="D114" s="6">
        <v>2180</v>
      </c>
      <c r="E114" s="6">
        <v>2023</v>
      </c>
      <c r="F114" s="6">
        <v>6.2</v>
      </c>
      <c r="G114" s="6" t="s">
        <v>40</v>
      </c>
      <c r="H114" s="6" t="s">
        <v>25</v>
      </c>
      <c r="I114" s="6" t="s">
        <v>20</v>
      </c>
      <c r="J114" s="6" t="s">
        <v>21</v>
      </c>
      <c r="K114" s="20">
        <f>C114/D114</f>
        <v>105.50458715596331</v>
      </c>
      <c r="L114" s="11">
        <f>PMT(F114/100/12, 300, -(C114 *
(1 - G114/100)))</f>
        <v>1404.4291036570417</v>
      </c>
      <c r="M114" s="11">
        <f t="shared" si="5"/>
        <v>207428.73109711247</v>
      </c>
      <c r="N114" s="11">
        <f t="shared" si="6"/>
        <v>421328.73109711247</v>
      </c>
      <c r="O114">
        <f t="shared" si="7"/>
        <v>213900</v>
      </c>
      <c r="P114">
        <v>872.3028434782608</v>
      </c>
      <c r="R114" t="str">
        <f t="shared" si="8"/>
        <v>1</v>
      </c>
      <c r="S114">
        <f t="shared" si="9"/>
        <v>872.33159420289849</v>
      </c>
    </row>
    <row r="115" spans="1:19">
      <c r="A115" s="4" t="s">
        <v>32</v>
      </c>
      <c r="B115" s="4" t="s">
        <v>17</v>
      </c>
      <c r="C115" s="4">
        <v>270000</v>
      </c>
      <c r="D115" s="4">
        <v>2550</v>
      </c>
      <c r="E115" s="4">
        <v>2024</v>
      </c>
      <c r="F115" s="4">
        <v>5.3</v>
      </c>
      <c r="G115" s="4" t="s">
        <v>40</v>
      </c>
      <c r="H115" s="4" t="s">
        <v>25</v>
      </c>
      <c r="I115" s="4" t="s">
        <v>20</v>
      </c>
      <c r="J115" s="4" t="s">
        <v>21</v>
      </c>
      <c r="K115" s="20">
        <f>C115/D115</f>
        <v>105.88235294117646</v>
      </c>
      <c r="L115" s="11">
        <f>PMT(F115/100/12, 300, -(C115 *
(1 - G115/100)))</f>
        <v>1512.1272037990984</v>
      </c>
      <c r="M115" s="11">
        <f t="shared" si="5"/>
        <v>202538.16113972955</v>
      </c>
      <c r="N115" s="11">
        <f t="shared" si="6"/>
        <v>453638.16113972955</v>
      </c>
      <c r="O115">
        <f t="shared" si="7"/>
        <v>251099.99999999997</v>
      </c>
      <c r="P115">
        <v>1020.3028333333333</v>
      </c>
      <c r="R115" t="str">
        <f t="shared" si="8"/>
        <v>1</v>
      </c>
      <c r="S115">
        <f t="shared" si="9"/>
        <v>1020.3314814814814</v>
      </c>
    </row>
    <row r="116" spans="1:19">
      <c r="A116" s="6" t="s">
        <v>32</v>
      </c>
      <c r="B116" s="6" t="s">
        <v>17</v>
      </c>
      <c r="C116" s="6">
        <v>270000</v>
      </c>
      <c r="D116" s="6">
        <v>2550</v>
      </c>
      <c r="E116" s="6">
        <v>2023</v>
      </c>
      <c r="F116" s="6">
        <v>6.3</v>
      </c>
      <c r="G116" s="6" t="s">
        <v>40</v>
      </c>
      <c r="H116" s="6" t="s">
        <v>25</v>
      </c>
      <c r="I116" s="6" t="s">
        <v>20</v>
      </c>
      <c r="J116" s="6" t="s">
        <v>21</v>
      </c>
      <c r="K116" s="20">
        <f>C116/D116</f>
        <v>105.88235294117646</v>
      </c>
      <c r="L116" s="11">
        <f>PMT(F116/100/12, 300, -(C116 *
(1 - G116/100)))</f>
        <v>1664.1990302419867</v>
      </c>
      <c r="M116" s="11">
        <f t="shared" si="5"/>
        <v>248159.70907259596</v>
      </c>
      <c r="N116" s="11">
        <f t="shared" si="6"/>
        <v>499259.70907259593</v>
      </c>
      <c r="O116">
        <f t="shared" si="7"/>
        <v>251099.99999999997</v>
      </c>
      <c r="P116">
        <v>1020.3028333333333</v>
      </c>
      <c r="R116" t="str">
        <f t="shared" si="8"/>
        <v>1</v>
      </c>
      <c r="S116">
        <f t="shared" si="9"/>
        <v>1020.3314814814814</v>
      </c>
    </row>
    <row r="117" spans="1:19">
      <c r="A117" s="4" t="s">
        <v>32</v>
      </c>
      <c r="B117" s="4" t="s">
        <v>17</v>
      </c>
      <c r="C117" s="4">
        <v>260000</v>
      </c>
      <c r="D117" s="4">
        <v>2450</v>
      </c>
      <c r="E117" s="4">
        <v>2024</v>
      </c>
      <c r="F117" s="4">
        <v>5.3</v>
      </c>
      <c r="G117" s="4" t="s">
        <v>40</v>
      </c>
      <c r="H117" s="4" t="s">
        <v>25</v>
      </c>
      <c r="I117" s="4" t="s">
        <v>20</v>
      </c>
      <c r="J117" s="4" t="s">
        <v>21</v>
      </c>
      <c r="K117" s="20">
        <f>C117/D117</f>
        <v>106.12244897959184</v>
      </c>
      <c r="L117" s="11">
        <f>PMT(F117/100/12, 300, -(C117 *
(1 - G117/100)))</f>
        <v>1456.12249254728</v>
      </c>
      <c r="M117" s="11">
        <f t="shared" si="5"/>
        <v>195036.74776418402</v>
      </c>
      <c r="N117" s="11">
        <f t="shared" si="6"/>
        <v>436836.74776418402</v>
      </c>
      <c r="O117">
        <f t="shared" si="7"/>
        <v>241799.99999999997</v>
      </c>
      <c r="P117">
        <v>980.30282692307685</v>
      </c>
      <c r="R117" t="str">
        <f t="shared" si="8"/>
        <v>1</v>
      </c>
      <c r="S117">
        <f t="shared" si="9"/>
        <v>980.33141025641021</v>
      </c>
    </row>
    <row r="118" spans="1:19">
      <c r="A118" s="4" t="s">
        <v>32</v>
      </c>
      <c r="B118" s="4" t="s">
        <v>17</v>
      </c>
      <c r="C118" s="4">
        <v>255000</v>
      </c>
      <c r="D118" s="4">
        <v>2400</v>
      </c>
      <c r="E118" s="4">
        <v>2024</v>
      </c>
      <c r="F118" s="4">
        <v>5.3</v>
      </c>
      <c r="G118" s="4" t="s">
        <v>40</v>
      </c>
      <c r="H118" s="4" t="s">
        <v>25</v>
      </c>
      <c r="I118" s="4" t="s">
        <v>20</v>
      </c>
      <c r="J118" s="4" t="s">
        <v>21</v>
      </c>
      <c r="K118" s="20">
        <f>C118/D118</f>
        <v>106.25</v>
      </c>
      <c r="L118" s="11">
        <f>PMT(F118/100/12, 300, -(C118 *
(1 - G118/100)))</f>
        <v>1428.1201369213709</v>
      </c>
      <c r="M118" s="11">
        <f t="shared" si="5"/>
        <v>191286.04107641126</v>
      </c>
      <c r="N118" s="11">
        <f t="shared" si="6"/>
        <v>428436.04107641126</v>
      </c>
      <c r="O118">
        <f t="shared" si="7"/>
        <v>237149.99999999997</v>
      </c>
      <c r="P118">
        <v>960.30282352941174</v>
      </c>
      <c r="R118" t="str">
        <f t="shared" si="8"/>
        <v>1</v>
      </c>
      <c r="S118">
        <f t="shared" si="9"/>
        <v>960.33137254901953</v>
      </c>
    </row>
    <row r="119" spans="1:19">
      <c r="A119" s="4" t="s">
        <v>32</v>
      </c>
      <c r="B119" s="4" t="s">
        <v>17</v>
      </c>
      <c r="C119" s="4">
        <v>250000</v>
      </c>
      <c r="D119" s="4">
        <v>2350</v>
      </c>
      <c r="E119" s="4">
        <v>2024</v>
      </c>
      <c r="F119" s="4">
        <v>5.3</v>
      </c>
      <c r="G119" s="4" t="s">
        <v>40</v>
      </c>
      <c r="H119" s="4" t="s">
        <v>25</v>
      </c>
      <c r="I119" s="4" t="s">
        <v>20</v>
      </c>
      <c r="J119" s="4" t="s">
        <v>21</v>
      </c>
      <c r="K119" s="20">
        <f>C119/D119</f>
        <v>106.38297872340425</v>
      </c>
      <c r="L119" s="11">
        <f>PMT(F119/100/12, 300, -(C119 *
(1 - G119/100)))</f>
        <v>1400.1177812954613</v>
      </c>
      <c r="M119" s="11">
        <f t="shared" si="5"/>
        <v>187535.33438863841</v>
      </c>
      <c r="N119" s="11">
        <f t="shared" si="6"/>
        <v>420035.33438863838</v>
      </c>
      <c r="O119">
        <f t="shared" si="7"/>
        <v>232499.99999999997</v>
      </c>
      <c r="P119">
        <v>940.30282</v>
      </c>
      <c r="R119" t="str">
        <f t="shared" si="8"/>
        <v>1</v>
      </c>
      <c r="S119">
        <f t="shared" si="9"/>
        <v>940.3313333333333</v>
      </c>
    </row>
    <row r="120" spans="1:19">
      <c r="A120" s="4" t="s">
        <v>32</v>
      </c>
      <c r="B120" s="4" t="s">
        <v>17</v>
      </c>
      <c r="C120" s="4">
        <v>245000</v>
      </c>
      <c r="D120" s="4">
        <v>2300</v>
      </c>
      <c r="E120" s="4">
        <v>2024</v>
      </c>
      <c r="F120" s="4">
        <v>5.3</v>
      </c>
      <c r="G120" s="4" t="s">
        <v>40</v>
      </c>
      <c r="H120" s="4" t="s">
        <v>25</v>
      </c>
      <c r="I120" s="4" t="s">
        <v>20</v>
      </c>
      <c r="J120" s="4" t="s">
        <v>21</v>
      </c>
      <c r="K120" s="20">
        <f>C120/D120</f>
        <v>106.52173913043478</v>
      </c>
      <c r="L120" s="11">
        <f>PMT(F120/100/12, 300, -(C120 *
(1 - G120/100)))</f>
        <v>1372.1154256695522</v>
      </c>
      <c r="M120" s="11">
        <f t="shared" si="5"/>
        <v>183784.62770086571</v>
      </c>
      <c r="N120" s="11">
        <f t="shared" si="6"/>
        <v>411634.62770086568</v>
      </c>
      <c r="O120">
        <f t="shared" si="7"/>
        <v>227849.99999999997</v>
      </c>
      <c r="P120">
        <v>920.30281632653055</v>
      </c>
      <c r="R120" t="str">
        <f t="shared" si="8"/>
        <v>1</v>
      </c>
      <c r="S120">
        <f t="shared" si="9"/>
        <v>920.33129251700677</v>
      </c>
    </row>
    <row r="121" spans="1:19">
      <c r="A121" s="4" t="s">
        <v>30</v>
      </c>
      <c r="B121" s="4" t="s">
        <v>17</v>
      </c>
      <c r="C121" s="4">
        <v>245000</v>
      </c>
      <c r="D121" s="4">
        <v>2300</v>
      </c>
      <c r="E121" s="4">
        <v>2024</v>
      </c>
      <c r="F121" s="4">
        <v>5.4</v>
      </c>
      <c r="G121" s="4" t="s">
        <v>31</v>
      </c>
      <c r="H121" s="4" t="s">
        <v>25</v>
      </c>
      <c r="I121" s="4" t="s">
        <v>20</v>
      </c>
      <c r="J121" s="4" t="s">
        <v>21</v>
      </c>
      <c r="K121" s="20">
        <f>C121/D121</f>
        <v>106.52173913043478</v>
      </c>
      <c r="L121" s="11">
        <f>PMT(F121/100/12, 300, -(C121 *
(1 - G121/100)))</f>
        <v>1370.7248338380923</v>
      </c>
      <c r="M121" s="11">
        <f t="shared" si="5"/>
        <v>185817.45015142774</v>
      </c>
      <c r="N121" s="11">
        <f t="shared" si="6"/>
        <v>411217.45015142777</v>
      </c>
      <c r="O121">
        <f t="shared" si="7"/>
        <v>225400</v>
      </c>
      <c r="P121">
        <v>920.30281632653055</v>
      </c>
      <c r="R121" t="str">
        <f t="shared" si="8"/>
        <v>1</v>
      </c>
      <c r="S121">
        <f t="shared" si="9"/>
        <v>920.33129251700677</v>
      </c>
    </row>
    <row r="122" spans="1:19">
      <c r="A122" s="4" t="s">
        <v>32</v>
      </c>
      <c r="B122" s="4" t="s">
        <v>17</v>
      </c>
      <c r="C122" s="4">
        <v>240000</v>
      </c>
      <c r="D122" s="4">
        <v>2250</v>
      </c>
      <c r="E122" s="4">
        <v>2023</v>
      </c>
      <c r="F122" s="4">
        <v>6.3</v>
      </c>
      <c r="G122" s="4" t="s">
        <v>40</v>
      </c>
      <c r="H122" s="4" t="s">
        <v>25</v>
      </c>
      <c r="I122" s="4" t="s">
        <v>20</v>
      </c>
      <c r="J122" s="4" t="s">
        <v>21</v>
      </c>
      <c r="K122" s="20">
        <f>C122/D122</f>
        <v>106.66666666666667</v>
      </c>
      <c r="L122" s="11">
        <f>PMT(F122/100/12, 300, -(C122 *
(1 - G122/100)))</f>
        <v>1479.288026881766</v>
      </c>
      <c r="M122" s="11">
        <f t="shared" si="5"/>
        <v>220586.40806452971</v>
      </c>
      <c r="N122" s="11">
        <f t="shared" si="6"/>
        <v>443786.40806452965</v>
      </c>
      <c r="O122">
        <f t="shared" si="7"/>
        <v>223199.99999999997</v>
      </c>
      <c r="P122">
        <v>900.30281249999996</v>
      </c>
      <c r="R122" t="str">
        <f t="shared" si="8"/>
        <v>1</v>
      </c>
      <c r="S122">
        <f t="shared" si="9"/>
        <v>900.33124999999995</v>
      </c>
    </row>
    <row r="123" spans="1:19">
      <c r="A123" s="4" t="s">
        <v>32</v>
      </c>
      <c r="B123" s="4" t="s">
        <v>17</v>
      </c>
      <c r="C123" s="4">
        <v>240000</v>
      </c>
      <c r="D123" s="4">
        <v>2250</v>
      </c>
      <c r="E123" s="4">
        <v>2024</v>
      </c>
      <c r="F123" s="4">
        <v>5.3</v>
      </c>
      <c r="G123" s="4" t="s">
        <v>40</v>
      </c>
      <c r="H123" s="4" t="s">
        <v>25</v>
      </c>
      <c r="I123" s="4" t="s">
        <v>20</v>
      </c>
      <c r="J123" s="4" t="s">
        <v>21</v>
      </c>
      <c r="K123" s="20">
        <f>C123/D123</f>
        <v>106.66666666666667</v>
      </c>
      <c r="L123" s="11">
        <f>PMT(F123/100/12, 300, -(C123 *
(1 - G123/100)))</f>
        <v>1344.1130700436431</v>
      </c>
      <c r="M123" s="11">
        <f t="shared" si="5"/>
        <v>180033.92101309294</v>
      </c>
      <c r="N123" s="11">
        <f t="shared" si="6"/>
        <v>403233.92101309291</v>
      </c>
      <c r="O123">
        <f t="shared" si="7"/>
        <v>223199.99999999997</v>
      </c>
      <c r="P123">
        <v>900.30281249999996</v>
      </c>
      <c r="R123" t="str">
        <f t="shared" si="8"/>
        <v>1</v>
      </c>
      <c r="S123">
        <f t="shared" si="9"/>
        <v>900.33124999999995</v>
      </c>
    </row>
    <row r="124" spans="1:19">
      <c r="A124" s="4" t="s">
        <v>30</v>
      </c>
      <c r="B124" s="4" t="s">
        <v>17</v>
      </c>
      <c r="C124" s="4">
        <v>240000</v>
      </c>
      <c r="D124" s="4">
        <v>2250</v>
      </c>
      <c r="E124" s="4">
        <v>2024</v>
      </c>
      <c r="F124" s="4">
        <v>5.4</v>
      </c>
      <c r="G124" s="4" t="s">
        <v>31</v>
      </c>
      <c r="H124" s="4" t="s">
        <v>25</v>
      </c>
      <c r="I124" s="4" t="s">
        <v>20</v>
      </c>
      <c r="J124" s="4" t="s">
        <v>21</v>
      </c>
      <c r="K124" s="20">
        <f>C124/D124</f>
        <v>106.66666666666667</v>
      </c>
      <c r="L124" s="11">
        <f>PMT(F124/100/12, 300, -(C124 *
(1 - G124/100)))</f>
        <v>1342.7508576373148</v>
      </c>
      <c r="M124" s="11">
        <f t="shared" si="5"/>
        <v>182025.25729119443</v>
      </c>
      <c r="N124" s="11">
        <f t="shared" si="6"/>
        <v>402825.2572911944</v>
      </c>
      <c r="O124">
        <f t="shared" si="7"/>
        <v>220800</v>
      </c>
      <c r="P124">
        <v>900.30281249999996</v>
      </c>
      <c r="R124" t="str">
        <f t="shared" si="8"/>
        <v>1</v>
      </c>
      <c r="S124">
        <f t="shared" si="9"/>
        <v>900.33124999999995</v>
      </c>
    </row>
    <row r="125" spans="1:19">
      <c r="A125" s="4" t="s">
        <v>30</v>
      </c>
      <c r="B125" s="4" t="s">
        <v>17</v>
      </c>
      <c r="C125" s="4">
        <v>235000</v>
      </c>
      <c r="D125" s="4">
        <v>2200</v>
      </c>
      <c r="E125" s="4">
        <v>2024</v>
      </c>
      <c r="F125" s="4">
        <v>5.4</v>
      </c>
      <c r="G125" s="4" t="s">
        <v>31</v>
      </c>
      <c r="H125" s="4" t="s">
        <v>25</v>
      </c>
      <c r="I125" s="4" t="s">
        <v>20</v>
      </c>
      <c r="J125" s="4" t="s">
        <v>21</v>
      </c>
      <c r="K125" s="20">
        <f>C125/D125</f>
        <v>106.81818181818181</v>
      </c>
      <c r="L125" s="11">
        <f>PMT(F125/100/12, 300, -(C125 *
(1 - G125/100)))</f>
        <v>1314.7768814365375</v>
      </c>
      <c r="M125" s="11">
        <f t="shared" si="5"/>
        <v>178233.06443096124</v>
      </c>
      <c r="N125" s="11">
        <f t="shared" si="6"/>
        <v>394433.06443096127</v>
      </c>
      <c r="O125">
        <f t="shared" si="7"/>
        <v>216200</v>
      </c>
      <c r="P125">
        <v>880.30280851063822</v>
      </c>
      <c r="R125" t="str">
        <f t="shared" si="8"/>
        <v>1</v>
      </c>
      <c r="S125">
        <f t="shared" si="9"/>
        <v>880.33120567375886</v>
      </c>
    </row>
    <row r="126" spans="1:19">
      <c r="A126" s="4" t="s">
        <v>30</v>
      </c>
      <c r="B126" s="4" t="s">
        <v>17</v>
      </c>
      <c r="C126" s="4">
        <v>225000</v>
      </c>
      <c r="D126" s="4">
        <v>2100</v>
      </c>
      <c r="E126" s="4">
        <v>2024</v>
      </c>
      <c r="F126" s="4">
        <v>5.4</v>
      </c>
      <c r="G126" s="4" t="s">
        <v>45</v>
      </c>
      <c r="H126" s="4" t="s">
        <v>25</v>
      </c>
      <c r="I126" s="4" t="s">
        <v>20</v>
      </c>
      <c r="J126" s="4" t="s">
        <v>21</v>
      </c>
      <c r="K126" s="20">
        <f>C126/D126</f>
        <v>107.14285714285714</v>
      </c>
      <c r="L126" s="11">
        <f>PMT(F126/100/12, 300, -(C126 *
(1 - G126/100)))</f>
        <v>1258.8289290349828</v>
      </c>
      <c r="M126" s="11">
        <f t="shared" si="5"/>
        <v>170648.67871049483</v>
      </c>
      <c r="N126" s="11">
        <f t="shared" si="6"/>
        <v>377648.67871049483</v>
      </c>
      <c r="O126">
        <f t="shared" si="7"/>
        <v>207000</v>
      </c>
      <c r="P126">
        <v>840.30279999999993</v>
      </c>
      <c r="R126" t="str">
        <f t="shared" si="8"/>
        <v>1</v>
      </c>
      <c r="S126">
        <f t="shared" si="9"/>
        <v>840.33111111111111</v>
      </c>
    </row>
    <row r="127" spans="1:19">
      <c r="A127" s="4" t="s">
        <v>32</v>
      </c>
      <c r="B127" s="4" t="s">
        <v>17</v>
      </c>
      <c r="C127" s="4">
        <v>250000</v>
      </c>
      <c r="D127" s="4">
        <v>2330</v>
      </c>
      <c r="E127" s="4">
        <v>2024</v>
      </c>
      <c r="F127" s="4">
        <v>5.3</v>
      </c>
      <c r="G127" s="4" t="s">
        <v>40</v>
      </c>
      <c r="H127" s="4" t="s">
        <v>25</v>
      </c>
      <c r="I127" s="4" t="s">
        <v>20</v>
      </c>
      <c r="J127" s="4" t="s">
        <v>21</v>
      </c>
      <c r="K127" s="20">
        <f>C127/D127</f>
        <v>107.29613733905579</v>
      </c>
      <c r="L127" s="11">
        <f>PMT(F127/100/12, 300, -(C127 *
(1 - G127/100)))</f>
        <v>1400.1177812954613</v>
      </c>
      <c r="M127" s="11">
        <f t="shared" si="5"/>
        <v>187535.33438863841</v>
      </c>
      <c r="N127" s="11">
        <f t="shared" si="6"/>
        <v>420035.33438863838</v>
      </c>
      <c r="O127">
        <f t="shared" si="7"/>
        <v>232499.99999999997</v>
      </c>
      <c r="P127">
        <v>932.30279599999994</v>
      </c>
      <c r="R127" t="str">
        <f t="shared" si="8"/>
        <v>1</v>
      </c>
      <c r="S127">
        <f t="shared" si="9"/>
        <v>932.33106666666663</v>
      </c>
    </row>
    <row r="128" spans="1:19">
      <c r="A128" s="4" t="s">
        <v>32</v>
      </c>
      <c r="B128" s="4" t="s">
        <v>17</v>
      </c>
      <c r="C128" s="4">
        <v>240000</v>
      </c>
      <c r="D128" s="4">
        <v>2230</v>
      </c>
      <c r="E128" s="4">
        <v>2024</v>
      </c>
      <c r="F128" s="4">
        <v>5.3</v>
      </c>
      <c r="G128" s="4" t="s">
        <v>40</v>
      </c>
      <c r="H128" s="4" t="s">
        <v>25</v>
      </c>
      <c r="I128" s="4" t="s">
        <v>20</v>
      </c>
      <c r="J128" s="4" t="s">
        <v>21</v>
      </c>
      <c r="K128" s="20">
        <f>C128/D128</f>
        <v>107.62331838565022</v>
      </c>
      <c r="L128" s="11">
        <f>PMT(F128/100/12, 300, -(C128 *
(1 - G128/100)))</f>
        <v>1344.1130700436431</v>
      </c>
      <c r="M128" s="11">
        <f t="shared" si="5"/>
        <v>180033.92101309294</v>
      </c>
      <c r="N128" s="11">
        <f t="shared" si="6"/>
        <v>403233.92101309291</v>
      </c>
      <c r="O128">
        <f t="shared" si="7"/>
        <v>223199.99999999997</v>
      </c>
      <c r="P128">
        <v>892.30278749999991</v>
      </c>
      <c r="R128" t="str">
        <f t="shared" si="8"/>
        <v>1</v>
      </c>
      <c r="S128">
        <f t="shared" si="9"/>
        <v>892.33097222222216</v>
      </c>
    </row>
    <row r="129" spans="1:19">
      <c r="A129" s="6" t="s">
        <v>22</v>
      </c>
      <c r="B129" s="6" t="s">
        <v>23</v>
      </c>
      <c r="C129" s="6">
        <v>280000</v>
      </c>
      <c r="D129" s="6">
        <v>2600</v>
      </c>
      <c r="E129" s="6">
        <v>2024</v>
      </c>
      <c r="F129" s="6">
        <v>5.4</v>
      </c>
      <c r="G129" s="6" t="s">
        <v>24</v>
      </c>
      <c r="H129" s="6" t="s">
        <v>25</v>
      </c>
      <c r="I129" s="6" t="s">
        <v>20</v>
      </c>
      <c r="J129" s="6" t="s">
        <v>21</v>
      </c>
      <c r="K129" s="20">
        <f>C129/D129</f>
        <v>107.69230769230769</v>
      </c>
      <c r="L129" s="11">
        <f>PMT(F129/100/12, 300, -(C129 *
(1 - G129/100)))</f>
        <v>1532.4873918686746</v>
      </c>
      <c r="M129" s="11">
        <f t="shared" si="5"/>
        <v>207746.21756060244</v>
      </c>
      <c r="N129" s="11">
        <f t="shared" si="6"/>
        <v>459746.21756060247</v>
      </c>
      <c r="O129">
        <f t="shared" si="7"/>
        <v>252000</v>
      </c>
      <c r="P129">
        <v>1040.3027857142856</v>
      </c>
      <c r="R129" t="str">
        <f t="shared" si="8"/>
        <v>1</v>
      </c>
      <c r="S129">
        <f t="shared" si="9"/>
        <v>1040.3309523809523</v>
      </c>
    </row>
    <row r="130" spans="1:19">
      <c r="A130" s="4" t="s">
        <v>30</v>
      </c>
      <c r="B130" s="4" t="s">
        <v>17</v>
      </c>
      <c r="C130" s="4">
        <v>235000</v>
      </c>
      <c r="D130" s="4">
        <v>2180</v>
      </c>
      <c r="E130" s="4">
        <v>2024</v>
      </c>
      <c r="F130" s="4">
        <v>5.4</v>
      </c>
      <c r="G130" s="4" t="s">
        <v>36</v>
      </c>
      <c r="H130" s="4" t="s">
        <v>25</v>
      </c>
      <c r="I130" s="4" t="s">
        <v>20</v>
      </c>
      <c r="J130" s="4" t="s">
        <v>21</v>
      </c>
      <c r="K130" s="20">
        <f>C130/D130</f>
        <v>107.79816513761467</v>
      </c>
      <c r="L130" s="11">
        <f>PMT(F130/100/12, 300, -(C130 *
(1 - G130/100)))</f>
        <v>1357.6500406138157</v>
      </c>
      <c r="M130" s="11">
        <f t="shared" si="5"/>
        <v>184045.01218414475</v>
      </c>
      <c r="N130" s="11">
        <f t="shared" si="6"/>
        <v>407295.01218414475</v>
      </c>
      <c r="O130">
        <f t="shared" si="7"/>
        <v>223250</v>
      </c>
      <c r="P130">
        <v>872.30278297872337</v>
      </c>
      <c r="R130" t="str">
        <f t="shared" si="8"/>
        <v>1</v>
      </c>
      <c r="S130">
        <f t="shared" si="9"/>
        <v>872.33092198581551</v>
      </c>
    </row>
    <row r="131" spans="1:19">
      <c r="A131" s="6" t="s">
        <v>22</v>
      </c>
      <c r="B131" s="6" t="s">
        <v>23</v>
      </c>
      <c r="C131" s="6">
        <v>275000</v>
      </c>
      <c r="D131" s="6">
        <v>2550</v>
      </c>
      <c r="E131" s="6">
        <v>2024</v>
      </c>
      <c r="F131" s="6">
        <v>5.4</v>
      </c>
      <c r="G131" s="6" t="s">
        <v>24</v>
      </c>
      <c r="H131" s="6" t="s">
        <v>25</v>
      </c>
      <c r="I131" s="6" t="s">
        <v>20</v>
      </c>
      <c r="J131" s="6" t="s">
        <v>21</v>
      </c>
      <c r="K131" s="20">
        <f>C131/D131</f>
        <v>107.84313725490196</v>
      </c>
      <c r="L131" s="11">
        <f>PMT(F131/100/12, 300, -(C131 *
(1 - G131/100)))</f>
        <v>1505.1215455853053</v>
      </c>
      <c r="M131" s="11">
        <f t="shared" ref="M131:M194" si="10">-CUMIPMT(F131/1200,300,O131,1,300,0)</f>
        <v>204036.46367559163</v>
      </c>
      <c r="N131" s="11">
        <f t="shared" ref="N131:N194" si="11">O131+M131</f>
        <v>451536.46367559163</v>
      </c>
      <c r="O131">
        <f t="shared" ref="O131:O194" si="12">C131*(1-G131/100)</f>
        <v>247500</v>
      </c>
      <c r="P131">
        <v>1020.3027818181818</v>
      </c>
      <c r="R131" t="str">
        <f t="shared" ref="R131:R194" si="13">IF(H131="A","4",IF(H131="B","3",IF(H131="C","2",IF(H131="D","1",0))))</f>
        <v>1</v>
      </c>
      <c r="S131">
        <f t="shared" ref="S131:S194" si="14">D131*0.4 +R131*0.3 +(1/(K131*0.3))</f>
        <v>1020.330909090909</v>
      </c>
    </row>
    <row r="132" spans="1:19">
      <c r="A132" s="6" t="s">
        <v>22</v>
      </c>
      <c r="B132" s="6" t="s">
        <v>23</v>
      </c>
      <c r="C132" s="6">
        <v>270000</v>
      </c>
      <c r="D132" s="6">
        <v>2500</v>
      </c>
      <c r="E132" s="6">
        <v>2024</v>
      </c>
      <c r="F132" s="6">
        <v>5.4</v>
      </c>
      <c r="G132" s="6" t="s">
        <v>24</v>
      </c>
      <c r="H132" s="6" t="s">
        <v>25</v>
      </c>
      <c r="I132" s="6" t="s">
        <v>20</v>
      </c>
      <c r="J132" s="6" t="s">
        <v>21</v>
      </c>
      <c r="K132" s="20">
        <f>C132/D132</f>
        <v>108</v>
      </c>
      <c r="L132" s="11">
        <f>PMT(F132/100/12, 300, -(C132 *
(1 - G132/100)))</f>
        <v>1477.7556993019364</v>
      </c>
      <c r="M132" s="11">
        <f t="shared" si="10"/>
        <v>200326.70979058091</v>
      </c>
      <c r="N132" s="11">
        <f t="shared" si="11"/>
        <v>443326.70979058091</v>
      </c>
      <c r="O132">
        <f t="shared" si="12"/>
        <v>243000</v>
      </c>
      <c r="P132">
        <v>1000.3027777777777</v>
      </c>
      <c r="R132" t="str">
        <f t="shared" si="13"/>
        <v>1</v>
      </c>
      <c r="S132">
        <f t="shared" si="14"/>
        <v>1000.3308641975308</v>
      </c>
    </row>
    <row r="133" spans="1:19">
      <c r="A133" s="6" t="s">
        <v>32</v>
      </c>
      <c r="B133" s="6" t="s">
        <v>17</v>
      </c>
      <c r="C133" s="6">
        <v>255000</v>
      </c>
      <c r="D133" s="6">
        <v>2360</v>
      </c>
      <c r="E133" s="6">
        <v>2023</v>
      </c>
      <c r="F133" s="6">
        <v>6.3</v>
      </c>
      <c r="G133" s="6" t="s">
        <v>40</v>
      </c>
      <c r="H133" s="6" t="s">
        <v>25</v>
      </c>
      <c r="I133" s="6" t="s">
        <v>20</v>
      </c>
      <c r="J133" s="6" t="s">
        <v>21</v>
      </c>
      <c r="K133" s="20">
        <f>C133/D133</f>
        <v>108.05084745762711</v>
      </c>
      <c r="L133" s="11">
        <f>PMT(F133/100/12, 300, -(C133 *
(1 - G133/100)))</f>
        <v>1571.7435285618762</v>
      </c>
      <c r="M133" s="11">
        <f t="shared" si="10"/>
        <v>234373.05856856285</v>
      </c>
      <c r="N133" s="11">
        <f t="shared" si="11"/>
        <v>471523.05856856285</v>
      </c>
      <c r="O133">
        <f t="shared" si="12"/>
        <v>237149.99999999997</v>
      </c>
      <c r="P133">
        <v>944.30277647058824</v>
      </c>
      <c r="R133" t="str">
        <f t="shared" si="13"/>
        <v>1</v>
      </c>
      <c r="S133">
        <f t="shared" si="14"/>
        <v>944.33084967320258</v>
      </c>
    </row>
    <row r="134" spans="1:19">
      <c r="A134" s="4" t="s">
        <v>32</v>
      </c>
      <c r="B134" s="4" t="s">
        <v>17</v>
      </c>
      <c r="C134" s="4">
        <v>228000</v>
      </c>
      <c r="D134" s="4">
        <v>2100</v>
      </c>
      <c r="E134" s="4">
        <v>2023</v>
      </c>
      <c r="F134" s="4">
        <v>6.6</v>
      </c>
      <c r="G134" s="4" t="s">
        <v>40</v>
      </c>
      <c r="H134" s="4" t="s">
        <v>25</v>
      </c>
      <c r="I134" s="4" t="s">
        <v>20</v>
      </c>
      <c r="J134" s="4" t="s">
        <v>21</v>
      </c>
      <c r="K134" s="20">
        <f>C134/D134</f>
        <v>108.57142857142857</v>
      </c>
      <c r="L134" s="11">
        <f>PMT(F134/100/12, 300, -(C134 *
(1 - G134/100)))</f>
        <v>1444.9870785214723</v>
      </c>
      <c r="M134" s="11">
        <f t="shared" si="10"/>
        <v>221456.12355644163</v>
      </c>
      <c r="N134" s="11">
        <f t="shared" si="11"/>
        <v>433496.12355644163</v>
      </c>
      <c r="O134">
        <f t="shared" si="12"/>
        <v>212040</v>
      </c>
      <c r="P134">
        <v>840.30276315789467</v>
      </c>
      <c r="R134" t="str">
        <f t="shared" si="13"/>
        <v>1</v>
      </c>
      <c r="S134">
        <f t="shared" si="14"/>
        <v>840.33070175438593</v>
      </c>
    </row>
    <row r="135" spans="1:19">
      <c r="A135" s="6" t="s">
        <v>26</v>
      </c>
      <c r="B135" s="6" t="s">
        <v>23</v>
      </c>
      <c r="C135" s="6">
        <v>250000</v>
      </c>
      <c r="D135" s="6">
        <v>2300</v>
      </c>
      <c r="E135" s="6">
        <v>2024</v>
      </c>
      <c r="F135" s="6">
        <v>5.5</v>
      </c>
      <c r="G135" s="6" t="s">
        <v>24</v>
      </c>
      <c r="H135" s="6" t="s">
        <v>25</v>
      </c>
      <c r="I135" s="6" t="s">
        <v>20</v>
      </c>
      <c r="J135" s="6" t="s">
        <v>21</v>
      </c>
      <c r="K135" s="20">
        <f>C135/D135</f>
        <v>108.69565217391305</v>
      </c>
      <c r="L135" s="11">
        <f>PMT(F135/100/12, 300, -(C135 *
(1 - G135/100)))</f>
        <v>1381.6968576333079</v>
      </c>
      <c r="M135" s="11">
        <f t="shared" si="10"/>
        <v>189509.05728999234</v>
      </c>
      <c r="N135" s="11">
        <f t="shared" si="11"/>
        <v>414509.05728999234</v>
      </c>
      <c r="O135">
        <f t="shared" si="12"/>
        <v>225000</v>
      </c>
      <c r="P135">
        <v>920.30275999999992</v>
      </c>
      <c r="R135" t="str">
        <f t="shared" si="13"/>
        <v>1</v>
      </c>
      <c r="S135">
        <f t="shared" si="14"/>
        <v>920.33066666666662</v>
      </c>
    </row>
    <row r="136" spans="1:19">
      <c r="A136" s="6" t="s">
        <v>30</v>
      </c>
      <c r="B136" s="6" t="s">
        <v>17</v>
      </c>
      <c r="C136" s="6">
        <v>240000</v>
      </c>
      <c r="D136" s="6">
        <v>2200</v>
      </c>
      <c r="E136" s="6">
        <v>2023</v>
      </c>
      <c r="F136" s="6">
        <v>6.5</v>
      </c>
      <c r="G136" s="6" t="s">
        <v>31</v>
      </c>
      <c r="H136" s="6" t="s">
        <v>25</v>
      </c>
      <c r="I136" s="6" t="s">
        <v>20</v>
      </c>
      <c r="J136" s="6" t="s">
        <v>21</v>
      </c>
      <c r="K136" s="20">
        <f>C136/D136</f>
        <v>109.09090909090909</v>
      </c>
      <c r="L136" s="11">
        <f>PMT(F136/100/12, 300, -(C136 *
(1 - G136/100)))</f>
        <v>1490.8574122555883</v>
      </c>
      <c r="M136" s="11">
        <f t="shared" si="10"/>
        <v>226457.22367667648</v>
      </c>
      <c r="N136" s="11">
        <f t="shared" si="11"/>
        <v>447257.22367667651</v>
      </c>
      <c r="O136">
        <f t="shared" si="12"/>
        <v>220800</v>
      </c>
      <c r="P136">
        <v>880.30274999999995</v>
      </c>
      <c r="R136" t="str">
        <f t="shared" si="13"/>
        <v>1</v>
      </c>
      <c r="S136">
        <f t="shared" si="14"/>
        <v>880.33055555555552</v>
      </c>
    </row>
    <row r="137" spans="1:19">
      <c r="A137" s="6" t="s">
        <v>32</v>
      </c>
      <c r="B137" s="6" t="s">
        <v>17</v>
      </c>
      <c r="C137" s="6">
        <v>250000</v>
      </c>
      <c r="D137" s="6">
        <v>2280</v>
      </c>
      <c r="E137" s="6">
        <v>2024</v>
      </c>
      <c r="F137" s="6">
        <v>5.3</v>
      </c>
      <c r="G137" s="6" t="s">
        <v>40</v>
      </c>
      <c r="H137" s="6" t="s">
        <v>25</v>
      </c>
      <c r="I137" s="6" t="s">
        <v>20</v>
      </c>
      <c r="J137" s="6" t="s">
        <v>21</v>
      </c>
      <c r="K137" s="20">
        <f>C137/D137</f>
        <v>109.64912280701755</v>
      </c>
      <c r="L137" s="11">
        <f>PMT(F137/100/12, 300, -(C137 *
(1 - G137/100)))</f>
        <v>1400.1177812954613</v>
      </c>
      <c r="M137" s="11">
        <f t="shared" si="10"/>
        <v>187535.33438863841</v>
      </c>
      <c r="N137" s="11">
        <f t="shared" si="11"/>
        <v>420035.33438863838</v>
      </c>
      <c r="O137">
        <f t="shared" si="12"/>
        <v>232499.99999999997</v>
      </c>
      <c r="P137">
        <v>912.30273599999998</v>
      </c>
      <c r="R137" t="str">
        <f t="shared" si="13"/>
        <v>1</v>
      </c>
      <c r="S137">
        <f t="shared" si="14"/>
        <v>912.33039999999994</v>
      </c>
    </row>
    <row r="138" spans="1:19">
      <c r="A138" s="4" t="s">
        <v>35</v>
      </c>
      <c r="B138" s="4" t="s">
        <v>23</v>
      </c>
      <c r="C138" s="4">
        <v>258000</v>
      </c>
      <c r="D138" s="4">
        <v>2350</v>
      </c>
      <c r="E138" s="4">
        <v>2024</v>
      </c>
      <c r="F138" s="4">
        <v>5.4</v>
      </c>
      <c r="G138" s="4" t="s">
        <v>42</v>
      </c>
      <c r="H138" s="4" t="s">
        <v>25</v>
      </c>
      <c r="I138" s="4" t="s">
        <v>20</v>
      </c>
      <c r="J138" s="4" t="s">
        <v>21</v>
      </c>
      <c r="K138" s="20">
        <f>C138/D138</f>
        <v>109.78723404255319</v>
      </c>
      <c r="L138" s="11">
        <f>PMT(F138/100/12, 300, -(C138 *
(1 - G138/100)))</f>
        <v>1474.8366756983769</v>
      </c>
      <c r="M138" s="11">
        <f t="shared" si="10"/>
        <v>199931.00270951306</v>
      </c>
      <c r="N138" s="11">
        <f t="shared" si="11"/>
        <v>442451.00270951306</v>
      </c>
      <c r="O138">
        <f t="shared" si="12"/>
        <v>242520</v>
      </c>
      <c r="P138">
        <v>940.3027325581395</v>
      </c>
      <c r="R138" t="str">
        <f t="shared" si="13"/>
        <v>1</v>
      </c>
      <c r="S138">
        <f t="shared" si="14"/>
        <v>940.33036175710595</v>
      </c>
    </row>
    <row r="139" spans="1:19">
      <c r="A139" s="4" t="s">
        <v>22</v>
      </c>
      <c r="B139" s="4" t="s">
        <v>23</v>
      </c>
      <c r="C139" s="4">
        <v>260000</v>
      </c>
      <c r="D139" s="4">
        <v>2360</v>
      </c>
      <c r="E139" s="4">
        <v>2024</v>
      </c>
      <c r="F139" s="4">
        <v>5.4</v>
      </c>
      <c r="G139" s="4" t="s">
        <v>24</v>
      </c>
      <c r="H139" s="4" t="s">
        <v>25</v>
      </c>
      <c r="I139" s="4" t="s">
        <v>20</v>
      </c>
      <c r="J139" s="4" t="s">
        <v>21</v>
      </c>
      <c r="K139" s="20">
        <f>C139/D139</f>
        <v>110.16949152542372</v>
      </c>
      <c r="L139" s="11">
        <f>PMT(F139/100/12, 300, -(C139 *
(1 - G139/100)))</f>
        <v>1423.0240067351979</v>
      </c>
      <c r="M139" s="11">
        <f t="shared" si="10"/>
        <v>192907.20202055937</v>
      </c>
      <c r="N139" s="11">
        <f t="shared" si="11"/>
        <v>426907.20202055934</v>
      </c>
      <c r="O139">
        <f t="shared" si="12"/>
        <v>234000</v>
      </c>
      <c r="P139">
        <v>944.30272307692303</v>
      </c>
      <c r="R139" t="str">
        <f t="shared" si="13"/>
        <v>1</v>
      </c>
      <c r="S139">
        <f t="shared" si="14"/>
        <v>944.33025641025631</v>
      </c>
    </row>
    <row r="140" spans="1:19">
      <c r="A140" s="4" t="s">
        <v>26</v>
      </c>
      <c r="B140" s="4" t="s">
        <v>23</v>
      </c>
      <c r="C140" s="4">
        <v>270000</v>
      </c>
      <c r="D140" s="4">
        <v>2450</v>
      </c>
      <c r="E140" s="4">
        <v>2023</v>
      </c>
      <c r="F140" s="4">
        <v>6.5</v>
      </c>
      <c r="G140" s="4" t="s">
        <v>24</v>
      </c>
      <c r="H140" s="4" t="s">
        <v>25</v>
      </c>
      <c r="I140" s="4" t="s">
        <v>20</v>
      </c>
      <c r="J140" s="4" t="s">
        <v>21</v>
      </c>
      <c r="K140" s="20">
        <f>C140/D140</f>
        <v>110.20408163265306</v>
      </c>
      <c r="L140" s="11">
        <f>PMT(F140/100/12, 300, -(C140 *
(1 - G140/100)))</f>
        <v>1640.7534020747644</v>
      </c>
      <c r="M140" s="11">
        <f t="shared" si="10"/>
        <v>249226.02062242929</v>
      </c>
      <c r="N140" s="11">
        <f t="shared" si="11"/>
        <v>492226.02062242932</v>
      </c>
      <c r="O140">
        <f t="shared" si="12"/>
        <v>243000</v>
      </c>
      <c r="P140">
        <v>980.3027222222222</v>
      </c>
      <c r="R140" t="str">
        <f t="shared" si="13"/>
        <v>1</v>
      </c>
      <c r="S140">
        <f t="shared" si="14"/>
        <v>980.33024691358025</v>
      </c>
    </row>
    <row r="141" spans="1:19">
      <c r="A141" s="4" t="s">
        <v>26</v>
      </c>
      <c r="B141" s="4" t="s">
        <v>23</v>
      </c>
      <c r="C141" s="4">
        <v>255000</v>
      </c>
      <c r="D141" s="4">
        <v>2300</v>
      </c>
      <c r="E141" s="4">
        <v>2024</v>
      </c>
      <c r="F141" s="4">
        <v>5.5</v>
      </c>
      <c r="G141" s="4" t="s">
        <v>24</v>
      </c>
      <c r="H141" s="4" t="s">
        <v>25</v>
      </c>
      <c r="I141" s="4" t="s">
        <v>20</v>
      </c>
      <c r="J141" s="4" t="s">
        <v>21</v>
      </c>
      <c r="K141" s="20">
        <f>C141/D141</f>
        <v>110.8695652173913</v>
      </c>
      <c r="L141" s="11">
        <f>PMT(F141/100/12, 300, -(C141 *
(1 - G141/100)))</f>
        <v>1409.3307947859744</v>
      </c>
      <c r="M141" s="11">
        <f t="shared" si="10"/>
        <v>193299.2384357923</v>
      </c>
      <c r="N141" s="11">
        <f t="shared" si="11"/>
        <v>422799.23843579227</v>
      </c>
      <c r="O141">
        <f t="shared" si="12"/>
        <v>229500</v>
      </c>
      <c r="P141">
        <v>920.30270588235294</v>
      </c>
      <c r="R141" t="str">
        <f t="shared" si="13"/>
        <v>1</v>
      </c>
      <c r="S141">
        <f t="shared" si="14"/>
        <v>920.33006535947709</v>
      </c>
    </row>
    <row r="142" spans="1:19">
      <c r="A142" s="4" t="s">
        <v>35</v>
      </c>
      <c r="B142" s="4" t="s">
        <v>23</v>
      </c>
      <c r="C142" s="4">
        <v>255000</v>
      </c>
      <c r="D142" s="4">
        <v>2300</v>
      </c>
      <c r="E142" s="4">
        <v>2024</v>
      </c>
      <c r="F142" s="4">
        <v>5.4</v>
      </c>
      <c r="G142" s="4" t="s">
        <v>42</v>
      </c>
      <c r="H142" s="4" t="s">
        <v>25</v>
      </c>
      <c r="I142" s="4" t="s">
        <v>20</v>
      </c>
      <c r="J142" s="4" t="s">
        <v>21</v>
      </c>
      <c r="K142" s="20">
        <f>C142/D142</f>
        <v>110.8695652173913</v>
      </c>
      <c r="L142" s="11">
        <f>PMT(F142/100/12, 300, -(C142 *
(1 - G142/100)))</f>
        <v>1457.6874120274654</v>
      </c>
      <c r="M142" s="11">
        <f t="shared" si="10"/>
        <v>197606.22360823964</v>
      </c>
      <c r="N142" s="11">
        <f t="shared" si="11"/>
        <v>437306.22360823967</v>
      </c>
      <c r="O142">
        <f t="shared" si="12"/>
        <v>239700</v>
      </c>
      <c r="P142">
        <v>920.30270588235294</v>
      </c>
      <c r="R142" t="str">
        <f t="shared" si="13"/>
        <v>1</v>
      </c>
      <c r="S142">
        <f t="shared" si="14"/>
        <v>920.33006535947709</v>
      </c>
    </row>
    <row r="143" spans="1:19">
      <c r="A143" s="4" t="s">
        <v>35</v>
      </c>
      <c r="B143" s="4" t="s">
        <v>23</v>
      </c>
      <c r="C143" s="4">
        <v>252000</v>
      </c>
      <c r="D143" s="4">
        <v>2250</v>
      </c>
      <c r="E143" s="4">
        <v>2024</v>
      </c>
      <c r="F143" s="4">
        <v>5.4</v>
      </c>
      <c r="G143" s="4" t="s">
        <v>42</v>
      </c>
      <c r="H143" s="4" t="s">
        <v>25</v>
      </c>
      <c r="I143" s="4" t="s">
        <v>20</v>
      </c>
      <c r="J143" s="4" t="s">
        <v>21</v>
      </c>
      <c r="K143" s="20">
        <f>C143/D143</f>
        <v>112</v>
      </c>
      <c r="L143" s="11">
        <f>PMT(F143/100/12, 300, -(C143 *
(1 - G143/100)))</f>
        <v>1440.5381483565541</v>
      </c>
      <c r="M143" s="11">
        <f t="shared" si="10"/>
        <v>195281.44450696625</v>
      </c>
      <c r="N143" s="11">
        <f t="shared" si="11"/>
        <v>432161.44450696628</v>
      </c>
      <c r="O143">
        <f t="shared" si="12"/>
        <v>236880</v>
      </c>
      <c r="P143">
        <v>900.30267857142849</v>
      </c>
      <c r="R143" t="str">
        <f t="shared" si="13"/>
        <v>1</v>
      </c>
      <c r="S143">
        <f t="shared" si="14"/>
        <v>900.32976190476188</v>
      </c>
    </row>
    <row r="144" spans="1:19">
      <c r="A144" s="6" t="s">
        <v>37</v>
      </c>
      <c r="B144" s="6" t="s">
        <v>17</v>
      </c>
      <c r="C144" s="6">
        <v>279000</v>
      </c>
      <c r="D144" s="6">
        <v>2490</v>
      </c>
      <c r="E144" s="6">
        <v>2023</v>
      </c>
      <c r="F144" s="6">
        <v>6</v>
      </c>
      <c r="G144" s="6" t="s">
        <v>24</v>
      </c>
      <c r="H144" s="6" t="s">
        <v>19</v>
      </c>
      <c r="I144" s="6" t="s">
        <v>20</v>
      </c>
      <c r="J144" s="6" t="s">
        <v>21</v>
      </c>
      <c r="K144" s="20">
        <f>C144/D144</f>
        <v>112.04819277108433</v>
      </c>
      <c r="L144" s="11">
        <f>PMT(F144/100/12, 300, -(C144 *
(1 - G144/100)))</f>
        <v>1617.8408191301121</v>
      </c>
      <c r="M144" s="11">
        <f t="shared" si="10"/>
        <v>234252.24573903362</v>
      </c>
      <c r="N144" s="11">
        <f t="shared" si="11"/>
        <v>485352.24573903362</v>
      </c>
      <c r="O144">
        <f t="shared" si="12"/>
        <v>251100</v>
      </c>
      <c r="P144">
        <v>996.6026774193549</v>
      </c>
      <c r="R144" t="str">
        <f t="shared" si="13"/>
        <v>2</v>
      </c>
      <c r="S144">
        <f t="shared" si="14"/>
        <v>996.62974910394269</v>
      </c>
    </row>
    <row r="145" spans="1:19">
      <c r="A145" s="4" t="s">
        <v>32</v>
      </c>
      <c r="B145" s="4" t="s">
        <v>17</v>
      </c>
      <c r="C145" s="4">
        <v>250000</v>
      </c>
      <c r="D145" s="4">
        <v>2230</v>
      </c>
      <c r="E145" s="4">
        <v>2024</v>
      </c>
      <c r="F145" s="4">
        <v>5.3</v>
      </c>
      <c r="G145" s="8">
        <v>7</v>
      </c>
      <c r="H145" s="4" t="s">
        <v>25</v>
      </c>
      <c r="I145" s="4" t="s">
        <v>20</v>
      </c>
      <c r="J145" s="4" t="s">
        <v>21</v>
      </c>
      <c r="K145" s="20">
        <f>C145/D145</f>
        <v>112.10762331838565</v>
      </c>
      <c r="L145" s="11">
        <f>PMT(F145/100/12, 300, -(C145 *
(1 - G145/100)))</f>
        <v>1400.1177812954613</v>
      </c>
      <c r="M145" s="11">
        <f t="shared" si="10"/>
        <v>187535.33438863841</v>
      </c>
      <c r="N145" s="11">
        <f t="shared" si="11"/>
        <v>420035.33438863838</v>
      </c>
      <c r="O145">
        <f t="shared" si="12"/>
        <v>232499.99999999997</v>
      </c>
      <c r="P145">
        <v>892.30267599999991</v>
      </c>
      <c r="R145" t="str">
        <f t="shared" si="13"/>
        <v>1</v>
      </c>
      <c r="S145">
        <f t="shared" si="14"/>
        <v>892.32973333333325</v>
      </c>
    </row>
    <row r="146" spans="1:19">
      <c r="A146" s="4" t="s">
        <v>26</v>
      </c>
      <c r="B146" s="4" t="s">
        <v>23</v>
      </c>
      <c r="C146" s="4">
        <v>240000</v>
      </c>
      <c r="D146" s="4">
        <v>2140</v>
      </c>
      <c r="E146" s="4">
        <v>2024</v>
      </c>
      <c r="F146" s="4">
        <v>5.5</v>
      </c>
      <c r="G146" s="4" t="s">
        <v>24</v>
      </c>
      <c r="H146" s="4" t="s">
        <v>25</v>
      </c>
      <c r="I146" s="4" t="s">
        <v>20</v>
      </c>
      <c r="J146" s="4" t="s">
        <v>21</v>
      </c>
      <c r="K146" s="20">
        <f>C146/D146</f>
        <v>112.14953271028037</v>
      </c>
      <c r="L146" s="11">
        <f>PMT(F146/100/12, 300, -(C146 *
(1 - G146/100)))</f>
        <v>1326.4289833279756</v>
      </c>
      <c r="M146" s="11">
        <f t="shared" si="10"/>
        <v>181928.69499839263</v>
      </c>
      <c r="N146" s="11">
        <f t="shared" si="11"/>
        <v>397928.6949983926</v>
      </c>
      <c r="O146">
        <f t="shared" si="12"/>
        <v>216000</v>
      </c>
      <c r="P146">
        <v>856.30267499999991</v>
      </c>
      <c r="R146" t="str">
        <f t="shared" si="13"/>
        <v>1</v>
      </c>
      <c r="S146">
        <f t="shared" si="14"/>
        <v>856.32972222222213</v>
      </c>
    </row>
    <row r="147" spans="1:19">
      <c r="A147" s="4" t="s">
        <v>37</v>
      </c>
      <c r="B147" s="4" t="s">
        <v>17</v>
      </c>
      <c r="C147" s="4">
        <v>276000</v>
      </c>
      <c r="D147" s="4">
        <v>2460</v>
      </c>
      <c r="E147" s="4">
        <v>2024</v>
      </c>
      <c r="F147" s="4">
        <v>5.0999999999999996</v>
      </c>
      <c r="G147" s="4" t="s">
        <v>24</v>
      </c>
      <c r="H147" s="4" t="s">
        <v>19</v>
      </c>
      <c r="I147" s="4" t="s">
        <v>20</v>
      </c>
      <c r="J147" s="4" t="s">
        <v>21</v>
      </c>
      <c r="K147" s="20">
        <f>C147/D147</f>
        <v>112.19512195121951</v>
      </c>
      <c r="L147" s="11">
        <f>PMT(F147/100/12, 300, -(C147 *
(1 - G147/100)))</f>
        <v>1466.6307821465014</v>
      </c>
      <c r="M147" s="11">
        <f t="shared" si="10"/>
        <v>191589.23464395039</v>
      </c>
      <c r="N147" s="11">
        <f t="shared" si="11"/>
        <v>439989.23464395036</v>
      </c>
      <c r="O147">
        <f t="shared" si="12"/>
        <v>248400</v>
      </c>
      <c r="P147">
        <v>984.60267391304353</v>
      </c>
      <c r="R147" t="str">
        <f t="shared" si="13"/>
        <v>2</v>
      </c>
      <c r="S147">
        <f t="shared" si="14"/>
        <v>984.62971014492757</v>
      </c>
    </row>
    <row r="148" spans="1:19">
      <c r="A148" s="4" t="s">
        <v>22</v>
      </c>
      <c r="B148" s="4" t="s">
        <v>23</v>
      </c>
      <c r="C148" s="4">
        <v>248000</v>
      </c>
      <c r="D148" s="4">
        <v>2210</v>
      </c>
      <c r="E148" s="4">
        <v>2024</v>
      </c>
      <c r="F148" s="4">
        <v>5.5</v>
      </c>
      <c r="G148" s="4" t="s">
        <v>31</v>
      </c>
      <c r="H148" s="4" t="s">
        <v>25</v>
      </c>
      <c r="I148" s="4" t="s">
        <v>20</v>
      </c>
      <c r="J148" s="4" t="s">
        <v>21</v>
      </c>
      <c r="K148" s="20">
        <f>C148/D148</f>
        <v>112.21719457013575</v>
      </c>
      <c r="L148" s="11">
        <f>PMT(F148/100/12, 300, -(C148 *
(1 - G148/100)))</f>
        <v>1401.1020223894025</v>
      </c>
      <c r="M148" s="11">
        <f t="shared" si="10"/>
        <v>192170.60671682074</v>
      </c>
      <c r="N148" s="11">
        <f t="shared" si="11"/>
        <v>420330.60671682074</v>
      </c>
      <c r="O148">
        <f t="shared" si="12"/>
        <v>228160</v>
      </c>
      <c r="P148">
        <v>884.30267338709677</v>
      </c>
      <c r="R148" t="str">
        <f t="shared" si="13"/>
        <v>1</v>
      </c>
      <c r="S148">
        <f t="shared" si="14"/>
        <v>884.32970430107525</v>
      </c>
    </row>
    <row r="149" spans="1:19">
      <c r="A149" s="4" t="s">
        <v>33</v>
      </c>
      <c r="B149" s="4" t="s">
        <v>17</v>
      </c>
      <c r="C149" s="4">
        <v>255000</v>
      </c>
      <c r="D149" s="4">
        <v>2270</v>
      </c>
      <c r="E149" s="4">
        <v>2024</v>
      </c>
      <c r="F149" s="4">
        <v>5.2</v>
      </c>
      <c r="G149" s="4" t="s">
        <v>18</v>
      </c>
      <c r="H149" s="4" t="s">
        <v>19</v>
      </c>
      <c r="I149" s="4" t="s">
        <v>20</v>
      </c>
      <c r="J149" s="4" t="s">
        <v>21</v>
      </c>
      <c r="K149" s="20">
        <f>C149/D149</f>
        <v>112.33480176211454</v>
      </c>
      <c r="L149" s="11">
        <f>PMT(F149/100/12, 300, -(C149 *
(1 - G149/100)))</f>
        <v>1338.10060747221</v>
      </c>
      <c r="M149" s="11">
        <f t="shared" si="10"/>
        <v>177030.18224166296</v>
      </c>
      <c r="N149" s="11">
        <f t="shared" si="11"/>
        <v>401430.18224166299</v>
      </c>
      <c r="O149">
        <f t="shared" si="12"/>
        <v>224400</v>
      </c>
      <c r="P149">
        <v>908.60267058823536</v>
      </c>
      <c r="R149" t="str">
        <f t="shared" si="13"/>
        <v>2</v>
      </c>
      <c r="S149">
        <f t="shared" si="14"/>
        <v>908.62967320261441</v>
      </c>
    </row>
    <row r="150" spans="1:19">
      <c r="A150" s="6" t="s">
        <v>37</v>
      </c>
      <c r="B150" s="6" t="s">
        <v>17</v>
      </c>
      <c r="C150" s="6">
        <v>273000</v>
      </c>
      <c r="D150" s="6">
        <v>2430</v>
      </c>
      <c r="E150" s="6">
        <v>2024</v>
      </c>
      <c r="F150" s="6">
        <v>5.0999999999999996</v>
      </c>
      <c r="G150" s="6" t="s">
        <v>24</v>
      </c>
      <c r="H150" s="6" t="s">
        <v>19</v>
      </c>
      <c r="I150" s="6" t="s">
        <v>20</v>
      </c>
      <c r="J150" s="6" t="s">
        <v>21</v>
      </c>
      <c r="K150" s="20">
        <f>C150/D150</f>
        <v>112.34567901234568</v>
      </c>
      <c r="L150" s="11">
        <f>PMT(F150/100/12, 300, -(C150 *
(1 - G150/100)))</f>
        <v>1450.6891432101263</v>
      </c>
      <c r="M150" s="11">
        <f t="shared" si="10"/>
        <v>189506.74296303792</v>
      </c>
      <c r="N150" s="11">
        <f t="shared" si="11"/>
        <v>435206.74296303792</v>
      </c>
      <c r="O150">
        <f t="shared" si="12"/>
        <v>245700</v>
      </c>
      <c r="P150">
        <v>972.60267032967033</v>
      </c>
      <c r="R150" t="str">
        <f t="shared" si="13"/>
        <v>2</v>
      </c>
      <c r="S150">
        <f t="shared" si="14"/>
        <v>972.62967032967038</v>
      </c>
    </row>
    <row r="151" spans="1:19">
      <c r="A151" s="6" t="s">
        <v>37</v>
      </c>
      <c r="B151" s="6" t="s">
        <v>17</v>
      </c>
      <c r="C151" s="6">
        <v>282000</v>
      </c>
      <c r="D151" s="6">
        <v>2510</v>
      </c>
      <c r="E151" s="6">
        <v>2024</v>
      </c>
      <c r="F151" s="6">
        <v>5.2</v>
      </c>
      <c r="G151" s="6" t="s">
        <v>24</v>
      </c>
      <c r="H151" s="6" t="s">
        <v>19</v>
      </c>
      <c r="I151" s="6" t="s">
        <v>20</v>
      </c>
      <c r="J151" s="6" t="s">
        <v>21</v>
      </c>
      <c r="K151" s="20">
        <f>C151/D151</f>
        <v>112.35059760956176</v>
      </c>
      <c r="L151" s="11">
        <f>PMT(F151/100/12, 300, -(C151 *
(1 - G151/100)))</f>
        <v>1513.4132539057348</v>
      </c>
      <c r="M151" s="11">
        <f t="shared" si="10"/>
        <v>200223.97617172039</v>
      </c>
      <c r="N151" s="11">
        <f t="shared" si="11"/>
        <v>454023.97617172042</v>
      </c>
      <c r="O151">
        <f t="shared" si="12"/>
        <v>253800</v>
      </c>
      <c r="P151">
        <v>1004.6026702127659</v>
      </c>
      <c r="R151" t="str">
        <f t="shared" si="13"/>
        <v>2</v>
      </c>
      <c r="S151">
        <f t="shared" si="14"/>
        <v>1004.6296690307329</v>
      </c>
    </row>
    <row r="152" spans="1:19">
      <c r="A152" s="4" t="s">
        <v>37</v>
      </c>
      <c r="B152" s="4" t="s">
        <v>17</v>
      </c>
      <c r="C152" s="4">
        <v>285000</v>
      </c>
      <c r="D152" s="4">
        <v>2530</v>
      </c>
      <c r="E152" s="4">
        <v>2023</v>
      </c>
      <c r="F152" s="4">
        <v>6</v>
      </c>
      <c r="G152" s="4" t="s">
        <v>24</v>
      </c>
      <c r="H152" s="4" t="s">
        <v>19</v>
      </c>
      <c r="I152" s="4" t="s">
        <v>20</v>
      </c>
      <c r="J152" s="4" t="s">
        <v>21</v>
      </c>
      <c r="K152" s="20">
        <f>C152/D152</f>
        <v>112.64822134387352</v>
      </c>
      <c r="L152" s="11">
        <f>PMT(F152/100/12, 300, -(C152 *
(1 - G152/100)))</f>
        <v>1652.6330948103296</v>
      </c>
      <c r="M152" s="11">
        <f t="shared" si="10"/>
        <v>239289.92844309885</v>
      </c>
      <c r="N152" s="11">
        <f t="shared" si="11"/>
        <v>495789.92844309885</v>
      </c>
      <c r="O152">
        <f t="shared" si="12"/>
        <v>256500</v>
      </c>
      <c r="P152">
        <v>1012.6026631578948</v>
      </c>
      <c r="R152" t="str">
        <f t="shared" si="13"/>
        <v>2</v>
      </c>
      <c r="S152">
        <f t="shared" si="14"/>
        <v>1012.6295906432749</v>
      </c>
    </row>
    <row r="153" spans="1:19">
      <c r="A153" s="4" t="s">
        <v>26</v>
      </c>
      <c r="B153" s="4" t="s">
        <v>23</v>
      </c>
      <c r="C153" s="4">
        <v>248000</v>
      </c>
      <c r="D153" s="4">
        <v>2200</v>
      </c>
      <c r="E153" s="4">
        <v>2023</v>
      </c>
      <c r="F153" s="4">
        <v>6.5</v>
      </c>
      <c r="G153" s="4" t="s">
        <v>24</v>
      </c>
      <c r="H153" s="4" t="s">
        <v>25</v>
      </c>
      <c r="I153" s="4" t="s">
        <v>20</v>
      </c>
      <c r="J153" s="4" t="s">
        <v>21</v>
      </c>
      <c r="K153" s="20">
        <f>C153/D153</f>
        <v>112.72727272727273</v>
      </c>
      <c r="L153" s="11">
        <f>PMT(F153/100/12, 300, -(C153 *
(1 - G153/100)))</f>
        <v>1507.0623841279319</v>
      </c>
      <c r="M153" s="11">
        <f t="shared" si="10"/>
        <v>228918.71523837955</v>
      </c>
      <c r="N153" s="11">
        <f t="shared" si="11"/>
        <v>452118.71523837955</v>
      </c>
      <c r="O153">
        <f t="shared" si="12"/>
        <v>223200</v>
      </c>
      <c r="P153">
        <v>880.30266129032259</v>
      </c>
      <c r="R153" t="str">
        <f t="shared" si="13"/>
        <v>1</v>
      </c>
      <c r="S153">
        <f t="shared" si="14"/>
        <v>880.32956989247305</v>
      </c>
    </row>
    <row r="154" spans="1:19">
      <c r="A154" s="6" t="s">
        <v>22</v>
      </c>
      <c r="B154" s="6" t="s">
        <v>23</v>
      </c>
      <c r="C154" s="6">
        <v>254000</v>
      </c>
      <c r="D154" s="6">
        <v>2240</v>
      </c>
      <c r="E154" s="6">
        <v>2023</v>
      </c>
      <c r="F154" s="6">
        <v>6.3</v>
      </c>
      <c r="G154" s="6" t="s">
        <v>24</v>
      </c>
      <c r="H154" s="6" t="s">
        <v>25</v>
      </c>
      <c r="I154" s="6" t="s">
        <v>20</v>
      </c>
      <c r="J154" s="6" t="s">
        <v>21</v>
      </c>
      <c r="K154" s="20">
        <f>C154/D154</f>
        <v>113.39285714285714</v>
      </c>
      <c r="L154" s="11">
        <f>PMT(F154/100/12, 300, -(C154 *
(1 - G154/100)))</f>
        <v>1515.077253338583</v>
      </c>
      <c r="M154" s="11">
        <f t="shared" si="10"/>
        <v>225923.17600157487</v>
      </c>
      <c r="N154" s="11">
        <f t="shared" si="11"/>
        <v>454523.17600157484</v>
      </c>
      <c r="O154">
        <f t="shared" si="12"/>
        <v>228600</v>
      </c>
      <c r="P154">
        <v>896.30264566929134</v>
      </c>
      <c r="R154" t="str">
        <f t="shared" si="13"/>
        <v>1</v>
      </c>
      <c r="S154">
        <f t="shared" si="14"/>
        <v>896.32939632545924</v>
      </c>
    </row>
    <row r="155" spans="1:19">
      <c r="A155" s="4" t="s">
        <v>35</v>
      </c>
      <c r="B155" s="4" t="s">
        <v>23</v>
      </c>
      <c r="C155" s="4">
        <v>250000</v>
      </c>
      <c r="D155" s="4">
        <v>2200</v>
      </c>
      <c r="E155" s="4">
        <v>2024</v>
      </c>
      <c r="F155" s="4">
        <v>5.4</v>
      </c>
      <c r="G155" s="4" t="s">
        <v>42</v>
      </c>
      <c r="H155" s="4" t="s">
        <v>25</v>
      </c>
      <c r="I155" s="4" t="s">
        <v>20</v>
      </c>
      <c r="J155" s="4" t="s">
        <v>21</v>
      </c>
      <c r="K155" s="20">
        <f>C155/D155</f>
        <v>113.63636363636364</v>
      </c>
      <c r="L155" s="11">
        <f>PMT(F155/100/12, 300, -(C155 *
(1 - G155/100)))</f>
        <v>1429.1053059092797</v>
      </c>
      <c r="M155" s="11">
        <f t="shared" si="10"/>
        <v>193731.59177278393</v>
      </c>
      <c r="N155" s="11">
        <f t="shared" si="11"/>
        <v>428731.5917727839</v>
      </c>
      <c r="O155">
        <f t="shared" si="12"/>
        <v>235000</v>
      </c>
      <c r="P155">
        <v>880.30264</v>
      </c>
      <c r="R155" t="str">
        <f t="shared" si="13"/>
        <v>1</v>
      </c>
      <c r="S155">
        <f t="shared" si="14"/>
        <v>880.32933333333324</v>
      </c>
    </row>
    <row r="156" spans="1:19">
      <c r="A156" s="6" t="s">
        <v>37</v>
      </c>
      <c r="B156" s="6" t="s">
        <v>17</v>
      </c>
      <c r="C156" s="6">
        <v>290000</v>
      </c>
      <c r="D156" s="6">
        <v>2550</v>
      </c>
      <c r="E156" s="6">
        <v>2024</v>
      </c>
      <c r="F156" s="6">
        <v>5.2</v>
      </c>
      <c r="G156" s="6" t="s">
        <v>24</v>
      </c>
      <c r="H156" s="6" t="s">
        <v>19</v>
      </c>
      <c r="I156" s="6" t="s">
        <v>20</v>
      </c>
      <c r="J156" s="6" t="s">
        <v>21</v>
      </c>
      <c r="K156" s="20">
        <f>C156/D156</f>
        <v>113.72549019607843</v>
      </c>
      <c r="L156" s="11">
        <f>PMT(F156/100/12, 300, -(C156 *
(1 - G156/100)))</f>
        <v>1556.346963236394</v>
      </c>
      <c r="M156" s="11">
        <f t="shared" si="10"/>
        <v>205904.08897091818</v>
      </c>
      <c r="N156" s="11">
        <f t="shared" si="11"/>
        <v>466904.08897091821</v>
      </c>
      <c r="O156">
        <f t="shared" si="12"/>
        <v>261000</v>
      </c>
      <c r="P156">
        <v>1020.6026379310345</v>
      </c>
      <c r="R156" t="str">
        <f t="shared" si="13"/>
        <v>2</v>
      </c>
      <c r="S156">
        <f t="shared" si="14"/>
        <v>1020.6293103448276</v>
      </c>
    </row>
    <row r="157" spans="1:19">
      <c r="A157" s="6" t="s">
        <v>22</v>
      </c>
      <c r="B157" s="6" t="s">
        <v>23</v>
      </c>
      <c r="C157" s="6">
        <v>265000</v>
      </c>
      <c r="D157" s="6">
        <v>2330</v>
      </c>
      <c r="E157" s="6">
        <v>2023</v>
      </c>
      <c r="F157" s="6">
        <v>6.3</v>
      </c>
      <c r="G157" s="6" t="s">
        <v>24</v>
      </c>
      <c r="H157" s="6" t="s">
        <v>25</v>
      </c>
      <c r="I157" s="6" t="s">
        <v>20</v>
      </c>
      <c r="J157" s="6" t="s">
        <v>21</v>
      </c>
      <c r="K157" s="20">
        <f>C157/D157</f>
        <v>113.73390557939913</v>
      </c>
      <c r="L157" s="11">
        <f>PMT(F157/100/12, 300, -(C157 *
(1 - G157/100)))</f>
        <v>1580.6908351760806</v>
      </c>
      <c r="M157" s="11">
        <f t="shared" si="10"/>
        <v>235707.25055282415</v>
      </c>
      <c r="N157" s="11">
        <f t="shared" si="11"/>
        <v>474207.25055282412</v>
      </c>
      <c r="O157">
        <f t="shared" si="12"/>
        <v>238500</v>
      </c>
      <c r="P157">
        <v>932.30263773584898</v>
      </c>
      <c r="R157" t="str">
        <f t="shared" si="13"/>
        <v>1</v>
      </c>
      <c r="S157">
        <f t="shared" si="14"/>
        <v>932.32930817610054</v>
      </c>
    </row>
    <row r="158" spans="1:19">
      <c r="A158" s="4" t="s">
        <v>22</v>
      </c>
      <c r="B158" s="4" t="s">
        <v>23</v>
      </c>
      <c r="C158" s="4">
        <v>262000</v>
      </c>
      <c r="D158" s="4">
        <v>2300</v>
      </c>
      <c r="E158" s="4">
        <v>2024</v>
      </c>
      <c r="F158" s="4">
        <v>5.4</v>
      </c>
      <c r="G158" s="4" t="s">
        <v>24</v>
      </c>
      <c r="H158" s="4" t="s">
        <v>25</v>
      </c>
      <c r="I158" s="4" t="s">
        <v>20</v>
      </c>
      <c r="J158" s="4" t="s">
        <v>21</v>
      </c>
      <c r="K158" s="20">
        <f>C158/D158</f>
        <v>113.91304347826087</v>
      </c>
      <c r="L158" s="11">
        <f>PMT(F158/100/12, 300, -(C158 *
(1 - G158/100)))</f>
        <v>1433.9703452485455</v>
      </c>
      <c r="M158" s="11">
        <f t="shared" si="10"/>
        <v>194391.10357456363</v>
      </c>
      <c r="N158" s="11">
        <f t="shared" si="11"/>
        <v>430191.10357456363</v>
      </c>
      <c r="O158">
        <f t="shared" si="12"/>
        <v>235800</v>
      </c>
      <c r="P158">
        <v>920.3026335877862</v>
      </c>
      <c r="R158" t="str">
        <f t="shared" si="13"/>
        <v>1</v>
      </c>
      <c r="S158">
        <f t="shared" si="14"/>
        <v>920.32926208651395</v>
      </c>
    </row>
    <row r="159" spans="1:19">
      <c r="A159" s="6" t="s">
        <v>37</v>
      </c>
      <c r="B159" s="6" t="s">
        <v>17</v>
      </c>
      <c r="C159" s="6">
        <v>295000</v>
      </c>
      <c r="D159" s="6">
        <v>2580</v>
      </c>
      <c r="E159" s="6">
        <v>2024</v>
      </c>
      <c r="F159" s="6">
        <v>5.2</v>
      </c>
      <c r="G159" s="6" t="s">
        <v>24</v>
      </c>
      <c r="H159" s="6" t="s">
        <v>19</v>
      </c>
      <c r="I159" s="6" t="s">
        <v>20</v>
      </c>
      <c r="J159" s="6" t="s">
        <v>21</v>
      </c>
      <c r="K159" s="20">
        <f>C159/D159</f>
        <v>114.34108527131782</v>
      </c>
      <c r="L159" s="11">
        <f>PMT(F159/100/12, 300, -(C159 *
(1 - G159/100)))</f>
        <v>1583.180531568056</v>
      </c>
      <c r="M159" s="11">
        <f t="shared" si="10"/>
        <v>209454.15947041666</v>
      </c>
      <c r="N159" s="11">
        <f t="shared" si="11"/>
        <v>474954.15947041666</v>
      </c>
      <c r="O159">
        <f t="shared" si="12"/>
        <v>265500</v>
      </c>
      <c r="P159">
        <v>1032.6026237288136</v>
      </c>
      <c r="R159" t="str">
        <f t="shared" si="13"/>
        <v>2</v>
      </c>
      <c r="S159">
        <f t="shared" si="14"/>
        <v>1032.6291525423728</v>
      </c>
    </row>
    <row r="160" spans="1:19">
      <c r="A160" s="4" t="s">
        <v>22</v>
      </c>
      <c r="B160" s="4" t="s">
        <v>23</v>
      </c>
      <c r="C160" s="4">
        <v>270000</v>
      </c>
      <c r="D160" s="4">
        <v>2360</v>
      </c>
      <c r="E160" s="4">
        <v>2024</v>
      </c>
      <c r="F160" s="4">
        <v>5.4</v>
      </c>
      <c r="G160" s="4" t="s">
        <v>24</v>
      </c>
      <c r="H160" s="4" t="s">
        <v>25</v>
      </c>
      <c r="I160" s="4" t="s">
        <v>20</v>
      </c>
      <c r="J160" s="4" t="s">
        <v>21</v>
      </c>
      <c r="K160" s="20">
        <f>C160/D160</f>
        <v>114.40677966101696</v>
      </c>
      <c r="L160" s="11">
        <f>PMT(F160/100/12, 300, -(C160 *
(1 - G160/100)))</f>
        <v>1477.7556993019364</v>
      </c>
      <c r="M160" s="11">
        <f t="shared" si="10"/>
        <v>200326.70979058091</v>
      </c>
      <c r="N160" s="11">
        <f t="shared" si="11"/>
        <v>443326.70979058091</v>
      </c>
      <c r="O160">
        <f t="shared" si="12"/>
        <v>243000</v>
      </c>
      <c r="P160">
        <v>944.30262222222223</v>
      </c>
      <c r="R160" t="str">
        <f t="shared" si="13"/>
        <v>1</v>
      </c>
      <c r="S160">
        <f t="shared" si="14"/>
        <v>944.32913580246907</v>
      </c>
    </row>
    <row r="161" spans="1:19">
      <c r="A161" s="4" t="s">
        <v>37</v>
      </c>
      <c r="B161" s="4" t="s">
        <v>17</v>
      </c>
      <c r="C161" s="4">
        <v>300000</v>
      </c>
      <c r="D161" s="4">
        <v>2600</v>
      </c>
      <c r="E161" s="4">
        <v>2024</v>
      </c>
      <c r="F161" s="4">
        <v>5.2</v>
      </c>
      <c r="G161" s="4" t="s">
        <v>24</v>
      </c>
      <c r="H161" s="4" t="s">
        <v>19</v>
      </c>
      <c r="I161" s="4" t="s">
        <v>20</v>
      </c>
      <c r="J161" s="4" t="s">
        <v>21</v>
      </c>
      <c r="K161" s="20">
        <f>C161/D161</f>
        <v>115.38461538461539</v>
      </c>
      <c r="L161" s="11">
        <f>PMT(F161/100/12, 300, -(C161 *
(1 - G161/100)))</f>
        <v>1610.0140998997181</v>
      </c>
      <c r="M161" s="11">
        <f t="shared" si="10"/>
        <v>213004.22996991529</v>
      </c>
      <c r="N161" s="11">
        <f t="shared" si="11"/>
        <v>483004.22996991529</v>
      </c>
      <c r="O161">
        <f t="shared" si="12"/>
        <v>270000</v>
      </c>
      <c r="P161">
        <v>1040.6025999999999</v>
      </c>
      <c r="R161" t="str">
        <f t="shared" si="13"/>
        <v>2</v>
      </c>
      <c r="S161">
        <f t="shared" si="14"/>
        <v>1040.6288888888887</v>
      </c>
    </row>
    <row r="162" spans="1:19">
      <c r="A162" s="6" t="s">
        <v>37</v>
      </c>
      <c r="B162" s="6" t="s">
        <v>17</v>
      </c>
      <c r="C162" s="6">
        <v>290000</v>
      </c>
      <c r="D162" s="6">
        <v>2510</v>
      </c>
      <c r="E162" s="6">
        <v>2024</v>
      </c>
      <c r="F162" s="6">
        <v>5.2</v>
      </c>
      <c r="G162" s="6" t="s">
        <v>24</v>
      </c>
      <c r="H162" s="6" t="s">
        <v>19</v>
      </c>
      <c r="I162" s="6" t="s">
        <v>20</v>
      </c>
      <c r="J162" s="6" t="s">
        <v>21</v>
      </c>
      <c r="K162" s="20">
        <f>C162/D162</f>
        <v>115.53784860557769</v>
      </c>
      <c r="L162" s="11">
        <f>PMT(F162/100/12, 300, -(C162 *
(1 - G162/100)))</f>
        <v>1556.346963236394</v>
      </c>
      <c r="M162" s="11">
        <f t="shared" si="10"/>
        <v>205904.08897091818</v>
      </c>
      <c r="N162" s="11">
        <f t="shared" si="11"/>
        <v>466904.08897091821</v>
      </c>
      <c r="O162">
        <f t="shared" si="12"/>
        <v>261000</v>
      </c>
      <c r="P162">
        <v>1004.6025965517241</v>
      </c>
      <c r="R162" t="str">
        <f t="shared" si="13"/>
        <v>2</v>
      </c>
      <c r="S162">
        <f t="shared" si="14"/>
        <v>1004.6288505747127</v>
      </c>
    </row>
    <row r="163" spans="1:19">
      <c r="A163" s="4" t="s">
        <v>22</v>
      </c>
      <c r="B163" s="4" t="s">
        <v>23</v>
      </c>
      <c r="C163" s="4">
        <v>275000</v>
      </c>
      <c r="D163" s="4">
        <v>2380</v>
      </c>
      <c r="E163" s="4">
        <v>2023</v>
      </c>
      <c r="F163" s="4">
        <v>6.3</v>
      </c>
      <c r="G163" s="4" t="s">
        <v>24</v>
      </c>
      <c r="H163" s="4" t="s">
        <v>25</v>
      </c>
      <c r="I163" s="4" t="s">
        <v>20</v>
      </c>
      <c r="J163" s="4" t="s">
        <v>21</v>
      </c>
      <c r="K163" s="20">
        <f>C163/D163</f>
        <v>115.54621848739495</v>
      </c>
      <c r="L163" s="11">
        <f>PMT(F163/100/12, 300, -(C163 *
(1 - G163/100)))</f>
        <v>1640.3395459374422</v>
      </c>
      <c r="M163" s="11">
        <f t="shared" si="10"/>
        <v>244601.86378123253</v>
      </c>
      <c r="N163" s="11">
        <f t="shared" si="11"/>
        <v>492101.8637812325</v>
      </c>
      <c r="O163">
        <f t="shared" si="12"/>
        <v>247500</v>
      </c>
      <c r="P163">
        <v>952.30259636363633</v>
      </c>
      <c r="R163" t="str">
        <f t="shared" si="13"/>
        <v>1</v>
      </c>
      <c r="S163">
        <f t="shared" si="14"/>
        <v>952.32884848484844</v>
      </c>
    </row>
    <row r="164" spans="1:19">
      <c r="A164" s="4" t="s">
        <v>33</v>
      </c>
      <c r="B164" s="4" t="s">
        <v>17</v>
      </c>
      <c r="C164" s="4">
        <v>295000</v>
      </c>
      <c r="D164" s="4">
        <v>2550</v>
      </c>
      <c r="E164" s="4">
        <v>2024</v>
      </c>
      <c r="F164" s="4">
        <v>5.2</v>
      </c>
      <c r="G164" s="4" t="s">
        <v>18</v>
      </c>
      <c r="H164" s="4" t="s">
        <v>19</v>
      </c>
      <c r="I164" s="4" t="s">
        <v>20</v>
      </c>
      <c r="J164" s="4" t="s">
        <v>21</v>
      </c>
      <c r="K164" s="20">
        <f>C164/D164</f>
        <v>115.68627450980392</v>
      </c>
      <c r="L164" s="11">
        <f>PMT(F164/100/12, 300, -(C164 *
(1 - G164/100)))</f>
        <v>1547.9987419776546</v>
      </c>
      <c r="M164" s="11">
        <f t="shared" si="10"/>
        <v>204799.62259329637</v>
      </c>
      <c r="N164" s="11">
        <f t="shared" si="11"/>
        <v>464399.62259329634</v>
      </c>
      <c r="O164">
        <f t="shared" si="12"/>
        <v>259600</v>
      </c>
      <c r="P164">
        <v>1020.602593220339</v>
      </c>
      <c r="R164" t="str">
        <f t="shared" si="13"/>
        <v>2</v>
      </c>
      <c r="S164">
        <f t="shared" si="14"/>
        <v>1020.6288135593221</v>
      </c>
    </row>
    <row r="165" spans="1:19">
      <c r="A165" s="4" t="s">
        <v>35</v>
      </c>
      <c r="B165" s="4" t="s">
        <v>23</v>
      </c>
      <c r="C165" s="4">
        <v>220000</v>
      </c>
      <c r="D165" s="4">
        <v>1900</v>
      </c>
      <c r="E165" s="4">
        <v>2023</v>
      </c>
      <c r="F165" s="4">
        <v>6.6</v>
      </c>
      <c r="G165" s="4" t="s">
        <v>42</v>
      </c>
      <c r="H165" s="4" t="s">
        <v>25</v>
      </c>
      <c r="I165" s="4" t="s">
        <v>20</v>
      </c>
      <c r="J165" s="4" t="s">
        <v>21</v>
      </c>
      <c r="K165" s="20">
        <f>C165/D165</f>
        <v>115.78947368421052</v>
      </c>
      <c r="L165" s="11">
        <f>PMT(F165/100/12, 300, -(C165 *
(1 - G165/100)))</f>
        <v>1409.2780977091138</v>
      </c>
      <c r="M165" s="11">
        <f t="shared" si="10"/>
        <v>215983.42931273405</v>
      </c>
      <c r="N165" s="11">
        <f t="shared" si="11"/>
        <v>422783.42931273405</v>
      </c>
      <c r="O165">
        <f t="shared" si="12"/>
        <v>206800</v>
      </c>
      <c r="P165">
        <v>760.3025909090909</v>
      </c>
      <c r="R165" t="str">
        <f t="shared" si="13"/>
        <v>1</v>
      </c>
      <c r="S165">
        <f t="shared" si="14"/>
        <v>760.32878787878781</v>
      </c>
    </row>
    <row r="166" spans="1:19">
      <c r="A166" s="4" t="s">
        <v>33</v>
      </c>
      <c r="B166" s="4" t="s">
        <v>17</v>
      </c>
      <c r="C166" s="4">
        <v>270000</v>
      </c>
      <c r="D166" s="4">
        <v>2330</v>
      </c>
      <c r="E166" s="4">
        <v>2024</v>
      </c>
      <c r="F166" s="4">
        <v>5.2</v>
      </c>
      <c r="G166" s="4" t="s">
        <v>18</v>
      </c>
      <c r="H166" s="4" t="s">
        <v>19</v>
      </c>
      <c r="I166" s="4" t="s">
        <v>20</v>
      </c>
      <c r="J166" s="4" t="s">
        <v>21</v>
      </c>
      <c r="K166" s="20">
        <f>C166/D166</f>
        <v>115.87982832618026</v>
      </c>
      <c r="L166" s="11">
        <f>PMT(F166/100/12, 300, -(C166 *
(1 - G166/100)))</f>
        <v>1416.8124079117517</v>
      </c>
      <c r="M166" s="11">
        <f t="shared" si="10"/>
        <v>187443.72237352544</v>
      </c>
      <c r="N166" s="11">
        <f t="shared" si="11"/>
        <v>425043.72237352544</v>
      </c>
      <c r="O166">
        <f t="shared" si="12"/>
        <v>237600</v>
      </c>
      <c r="P166">
        <v>932.60258888888893</v>
      </c>
      <c r="R166" t="str">
        <f t="shared" si="13"/>
        <v>2</v>
      </c>
      <c r="S166">
        <f t="shared" si="14"/>
        <v>932.62876543209882</v>
      </c>
    </row>
    <row r="167" spans="1:19">
      <c r="A167" s="4" t="s">
        <v>26</v>
      </c>
      <c r="B167" s="4" t="s">
        <v>23</v>
      </c>
      <c r="C167" s="4">
        <v>255000</v>
      </c>
      <c r="D167" s="4">
        <v>2200</v>
      </c>
      <c r="E167" s="4">
        <v>2023</v>
      </c>
      <c r="F167" s="4">
        <v>6.5</v>
      </c>
      <c r="G167" s="4" t="s">
        <v>24</v>
      </c>
      <c r="H167" s="4" t="s">
        <v>25</v>
      </c>
      <c r="I167" s="4" t="s">
        <v>20</v>
      </c>
      <c r="J167" s="4" t="s">
        <v>21</v>
      </c>
      <c r="K167" s="20">
        <f>C167/D167</f>
        <v>115.90909090909091</v>
      </c>
      <c r="L167" s="11">
        <f>PMT(F167/100/12, 300, -(C167 *
(1 - G167/100)))</f>
        <v>1549.600435292833</v>
      </c>
      <c r="M167" s="11">
        <f t="shared" si="10"/>
        <v>235380.13058784988</v>
      </c>
      <c r="N167" s="11">
        <f t="shared" si="11"/>
        <v>464880.13058784988</v>
      </c>
      <c r="O167">
        <f t="shared" si="12"/>
        <v>229500</v>
      </c>
      <c r="P167">
        <v>880.30258823529402</v>
      </c>
      <c r="R167" t="str">
        <f t="shared" si="13"/>
        <v>1</v>
      </c>
      <c r="S167">
        <f t="shared" si="14"/>
        <v>880.32875816993464</v>
      </c>
    </row>
    <row r="168" spans="1:19">
      <c r="A168" s="4" t="s">
        <v>35</v>
      </c>
      <c r="B168" s="4" t="s">
        <v>23</v>
      </c>
      <c r="C168" s="4">
        <v>218000</v>
      </c>
      <c r="D168" s="4">
        <v>1880</v>
      </c>
      <c r="E168" s="4">
        <v>2024</v>
      </c>
      <c r="F168" s="4">
        <v>5.3</v>
      </c>
      <c r="G168" s="4" t="s">
        <v>42</v>
      </c>
      <c r="H168" s="4" t="s">
        <v>25</v>
      </c>
      <c r="I168" s="4" t="s">
        <v>20</v>
      </c>
      <c r="J168" s="4" t="s">
        <v>21</v>
      </c>
      <c r="K168" s="20">
        <f>C168/D168</f>
        <v>115.95744680851064</v>
      </c>
      <c r="L168" s="11">
        <f>PMT(F168/100/12, 300, -(C168 *
(1 - G168/100)))</f>
        <v>1234.0306913680258</v>
      </c>
      <c r="M168" s="11">
        <f t="shared" si="10"/>
        <v>165289.20741040778</v>
      </c>
      <c r="N168" s="11">
        <f t="shared" si="11"/>
        <v>370209.20741040778</v>
      </c>
      <c r="O168">
        <f t="shared" si="12"/>
        <v>204920</v>
      </c>
      <c r="P168">
        <v>752.30258715596324</v>
      </c>
      <c r="R168" t="str">
        <f t="shared" si="13"/>
        <v>1</v>
      </c>
      <c r="S168">
        <f t="shared" si="14"/>
        <v>752.32874617737002</v>
      </c>
    </row>
    <row r="169" spans="1:19">
      <c r="A169" s="6" t="s">
        <v>37</v>
      </c>
      <c r="B169" s="6" t="s">
        <v>17</v>
      </c>
      <c r="C169" s="6">
        <v>325000</v>
      </c>
      <c r="D169" s="6">
        <v>2800</v>
      </c>
      <c r="E169" s="6">
        <v>2024</v>
      </c>
      <c r="F169" s="6">
        <v>5.2</v>
      </c>
      <c r="G169" s="6" t="s">
        <v>24</v>
      </c>
      <c r="H169" s="6" t="s">
        <v>19</v>
      </c>
      <c r="I169" s="6" t="s">
        <v>20</v>
      </c>
      <c r="J169" s="6" t="s">
        <v>21</v>
      </c>
      <c r="K169" s="20">
        <f>C169/D169</f>
        <v>116.07142857142857</v>
      </c>
      <c r="L169" s="11">
        <f>PMT(F169/100/12, 300, -(C169 *
(1 - G169/100)))</f>
        <v>1744.181941558028</v>
      </c>
      <c r="M169" s="11">
        <f t="shared" si="10"/>
        <v>230754.58246740827</v>
      </c>
      <c r="N169" s="11">
        <f t="shared" si="11"/>
        <v>523254.58246740827</v>
      </c>
      <c r="O169">
        <f t="shared" si="12"/>
        <v>292500</v>
      </c>
      <c r="P169">
        <v>1120.6025846153846</v>
      </c>
      <c r="R169" t="str">
        <f t="shared" si="13"/>
        <v>2</v>
      </c>
      <c r="S169">
        <f t="shared" si="14"/>
        <v>1120.6287179487178</v>
      </c>
    </row>
    <row r="170" spans="1:19">
      <c r="A170" s="6" t="s">
        <v>35</v>
      </c>
      <c r="B170" s="6" t="s">
        <v>23</v>
      </c>
      <c r="C170" s="6">
        <v>214000</v>
      </c>
      <c r="D170" s="6">
        <v>1840</v>
      </c>
      <c r="E170" s="6">
        <v>2023</v>
      </c>
      <c r="F170" s="6">
        <v>6.5</v>
      </c>
      <c r="G170" s="6" t="s">
        <v>42</v>
      </c>
      <c r="H170" s="6" t="s">
        <v>25</v>
      </c>
      <c r="I170" s="6" t="s">
        <v>20</v>
      </c>
      <c r="J170" s="6" t="s">
        <v>21</v>
      </c>
      <c r="K170" s="20">
        <f>C170/D170</f>
        <v>116.30434782608695</v>
      </c>
      <c r="L170" s="11">
        <f>PMT(F170/100/12, 300, -(C170 *
(1 - G170/100)))</f>
        <v>1358.2467257669118</v>
      </c>
      <c r="M170" s="11">
        <f t="shared" si="10"/>
        <v>206314.01773007354</v>
      </c>
      <c r="N170" s="11">
        <f t="shared" si="11"/>
        <v>407474.01773007354</v>
      </c>
      <c r="O170">
        <f t="shared" si="12"/>
        <v>201160</v>
      </c>
      <c r="P170">
        <v>736.30257943925233</v>
      </c>
      <c r="R170" t="str">
        <f t="shared" si="13"/>
        <v>1</v>
      </c>
      <c r="S170">
        <f t="shared" si="14"/>
        <v>736.32866043613706</v>
      </c>
    </row>
    <row r="171" spans="1:19">
      <c r="A171" s="4" t="s">
        <v>37</v>
      </c>
      <c r="B171" s="4" t="s">
        <v>17</v>
      </c>
      <c r="C171" s="4">
        <v>320000</v>
      </c>
      <c r="D171" s="4">
        <v>2750</v>
      </c>
      <c r="E171" s="4">
        <v>2023</v>
      </c>
      <c r="F171" s="4">
        <v>6</v>
      </c>
      <c r="G171" s="4" t="s">
        <v>24</v>
      </c>
      <c r="H171" s="4" t="s">
        <v>19</v>
      </c>
      <c r="I171" s="4" t="s">
        <v>20</v>
      </c>
      <c r="J171" s="4" t="s">
        <v>21</v>
      </c>
      <c r="K171" s="20">
        <f>C171/D171</f>
        <v>116.36363636363636</v>
      </c>
      <c r="L171" s="11">
        <f>PMT(F171/100/12, 300, -(C171 *
(1 - G171/100)))</f>
        <v>1855.5880362782648</v>
      </c>
      <c r="M171" s="11">
        <f t="shared" si="10"/>
        <v>268676.4108834794</v>
      </c>
      <c r="N171" s="11">
        <f t="shared" si="11"/>
        <v>556676.4108834794</v>
      </c>
      <c r="O171">
        <f t="shared" si="12"/>
        <v>288000</v>
      </c>
      <c r="P171">
        <v>1100.6025781249998</v>
      </c>
      <c r="R171" t="str">
        <f t="shared" si="13"/>
        <v>2</v>
      </c>
      <c r="S171">
        <f t="shared" si="14"/>
        <v>1100.6286458333332</v>
      </c>
    </row>
    <row r="172" spans="1:19">
      <c r="A172" s="6" t="s">
        <v>37</v>
      </c>
      <c r="B172" s="6" t="s">
        <v>17</v>
      </c>
      <c r="C172" s="6">
        <v>305000</v>
      </c>
      <c r="D172" s="6">
        <v>2620</v>
      </c>
      <c r="E172" s="6">
        <v>2023</v>
      </c>
      <c r="F172" s="6">
        <v>6</v>
      </c>
      <c r="G172" s="6" t="s">
        <v>24</v>
      </c>
      <c r="H172" s="6" t="s">
        <v>19</v>
      </c>
      <c r="I172" s="6" t="s">
        <v>20</v>
      </c>
      <c r="J172" s="6" t="s">
        <v>21</v>
      </c>
      <c r="K172" s="20">
        <f>C172/D172</f>
        <v>116.41221374045801</v>
      </c>
      <c r="L172" s="11">
        <f>PMT(F172/100/12, 300, -(C172 *
(1 - G172/100)))</f>
        <v>1768.607347077721</v>
      </c>
      <c r="M172" s="11">
        <f t="shared" si="10"/>
        <v>256082.20412331633</v>
      </c>
      <c r="N172" s="11">
        <f t="shared" si="11"/>
        <v>530582.20412331633</v>
      </c>
      <c r="O172">
        <f t="shared" si="12"/>
        <v>274500</v>
      </c>
      <c r="P172">
        <v>1048.6025770491801</v>
      </c>
      <c r="R172" t="str">
        <f t="shared" si="13"/>
        <v>2</v>
      </c>
      <c r="S172">
        <f t="shared" si="14"/>
        <v>1048.6286338797813</v>
      </c>
    </row>
    <row r="173" spans="1:19">
      <c r="A173" s="4" t="s">
        <v>35</v>
      </c>
      <c r="B173" s="4" t="s">
        <v>23</v>
      </c>
      <c r="C173" s="4">
        <v>212000</v>
      </c>
      <c r="D173" s="4">
        <v>1820</v>
      </c>
      <c r="E173" s="4">
        <v>2023</v>
      </c>
      <c r="F173" s="4">
        <v>6.7</v>
      </c>
      <c r="G173" s="4" t="s">
        <v>42</v>
      </c>
      <c r="H173" s="4" t="s">
        <v>25</v>
      </c>
      <c r="I173" s="4" t="s">
        <v>20</v>
      </c>
      <c r="J173" s="4" t="s">
        <v>21</v>
      </c>
      <c r="K173" s="20">
        <f>C173/D173</f>
        <v>116.48351648351648</v>
      </c>
      <c r="L173" s="11">
        <f>PMT(F173/100/12, 300, -(C173 *
(1 - G173/100)))</f>
        <v>1370.5631109891049</v>
      </c>
      <c r="M173" s="11">
        <f t="shared" si="10"/>
        <v>211888.93329673144</v>
      </c>
      <c r="N173" s="11">
        <f t="shared" si="11"/>
        <v>411168.93329673144</v>
      </c>
      <c r="O173">
        <f t="shared" si="12"/>
        <v>199280</v>
      </c>
      <c r="P173">
        <v>728.30257547169811</v>
      </c>
      <c r="R173" t="str">
        <f t="shared" si="13"/>
        <v>1</v>
      </c>
      <c r="S173">
        <f t="shared" si="14"/>
        <v>728.32861635220127</v>
      </c>
    </row>
    <row r="174" spans="1:19">
      <c r="A174" s="6" t="s">
        <v>35</v>
      </c>
      <c r="B174" s="6" t="s">
        <v>23</v>
      </c>
      <c r="C174" s="6">
        <v>225000</v>
      </c>
      <c r="D174" s="6">
        <v>1930</v>
      </c>
      <c r="E174" s="6">
        <v>2024</v>
      </c>
      <c r="F174" s="6">
        <v>5.3</v>
      </c>
      <c r="G174" s="6" t="s">
        <v>42</v>
      </c>
      <c r="H174" s="6" t="s">
        <v>25</v>
      </c>
      <c r="I174" s="6" t="s">
        <v>20</v>
      </c>
      <c r="J174" s="6" t="s">
        <v>21</v>
      </c>
      <c r="K174" s="20">
        <f>C174/D174</f>
        <v>116.58031088082902</v>
      </c>
      <c r="L174" s="11">
        <f>PMT(F174/100/12, 300, -(C174 *
(1 - G174/100)))</f>
        <v>1273.6555300816781</v>
      </c>
      <c r="M174" s="11">
        <f t="shared" si="10"/>
        <v>170596.65902450343</v>
      </c>
      <c r="N174" s="11">
        <f t="shared" si="11"/>
        <v>382096.65902450343</v>
      </c>
      <c r="O174">
        <f t="shared" si="12"/>
        <v>211500</v>
      </c>
      <c r="P174">
        <v>772.30257333333327</v>
      </c>
      <c r="R174" t="str">
        <f t="shared" si="13"/>
        <v>1</v>
      </c>
      <c r="S174">
        <f t="shared" si="14"/>
        <v>772.3285925925926</v>
      </c>
    </row>
    <row r="175" spans="1:19">
      <c r="A175" s="4" t="s">
        <v>37</v>
      </c>
      <c r="B175" s="4" t="s">
        <v>17</v>
      </c>
      <c r="C175" s="4">
        <v>295000</v>
      </c>
      <c r="D175" s="4">
        <v>2530</v>
      </c>
      <c r="E175" s="4">
        <v>2023</v>
      </c>
      <c r="F175" s="4">
        <v>6</v>
      </c>
      <c r="G175" s="4" t="s">
        <v>24</v>
      </c>
      <c r="H175" s="4" t="s">
        <v>19</v>
      </c>
      <c r="I175" s="4" t="s">
        <v>20</v>
      </c>
      <c r="J175" s="4" t="s">
        <v>21</v>
      </c>
      <c r="K175" s="20">
        <f>C175/D175</f>
        <v>116.60079051383399</v>
      </c>
      <c r="L175" s="11">
        <f>PMT(F175/100/12, 300, -(C175 *
(1 - G175/100)))</f>
        <v>1710.6202209440253</v>
      </c>
      <c r="M175" s="11">
        <f t="shared" si="10"/>
        <v>247686.06628320756</v>
      </c>
      <c r="N175" s="11">
        <f t="shared" si="11"/>
        <v>513186.06628320756</v>
      </c>
      <c r="O175">
        <f t="shared" si="12"/>
        <v>265500</v>
      </c>
      <c r="P175">
        <v>1012.602572881356</v>
      </c>
      <c r="R175" t="str">
        <f t="shared" si="13"/>
        <v>2</v>
      </c>
      <c r="S175">
        <f t="shared" si="14"/>
        <v>1012.6285875706214</v>
      </c>
    </row>
    <row r="176" spans="1:19">
      <c r="A176" s="4" t="s">
        <v>33</v>
      </c>
      <c r="B176" s="4" t="s">
        <v>17</v>
      </c>
      <c r="C176" s="4">
        <v>280000</v>
      </c>
      <c r="D176" s="4">
        <v>2400</v>
      </c>
      <c r="E176" s="4">
        <v>2024</v>
      </c>
      <c r="F176" s="4">
        <v>5.2</v>
      </c>
      <c r="G176" s="4" t="s">
        <v>18</v>
      </c>
      <c r="H176" s="4" t="s">
        <v>19</v>
      </c>
      <c r="I176" s="4" t="s">
        <v>20</v>
      </c>
      <c r="J176" s="4" t="s">
        <v>21</v>
      </c>
      <c r="K176" s="20">
        <f>C176/D176</f>
        <v>116.66666666666667</v>
      </c>
      <c r="L176" s="11">
        <f>PMT(F176/100/12, 300, -(C176 *
(1 - G176/100)))</f>
        <v>1469.2869415381131</v>
      </c>
      <c r="M176" s="11">
        <f t="shared" si="10"/>
        <v>194386.08246143383</v>
      </c>
      <c r="N176" s="11">
        <f t="shared" si="11"/>
        <v>440786.08246143383</v>
      </c>
      <c r="O176">
        <f t="shared" si="12"/>
        <v>246400</v>
      </c>
      <c r="P176">
        <v>960.60257142857142</v>
      </c>
      <c r="R176" t="str">
        <f t="shared" si="13"/>
        <v>2</v>
      </c>
      <c r="S176">
        <f t="shared" si="14"/>
        <v>960.62857142857149</v>
      </c>
    </row>
    <row r="177" spans="1:19">
      <c r="A177" s="6" t="s">
        <v>22</v>
      </c>
      <c r="B177" s="6" t="s">
        <v>23</v>
      </c>
      <c r="C177" s="6">
        <v>280000</v>
      </c>
      <c r="D177" s="6">
        <v>2400</v>
      </c>
      <c r="E177" s="6">
        <v>2024</v>
      </c>
      <c r="F177" s="6">
        <v>5.4</v>
      </c>
      <c r="G177" s="6" t="s">
        <v>24</v>
      </c>
      <c r="H177" s="6" t="s">
        <v>25</v>
      </c>
      <c r="I177" s="6" t="s">
        <v>20</v>
      </c>
      <c r="J177" s="6" t="s">
        <v>21</v>
      </c>
      <c r="K177" s="20">
        <f>C177/D177</f>
        <v>116.66666666666667</v>
      </c>
      <c r="L177" s="11">
        <f>PMT(F177/100/12, 300, -(C177 *
(1 - G177/100)))</f>
        <v>1532.4873918686746</v>
      </c>
      <c r="M177" s="11">
        <f t="shared" si="10"/>
        <v>207746.21756060244</v>
      </c>
      <c r="N177" s="11">
        <f t="shared" si="11"/>
        <v>459746.21756060247</v>
      </c>
      <c r="O177">
        <f t="shared" si="12"/>
        <v>252000</v>
      </c>
      <c r="P177">
        <v>960.30257142857135</v>
      </c>
      <c r="R177" t="str">
        <f t="shared" si="13"/>
        <v>1</v>
      </c>
      <c r="S177">
        <f t="shared" si="14"/>
        <v>960.32857142857142</v>
      </c>
    </row>
    <row r="178" spans="1:19">
      <c r="A178" s="6" t="s">
        <v>37</v>
      </c>
      <c r="B178" s="6" t="s">
        <v>17</v>
      </c>
      <c r="C178" s="6">
        <v>315000</v>
      </c>
      <c r="D178" s="6">
        <v>2700</v>
      </c>
      <c r="E178" s="6">
        <v>2024</v>
      </c>
      <c r="F178" s="6">
        <v>5.2</v>
      </c>
      <c r="G178" s="6" t="s">
        <v>24</v>
      </c>
      <c r="H178" s="6" t="s">
        <v>19</v>
      </c>
      <c r="I178" s="6" t="s">
        <v>20</v>
      </c>
      <c r="J178" s="6" t="s">
        <v>21</v>
      </c>
      <c r="K178" s="20">
        <f>C178/D178</f>
        <v>116.66666666666667</v>
      </c>
      <c r="L178" s="11">
        <f>PMT(F178/100/12, 300, -(C178 *
(1 - G178/100)))</f>
        <v>1690.514804894704</v>
      </c>
      <c r="M178" s="11">
        <f t="shared" si="10"/>
        <v>223654.44146841107</v>
      </c>
      <c r="N178" s="11">
        <f t="shared" si="11"/>
        <v>507154.44146841107</v>
      </c>
      <c r="O178">
        <f t="shared" si="12"/>
        <v>283500</v>
      </c>
      <c r="P178">
        <v>1080.6025714285713</v>
      </c>
      <c r="R178" t="str">
        <f t="shared" si="13"/>
        <v>2</v>
      </c>
      <c r="S178">
        <f t="shared" si="14"/>
        <v>1080.6285714285714</v>
      </c>
    </row>
    <row r="179" spans="1:19">
      <c r="A179" s="4" t="s">
        <v>22</v>
      </c>
      <c r="B179" s="4" t="s">
        <v>23</v>
      </c>
      <c r="C179" s="4">
        <v>290000</v>
      </c>
      <c r="D179" s="4">
        <v>2480</v>
      </c>
      <c r="E179" s="4">
        <v>2023</v>
      </c>
      <c r="F179" s="4">
        <v>6.3</v>
      </c>
      <c r="G179" s="4" t="s">
        <v>24</v>
      </c>
      <c r="H179" s="4" t="s">
        <v>25</v>
      </c>
      <c r="I179" s="4" t="s">
        <v>20</v>
      </c>
      <c r="J179" s="4" t="s">
        <v>21</v>
      </c>
      <c r="K179" s="20">
        <f>C179/D179</f>
        <v>116.93548387096774</v>
      </c>
      <c r="L179" s="11">
        <f>PMT(F179/100/12, 300, -(C179 *
(1 - G179/100)))</f>
        <v>1729.8126120794846</v>
      </c>
      <c r="M179" s="11">
        <f t="shared" si="10"/>
        <v>257943.78362384532</v>
      </c>
      <c r="N179" s="11">
        <f t="shared" si="11"/>
        <v>518943.78362384532</v>
      </c>
      <c r="O179">
        <f t="shared" si="12"/>
        <v>261000</v>
      </c>
      <c r="P179">
        <v>992.30256551724131</v>
      </c>
      <c r="R179" t="str">
        <f t="shared" si="13"/>
        <v>1</v>
      </c>
      <c r="S179">
        <f t="shared" si="14"/>
        <v>992.32850574712643</v>
      </c>
    </row>
    <row r="180" spans="1:19">
      <c r="A180" s="4" t="s">
        <v>35</v>
      </c>
      <c r="B180" s="4" t="s">
        <v>23</v>
      </c>
      <c r="C180" s="4">
        <v>240000</v>
      </c>
      <c r="D180" s="4">
        <v>2050</v>
      </c>
      <c r="E180" s="4">
        <v>2024</v>
      </c>
      <c r="F180" s="4">
        <v>5.4</v>
      </c>
      <c r="G180" s="4" t="s">
        <v>42</v>
      </c>
      <c r="H180" s="4" t="s">
        <v>25</v>
      </c>
      <c r="I180" s="4" t="s">
        <v>20</v>
      </c>
      <c r="J180" s="4" t="s">
        <v>21</v>
      </c>
      <c r="K180" s="20">
        <f>C180/D180</f>
        <v>117.07317073170732</v>
      </c>
      <c r="L180" s="11">
        <f>PMT(F180/100/12, 300, -(C180 *
(1 - G180/100)))</f>
        <v>1371.9410936729087</v>
      </c>
      <c r="M180" s="11">
        <f t="shared" si="10"/>
        <v>185982.32810187261</v>
      </c>
      <c r="N180" s="11">
        <f t="shared" si="11"/>
        <v>411582.32810187258</v>
      </c>
      <c r="O180">
        <f t="shared" si="12"/>
        <v>225600</v>
      </c>
      <c r="P180">
        <v>820.30256249999991</v>
      </c>
      <c r="R180" t="str">
        <f t="shared" si="13"/>
        <v>1</v>
      </c>
      <c r="S180">
        <f t="shared" si="14"/>
        <v>820.32847222222222</v>
      </c>
    </row>
    <row r="181" spans="1:19">
      <c r="A181" s="4" t="s">
        <v>22</v>
      </c>
      <c r="B181" s="4" t="s">
        <v>23</v>
      </c>
      <c r="C181" s="4">
        <v>270000</v>
      </c>
      <c r="D181" s="4">
        <v>2300</v>
      </c>
      <c r="E181" s="4">
        <v>2024</v>
      </c>
      <c r="F181" s="4">
        <v>5.4</v>
      </c>
      <c r="G181" s="4" t="s">
        <v>24</v>
      </c>
      <c r="H181" s="4" t="s">
        <v>25</v>
      </c>
      <c r="I181" s="4" t="s">
        <v>20</v>
      </c>
      <c r="J181" s="4" t="s">
        <v>21</v>
      </c>
      <c r="K181" s="20">
        <f>C181/D181</f>
        <v>117.39130434782609</v>
      </c>
      <c r="L181" s="11">
        <f>PMT(F181/100/12, 300, -(C181 *
(1 - G181/100)))</f>
        <v>1477.7556993019364</v>
      </c>
      <c r="M181" s="11">
        <f t="shared" si="10"/>
        <v>200326.70979058091</v>
      </c>
      <c r="N181" s="11">
        <f t="shared" si="11"/>
        <v>443326.70979058091</v>
      </c>
      <c r="O181">
        <f t="shared" si="12"/>
        <v>243000</v>
      </c>
      <c r="P181">
        <v>920.3025555555555</v>
      </c>
      <c r="R181" t="str">
        <f t="shared" si="13"/>
        <v>1</v>
      </c>
      <c r="S181">
        <f t="shared" si="14"/>
        <v>920.32839506172832</v>
      </c>
    </row>
    <row r="182" spans="1:19">
      <c r="A182" s="4" t="s">
        <v>35</v>
      </c>
      <c r="B182" s="4" t="s">
        <v>23</v>
      </c>
      <c r="C182" s="4">
        <v>235000</v>
      </c>
      <c r="D182" s="4">
        <v>2000</v>
      </c>
      <c r="E182" s="4">
        <v>2024</v>
      </c>
      <c r="F182" s="4">
        <v>5.4</v>
      </c>
      <c r="G182" s="4" t="s">
        <v>42</v>
      </c>
      <c r="H182" s="4" t="s">
        <v>25</v>
      </c>
      <c r="I182" s="4" t="s">
        <v>20</v>
      </c>
      <c r="J182" s="4" t="s">
        <v>21</v>
      </c>
      <c r="K182" s="20">
        <f>C182/D182</f>
        <v>117.5</v>
      </c>
      <c r="L182" s="11">
        <f>PMT(F182/100/12, 300, -(C182 *
(1 - G182/100)))</f>
        <v>1343.3589875547232</v>
      </c>
      <c r="M182" s="11">
        <f t="shared" si="10"/>
        <v>182107.69626641696</v>
      </c>
      <c r="N182" s="11">
        <f t="shared" si="11"/>
        <v>403007.69626641693</v>
      </c>
      <c r="O182">
        <f t="shared" si="12"/>
        <v>220900</v>
      </c>
      <c r="P182">
        <v>800.30255319148932</v>
      </c>
      <c r="R182" t="str">
        <f t="shared" si="13"/>
        <v>1</v>
      </c>
      <c r="S182">
        <f t="shared" si="14"/>
        <v>800.32836879432625</v>
      </c>
    </row>
    <row r="183" spans="1:19">
      <c r="A183" s="4" t="s">
        <v>22</v>
      </c>
      <c r="B183" s="4" t="s">
        <v>23</v>
      </c>
      <c r="C183" s="4">
        <v>300000</v>
      </c>
      <c r="D183" s="4">
        <v>2550</v>
      </c>
      <c r="E183" s="4">
        <v>2024</v>
      </c>
      <c r="F183" s="4">
        <v>5.4</v>
      </c>
      <c r="G183" s="4" t="s">
        <v>24</v>
      </c>
      <c r="H183" s="4" t="s">
        <v>25</v>
      </c>
      <c r="I183" s="4" t="s">
        <v>20</v>
      </c>
      <c r="J183" s="4" t="s">
        <v>21</v>
      </c>
      <c r="K183" s="20">
        <f>C183/D183</f>
        <v>117.64705882352941</v>
      </c>
      <c r="L183" s="11">
        <f>PMT(F183/100/12, 300, -(C183 *
(1 - G183/100)))</f>
        <v>1641.9507770021514</v>
      </c>
      <c r="M183" s="11">
        <f t="shared" si="10"/>
        <v>222585.23310064548</v>
      </c>
      <c r="N183" s="11">
        <f t="shared" si="11"/>
        <v>492585.23310064548</v>
      </c>
      <c r="O183">
        <f t="shared" si="12"/>
        <v>270000</v>
      </c>
      <c r="P183">
        <v>1020.30255</v>
      </c>
      <c r="R183" t="str">
        <f t="shared" si="13"/>
        <v>1</v>
      </c>
      <c r="S183">
        <f t="shared" si="14"/>
        <v>1020.3283333333333</v>
      </c>
    </row>
    <row r="184" spans="1:19">
      <c r="A184" s="6" t="s">
        <v>37</v>
      </c>
      <c r="B184" s="6" t="s">
        <v>17</v>
      </c>
      <c r="C184" s="6">
        <v>300000</v>
      </c>
      <c r="D184" s="6">
        <v>2550</v>
      </c>
      <c r="E184" s="6">
        <v>2024</v>
      </c>
      <c r="F184" s="6">
        <v>5.2</v>
      </c>
      <c r="G184" s="6" t="s">
        <v>24</v>
      </c>
      <c r="H184" s="6" t="s">
        <v>19</v>
      </c>
      <c r="I184" s="6" t="s">
        <v>20</v>
      </c>
      <c r="J184" s="6" t="s">
        <v>21</v>
      </c>
      <c r="K184" s="20">
        <f>C184/D184</f>
        <v>117.64705882352941</v>
      </c>
      <c r="L184" s="11">
        <f>PMT(F184/100/12, 300, -(C184 *
(1 - G184/100)))</f>
        <v>1610.0140998997181</v>
      </c>
      <c r="M184" s="11">
        <f t="shared" si="10"/>
        <v>213004.22996991529</v>
      </c>
      <c r="N184" s="11">
        <f t="shared" si="11"/>
        <v>483004.22996991529</v>
      </c>
      <c r="O184">
        <f t="shared" si="12"/>
        <v>270000</v>
      </c>
      <c r="P184">
        <v>1020.6025500000001</v>
      </c>
      <c r="R184" t="str">
        <f t="shared" si="13"/>
        <v>2</v>
      </c>
      <c r="S184">
        <f t="shared" si="14"/>
        <v>1020.6283333333333</v>
      </c>
    </row>
    <row r="185" spans="1:19">
      <c r="A185" s="4" t="s">
        <v>35</v>
      </c>
      <c r="B185" s="4" t="s">
        <v>23</v>
      </c>
      <c r="C185" s="4">
        <v>230000</v>
      </c>
      <c r="D185" s="4">
        <v>1950</v>
      </c>
      <c r="E185" s="4">
        <v>2023</v>
      </c>
      <c r="F185" s="4">
        <v>6.5</v>
      </c>
      <c r="G185" s="4" t="s">
        <v>42</v>
      </c>
      <c r="H185" s="4" t="s">
        <v>25</v>
      </c>
      <c r="I185" s="4" t="s">
        <v>20</v>
      </c>
      <c r="J185" s="4" t="s">
        <v>21</v>
      </c>
      <c r="K185" s="20">
        <f>C185/D185</f>
        <v>117.94871794871794</v>
      </c>
      <c r="L185" s="11">
        <f>PMT(F185/100/12, 300, -(C185 *
(1 - G185/100)))</f>
        <v>1459.7978828335968</v>
      </c>
      <c r="M185" s="11">
        <f t="shared" si="10"/>
        <v>221739.36485007903</v>
      </c>
      <c r="N185" s="11">
        <f t="shared" si="11"/>
        <v>437939.36485007906</v>
      </c>
      <c r="O185">
        <f t="shared" si="12"/>
        <v>216200</v>
      </c>
      <c r="P185">
        <v>780.30254347826087</v>
      </c>
      <c r="R185" t="str">
        <f t="shared" si="13"/>
        <v>1</v>
      </c>
      <c r="S185">
        <f t="shared" si="14"/>
        <v>780.32826086956516</v>
      </c>
    </row>
    <row r="186" spans="1:19">
      <c r="A186" s="4" t="s">
        <v>35</v>
      </c>
      <c r="B186" s="4" t="s">
        <v>23</v>
      </c>
      <c r="C186" s="4">
        <v>230000</v>
      </c>
      <c r="D186" s="4">
        <v>1950</v>
      </c>
      <c r="E186" s="4">
        <v>2024</v>
      </c>
      <c r="F186" s="4">
        <v>5.4</v>
      </c>
      <c r="G186" s="4" t="s">
        <v>42</v>
      </c>
      <c r="H186" s="4" t="s">
        <v>25</v>
      </c>
      <c r="I186" s="4" t="s">
        <v>20</v>
      </c>
      <c r="J186" s="4" t="s">
        <v>21</v>
      </c>
      <c r="K186" s="20">
        <f>C186/D186</f>
        <v>117.94871794871794</v>
      </c>
      <c r="L186" s="11">
        <f>PMT(F186/100/12, 300, -(C186 *
(1 - G186/100)))</f>
        <v>1314.7768814365375</v>
      </c>
      <c r="M186" s="11">
        <f t="shared" si="10"/>
        <v>178233.06443096124</v>
      </c>
      <c r="N186" s="11">
        <f t="shared" si="11"/>
        <v>394433.06443096127</v>
      </c>
      <c r="O186">
        <f t="shared" si="12"/>
        <v>216200</v>
      </c>
      <c r="P186">
        <v>780.30254347826087</v>
      </c>
      <c r="R186" t="str">
        <f t="shared" si="13"/>
        <v>1</v>
      </c>
      <c r="S186">
        <f t="shared" si="14"/>
        <v>780.32826086956516</v>
      </c>
    </row>
    <row r="187" spans="1:19">
      <c r="A187" s="6" t="s">
        <v>22</v>
      </c>
      <c r="B187" s="6" t="s">
        <v>23</v>
      </c>
      <c r="C187" s="6">
        <v>275000</v>
      </c>
      <c r="D187" s="6">
        <v>2330</v>
      </c>
      <c r="E187" s="6">
        <v>2023</v>
      </c>
      <c r="F187" s="6">
        <v>6.3</v>
      </c>
      <c r="G187" s="6" t="s">
        <v>24</v>
      </c>
      <c r="H187" s="6" t="s">
        <v>25</v>
      </c>
      <c r="I187" s="6" t="s">
        <v>20</v>
      </c>
      <c r="J187" s="6" t="s">
        <v>21</v>
      </c>
      <c r="K187" s="20">
        <f>C187/D187</f>
        <v>118.02575107296137</v>
      </c>
      <c r="L187" s="11">
        <f>PMT(F187/100/12, 300, -(C187 *
(1 - G187/100)))</f>
        <v>1640.3395459374422</v>
      </c>
      <c r="M187" s="11">
        <f t="shared" si="10"/>
        <v>244601.86378123253</v>
      </c>
      <c r="N187" s="11">
        <f t="shared" si="11"/>
        <v>492101.8637812325</v>
      </c>
      <c r="O187">
        <f t="shared" si="12"/>
        <v>247500</v>
      </c>
      <c r="P187">
        <v>932.30254181818179</v>
      </c>
      <c r="R187" t="str">
        <f t="shared" si="13"/>
        <v>1</v>
      </c>
      <c r="S187">
        <f t="shared" si="14"/>
        <v>932.32824242424238</v>
      </c>
    </row>
    <row r="188" spans="1:19">
      <c r="A188" s="4" t="s">
        <v>35</v>
      </c>
      <c r="B188" s="4" t="s">
        <v>23</v>
      </c>
      <c r="C188" s="4">
        <v>208000</v>
      </c>
      <c r="D188" s="4">
        <v>1760</v>
      </c>
      <c r="E188" s="4">
        <v>2024</v>
      </c>
      <c r="F188" s="4">
        <v>5.3</v>
      </c>
      <c r="G188" s="4" t="s">
        <v>42</v>
      </c>
      <c r="H188" s="4" t="s">
        <v>25</v>
      </c>
      <c r="I188" s="4" t="s">
        <v>20</v>
      </c>
      <c r="J188" s="4" t="s">
        <v>21</v>
      </c>
      <c r="K188" s="20">
        <f>C188/D188</f>
        <v>118.18181818181819</v>
      </c>
      <c r="L188" s="11">
        <f>PMT(F188/100/12, 300, -(C188 *
(1 - G188/100)))</f>
        <v>1177.4237789199512</v>
      </c>
      <c r="M188" s="11">
        <f t="shared" si="10"/>
        <v>157707.13367598536</v>
      </c>
      <c r="N188" s="11">
        <f t="shared" si="11"/>
        <v>353227.13367598539</v>
      </c>
      <c r="O188">
        <f t="shared" si="12"/>
        <v>195520</v>
      </c>
      <c r="P188">
        <v>704.30253846153846</v>
      </c>
      <c r="R188" t="str">
        <f t="shared" si="13"/>
        <v>1</v>
      </c>
      <c r="S188">
        <f t="shared" si="14"/>
        <v>704.32820512820513</v>
      </c>
    </row>
    <row r="189" spans="1:19">
      <c r="A189" s="4" t="s">
        <v>35</v>
      </c>
      <c r="B189" s="4" t="s">
        <v>23</v>
      </c>
      <c r="C189" s="4">
        <v>235000</v>
      </c>
      <c r="D189" s="4">
        <v>1980</v>
      </c>
      <c r="E189" s="4">
        <v>2024</v>
      </c>
      <c r="F189" s="4">
        <v>5.3</v>
      </c>
      <c r="G189" s="4" t="s">
        <v>42</v>
      </c>
      <c r="H189" s="4" t="s">
        <v>25</v>
      </c>
      <c r="I189" s="4" t="s">
        <v>20</v>
      </c>
      <c r="J189" s="4" t="s">
        <v>21</v>
      </c>
      <c r="K189" s="20">
        <f>C189/D189</f>
        <v>118.68686868686869</v>
      </c>
      <c r="L189" s="11">
        <f>PMT(F189/100/12, 300, -(C189 *
(1 - G189/100)))</f>
        <v>1330.2624425297527</v>
      </c>
      <c r="M189" s="11">
        <f t="shared" si="10"/>
        <v>178178.73275892579</v>
      </c>
      <c r="N189" s="11">
        <f t="shared" si="11"/>
        <v>399078.73275892576</v>
      </c>
      <c r="O189">
        <f t="shared" si="12"/>
        <v>220900</v>
      </c>
      <c r="P189">
        <v>792.30252765957437</v>
      </c>
      <c r="R189" t="str">
        <f t="shared" si="13"/>
        <v>1</v>
      </c>
      <c r="S189">
        <f t="shared" si="14"/>
        <v>792.3280851063829</v>
      </c>
    </row>
    <row r="190" spans="1:19">
      <c r="A190" s="4" t="s">
        <v>35</v>
      </c>
      <c r="B190" s="4" t="s">
        <v>23</v>
      </c>
      <c r="C190" s="4">
        <v>220000</v>
      </c>
      <c r="D190" s="4">
        <v>1850</v>
      </c>
      <c r="E190" s="4">
        <v>2024</v>
      </c>
      <c r="F190" s="4">
        <v>5.4</v>
      </c>
      <c r="G190" s="4" t="s">
        <v>42</v>
      </c>
      <c r="H190" s="4" t="s">
        <v>25</v>
      </c>
      <c r="I190" s="4" t="s">
        <v>20</v>
      </c>
      <c r="J190" s="4" t="s">
        <v>21</v>
      </c>
      <c r="K190" s="20">
        <f>C190/D190</f>
        <v>118.91891891891892</v>
      </c>
      <c r="L190" s="11">
        <f>PMT(F190/100/12, 300, -(C190 *
(1 - G190/100)))</f>
        <v>1257.6126692001665</v>
      </c>
      <c r="M190" s="11">
        <f t="shared" si="10"/>
        <v>170483.80076004995</v>
      </c>
      <c r="N190" s="11">
        <f t="shared" si="11"/>
        <v>377283.80076004995</v>
      </c>
      <c r="O190">
        <f t="shared" si="12"/>
        <v>206800</v>
      </c>
      <c r="P190">
        <v>740.30252272727273</v>
      </c>
      <c r="R190" t="str">
        <f t="shared" si="13"/>
        <v>1</v>
      </c>
      <c r="S190">
        <f t="shared" si="14"/>
        <v>740.32803030303023</v>
      </c>
    </row>
    <row r="191" spans="1:19">
      <c r="A191" s="4" t="s">
        <v>35</v>
      </c>
      <c r="B191" s="4" t="s">
        <v>23</v>
      </c>
      <c r="C191" s="4">
        <v>250000</v>
      </c>
      <c r="D191" s="4">
        <v>2100</v>
      </c>
      <c r="E191" s="4">
        <v>2024</v>
      </c>
      <c r="F191" s="4">
        <v>5.3</v>
      </c>
      <c r="G191" s="4" t="s">
        <v>42</v>
      </c>
      <c r="H191" s="4" t="s">
        <v>25</v>
      </c>
      <c r="I191" s="4" t="s">
        <v>20</v>
      </c>
      <c r="J191" s="4" t="s">
        <v>21</v>
      </c>
      <c r="K191" s="20">
        <f>C191/D191</f>
        <v>119.04761904761905</v>
      </c>
      <c r="L191" s="11">
        <f>PMT(F191/100/12, 300, -(C191 *
(1 - G191/100)))</f>
        <v>1415.1728112018645</v>
      </c>
      <c r="M191" s="11">
        <f t="shared" si="10"/>
        <v>189551.84336055935</v>
      </c>
      <c r="N191" s="11">
        <f t="shared" si="11"/>
        <v>424551.84336055932</v>
      </c>
      <c r="O191">
        <f t="shared" si="12"/>
        <v>235000</v>
      </c>
      <c r="P191">
        <v>840.30251999999996</v>
      </c>
      <c r="R191" t="str">
        <f t="shared" si="13"/>
        <v>1</v>
      </c>
      <c r="S191">
        <f t="shared" si="14"/>
        <v>840.32799999999997</v>
      </c>
    </row>
    <row r="192" spans="1:19">
      <c r="A192" s="4" t="s">
        <v>35</v>
      </c>
      <c r="B192" s="4" t="s">
        <v>23</v>
      </c>
      <c r="C192" s="4">
        <v>225000</v>
      </c>
      <c r="D192" s="4">
        <v>1880</v>
      </c>
      <c r="E192" s="4">
        <v>2024</v>
      </c>
      <c r="F192" s="4">
        <v>5.3</v>
      </c>
      <c r="G192" s="4" t="s">
        <v>42</v>
      </c>
      <c r="H192" s="4" t="s">
        <v>25</v>
      </c>
      <c r="I192" s="4" t="s">
        <v>20</v>
      </c>
      <c r="J192" s="4" t="s">
        <v>21</v>
      </c>
      <c r="K192" s="20">
        <f>C192/D192</f>
        <v>119.68085106382979</v>
      </c>
      <c r="L192" s="11">
        <f>PMT(F192/100/12, 300, -(C192 *
(1 - G192/100)))</f>
        <v>1273.6555300816781</v>
      </c>
      <c r="M192" s="11">
        <f t="shared" si="10"/>
        <v>170596.65902450343</v>
      </c>
      <c r="N192" s="11">
        <f t="shared" si="11"/>
        <v>382096.65902450343</v>
      </c>
      <c r="O192">
        <f t="shared" si="12"/>
        <v>211500</v>
      </c>
      <c r="P192">
        <v>752.30250666666666</v>
      </c>
      <c r="R192" t="str">
        <f t="shared" si="13"/>
        <v>1</v>
      </c>
      <c r="S192">
        <f t="shared" si="14"/>
        <v>752.32785185185185</v>
      </c>
    </row>
    <row r="193" spans="1:19">
      <c r="A193" s="6" t="s">
        <v>35</v>
      </c>
      <c r="B193" s="6" t="s">
        <v>23</v>
      </c>
      <c r="C193" s="6">
        <v>240000</v>
      </c>
      <c r="D193" s="6">
        <v>2000</v>
      </c>
      <c r="E193" s="6">
        <v>2023</v>
      </c>
      <c r="F193" s="6">
        <v>6.6</v>
      </c>
      <c r="G193" s="6" t="s">
        <v>42</v>
      </c>
      <c r="H193" s="6" t="s">
        <v>25</v>
      </c>
      <c r="I193" s="6" t="s">
        <v>20</v>
      </c>
      <c r="J193" s="6" t="s">
        <v>21</v>
      </c>
      <c r="K193" s="20">
        <f>C193/D193</f>
        <v>120</v>
      </c>
      <c r="L193" s="11">
        <f>PMT(F193/100/12, 300, -(C193 *
(1 - G193/100)))</f>
        <v>1537.3942884099422</v>
      </c>
      <c r="M193" s="11">
        <f t="shared" si="10"/>
        <v>235618.28652298258</v>
      </c>
      <c r="N193" s="11">
        <f t="shared" si="11"/>
        <v>461218.28652298258</v>
      </c>
      <c r="O193">
        <f t="shared" si="12"/>
        <v>225600</v>
      </c>
      <c r="P193">
        <v>800.30250000000001</v>
      </c>
      <c r="R193" t="str">
        <f t="shared" si="13"/>
        <v>1</v>
      </c>
      <c r="S193">
        <f t="shared" si="14"/>
        <v>800.32777777777778</v>
      </c>
    </row>
    <row r="194" spans="1:19">
      <c r="A194" s="4" t="s">
        <v>33</v>
      </c>
      <c r="B194" s="4" t="s">
        <v>17</v>
      </c>
      <c r="C194" s="4">
        <v>280000</v>
      </c>
      <c r="D194" s="4">
        <v>2330</v>
      </c>
      <c r="E194" s="4">
        <v>2024</v>
      </c>
      <c r="F194" s="4">
        <v>5.2</v>
      </c>
      <c r="G194" s="4" t="s">
        <v>18</v>
      </c>
      <c r="H194" s="4" t="s">
        <v>19</v>
      </c>
      <c r="I194" s="4" t="s">
        <v>20</v>
      </c>
      <c r="J194" s="4" t="s">
        <v>21</v>
      </c>
      <c r="K194" s="20">
        <f>C194/D194</f>
        <v>120.17167381974249</v>
      </c>
      <c r="L194" s="11">
        <f>PMT(F194/100/12, 300, -(C194 *
(1 - G194/100)))</f>
        <v>1469.2869415381131</v>
      </c>
      <c r="M194" s="11">
        <f t="shared" si="10"/>
        <v>194386.08246143383</v>
      </c>
      <c r="N194" s="11">
        <f t="shared" si="11"/>
        <v>440786.08246143383</v>
      </c>
      <c r="O194">
        <f t="shared" si="12"/>
        <v>246400</v>
      </c>
      <c r="P194">
        <v>932.6024964285715</v>
      </c>
      <c r="R194" t="str">
        <f t="shared" si="13"/>
        <v>2</v>
      </c>
      <c r="S194">
        <f t="shared" si="14"/>
        <v>932.6277380952381</v>
      </c>
    </row>
    <row r="195" spans="1:19">
      <c r="A195" s="4" t="s">
        <v>35</v>
      </c>
      <c r="B195" s="4" t="s">
        <v>23</v>
      </c>
      <c r="C195" s="4">
        <v>260000</v>
      </c>
      <c r="D195" s="4">
        <v>2150</v>
      </c>
      <c r="E195" s="4">
        <v>2023</v>
      </c>
      <c r="F195" s="4">
        <v>6.6</v>
      </c>
      <c r="G195" s="4" t="s">
        <v>42</v>
      </c>
      <c r="H195" s="4" t="s">
        <v>25</v>
      </c>
      <c r="I195" s="4" t="s">
        <v>20</v>
      </c>
      <c r="J195" s="4" t="s">
        <v>21</v>
      </c>
      <c r="K195" s="20">
        <f>C195/D195</f>
        <v>120.93023255813954</v>
      </c>
      <c r="L195" s="11">
        <f>PMT(F195/100/12, 300, -(C195 *
(1 - G195/100)))</f>
        <v>1665.5104791107708</v>
      </c>
      <c r="M195" s="11">
        <f t="shared" ref="M195:M258" si="15">-CUMIPMT(F195/1200,300,O195,1,300,0)</f>
        <v>255253.14373323118</v>
      </c>
      <c r="N195" s="11">
        <f t="shared" ref="N195:N258" si="16">O195+M195</f>
        <v>499653.14373323118</v>
      </c>
      <c r="O195">
        <f t="shared" ref="O195:O258" si="17">C195*(1-G195/100)</f>
        <v>244400</v>
      </c>
      <c r="P195">
        <v>860.30248076923067</v>
      </c>
      <c r="R195" t="str">
        <f t="shared" ref="R195:R258" si="18">IF(H195="A","4",IF(H195="B","3",IF(H195="C","2",IF(H195="D","1",0))))</f>
        <v>1</v>
      </c>
      <c r="S195">
        <f t="shared" ref="S195:S258" si="19">D195*0.4 +R195*0.3 +(1/(K195*0.3))</f>
        <v>860.32756410256411</v>
      </c>
    </row>
    <row r="196" spans="1:19">
      <c r="A196" s="4" t="s">
        <v>35</v>
      </c>
      <c r="B196" s="4" t="s">
        <v>23</v>
      </c>
      <c r="C196" s="4">
        <v>230000</v>
      </c>
      <c r="D196" s="4">
        <v>1900</v>
      </c>
      <c r="E196" s="4">
        <v>2023</v>
      </c>
      <c r="F196" s="4">
        <v>6.6</v>
      </c>
      <c r="G196" s="4" t="s">
        <v>42</v>
      </c>
      <c r="H196" s="4" t="s">
        <v>25</v>
      </c>
      <c r="I196" s="4" t="s">
        <v>20</v>
      </c>
      <c r="J196" s="4" t="s">
        <v>21</v>
      </c>
      <c r="K196" s="20">
        <f>C196/D196</f>
        <v>121.05263157894737</v>
      </c>
      <c r="L196" s="11">
        <f>PMT(F196/100/12, 300, -(C196 *
(1 - G196/100)))</f>
        <v>1473.3361930595279</v>
      </c>
      <c r="M196" s="11">
        <f t="shared" si="15"/>
        <v>225800.85791785832</v>
      </c>
      <c r="N196" s="11">
        <f t="shared" si="16"/>
        <v>442000.85791785829</v>
      </c>
      <c r="O196">
        <f t="shared" si="17"/>
        <v>216200</v>
      </c>
      <c r="P196">
        <v>760.30247826086952</v>
      </c>
      <c r="R196" t="str">
        <f t="shared" si="18"/>
        <v>1</v>
      </c>
      <c r="S196">
        <f t="shared" si="19"/>
        <v>760.32753623188398</v>
      </c>
    </row>
    <row r="197" spans="1:19">
      <c r="A197" s="6" t="s">
        <v>35</v>
      </c>
      <c r="B197" s="6" t="s">
        <v>23</v>
      </c>
      <c r="C197" s="6">
        <v>270000</v>
      </c>
      <c r="D197" s="6">
        <v>2200</v>
      </c>
      <c r="E197" s="6">
        <v>2023</v>
      </c>
      <c r="F197" s="6">
        <v>6.6</v>
      </c>
      <c r="G197" s="6" t="s">
        <v>42</v>
      </c>
      <c r="H197" s="6" t="s">
        <v>25</v>
      </c>
      <c r="I197" s="6" t="s">
        <v>20</v>
      </c>
      <c r="J197" s="6" t="s">
        <v>21</v>
      </c>
      <c r="K197" s="20">
        <f>C197/D197</f>
        <v>122.72727272727273</v>
      </c>
      <c r="L197" s="11">
        <f>PMT(F197/100/12, 300, -(C197 *
(1 - G197/100)))</f>
        <v>1729.5685744611851</v>
      </c>
      <c r="M197" s="11">
        <f t="shared" si="15"/>
        <v>265070.57233835547</v>
      </c>
      <c r="N197" s="11">
        <f t="shared" si="16"/>
        <v>518870.57233835547</v>
      </c>
      <c r="O197">
        <f t="shared" si="17"/>
        <v>253800</v>
      </c>
      <c r="P197">
        <v>880.3024444444444</v>
      </c>
      <c r="R197" t="str">
        <f t="shared" si="18"/>
        <v>1</v>
      </c>
      <c r="S197">
        <f t="shared" si="19"/>
        <v>880.32716049382714</v>
      </c>
    </row>
    <row r="198" spans="1:19">
      <c r="A198" s="4" t="s">
        <v>16</v>
      </c>
      <c r="B198" s="4" t="s">
        <v>17</v>
      </c>
      <c r="C198" s="4">
        <v>350000</v>
      </c>
      <c r="D198" s="4">
        <v>2850</v>
      </c>
      <c r="E198" s="4">
        <v>2024</v>
      </c>
      <c r="F198" s="4">
        <v>5.2</v>
      </c>
      <c r="G198" s="4" t="s">
        <v>18</v>
      </c>
      <c r="H198" s="4" t="s">
        <v>19</v>
      </c>
      <c r="I198" s="4" t="s">
        <v>20</v>
      </c>
      <c r="J198" s="4" t="s">
        <v>21</v>
      </c>
      <c r="K198" s="20">
        <f>C198/D198</f>
        <v>122.80701754385964</v>
      </c>
      <c r="L198" s="11">
        <f>PMT(F198/100/12, 300, -(C198 *
(1 - G198/100)))</f>
        <v>1836.6086769226413</v>
      </c>
      <c r="M198" s="11">
        <f t="shared" si="15"/>
        <v>242982.60307679232</v>
      </c>
      <c r="N198" s="11">
        <f t="shared" si="16"/>
        <v>550982.60307679232</v>
      </c>
      <c r="O198">
        <f t="shared" si="17"/>
        <v>308000</v>
      </c>
      <c r="P198">
        <v>1140.6024428571427</v>
      </c>
      <c r="R198" t="str">
        <f t="shared" si="18"/>
        <v>2</v>
      </c>
      <c r="S198">
        <f t="shared" si="19"/>
        <v>1140.6271428571429</v>
      </c>
    </row>
    <row r="199" spans="1:19">
      <c r="A199" s="6" t="s">
        <v>16</v>
      </c>
      <c r="B199" s="6" t="s">
        <v>17</v>
      </c>
      <c r="C199" s="6">
        <v>370000</v>
      </c>
      <c r="D199" s="6">
        <v>3000</v>
      </c>
      <c r="E199" s="6">
        <v>2024</v>
      </c>
      <c r="F199" s="6">
        <v>5.2</v>
      </c>
      <c r="G199" s="6" t="s">
        <v>18</v>
      </c>
      <c r="H199" s="6" t="s">
        <v>19</v>
      </c>
      <c r="I199" s="6" t="s">
        <v>20</v>
      </c>
      <c r="J199" s="6" t="s">
        <v>21</v>
      </c>
      <c r="K199" s="20">
        <f>C199/D199</f>
        <v>123.33333333333333</v>
      </c>
      <c r="L199" s="11">
        <f>PMT(F199/100/12, 300, -(C199 *
(1 - G199/100)))</f>
        <v>1941.5577441753637</v>
      </c>
      <c r="M199" s="11">
        <f t="shared" si="15"/>
        <v>256867.323252609</v>
      </c>
      <c r="N199" s="11">
        <f t="shared" si="16"/>
        <v>582467.323252609</v>
      </c>
      <c r="O199">
        <f t="shared" si="17"/>
        <v>325600</v>
      </c>
      <c r="P199">
        <v>1200.6024324324324</v>
      </c>
      <c r="R199" t="str">
        <f t="shared" si="18"/>
        <v>2</v>
      </c>
      <c r="S199">
        <f t="shared" si="19"/>
        <v>1200.627027027027</v>
      </c>
    </row>
    <row r="200" spans="1:19">
      <c r="A200" s="6" t="s">
        <v>37</v>
      </c>
      <c r="B200" s="6" t="s">
        <v>17</v>
      </c>
      <c r="C200" s="6">
        <v>310000</v>
      </c>
      <c r="D200" s="6">
        <v>2510</v>
      </c>
      <c r="E200" s="6">
        <v>2024</v>
      </c>
      <c r="F200" s="6">
        <v>5.3</v>
      </c>
      <c r="G200" s="7">
        <v>10</v>
      </c>
      <c r="H200" s="6" t="s">
        <v>19</v>
      </c>
      <c r="I200" s="6" t="s">
        <v>20</v>
      </c>
      <c r="J200" s="6" t="s">
        <v>21</v>
      </c>
      <c r="K200" s="20">
        <f>C200/D200</f>
        <v>123.50597609561753</v>
      </c>
      <c r="L200" s="11">
        <f>PMT(F200/100/12, 300, -(C200 *
(1 - G200/100)))</f>
        <v>1680.141337554554</v>
      </c>
      <c r="M200" s="11">
        <f t="shared" si="15"/>
        <v>225042.40126636619</v>
      </c>
      <c r="N200" s="11">
        <f t="shared" si="16"/>
        <v>504042.40126636619</v>
      </c>
      <c r="O200">
        <f t="shared" si="17"/>
        <v>279000</v>
      </c>
      <c r="P200">
        <v>1004.6024290322581</v>
      </c>
      <c r="R200" t="str">
        <f t="shared" si="18"/>
        <v>2</v>
      </c>
      <c r="S200">
        <f t="shared" si="19"/>
        <v>1004.6269892473118</v>
      </c>
    </row>
    <row r="201" spans="1:19">
      <c r="A201" s="6" t="s">
        <v>16</v>
      </c>
      <c r="B201" s="6" t="s">
        <v>17</v>
      </c>
      <c r="C201" s="6">
        <v>372000</v>
      </c>
      <c r="D201" s="6">
        <v>3010</v>
      </c>
      <c r="E201" s="6">
        <v>2024</v>
      </c>
      <c r="F201" s="6">
        <v>5.2</v>
      </c>
      <c r="G201" s="6" t="s">
        <v>18</v>
      </c>
      <c r="H201" s="6" t="s">
        <v>19</v>
      </c>
      <c r="I201" s="6" t="s">
        <v>20</v>
      </c>
      <c r="J201" s="6" t="s">
        <v>21</v>
      </c>
      <c r="K201" s="20">
        <f>C201/D201</f>
        <v>123.58803986710963</v>
      </c>
      <c r="L201" s="11">
        <f>PMT(F201/100/12, 300, -(C201 *
(1 - G201/100)))</f>
        <v>1952.0526509006359</v>
      </c>
      <c r="M201" s="11">
        <f t="shared" si="15"/>
        <v>258255.79527019063</v>
      </c>
      <c r="N201" s="11">
        <f t="shared" si="16"/>
        <v>585615.79527019057</v>
      </c>
      <c r="O201">
        <f t="shared" si="17"/>
        <v>327360</v>
      </c>
      <c r="P201">
        <v>1204.6024274193549</v>
      </c>
      <c r="R201" t="str">
        <f t="shared" si="18"/>
        <v>2</v>
      </c>
      <c r="S201">
        <f t="shared" si="19"/>
        <v>1204.6269713261647</v>
      </c>
    </row>
    <row r="202" spans="1:19">
      <c r="A202" s="6" t="s">
        <v>16</v>
      </c>
      <c r="B202" s="6" t="s">
        <v>17</v>
      </c>
      <c r="C202" s="6">
        <v>365000</v>
      </c>
      <c r="D202" s="6">
        <v>2950</v>
      </c>
      <c r="E202" s="6">
        <v>2024</v>
      </c>
      <c r="F202" s="6">
        <v>5.2</v>
      </c>
      <c r="G202" s="6" t="s">
        <v>18</v>
      </c>
      <c r="H202" s="6" t="s">
        <v>19</v>
      </c>
      <c r="I202" s="6" t="s">
        <v>20</v>
      </c>
      <c r="J202" s="6" t="s">
        <v>21</v>
      </c>
      <c r="K202" s="20">
        <f>C202/D202</f>
        <v>123.72881355932203</v>
      </c>
      <c r="L202" s="11">
        <f>PMT(F202/100/12, 300, -(C202 *
(1 - G202/100)))</f>
        <v>1915.3204773621831</v>
      </c>
      <c r="M202" s="11">
        <f t="shared" si="15"/>
        <v>253396.14320865489</v>
      </c>
      <c r="N202" s="11">
        <f t="shared" si="16"/>
        <v>574596.14320865483</v>
      </c>
      <c r="O202">
        <f t="shared" si="17"/>
        <v>321200</v>
      </c>
      <c r="P202">
        <v>1180.6024246575341</v>
      </c>
      <c r="R202" t="str">
        <f t="shared" si="18"/>
        <v>2</v>
      </c>
      <c r="S202">
        <f t="shared" si="19"/>
        <v>1180.6269406392694</v>
      </c>
    </row>
    <row r="203" spans="1:19">
      <c r="A203" s="6" t="s">
        <v>16</v>
      </c>
      <c r="B203" s="6" t="s">
        <v>17</v>
      </c>
      <c r="C203" s="6">
        <v>360000</v>
      </c>
      <c r="D203" s="6">
        <v>2900</v>
      </c>
      <c r="E203" s="6">
        <v>2024</v>
      </c>
      <c r="F203" s="6">
        <v>5.2</v>
      </c>
      <c r="G203" s="6" t="s">
        <v>18</v>
      </c>
      <c r="H203" s="6" t="s">
        <v>19</v>
      </c>
      <c r="I203" s="6" t="s">
        <v>20</v>
      </c>
      <c r="J203" s="6" t="s">
        <v>21</v>
      </c>
      <c r="K203" s="20">
        <f>C203/D203</f>
        <v>124.13793103448276</v>
      </c>
      <c r="L203" s="11">
        <f>PMT(F203/100/12, 300, -(C203 *
(1 - G203/100)))</f>
        <v>1889.0832105490024</v>
      </c>
      <c r="M203" s="11">
        <f t="shared" si="15"/>
        <v>249924.9631647006</v>
      </c>
      <c r="N203" s="11">
        <f t="shared" si="16"/>
        <v>566724.96316470066</v>
      </c>
      <c r="O203">
        <f t="shared" si="17"/>
        <v>316800</v>
      </c>
      <c r="P203">
        <v>1160.6024166666666</v>
      </c>
      <c r="R203" t="str">
        <f t="shared" si="18"/>
        <v>2</v>
      </c>
      <c r="S203">
        <f t="shared" si="19"/>
        <v>1160.6268518518518</v>
      </c>
    </row>
    <row r="204" spans="1:19">
      <c r="A204" s="4" t="s">
        <v>16</v>
      </c>
      <c r="B204" s="4" t="s">
        <v>17</v>
      </c>
      <c r="C204" s="4">
        <v>348000</v>
      </c>
      <c r="D204" s="4">
        <v>2800</v>
      </c>
      <c r="E204" s="4">
        <v>2024</v>
      </c>
      <c r="F204" s="4">
        <v>5.2</v>
      </c>
      <c r="G204" s="4" t="s">
        <v>18</v>
      </c>
      <c r="H204" s="4" t="s">
        <v>19</v>
      </c>
      <c r="I204" s="4" t="s">
        <v>20</v>
      </c>
      <c r="J204" s="4" t="s">
        <v>21</v>
      </c>
      <c r="K204" s="20">
        <f>C204/D204</f>
        <v>124.28571428571429</v>
      </c>
      <c r="L204" s="11">
        <f>PMT(F204/100/12, 300, -(C204 *
(1 - G204/100)))</f>
        <v>1826.1137701973689</v>
      </c>
      <c r="M204" s="11">
        <f t="shared" si="15"/>
        <v>241594.13105921069</v>
      </c>
      <c r="N204" s="11">
        <f t="shared" si="16"/>
        <v>547834.13105921075</v>
      </c>
      <c r="O204">
        <f t="shared" si="17"/>
        <v>306240</v>
      </c>
      <c r="P204">
        <v>1120.6024137931033</v>
      </c>
      <c r="R204" t="str">
        <f t="shared" si="18"/>
        <v>2</v>
      </c>
      <c r="S204">
        <f t="shared" si="19"/>
        <v>1120.6268199233716</v>
      </c>
    </row>
    <row r="205" spans="1:19">
      <c r="A205" s="6" t="s">
        <v>35</v>
      </c>
      <c r="B205" s="6" t="s">
        <v>23</v>
      </c>
      <c r="C205" s="6">
        <v>240000</v>
      </c>
      <c r="D205" s="6">
        <v>1930</v>
      </c>
      <c r="E205" s="6">
        <v>2024</v>
      </c>
      <c r="F205" s="6">
        <v>5.3</v>
      </c>
      <c r="G205" s="6" t="s">
        <v>42</v>
      </c>
      <c r="H205" s="6" t="s">
        <v>25</v>
      </c>
      <c r="I205" s="6" t="s">
        <v>20</v>
      </c>
      <c r="J205" s="6" t="s">
        <v>21</v>
      </c>
      <c r="K205" s="20">
        <f>C205/D205</f>
        <v>124.35233160621762</v>
      </c>
      <c r="L205" s="11">
        <f>PMT(F205/100/12, 300, -(C205 *
(1 - G205/100)))</f>
        <v>1358.56589875379</v>
      </c>
      <c r="M205" s="11">
        <f t="shared" si="15"/>
        <v>181969.76962613699</v>
      </c>
      <c r="N205" s="11">
        <f t="shared" si="16"/>
        <v>407569.76962613699</v>
      </c>
      <c r="O205">
        <f t="shared" si="17"/>
        <v>225600</v>
      </c>
      <c r="P205">
        <v>772.30241249999995</v>
      </c>
      <c r="R205" t="str">
        <f t="shared" si="18"/>
        <v>1</v>
      </c>
      <c r="S205">
        <f t="shared" si="19"/>
        <v>772.32680555555555</v>
      </c>
    </row>
    <row r="206" spans="1:19">
      <c r="A206" s="4" t="s">
        <v>16</v>
      </c>
      <c r="B206" s="4" t="s">
        <v>17</v>
      </c>
      <c r="C206" s="4">
        <v>345000</v>
      </c>
      <c r="D206" s="4">
        <v>2750</v>
      </c>
      <c r="E206" s="4">
        <v>2024</v>
      </c>
      <c r="F206" s="4">
        <v>5.2</v>
      </c>
      <c r="G206" s="4" t="s">
        <v>18</v>
      </c>
      <c r="H206" s="4" t="s">
        <v>19</v>
      </c>
      <c r="I206" s="4" t="s">
        <v>20</v>
      </c>
      <c r="J206" s="4" t="s">
        <v>21</v>
      </c>
      <c r="K206" s="20">
        <f>C206/D206</f>
        <v>125.45454545454545</v>
      </c>
      <c r="L206" s="11">
        <f>PMT(F206/100/12, 300, -(C206 *
(1 - G206/100)))</f>
        <v>1810.3714101094608</v>
      </c>
      <c r="M206" s="11">
        <f t="shared" si="15"/>
        <v>239511.42303283815</v>
      </c>
      <c r="N206" s="11">
        <f t="shared" si="16"/>
        <v>543111.42303283815</v>
      </c>
      <c r="O206">
        <f t="shared" si="17"/>
        <v>303600</v>
      </c>
      <c r="P206">
        <v>1100.6023913043477</v>
      </c>
      <c r="R206" t="str">
        <f t="shared" si="18"/>
        <v>2</v>
      </c>
      <c r="S206">
        <f t="shared" si="19"/>
        <v>1100.6265700483091</v>
      </c>
    </row>
    <row r="207" spans="1:19">
      <c r="A207" s="4" t="s">
        <v>22</v>
      </c>
      <c r="B207" s="4" t="s">
        <v>23</v>
      </c>
      <c r="C207" s="4">
        <v>252000</v>
      </c>
      <c r="D207" s="4">
        <v>1990</v>
      </c>
      <c r="E207" s="4">
        <v>2023</v>
      </c>
      <c r="F207" s="4">
        <v>6.3</v>
      </c>
      <c r="G207" s="4" t="s">
        <v>24</v>
      </c>
      <c r="H207" s="4" t="s">
        <v>25</v>
      </c>
      <c r="I207" s="4" t="s">
        <v>20</v>
      </c>
      <c r="J207" s="4" t="s">
        <v>21</v>
      </c>
      <c r="K207" s="20">
        <f>C207/D207</f>
        <v>126.63316582914572</v>
      </c>
      <c r="L207" s="11">
        <f>PMT(F207/100/12, 300, -(C207 *
(1 - G207/100)))</f>
        <v>1503.1475111863108</v>
      </c>
      <c r="M207" s="11">
        <f t="shared" si="15"/>
        <v>224144.25335589319</v>
      </c>
      <c r="N207" s="11">
        <f t="shared" si="16"/>
        <v>450944.25335589319</v>
      </c>
      <c r="O207">
        <f t="shared" si="17"/>
        <v>226800</v>
      </c>
      <c r="P207">
        <v>796.30236904761898</v>
      </c>
      <c r="R207" t="str">
        <f t="shared" si="18"/>
        <v>1</v>
      </c>
      <c r="S207">
        <f t="shared" si="19"/>
        <v>796.32632275132266</v>
      </c>
    </row>
    <row r="208" spans="1:19">
      <c r="A208" s="4" t="s">
        <v>16</v>
      </c>
      <c r="B208" s="4" t="s">
        <v>17</v>
      </c>
      <c r="C208" s="4">
        <v>343000</v>
      </c>
      <c r="D208" s="4">
        <v>2700</v>
      </c>
      <c r="E208" s="4">
        <v>2024</v>
      </c>
      <c r="F208" s="4">
        <v>5.2</v>
      </c>
      <c r="G208" s="4" t="s">
        <v>18</v>
      </c>
      <c r="H208" s="4" t="s">
        <v>19</v>
      </c>
      <c r="I208" s="4" t="s">
        <v>20</v>
      </c>
      <c r="J208" s="4" t="s">
        <v>21</v>
      </c>
      <c r="K208" s="20">
        <f>C208/D208</f>
        <v>127.03703703703704</v>
      </c>
      <c r="L208" s="11">
        <f>PMT(F208/100/12, 300, -(C208 *
(1 - G208/100)))</f>
        <v>1799.8765033841883</v>
      </c>
      <c r="M208" s="11">
        <f t="shared" si="15"/>
        <v>238122.95101525652</v>
      </c>
      <c r="N208" s="11">
        <f t="shared" si="16"/>
        <v>539962.95101525658</v>
      </c>
      <c r="O208">
        <f t="shared" si="17"/>
        <v>301840</v>
      </c>
      <c r="P208">
        <v>1080.602361516035</v>
      </c>
      <c r="R208" t="str">
        <f t="shared" si="18"/>
        <v>2</v>
      </c>
      <c r="S208">
        <f t="shared" si="19"/>
        <v>1080.6262390670554</v>
      </c>
    </row>
    <row r="209" spans="1:19">
      <c r="A209" s="4" t="s">
        <v>16</v>
      </c>
      <c r="B209" s="4" t="s">
        <v>17</v>
      </c>
      <c r="C209" s="4">
        <v>340000</v>
      </c>
      <c r="D209" s="4">
        <v>2650</v>
      </c>
      <c r="E209" s="4">
        <v>2024</v>
      </c>
      <c r="F209" s="4">
        <v>5.2</v>
      </c>
      <c r="G209" s="4" t="s">
        <v>18</v>
      </c>
      <c r="H209" s="4" t="s">
        <v>19</v>
      </c>
      <c r="I209" s="4" t="s">
        <v>20</v>
      </c>
      <c r="J209" s="4" t="s">
        <v>21</v>
      </c>
      <c r="K209" s="20">
        <f>C209/D209</f>
        <v>128.30188679245282</v>
      </c>
      <c r="L209" s="11">
        <f>PMT(F209/100/12, 300, -(C209 *
(1 - G209/100)))</f>
        <v>1784.1341432962802</v>
      </c>
      <c r="M209" s="11">
        <f t="shared" si="15"/>
        <v>236040.24298888387</v>
      </c>
      <c r="N209" s="11">
        <f t="shared" si="16"/>
        <v>535240.24298888387</v>
      </c>
      <c r="O209">
        <f t="shared" si="17"/>
        <v>299200</v>
      </c>
      <c r="P209">
        <v>1060.6023382352939</v>
      </c>
      <c r="R209" t="str">
        <f t="shared" si="18"/>
        <v>2</v>
      </c>
      <c r="S209">
        <f t="shared" si="19"/>
        <v>1060.6259803921569</v>
      </c>
    </row>
    <row r="210" spans="1:19">
      <c r="A210" s="6" t="s">
        <v>16</v>
      </c>
      <c r="B210" s="6" t="s">
        <v>17</v>
      </c>
      <c r="C210" s="6">
        <v>310000</v>
      </c>
      <c r="D210" s="6">
        <v>2400</v>
      </c>
      <c r="E210" s="6">
        <v>2023</v>
      </c>
      <c r="F210" s="6">
        <v>6</v>
      </c>
      <c r="G210" s="6" t="s">
        <v>18</v>
      </c>
      <c r="H210" s="6" t="s">
        <v>19</v>
      </c>
      <c r="I210" s="6" t="s">
        <v>20</v>
      </c>
      <c r="J210" s="6" t="s">
        <v>21</v>
      </c>
      <c r="K210" s="20">
        <f>C210/D210</f>
        <v>129.16666666666666</v>
      </c>
      <c r="L210" s="11">
        <f>PMT(F210/100/12, 300, -(C210 *
(1 - G210/100)))</f>
        <v>1757.6542232524673</v>
      </c>
      <c r="M210" s="11">
        <f t="shared" si="15"/>
        <v>254496.2669757402</v>
      </c>
      <c r="N210" s="11">
        <f t="shared" si="16"/>
        <v>527296.2669757402</v>
      </c>
      <c r="O210">
        <f t="shared" si="17"/>
        <v>272800</v>
      </c>
      <c r="P210">
        <v>960.60232258064514</v>
      </c>
      <c r="R210" t="str">
        <f t="shared" si="18"/>
        <v>2</v>
      </c>
      <c r="S210">
        <f t="shared" si="19"/>
        <v>960.6258064516129</v>
      </c>
    </row>
    <row r="211" spans="1:19">
      <c r="A211" s="6" t="s">
        <v>37</v>
      </c>
      <c r="B211" s="6" t="s">
        <v>17</v>
      </c>
      <c r="C211" s="6">
        <v>330000</v>
      </c>
      <c r="D211" s="6">
        <v>2510</v>
      </c>
      <c r="E211" s="6">
        <v>2024</v>
      </c>
      <c r="F211" s="6">
        <v>5.3</v>
      </c>
      <c r="G211" s="7">
        <v>10</v>
      </c>
      <c r="H211" s="6" t="s">
        <v>19</v>
      </c>
      <c r="I211" s="6" t="s">
        <v>20</v>
      </c>
      <c r="J211" s="6" t="s">
        <v>21</v>
      </c>
      <c r="K211" s="20">
        <f>C211/D211</f>
        <v>131.47410358565736</v>
      </c>
      <c r="L211" s="11">
        <f>PMT(F211/100/12, 300, -(C211 *
(1 - G211/100)))</f>
        <v>1788.5375528806542</v>
      </c>
      <c r="M211" s="11">
        <f t="shared" si="15"/>
        <v>239561.26586419623</v>
      </c>
      <c r="N211" s="11">
        <f t="shared" si="16"/>
        <v>536561.26586419623</v>
      </c>
      <c r="O211">
        <f t="shared" si="17"/>
        <v>297000</v>
      </c>
      <c r="P211">
        <v>1004.6022818181818</v>
      </c>
      <c r="R211" t="str">
        <f t="shared" si="18"/>
        <v>2</v>
      </c>
      <c r="S211">
        <f t="shared" si="19"/>
        <v>1004.6253535353536</v>
      </c>
    </row>
    <row r="212" spans="1:19">
      <c r="A212" s="6" t="s">
        <v>16</v>
      </c>
      <c r="B212" s="6" t="s">
        <v>17</v>
      </c>
      <c r="C212" s="6">
        <v>310000</v>
      </c>
      <c r="D212" s="6">
        <v>2350</v>
      </c>
      <c r="E212" s="6">
        <v>2024</v>
      </c>
      <c r="F212" s="6">
        <v>5.2</v>
      </c>
      <c r="G212" s="6" t="s">
        <v>18</v>
      </c>
      <c r="H212" s="6" t="s">
        <v>19</v>
      </c>
      <c r="I212" s="6" t="s">
        <v>20</v>
      </c>
      <c r="J212" s="6" t="s">
        <v>21</v>
      </c>
      <c r="K212" s="20">
        <f>C212/D212</f>
        <v>131.91489361702128</v>
      </c>
      <c r="L212" s="11">
        <f>PMT(F212/100/12, 300, -(C212 *
(1 - G212/100)))</f>
        <v>1626.7105424171966</v>
      </c>
      <c r="M212" s="11">
        <f t="shared" si="15"/>
        <v>215213.16272515891</v>
      </c>
      <c r="N212" s="11">
        <f t="shared" si="16"/>
        <v>488013.16272515891</v>
      </c>
      <c r="O212">
        <f t="shared" si="17"/>
        <v>272800</v>
      </c>
      <c r="P212">
        <v>940.6022741935484</v>
      </c>
      <c r="R212" t="str">
        <f t="shared" si="18"/>
        <v>2</v>
      </c>
      <c r="S212">
        <f t="shared" si="19"/>
        <v>940.6252688172043</v>
      </c>
    </row>
    <row r="213" spans="1:19">
      <c r="A213" s="6" t="s">
        <v>16</v>
      </c>
      <c r="B213" s="6" t="s">
        <v>17</v>
      </c>
      <c r="C213" s="6">
        <v>330000</v>
      </c>
      <c r="D213" s="6">
        <v>2500</v>
      </c>
      <c r="E213" s="6">
        <v>2024</v>
      </c>
      <c r="F213" s="6">
        <v>5.2</v>
      </c>
      <c r="G213" s="6" t="s">
        <v>18</v>
      </c>
      <c r="H213" s="6" t="s">
        <v>19</v>
      </c>
      <c r="I213" s="6" t="s">
        <v>20</v>
      </c>
      <c r="J213" s="6" t="s">
        <v>21</v>
      </c>
      <c r="K213" s="20">
        <f>C213/D213</f>
        <v>132</v>
      </c>
      <c r="L213" s="11">
        <f>PMT(F213/100/12, 300, -(C213 *
(1 - G213/100)))</f>
        <v>1731.6596096699188</v>
      </c>
      <c r="M213" s="11">
        <f t="shared" si="15"/>
        <v>229097.88290097559</v>
      </c>
      <c r="N213" s="11">
        <f t="shared" si="16"/>
        <v>519497.88290097559</v>
      </c>
      <c r="O213">
        <f t="shared" si="17"/>
        <v>290400</v>
      </c>
      <c r="P213">
        <v>1000.6022727272727</v>
      </c>
      <c r="R213" t="str">
        <f t="shared" si="18"/>
        <v>2</v>
      </c>
      <c r="S213">
        <f t="shared" si="19"/>
        <v>1000.6252525252526</v>
      </c>
    </row>
    <row r="214" spans="1:19">
      <c r="A214" s="6" t="s">
        <v>16</v>
      </c>
      <c r="B214" s="6" t="s">
        <v>17</v>
      </c>
      <c r="C214" s="6">
        <v>320000</v>
      </c>
      <c r="D214" s="6">
        <v>2420</v>
      </c>
      <c r="E214" s="6">
        <v>2024</v>
      </c>
      <c r="F214" s="6">
        <v>5.2</v>
      </c>
      <c r="G214" s="6" t="s">
        <v>18</v>
      </c>
      <c r="H214" s="6" t="s">
        <v>19</v>
      </c>
      <c r="I214" s="6" t="s">
        <v>20</v>
      </c>
      <c r="J214" s="6" t="s">
        <v>21</v>
      </c>
      <c r="K214" s="20">
        <f>C214/D214</f>
        <v>132.23140495867767</v>
      </c>
      <c r="L214" s="11">
        <f>PMT(F214/100/12, 300, -(C214 *
(1 - G214/100)))</f>
        <v>1679.1850760435575</v>
      </c>
      <c r="M214" s="11">
        <f t="shared" si="15"/>
        <v>222155.52281306719</v>
      </c>
      <c r="N214" s="11">
        <f t="shared" si="16"/>
        <v>503755.52281306719</v>
      </c>
      <c r="O214">
        <f t="shared" si="17"/>
        <v>281600</v>
      </c>
      <c r="P214">
        <v>968.60226875000001</v>
      </c>
      <c r="R214" t="str">
        <f t="shared" si="18"/>
        <v>2</v>
      </c>
      <c r="S214">
        <f t="shared" si="19"/>
        <v>968.62520833333338</v>
      </c>
    </row>
    <row r="215" spans="1:19">
      <c r="A215" s="4" t="s">
        <v>16</v>
      </c>
      <c r="B215" s="4" t="s">
        <v>17</v>
      </c>
      <c r="C215" s="4">
        <v>315000</v>
      </c>
      <c r="D215" s="4">
        <v>2380</v>
      </c>
      <c r="E215" s="4">
        <v>2023</v>
      </c>
      <c r="F215" s="4">
        <v>6</v>
      </c>
      <c r="G215" s="4" t="s">
        <v>18</v>
      </c>
      <c r="H215" s="4" t="s">
        <v>19</v>
      </c>
      <c r="I215" s="4" t="s">
        <v>20</v>
      </c>
      <c r="J215" s="4" t="s">
        <v>21</v>
      </c>
      <c r="K215" s="20">
        <f>C215/D215</f>
        <v>132.35294117647058</v>
      </c>
      <c r="L215" s="11">
        <f>PMT(F215/100/12, 300, -(C215 *
(1 - G215/100)))</f>
        <v>1786.0034849178296</v>
      </c>
      <c r="M215" s="11">
        <f t="shared" si="15"/>
        <v>258601.04547534889</v>
      </c>
      <c r="N215" s="11">
        <f t="shared" si="16"/>
        <v>535801.04547534883</v>
      </c>
      <c r="O215">
        <f t="shared" si="17"/>
        <v>277200</v>
      </c>
      <c r="P215">
        <v>952.60226666666665</v>
      </c>
      <c r="R215" t="str">
        <f t="shared" si="18"/>
        <v>2</v>
      </c>
      <c r="S215">
        <f t="shared" si="19"/>
        <v>952.62518518518516</v>
      </c>
    </row>
    <row r="216" spans="1:19">
      <c r="A216" s="6" t="s">
        <v>16</v>
      </c>
      <c r="B216" s="6" t="s">
        <v>17</v>
      </c>
      <c r="C216" s="6">
        <v>318000</v>
      </c>
      <c r="D216" s="6">
        <v>2400</v>
      </c>
      <c r="E216" s="6">
        <v>2023</v>
      </c>
      <c r="F216" s="6">
        <v>6</v>
      </c>
      <c r="G216" s="6" t="s">
        <v>18</v>
      </c>
      <c r="H216" s="6" t="s">
        <v>19</v>
      </c>
      <c r="I216" s="6" t="s">
        <v>20</v>
      </c>
      <c r="J216" s="6" t="s">
        <v>21</v>
      </c>
      <c r="K216" s="20">
        <f>C216/D216</f>
        <v>132.5</v>
      </c>
      <c r="L216" s="11">
        <f>PMT(F216/100/12, 300, -(C216 *
(1 - G216/100)))</f>
        <v>1803.0130419170473</v>
      </c>
      <c r="M216" s="11">
        <f t="shared" si="15"/>
        <v>261063.91257511417</v>
      </c>
      <c r="N216" s="11">
        <f t="shared" si="16"/>
        <v>540903.91257511417</v>
      </c>
      <c r="O216">
        <f t="shared" si="17"/>
        <v>279840</v>
      </c>
      <c r="P216">
        <v>960.60226415094337</v>
      </c>
      <c r="R216" t="str">
        <f t="shared" si="18"/>
        <v>2</v>
      </c>
      <c r="S216">
        <f t="shared" si="19"/>
        <v>960.6251572327044</v>
      </c>
    </row>
    <row r="217" spans="1:19">
      <c r="A217" s="4" t="s">
        <v>16</v>
      </c>
      <c r="B217" s="4" t="s">
        <v>17</v>
      </c>
      <c r="C217" s="4">
        <v>325000</v>
      </c>
      <c r="D217" s="4">
        <v>2450</v>
      </c>
      <c r="E217" s="4">
        <v>2023</v>
      </c>
      <c r="F217" s="4">
        <v>6</v>
      </c>
      <c r="G217" s="4" t="s">
        <v>18</v>
      </c>
      <c r="H217" s="4" t="s">
        <v>19</v>
      </c>
      <c r="I217" s="4" t="s">
        <v>20</v>
      </c>
      <c r="J217" s="4" t="s">
        <v>21</v>
      </c>
      <c r="K217" s="20">
        <f>C217/D217</f>
        <v>132.65306122448979</v>
      </c>
      <c r="L217" s="11">
        <f>PMT(F217/100/12, 300, -(C217 *
(1 - G217/100)))</f>
        <v>1842.7020082485544</v>
      </c>
      <c r="M217" s="11">
        <f t="shared" si="15"/>
        <v>266810.60247456632</v>
      </c>
      <c r="N217" s="11">
        <f t="shared" si="16"/>
        <v>552810.60247456632</v>
      </c>
      <c r="O217">
        <f t="shared" si="17"/>
        <v>286000</v>
      </c>
      <c r="P217">
        <v>980.60226153846156</v>
      </c>
      <c r="R217" t="str">
        <f t="shared" si="18"/>
        <v>2</v>
      </c>
      <c r="S217">
        <f t="shared" si="19"/>
        <v>980.62512820512825</v>
      </c>
    </row>
    <row r="218" spans="1:19">
      <c r="A218" s="4" t="s">
        <v>16</v>
      </c>
      <c r="B218" s="4" t="s">
        <v>17</v>
      </c>
      <c r="C218" s="4">
        <v>325000</v>
      </c>
      <c r="D218" s="4">
        <v>2450</v>
      </c>
      <c r="E218" s="4">
        <v>2024</v>
      </c>
      <c r="F218" s="4">
        <v>5.2</v>
      </c>
      <c r="G218" s="4" t="s">
        <v>18</v>
      </c>
      <c r="H218" s="4" t="s">
        <v>19</v>
      </c>
      <c r="I218" s="4" t="s">
        <v>20</v>
      </c>
      <c r="J218" s="4" t="s">
        <v>21</v>
      </c>
      <c r="K218" s="20">
        <f>C218/D218</f>
        <v>132.65306122448979</v>
      </c>
      <c r="L218" s="11">
        <f>PMT(F218/100/12, 300, -(C218 *
(1 - G218/100)))</f>
        <v>1705.4223428567382</v>
      </c>
      <c r="M218" s="11">
        <f t="shared" si="15"/>
        <v>225626.70285702136</v>
      </c>
      <c r="N218" s="11">
        <f t="shared" si="16"/>
        <v>511626.70285702136</v>
      </c>
      <c r="O218">
        <f t="shared" si="17"/>
        <v>286000</v>
      </c>
      <c r="P218">
        <v>980.60226153846156</v>
      </c>
      <c r="R218" t="str">
        <f t="shared" si="18"/>
        <v>2</v>
      </c>
      <c r="S218">
        <f t="shared" si="19"/>
        <v>980.62512820512825</v>
      </c>
    </row>
    <row r="219" spans="1:19">
      <c r="A219" s="6" t="s">
        <v>16</v>
      </c>
      <c r="B219" s="6" t="s">
        <v>17</v>
      </c>
      <c r="C219" s="6">
        <v>292000</v>
      </c>
      <c r="D219" s="6">
        <v>2190</v>
      </c>
      <c r="E219" s="6">
        <v>2023</v>
      </c>
      <c r="F219" s="6">
        <v>6</v>
      </c>
      <c r="G219" s="6" t="s">
        <v>18</v>
      </c>
      <c r="H219" s="6" t="s">
        <v>19</v>
      </c>
      <c r="I219" s="6" t="s">
        <v>20</v>
      </c>
      <c r="J219" s="6" t="s">
        <v>21</v>
      </c>
      <c r="K219" s="20">
        <f>C219/D219</f>
        <v>133.33333333333334</v>
      </c>
      <c r="L219" s="11">
        <f>PMT(F219/100/12, 300, -(C219 *
(1 - G219/100)))</f>
        <v>1655.596881257163</v>
      </c>
      <c r="M219" s="11">
        <f t="shared" si="15"/>
        <v>239719.06437714887</v>
      </c>
      <c r="N219" s="11">
        <f t="shared" si="16"/>
        <v>496679.06437714887</v>
      </c>
      <c r="O219">
        <f t="shared" si="17"/>
        <v>256960</v>
      </c>
      <c r="P219">
        <v>876.60225000000003</v>
      </c>
      <c r="R219" t="str">
        <f t="shared" si="18"/>
        <v>2</v>
      </c>
      <c r="S219">
        <f t="shared" si="19"/>
        <v>876.625</v>
      </c>
    </row>
    <row r="220" spans="1:19">
      <c r="A220" s="4" t="s">
        <v>16</v>
      </c>
      <c r="B220" s="4" t="s">
        <v>17</v>
      </c>
      <c r="C220" s="4">
        <v>300000</v>
      </c>
      <c r="D220" s="4">
        <v>2250</v>
      </c>
      <c r="E220" s="4">
        <v>2024</v>
      </c>
      <c r="F220" s="4">
        <v>5.2</v>
      </c>
      <c r="G220" s="4" t="s">
        <v>18</v>
      </c>
      <c r="H220" s="4" t="s">
        <v>19</v>
      </c>
      <c r="I220" s="4" t="s">
        <v>20</v>
      </c>
      <c r="J220" s="4" t="s">
        <v>21</v>
      </c>
      <c r="K220" s="20">
        <f>C220/D220</f>
        <v>133.33333333333334</v>
      </c>
      <c r="L220" s="11">
        <f>PMT(F220/100/12, 300, -(C220 *
(1 - G220/100)))</f>
        <v>1574.2360087908353</v>
      </c>
      <c r="M220" s="11">
        <f t="shared" si="15"/>
        <v>208270.80263725057</v>
      </c>
      <c r="N220" s="11">
        <f t="shared" si="16"/>
        <v>472270.80263725057</v>
      </c>
      <c r="O220">
        <f t="shared" si="17"/>
        <v>264000</v>
      </c>
      <c r="P220">
        <v>900.60225000000003</v>
      </c>
      <c r="R220" t="str">
        <f t="shared" si="18"/>
        <v>2</v>
      </c>
      <c r="S220">
        <f t="shared" si="19"/>
        <v>900.625</v>
      </c>
    </row>
    <row r="221" spans="1:19">
      <c r="A221" s="6" t="s">
        <v>16</v>
      </c>
      <c r="B221" s="6" t="s">
        <v>17</v>
      </c>
      <c r="C221" s="6">
        <v>340000</v>
      </c>
      <c r="D221" s="6">
        <v>2550</v>
      </c>
      <c r="E221" s="6">
        <v>2023</v>
      </c>
      <c r="F221" s="6">
        <v>6</v>
      </c>
      <c r="G221" s="6" t="s">
        <v>18</v>
      </c>
      <c r="H221" s="6" t="s">
        <v>19</v>
      </c>
      <c r="I221" s="6" t="s">
        <v>20</v>
      </c>
      <c r="J221" s="6" t="s">
        <v>21</v>
      </c>
      <c r="K221" s="20">
        <f>C221/D221</f>
        <v>133.33333333333334</v>
      </c>
      <c r="L221" s="11">
        <f>PMT(F221/100/12, 300, -(C221 *
(1 - G221/100)))</f>
        <v>1927.7497932446418</v>
      </c>
      <c r="M221" s="11">
        <f t="shared" si="15"/>
        <v>279124.93797339255</v>
      </c>
      <c r="N221" s="11">
        <f t="shared" si="16"/>
        <v>578324.93797339255</v>
      </c>
      <c r="O221">
        <f t="shared" si="17"/>
        <v>299200</v>
      </c>
      <c r="P221">
        <v>1020.60225</v>
      </c>
      <c r="R221" t="str">
        <f t="shared" si="18"/>
        <v>2</v>
      </c>
      <c r="S221">
        <f t="shared" si="19"/>
        <v>1020.625</v>
      </c>
    </row>
    <row r="222" spans="1:19">
      <c r="A222" s="4" t="s">
        <v>16</v>
      </c>
      <c r="B222" s="4" t="s">
        <v>17</v>
      </c>
      <c r="C222" s="4">
        <v>320000</v>
      </c>
      <c r="D222" s="4">
        <v>2400</v>
      </c>
      <c r="E222" s="4">
        <v>2024</v>
      </c>
      <c r="F222" s="4">
        <v>5.2</v>
      </c>
      <c r="G222" s="4" t="s">
        <v>18</v>
      </c>
      <c r="H222" s="4" t="s">
        <v>19</v>
      </c>
      <c r="I222" s="4" t="s">
        <v>20</v>
      </c>
      <c r="J222" s="4" t="s">
        <v>21</v>
      </c>
      <c r="K222" s="20">
        <f>C222/D222</f>
        <v>133.33333333333334</v>
      </c>
      <c r="L222" s="11">
        <f>PMT(F222/100/12, 300, -(C222 *
(1 - G222/100)))</f>
        <v>1679.1850760435575</v>
      </c>
      <c r="M222" s="11">
        <f t="shared" si="15"/>
        <v>222155.52281306719</v>
      </c>
      <c r="N222" s="11">
        <f t="shared" si="16"/>
        <v>503755.52281306719</v>
      </c>
      <c r="O222">
        <f t="shared" si="17"/>
        <v>281600</v>
      </c>
      <c r="P222">
        <v>960.60225000000003</v>
      </c>
      <c r="R222" t="str">
        <f t="shared" si="18"/>
        <v>2</v>
      </c>
      <c r="S222">
        <f t="shared" si="19"/>
        <v>960.625</v>
      </c>
    </row>
    <row r="223" spans="1:19">
      <c r="A223" s="4" t="s">
        <v>16</v>
      </c>
      <c r="B223" s="4" t="s">
        <v>17</v>
      </c>
      <c r="C223" s="4">
        <v>310000</v>
      </c>
      <c r="D223" s="4">
        <v>2300</v>
      </c>
      <c r="E223" s="4">
        <v>2024</v>
      </c>
      <c r="F223" s="4">
        <v>5.2</v>
      </c>
      <c r="G223" s="4" t="s">
        <v>18</v>
      </c>
      <c r="H223" s="4" t="s">
        <v>19</v>
      </c>
      <c r="I223" s="4" t="s">
        <v>20</v>
      </c>
      <c r="J223" s="4" t="s">
        <v>21</v>
      </c>
      <c r="K223" s="20">
        <f>C223/D223</f>
        <v>134.78260869565219</v>
      </c>
      <c r="L223" s="11">
        <f>PMT(F223/100/12, 300, -(C223 *
(1 - G223/100)))</f>
        <v>1626.7105424171966</v>
      </c>
      <c r="M223" s="11">
        <f t="shared" si="15"/>
        <v>215213.16272515891</v>
      </c>
      <c r="N223" s="11">
        <f t="shared" si="16"/>
        <v>488013.16272515891</v>
      </c>
      <c r="O223">
        <f t="shared" si="17"/>
        <v>272800</v>
      </c>
      <c r="P223">
        <v>920.60222580645166</v>
      </c>
      <c r="R223" t="str">
        <f t="shared" si="18"/>
        <v>2</v>
      </c>
      <c r="S223">
        <f t="shared" si="19"/>
        <v>920.6247311827957</v>
      </c>
    </row>
    <row r="224" spans="1:19">
      <c r="A224" s="6" t="s">
        <v>16</v>
      </c>
      <c r="B224" s="6" t="s">
        <v>17</v>
      </c>
      <c r="C224" s="6">
        <v>320000</v>
      </c>
      <c r="D224" s="6">
        <v>2350</v>
      </c>
      <c r="E224" s="6">
        <v>2024</v>
      </c>
      <c r="F224" s="6">
        <v>5.2</v>
      </c>
      <c r="G224" s="6" t="s">
        <v>18</v>
      </c>
      <c r="H224" s="6" t="s">
        <v>19</v>
      </c>
      <c r="I224" s="6" t="s">
        <v>20</v>
      </c>
      <c r="J224" s="6" t="s">
        <v>21</v>
      </c>
      <c r="K224" s="20">
        <f>C224/D224</f>
        <v>136.17021276595744</v>
      </c>
      <c r="L224" s="11">
        <f>PMT(F224/100/12, 300, -(C224 *
(1 - G224/100)))</f>
        <v>1679.1850760435575</v>
      </c>
      <c r="M224" s="11">
        <f t="shared" si="15"/>
        <v>222155.52281306719</v>
      </c>
      <c r="N224" s="11">
        <f t="shared" si="16"/>
        <v>503755.52281306719</v>
      </c>
      <c r="O224">
        <f t="shared" si="17"/>
        <v>281600</v>
      </c>
      <c r="P224">
        <v>940.60220312500007</v>
      </c>
      <c r="R224" t="str">
        <f t="shared" si="18"/>
        <v>2</v>
      </c>
      <c r="S224">
        <f t="shared" si="19"/>
        <v>940.62447916666667</v>
      </c>
    </row>
    <row r="225" spans="1:19">
      <c r="A225" s="4" t="s">
        <v>16</v>
      </c>
      <c r="B225" s="4" t="s">
        <v>17</v>
      </c>
      <c r="C225" s="4">
        <v>325000</v>
      </c>
      <c r="D225" s="4">
        <v>2380</v>
      </c>
      <c r="E225" s="4">
        <v>2023</v>
      </c>
      <c r="F225" s="4">
        <v>6</v>
      </c>
      <c r="G225" s="4" t="s">
        <v>18</v>
      </c>
      <c r="H225" s="4" t="s">
        <v>19</v>
      </c>
      <c r="I225" s="4" t="s">
        <v>20</v>
      </c>
      <c r="J225" s="4" t="s">
        <v>21</v>
      </c>
      <c r="K225" s="20">
        <f>C225/D225</f>
        <v>136.55462184873949</v>
      </c>
      <c r="L225" s="11">
        <f>PMT(F225/100/12, 300, -(C225 *
(1 - G225/100)))</f>
        <v>1842.7020082485544</v>
      </c>
      <c r="M225" s="11">
        <f t="shared" si="15"/>
        <v>266810.60247456632</v>
      </c>
      <c r="N225" s="11">
        <f t="shared" si="16"/>
        <v>552810.60247456632</v>
      </c>
      <c r="O225">
        <f t="shared" si="17"/>
        <v>286000</v>
      </c>
      <c r="P225">
        <v>952.60219692307692</v>
      </c>
      <c r="R225" t="str">
        <f t="shared" si="18"/>
        <v>2</v>
      </c>
      <c r="S225">
        <f t="shared" si="19"/>
        <v>952.62441025641033</v>
      </c>
    </row>
    <row r="226" spans="1:19">
      <c r="A226" s="6" t="s">
        <v>22</v>
      </c>
      <c r="B226" s="6" t="s">
        <v>27</v>
      </c>
      <c r="C226" s="6">
        <v>365000</v>
      </c>
      <c r="D226" s="6">
        <v>2550</v>
      </c>
      <c r="E226" s="6">
        <v>2024</v>
      </c>
      <c r="F226" s="6">
        <v>5.4</v>
      </c>
      <c r="G226" s="6" t="s">
        <v>39</v>
      </c>
      <c r="H226" s="6" t="s">
        <v>19</v>
      </c>
      <c r="I226" s="6" t="s">
        <v>20</v>
      </c>
      <c r="J226" s="6" t="s">
        <v>29</v>
      </c>
      <c r="K226" s="20">
        <f>C226/D226</f>
        <v>143.13725490196077</v>
      </c>
      <c r="L226" s="11">
        <f>PMT(F226/100/12, 300, -(C226 *
(1 - G226/100)))</f>
        <v>1908.9198107443531</v>
      </c>
      <c r="M226" s="11">
        <f t="shared" si="15"/>
        <v>258775.94322330604</v>
      </c>
      <c r="N226" s="11">
        <f t="shared" si="16"/>
        <v>572675.94322330598</v>
      </c>
      <c r="O226">
        <f t="shared" si="17"/>
        <v>313900</v>
      </c>
      <c r="P226">
        <v>1020.602095890411</v>
      </c>
      <c r="R226" t="str">
        <f t="shared" si="18"/>
        <v>2</v>
      </c>
      <c r="S226">
        <f t="shared" si="19"/>
        <v>1020.6232876712329</v>
      </c>
    </row>
    <row r="227" spans="1:19">
      <c r="A227" s="4" t="s">
        <v>32</v>
      </c>
      <c r="B227" s="4" t="s">
        <v>23</v>
      </c>
      <c r="C227" s="4">
        <v>330000</v>
      </c>
      <c r="D227" s="4">
        <v>2300</v>
      </c>
      <c r="E227" s="4">
        <v>2024</v>
      </c>
      <c r="F227" s="4">
        <v>5.5</v>
      </c>
      <c r="G227" s="4" t="s">
        <v>24</v>
      </c>
      <c r="H227" s="4" t="s">
        <v>19</v>
      </c>
      <c r="I227" s="4" t="s">
        <v>20</v>
      </c>
      <c r="J227" s="4" t="s">
        <v>21</v>
      </c>
      <c r="K227" s="20">
        <f>C227/D227</f>
        <v>143.47826086956522</v>
      </c>
      <c r="L227" s="11">
        <f>PMT(F227/100/12, 300, -(C227 *
(1 - G227/100)))</f>
        <v>1823.8398520759667</v>
      </c>
      <c r="M227" s="11">
        <f t="shared" si="15"/>
        <v>250151.95562279003</v>
      </c>
      <c r="N227" s="11">
        <f t="shared" si="16"/>
        <v>547151.95562279003</v>
      </c>
      <c r="O227">
        <f t="shared" si="17"/>
        <v>297000</v>
      </c>
      <c r="P227">
        <v>920.60209090909098</v>
      </c>
      <c r="R227" t="str">
        <f t="shared" si="18"/>
        <v>2</v>
      </c>
      <c r="S227">
        <f t="shared" si="19"/>
        <v>920.6232323232324</v>
      </c>
    </row>
    <row r="228" spans="1:19">
      <c r="A228" s="6" t="s">
        <v>22</v>
      </c>
      <c r="B228" s="6" t="s">
        <v>27</v>
      </c>
      <c r="C228" s="6">
        <v>360000</v>
      </c>
      <c r="D228" s="6">
        <v>2500</v>
      </c>
      <c r="E228" s="6">
        <v>2024</v>
      </c>
      <c r="F228" s="6">
        <v>5.4</v>
      </c>
      <c r="G228" s="6" t="s">
        <v>39</v>
      </c>
      <c r="H228" s="6" t="s">
        <v>19</v>
      </c>
      <c r="I228" s="6" t="s">
        <v>20</v>
      </c>
      <c r="J228" s="6" t="s">
        <v>29</v>
      </c>
      <c r="K228" s="20">
        <f>C228/D228</f>
        <v>144</v>
      </c>
      <c r="L228" s="11">
        <f>PMT(F228/100/12, 300, -(C228 *
(1 - G228/100)))</f>
        <v>1882.7702242958003</v>
      </c>
      <c r="M228" s="11">
        <f t="shared" si="15"/>
        <v>255231.06728874013</v>
      </c>
      <c r="N228" s="11">
        <f t="shared" si="16"/>
        <v>564831.06728874007</v>
      </c>
      <c r="O228">
        <f t="shared" si="17"/>
        <v>309600</v>
      </c>
      <c r="P228">
        <v>1000.6020833333333</v>
      </c>
      <c r="R228" t="str">
        <f t="shared" si="18"/>
        <v>2</v>
      </c>
      <c r="S228">
        <f t="shared" si="19"/>
        <v>1000.6231481481482</v>
      </c>
    </row>
    <row r="229" spans="1:19">
      <c r="A229" s="6" t="s">
        <v>22</v>
      </c>
      <c r="B229" s="6" t="s">
        <v>27</v>
      </c>
      <c r="C229" s="6">
        <v>368000</v>
      </c>
      <c r="D229" s="6">
        <v>2555</v>
      </c>
      <c r="E229" s="6">
        <v>2024</v>
      </c>
      <c r="F229" s="6">
        <v>5.4</v>
      </c>
      <c r="G229" s="6" t="s">
        <v>39</v>
      </c>
      <c r="H229" s="6" t="s">
        <v>19</v>
      </c>
      <c r="I229" s="6" t="s">
        <v>20</v>
      </c>
      <c r="J229" s="6" t="s">
        <v>29</v>
      </c>
      <c r="K229" s="20">
        <f>C229/D229</f>
        <v>144.03131115459882</v>
      </c>
      <c r="L229" s="11">
        <f>PMT(F229/100/12, 300, -(C229 *
(1 - G229/100)))</f>
        <v>1924.6095626134845</v>
      </c>
      <c r="M229" s="11">
        <f t="shared" si="15"/>
        <v>260902.86878404539</v>
      </c>
      <c r="N229" s="11">
        <f t="shared" si="16"/>
        <v>577382.86878404533</v>
      </c>
      <c r="O229">
        <f t="shared" si="17"/>
        <v>316480</v>
      </c>
      <c r="P229">
        <v>1022.6020828804348</v>
      </c>
      <c r="R229" t="str">
        <f t="shared" si="18"/>
        <v>2</v>
      </c>
      <c r="S229">
        <f t="shared" si="19"/>
        <v>1022.6231431159421</v>
      </c>
    </row>
    <row r="230" spans="1:19">
      <c r="A230" s="6" t="s">
        <v>32</v>
      </c>
      <c r="B230" s="6" t="s">
        <v>23</v>
      </c>
      <c r="C230" s="6">
        <v>340000</v>
      </c>
      <c r="D230" s="6">
        <v>2350</v>
      </c>
      <c r="E230" s="6">
        <v>2023</v>
      </c>
      <c r="F230" s="6">
        <v>6.4</v>
      </c>
      <c r="G230" s="6" t="s">
        <v>24</v>
      </c>
      <c r="H230" s="6" t="s">
        <v>19</v>
      </c>
      <c r="I230" s="6" t="s">
        <v>20</v>
      </c>
      <c r="J230" s="6" t="s">
        <v>21</v>
      </c>
      <c r="K230" s="20">
        <f>C230/D230</f>
        <v>144.68085106382978</v>
      </c>
      <c r="L230" s="11">
        <f>PMT(F230/100/12, 300, -(C230 *
(1 - G230/100)))</f>
        <v>2047.0539426567625</v>
      </c>
      <c r="M230" s="11">
        <f t="shared" si="15"/>
        <v>308116.18279702892</v>
      </c>
      <c r="N230" s="11">
        <f t="shared" si="16"/>
        <v>614116.18279702892</v>
      </c>
      <c r="O230">
        <f t="shared" si="17"/>
        <v>306000</v>
      </c>
      <c r="P230">
        <v>940.60207352941177</v>
      </c>
      <c r="R230" t="str">
        <f t="shared" si="18"/>
        <v>2</v>
      </c>
      <c r="S230">
        <f t="shared" si="19"/>
        <v>940.62303921568628</v>
      </c>
    </row>
    <row r="231" spans="1:19">
      <c r="A231" s="6" t="s">
        <v>22</v>
      </c>
      <c r="B231" s="6" t="s">
        <v>27</v>
      </c>
      <c r="C231" s="6">
        <v>355000</v>
      </c>
      <c r="D231" s="6">
        <v>2450</v>
      </c>
      <c r="E231" s="6">
        <v>2024</v>
      </c>
      <c r="F231" s="6">
        <v>5.4</v>
      </c>
      <c r="G231" s="6" t="s">
        <v>39</v>
      </c>
      <c r="H231" s="6" t="s">
        <v>19</v>
      </c>
      <c r="I231" s="6" t="s">
        <v>20</v>
      </c>
      <c r="J231" s="6" t="s">
        <v>29</v>
      </c>
      <c r="K231" s="20">
        <f>C231/D231</f>
        <v>144.89795918367346</v>
      </c>
      <c r="L231" s="11">
        <f>PMT(F231/100/12, 300, -(C231 *
(1 - G231/100)))</f>
        <v>1856.6206378472473</v>
      </c>
      <c r="M231" s="11">
        <f t="shared" si="15"/>
        <v>251686.19135417423</v>
      </c>
      <c r="N231" s="11">
        <f t="shared" si="16"/>
        <v>556986.19135417417</v>
      </c>
      <c r="O231">
        <f t="shared" si="17"/>
        <v>305300</v>
      </c>
      <c r="P231">
        <v>980.60207042253523</v>
      </c>
      <c r="R231" t="str">
        <f t="shared" si="18"/>
        <v>2</v>
      </c>
      <c r="S231">
        <f t="shared" si="19"/>
        <v>980.62300469483569</v>
      </c>
    </row>
    <row r="232" spans="1:19">
      <c r="A232" s="4" t="s">
        <v>30</v>
      </c>
      <c r="B232" s="4" t="s">
        <v>23</v>
      </c>
      <c r="C232" s="4">
        <v>320000</v>
      </c>
      <c r="D232" s="4">
        <v>2200</v>
      </c>
      <c r="E232" s="4">
        <v>2024</v>
      </c>
      <c r="F232" s="4">
        <v>5.4</v>
      </c>
      <c r="G232" s="4" t="s">
        <v>24</v>
      </c>
      <c r="H232" s="4" t="s">
        <v>19</v>
      </c>
      <c r="I232" s="4" t="s">
        <v>20</v>
      </c>
      <c r="J232" s="4" t="s">
        <v>21</v>
      </c>
      <c r="K232" s="20">
        <f>C232/D232</f>
        <v>145.45454545454547</v>
      </c>
      <c r="L232" s="11">
        <f>PMT(F232/100/12, 300, -(C232 *
(1 - G232/100)))</f>
        <v>1751.4141621356282</v>
      </c>
      <c r="M232" s="11">
        <f t="shared" si="15"/>
        <v>237424.24864068849</v>
      </c>
      <c r="N232" s="11">
        <f t="shared" si="16"/>
        <v>525424.24864068849</v>
      </c>
      <c r="O232">
        <f t="shared" si="17"/>
        <v>288000</v>
      </c>
      <c r="P232">
        <v>880.60206249999999</v>
      </c>
      <c r="R232" t="str">
        <f t="shared" si="18"/>
        <v>2</v>
      </c>
      <c r="S232">
        <f t="shared" si="19"/>
        <v>880.6229166666667</v>
      </c>
    </row>
    <row r="233" spans="1:19">
      <c r="A233" s="4" t="s">
        <v>30</v>
      </c>
      <c r="B233" s="4" t="s">
        <v>23</v>
      </c>
      <c r="C233" s="4">
        <v>335000</v>
      </c>
      <c r="D233" s="4">
        <v>2300</v>
      </c>
      <c r="E233" s="4">
        <v>2024</v>
      </c>
      <c r="F233" s="4">
        <v>5.4</v>
      </c>
      <c r="G233" s="4" t="s">
        <v>24</v>
      </c>
      <c r="H233" s="4" t="s">
        <v>19</v>
      </c>
      <c r="I233" s="4" t="s">
        <v>20</v>
      </c>
      <c r="J233" s="4" t="s">
        <v>21</v>
      </c>
      <c r="K233" s="20">
        <f>C233/D233</f>
        <v>145.65217391304347</v>
      </c>
      <c r="L233" s="11">
        <f>PMT(F233/100/12, 300, -(C233 *
(1 - G233/100)))</f>
        <v>1833.5117009857358</v>
      </c>
      <c r="M233" s="11">
        <f t="shared" si="15"/>
        <v>248553.51029572077</v>
      </c>
      <c r="N233" s="11">
        <f t="shared" si="16"/>
        <v>550053.51029572077</v>
      </c>
      <c r="O233">
        <f t="shared" si="17"/>
        <v>301500</v>
      </c>
      <c r="P233">
        <v>920.60205970149252</v>
      </c>
      <c r="R233" t="str">
        <f t="shared" si="18"/>
        <v>2</v>
      </c>
      <c r="S233">
        <f t="shared" si="19"/>
        <v>920.62288557213935</v>
      </c>
    </row>
    <row r="234" spans="1:19">
      <c r="A234" s="4" t="s">
        <v>30</v>
      </c>
      <c r="B234" s="4" t="s">
        <v>23</v>
      </c>
      <c r="C234" s="4">
        <v>300000</v>
      </c>
      <c r="D234" s="4">
        <v>2050</v>
      </c>
      <c r="E234" s="4">
        <v>2024</v>
      </c>
      <c r="F234" s="4">
        <v>5.4</v>
      </c>
      <c r="G234" s="4" t="s">
        <v>24</v>
      </c>
      <c r="H234" s="4" t="s">
        <v>19</v>
      </c>
      <c r="I234" s="4" t="s">
        <v>20</v>
      </c>
      <c r="J234" s="4" t="s">
        <v>21</v>
      </c>
      <c r="K234" s="20">
        <f>C234/D234</f>
        <v>146.34146341463415</v>
      </c>
      <c r="L234" s="11">
        <f>PMT(F234/100/12, 300, -(C234 *
(1 - G234/100)))</f>
        <v>1641.9507770021514</v>
      </c>
      <c r="M234" s="11">
        <f t="shared" si="15"/>
        <v>222585.23310064548</v>
      </c>
      <c r="N234" s="11">
        <f t="shared" si="16"/>
        <v>492585.23310064548</v>
      </c>
      <c r="O234">
        <f t="shared" si="17"/>
        <v>270000</v>
      </c>
      <c r="P234">
        <v>820.60205000000008</v>
      </c>
      <c r="R234" t="str">
        <f t="shared" si="18"/>
        <v>2</v>
      </c>
      <c r="S234">
        <f t="shared" si="19"/>
        <v>820.62277777777786</v>
      </c>
    </row>
    <row r="235" spans="1:19">
      <c r="A235" s="6" t="s">
        <v>30</v>
      </c>
      <c r="B235" s="6" t="s">
        <v>23</v>
      </c>
      <c r="C235" s="6">
        <v>290000</v>
      </c>
      <c r="D235" s="6">
        <v>1980</v>
      </c>
      <c r="E235" s="6">
        <v>2024</v>
      </c>
      <c r="F235" s="6">
        <v>5.4</v>
      </c>
      <c r="G235" s="6" t="s">
        <v>24</v>
      </c>
      <c r="H235" s="6" t="s">
        <v>19</v>
      </c>
      <c r="I235" s="6" t="s">
        <v>20</v>
      </c>
      <c r="J235" s="6" t="s">
        <v>21</v>
      </c>
      <c r="K235" s="20">
        <f>C235/D235</f>
        <v>146.46464646464648</v>
      </c>
      <c r="L235" s="11">
        <f>PMT(F235/100/12, 300, -(C235 *
(1 - G235/100)))</f>
        <v>1587.2190844354129</v>
      </c>
      <c r="M235" s="11">
        <f t="shared" si="15"/>
        <v>215165.72533062389</v>
      </c>
      <c r="N235" s="11">
        <f t="shared" si="16"/>
        <v>476165.72533062391</v>
      </c>
      <c r="O235">
        <f t="shared" si="17"/>
        <v>261000</v>
      </c>
      <c r="P235">
        <v>792.6020482758621</v>
      </c>
      <c r="R235" t="str">
        <f t="shared" si="18"/>
        <v>2</v>
      </c>
      <c r="S235">
        <f t="shared" si="19"/>
        <v>792.62275862068964</v>
      </c>
    </row>
    <row r="236" spans="1:19">
      <c r="A236" s="6" t="s">
        <v>30</v>
      </c>
      <c r="B236" s="6" t="s">
        <v>23</v>
      </c>
      <c r="C236" s="6">
        <v>305000</v>
      </c>
      <c r="D236" s="6">
        <v>2080</v>
      </c>
      <c r="E236" s="6">
        <v>2023</v>
      </c>
      <c r="F236" s="6">
        <v>6.6</v>
      </c>
      <c r="G236" s="6" t="s">
        <v>24</v>
      </c>
      <c r="H236" s="6" t="s">
        <v>19</v>
      </c>
      <c r="I236" s="6" t="s">
        <v>20</v>
      </c>
      <c r="J236" s="6" t="s">
        <v>21</v>
      </c>
      <c r="K236" s="20">
        <f>C236/D236</f>
        <v>146.63461538461539</v>
      </c>
      <c r="L236" s="11">
        <f>PMT(F236/100/12, 300, -(C236 *
(1 - G236/100)))</f>
        <v>1870.632678051991</v>
      </c>
      <c r="M236" s="11">
        <f t="shared" si="15"/>
        <v>286689.80341559718</v>
      </c>
      <c r="N236" s="11">
        <f t="shared" si="16"/>
        <v>561189.80341559718</v>
      </c>
      <c r="O236">
        <f t="shared" si="17"/>
        <v>274500</v>
      </c>
      <c r="P236">
        <v>832.60204590163937</v>
      </c>
      <c r="R236" t="str">
        <f t="shared" si="18"/>
        <v>2</v>
      </c>
      <c r="S236">
        <f t="shared" si="19"/>
        <v>832.62273224043713</v>
      </c>
    </row>
    <row r="237" spans="1:19">
      <c r="A237" s="6" t="s">
        <v>30</v>
      </c>
      <c r="B237" s="6" t="s">
        <v>23</v>
      </c>
      <c r="C237" s="6">
        <v>330000</v>
      </c>
      <c r="D237" s="6">
        <v>2250</v>
      </c>
      <c r="E237" s="6">
        <v>2023</v>
      </c>
      <c r="F237" s="6">
        <v>6.6</v>
      </c>
      <c r="G237" s="6" t="s">
        <v>24</v>
      </c>
      <c r="H237" s="6" t="s">
        <v>19</v>
      </c>
      <c r="I237" s="6" t="s">
        <v>20</v>
      </c>
      <c r="J237" s="6" t="s">
        <v>21</v>
      </c>
      <c r="K237" s="20">
        <f>C237/D237</f>
        <v>146.66666666666666</v>
      </c>
      <c r="L237" s="11">
        <f>PMT(F237/100/12, 300, -(C237 *
(1 - G237/100)))</f>
        <v>2023.9632254333019</v>
      </c>
      <c r="M237" s="11">
        <f t="shared" si="15"/>
        <v>310188.96762999042</v>
      </c>
      <c r="N237" s="11">
        <f t="shared" si="16"/>
        <v>607188.96762999042</v>
      </c>
      <c r="O237">
        <f t="shared" si="17"/>
        <v>297000</v>
      </c>
      <c r="P237">
        <v>900.60204545454553</v>
      </c>
      <c r="R237" t="str">
        <f t="shared" si="18"/>
        <v>2</v>
      </c>
      <c r="S237">
        <f t="shared" si="19"/>
        <v>900.62272727272727</v>
      </c>
    </row>
    <row r="238" spans="1:19">
      <c r="A238" s="4" t="s">
        <v>22</v>
      </c>
      <c r="B238" s="4" t="s">
        <v>27</v>
      </c>
      <c r="C238" s="4">
        <v>352000</v>
      </c>
      <c r="D238" s="4">
        <v>2400</v>
      </c>
      <c r="E238" s="4">
        <v>2024</v>
      </c>
      <c r="F238" s="4">
        <v>5.4</v>
      </c>
      <c r="G238" s="4" t="s">
        <v>39</v>
      </c>
      <c r="H238" s="4" t="s">
        <v>19</v>
      </c>
      <c r="I238" s="4" t="s">
        <v>20</v>
      </c>
      <c r="J238" s="4" t="s">
        <v>29</v>
      </c>
      <c r="K238" s="20">
        <f>C238/D238</f>
        <v>146.66666666666666</v>
      </c>
      <c r="L238" s="11">
        <f>PMT(F238/100/12, 300, -(C238 *
(1 - G238/100)))</f>
        <v>1840.9308859781156</v>
      </c>
      <c r="M238" s="11">
        <f t="shared" si="15"/>
        <v>249559.26579343475</v>
      </c>
      <c r="N238" s="11">
        <f t="shared" si="16"/>
        <v>552279.26579343481</v>
      </c>
      <c r="O238">
        <f t="shared" si="17"/>
        <v>302720</v>
      </c>
      <c r="P238">
        <v>960.60204545454553</v>
      </c>
      <c r="R238" t="str">
        <f t="shared" si="18"/>
        <v>2</v>
      </c>
      <c r="S238">
        <f t="shared" si="19"/>
        <v>960.62272727272727</v>
      </c>
    </row>
    <row r="239" spans="1:19">
      <c r="A239" s="4" t="s">
        <v>30</v>
      </c>
      <c r="B239" s="4" t="s">
        <v>23</v>
      </c>
      <c r="C239" s="4">
        <v>285000</v>
      </c>
      <c r="D239" s="4">
        <v>1940</v>
      </c>
      <c r="E239" s="4">
        <v>2023</v>
      </c>
      <c r="F239" s="4">
        <v>6.5</v>
      </c>
      <c r="G239" s="4" t="s">
        <v>24</v>
      </c>
      <c r="H239" s="4" t="s">
        <v>19</v>
      </c>
      <c r="I239" s="4" t="s">
        <v>20</v>
      </c>
      <c r="J239" s="4" t="s">
        <v>21</v>
      </c>
      <c r="K239" s="20">
        <f>C239/D239</f>
        <v>146.90721649484536</v>
      </c>
      <c r="L239" s="11">
        <f>PMT(F239/100/12, 300, -(C239 *
(1 - G239/100)))</f>
        <v>1731.9063688566957</v>
      </c>
      <c r="M239" s="11">
        <f t="shared" si="15"/>
        <v>263071.9106570087</v>
      </c>
      <c r="N239" s="11">
        <f t="shared" si="16"/>
        <v>519571.9106570087</v>
      </c>
      <c r="O239">
        <f t="shared" si="17"/>
        <v>256500</v>
      </c>
      <c r="P239">
        <v>776.60204210526319</v>
      </c>
      <c r="R239" t="str">
        <f t="shared" si="18"/>
        <v>2</v>
      </c>
      <c r="S239">
        <f t="shared" si="19"/>
        <v>776.62269005847952</v>
      </c>
    </row>
    <row r="240" spans="1:19">
      <c r="A240" s="6" t="s">
        <v>37</v>
      </c>
      <c r="B240" s="6" t="s">
        <v>23</v>
      </c>
      <c r="C240" s="6">
        <v>390000</v>
      </c>
      <c r="D240" s="6">
        <v>2650</v>
      </c>
      <c r="E240" s="6">
        <v>2024</v>
      </c>
      <c r="F240" s="6">
        <v>5.3</v>
      </c>
      <c r="G240" s="6" t="s">
        <v>24</v>
      </c>
      <c r="H240" s="6" t="s">
        <v>19</v>
      </c>
      <c r="I240" s="6" t="s">
        <v>20</v>
      </c>
      <c r="J240" s="6" t="s">
        <v>21</v>
      </c>
      <c r="K240" s="20">
        <f>C240/D240</f>
        <v>147.16981132075472</v>
      </c>
      <c r="L240" s="11">
        <f>PMT(F240/100/12, 300, -(C240 *
(1 - G240/100)))</f>
        <v>2113.7261988589553</v>
      </c>
      <c r="M240" s="11">
        <f t="shared" si="15"/>
        <v>283117.85965768655</v>
      </c>
      <c r="N240" s="11">
        <f t="shared" si="16"/>
        <v>634117.85965768655</v>
      </c>
      <c r="O240">
        <f t="shared" si="17"/>
        <v>351000</v>
      </c>
      <c r="P240">
        <v>1060.6020384615383</v>
      </c>
      <c r="R240" t="str">
        <f t="shared" si="18"/>
        <v>2</v>
      </c>
      <c r="S240">
        <f t="shared" si="19"/>
        <v>1060.6226495726494</v>
      </c>
    </row>
    <row r="241" spans="1:19">
      <c r="A241" s="4" t="s">
        <v>30</v>
      </c>
      <c r="B241" s="4" t="s">
        <v>23</v>
      </c>
      <c r="C241" s="4">
        <v>280000</v>
      </c>
      <c r="D241" s="4">
        <v>1900</v>
      </c>
      <c r="E241" s="4">
        <v>2024</v>
      </c>
      <c r="F241" s="4">
        <v>5.4</v>
      </c>
      <c r="G241" s="4" t="s">
        <v>24</v>
      </c>
      <c r="H241" s="4" t="s">
        <v>19</v>
      </c>
      <c r="I241" s="4" t="s">
        <v>20</v>
      </c>
      <c r="J241" s="4" t="s">
        <v>21</v>
      </c>
      <c r="K241" s="20">
        <f>C241/D241</f>
        <v>147.36842105263159</v>
      </c>
      <c r="L241" s="11">
        <f>PMT(F241/100/12, 300, -(C241 *
(1 - G241/100)))</f>
        <v>1532.4873918686746</v>
      </c>
      <c r="M241" s="11">
        <f t="shared" si="15"/>
        <v>207746.21756060244</v>
      </c>
      <c r="N241" s="11">
        <f t="shared" si="16"/>
        <v>459746.21756060247</v>
      </c>
      <c r="O241">
        <f t="shared" si="17"/>
        <v>252000</v>
      </c>
      <c r="P241">
        <v>760.60203571428576</v>
      </c>
      <c r="R241" t="str">
        <f t="shared" si="18"/>
        <v>2</v>
      </c>
      <c r="S241">
        <f t="shared" si="19"/>
        <v>760.62261904761908</v>
      </c>
    </row>
    <row r="242" spans="1:19">
      <c r="A242" s="6" t="s">
        <v>37</v>
      </c>
      <c r="B242" s="6" t="s">
        <v>23</v>
      </c>
      <c r="C242" s="6">
        <v>392000</v>
      </c>
      <c r="D242" s="6">
        <v>2660</v>
      </c>
      <c r="E242" s="6">
        <v>2024</v>
      </c>
      <c r="F242" s="6">
        <v>5.3</v>
      </c>
      <c r="G242" s="6" t="s">
        <v>24</v>
      </c>
      <c r="H242" s="6" t="s">
        <v>19</v>
      </c>
      <c r="I242" s="6" t="s">
        <v>20</v>
      </c>
      <c r="J242" s="6" t="s">
        <v>21</v>
      </c>
      <c r="K242" s="20">
        <f>C242/D242</f>
        <v>147.36842105263159</v>
      </c>
      <c r="L242" s="11">
        <f>PMT(F242/100/12, 300, -(C242 *
(1 - G242/100)))</f>
        <v>2124.565820391565</v>
      </c>
      <c r="M242" s="11">
        <f t="shared" si="15"/>
        <v>284569.74611746945</v>
      </c>
      <c r="N242" s="11">
        <f t="shared" si="16"/>
        <v>637369.74611746939</v>
      </c>
      <c r="O242">
        <f t="shared" si="17"/>
        <v>352800</v>
      </c>
      <c r="P242">
        <v>1064.6020357142856</v>
      </c>
      <c r="R242" t="str">
        <f t="shared" si="18"/>
        <v>2</v>
      </c>
      <c r="S242">
        <f t="shared" si="19"/>
        <v>1064.6226190476189</v>
      </c>
    </row>
    <row r="243" spans="1:19">
      <c r="A243" s="4" t="s">
        <v>32</v>
      </c>
      <c r="B243" s="4" t="s">
        <v>23</v>
      </c>
      <c r="C243" s="4">
        <v>295000</v>
      </c>
      <c r="D243" s="4">
        <v>2000</v>
      </c>
      <c r="E243" s="4">
        <v>2023</v>
      </c>
      <c r="F243" s="4">
        <v>6.4</v>
      </c>
      <c r="G243" s="4" t="s">
        <v>24</v>
      </c>
      <c r="H243" s="4" t="s">
        <v>19</v>
      </c>
      <c r="I243" s="4" t="s">
        <v>20</v>
      </c>
      <c r="J243" s="4" t="s">
        <v>21</v>
      </c>
      <c r="K243" s="20">
        <f>C243/D243</f>
        <v>147.5</v>
      </c>
      <c r="L243" s="11">
        <f>PMT(F243/100/12, 300, -(C243 *
(1 - G243/100)))</f>
        <v>1776.1203325992499</v>
      </c>
      <c r="M243" s="11">
        <f t="shared" si="15"/>
        <v>267336.09977977496</v>
      </c>
      <c r="N243" s="11">
        <f t="shared" si="16"/>
        <v>532836.0997797749</v>
      </c>
      <c r="O243">
        <f t="shared" si="17"/>
        <v>265500</v>
      </c>
      <c r="P243">
        <v>800.60203389830508</v>
      </c>
      <c r="R243" t="str">
        <f t="shared" si="18"/>
        <v>2</v>
      </c>
      <c r="S243">
        <f t="shared" si="19"/>
        <v>800.62259887005655</v>
      </c>
    </row>
    <row r="244" spans="1:19">
      <c r="A244" s="4" t="s">
        <v>30</v>
      </c>
      <c r="B244" s="4" t="s">
        <v>23</v>
      </c>
      <c r="C244" s="4">
        <v>295000</v>
      </c>
      <c r="D244" s="4">
        <v>2000</v>
      </c>
      <c r="E244" s="4">
        <v>2023</v>
      </c>
      <c r="F244" s="4">
        <v>6.6</v>
      </c>
      <c r="G244" s="4" t="s">
        <v>24</v>
      </c>
      <c r="H244" s="4" t="s">
        <v>19</v>
      </c>
      <c r="I244" s="4" t="s">
        <v>20</v>
      </c>
      <c r="J244" s="4" t="s">
        <v>21</v>
      </c>
      <c r="K244" s="20">
        <f>C244/D244</f>
        <v>147.5</v>
      </c>
      <c r="L244" s="11">
        <f>PMT(F244/100/12, 300, -(C244 *
(1 - G244/100)))</f>
        <v>1809.3004590994667</v>
      </c>
      <c r="M244" s="11">
        <f t="shared" si="15"/>
        <v>277290.13772983989</v>
      </c>
      <c r="N244" s="11">
        <f t="shared" si="16"/>
        <v>542790.13772983989</v>
      </c>
      <c r="O244">
        <f t="shared" si="17"/>
        <v>265500</v>
      </c>
      <c r="P244">
        <v>800.60203389830508</v>
      </c>
      <c r="R244" t="str">
        <f t="shared" si="18"/>
        <v>2</v>
      </c>
      <c r="S244">
        <f t="shared" si="19"/>
        <v>800.62259887005655</v>
      </c>
    </row>
    <row r="245" spans="1:19">
      <c r="A245" s="4" t="s">
        <v>32</v>
      </c>
      <c r="B245" s="4" t="s">
        <v>23</v>
      </c>
      <c r="C245" s="4">
        <v>310000</v>
      </c>
      <c r="D245" s="4">
        <v>2100</v>
      </c>
      <c r="E245" s="4">
        <v>2024</v>
      </c>
      <c r="F245" s="4">
        <v>5.5</v>
      </c>
      <c r="G245" s="4" t="s">
        <v>24</v>
      </c>
      <c r="H245" s="4" t="s">
        <v>19</v>
      </c>
      <c r="I245" s="4" t="s">
        <v>20</v>
      </c>
      <c r="J245" s="4" t="s">
        <v>21</v>
      </c>
      <c r="K245" s="20">
        <f>C245/D245</f>
        <v>147.61904761904762</v>
      </c>
      <c r="L245" s="11">
        <f>PMT(F245/100/12, 300, -(C245 *
(1 - G245/100)))</f>
        <v>1713.304103465302</v>
      </c>
      <c r="M245" s="11">
        <f t="shared" si="15"/>
        <v>234991.23103959055</v>
      </c>
      <c r="N245" s="11">
        <f t="shared" si="16"/>
        <v>513991.23103959055</v>
      </c>
      <c r="O245">
        <f t="shared" si="17"/>
        <v>279000</v>
      </c>
      <c r="P245">
        <v>840.60203225806458</v>
      </c>
      <c r="R245" t="str">
        <f t="shared" si="18"/>
        <v>2</v>
      </c>
      <c r="S245">
        <f t="shared" si="19"/>
        <v>840.62258064516129</v>
      </c>
    </row>
    <row r="246" spans="1:19">
      <c r="A246" s="4" t="s">
        <v>30</v>
      </c>
      <c r="B246" s="4" t="s">
        <v>23</v>
      </c>
      <c r="C246" s="4">
        <v>310000</v>
      </c>
      <c r="D246" s="4">
        <v>2100</v>
      </c>
      <c r="E246" s="4">
        <v>2024</v>
      </c>
      <c r="F246" s="4">
        <v>5.4</v>
      </c>
      <c r="G246" s="4" t="s">
        <v>24</v>
      </c>
      <c r="H246" s="4" t="s">
        <v>19</v>
      </c>
      <c r="I246" s="4" t="s">
        <v>20</v>
      </c>
      <c r="J246" s="4" t="s">
        <v>21</v>
      </c>
      <c r="K246" s="20">
        <f>C246/D246</f>
        <v>147.61904761904762</v>
      </c>
      <c r="L246" s="11">
        <f>PMT(F246/100/12, 300, -(C246 *
(1 - G246/100)))</f>
        <v>1696.6824695688897</v>
      </c>
      <c r="M246" s="11">
        <f t="shared" si="15"/>
        <v>230004.74087066698</v>
      </c>
      <c r="N246" s="11">
        <f t="shared" si="16"/>
        <v>509004.74087066698</v>
      </c>
      <c r="O246">
        <f t="shared" si="17"/>
        <v>279000</v>
      </c>
      <c r="P246">
        <v>840.60203225806458</v>
      </c>
      <c r="R246" t="str">
        <f t="shared" si="18"/>
        <v>2</v>
      </c>
      <c r="S246">
        <f t="shared" si="19"/>
        <v>840.62258064516129</v>
      </c>
    </row>
    <row r="247" spans="1:19">
      <c r="A247" s="4" t="s">
        <v>32</v>
      </c>
      <c r="B247" s="4" t="s">
        <v>23</v>
      </c>
      <c r="C247" s="4">
        <v>285000</v>
      </c>
      <c r="D247" s="4">
        <v>1930</v>
      </c>
      <c r="E247" s="4">
        <v>2023</v>
      </c>
      <c r="F247" s="4">
        <v>6.4</v>
      </c>
      <c r="G247" s="4" t="s">
        <v>24</v>
      </c>
      <c r="H247" s="4" t="s">
        <v>19</v>
      </c>
      <c r="I247" s="4" t="s">
        <v>20</v>
      </c>
      <c r="J247" s="4" t="s">
        <v>21</v>
      </c>
      <c r="K247" s="20">
        <f>C247/D247</f>
        <v>147.66839378238342</v>
      </c>
      <c r="L247" s="11">
        <f>PMT(F247/100/12, 300, -(C247 *
(1 - G247/100)))</f>
        <v>1715.9128636975804</v>
      </c>
      <c r="M247" s="11">
        <f t="shared" si="15"/>
        <v>258273.85910927417</v>
      </c>
      <c r="N247" s="11">
        <f t="shared" si="16"/>
        <v>514773.85910927417</v>
      </c>
      <c r="O247">
        <f t="shared" si="17"/>
        <v>256500</v>
      </c>
      <c r="P247">
        <v>772.60203157894739</v>
      </c>
      <c r="R247" t="str">
        <f t="shared" si="18"/>
        <v>2</v>
      </c>
      <c r="S247">
        <f t="shared" si="19"/>
        <v>772.62257309941526</v>
      </c>
    </row>
    <row r="248" spans="1:19">
      <c r="A248" s="6" t="s">
        <v>32</v>
      </c>
      <c r="B248" s="6" t="s">
        <v>23</v>
      </c>
      <c r="C248" s="6">
        <v>300000</v>
      </c>
      <c r="D248" s="6">
        <v>2030</v>
      </c>
      <c r="E248" s="6">
        <v>2024</v>
      </c>
      <c r="F248" s="6">
        <v>5.5</v>
      </c>
      <c r="G248" s="6" t="s">
        <v>24</v>
      </c>
      <c r="H248" s="6" t="s">
        <v>19</v>
      </c>
      <c r="I248" s="6" t="s">
        <v>20</v>
      </c>
      <c r="J248" s="6" t="s">
        <v>21</v>
      </c>
      <c r="K248" s="20">
        <f>C248/D248</f>
        <v>147.78325123152709</v>
      </c>
      <c r="L248" s="11">
        <f>PMT(F248/100/12, 300, -(C248 *
(1 - G248/100)))</f>
        <v>1658.0362291599697</v>
      </c>
      <c r="M248" s="11">
        <f t="shared" si="15"/>
        <v>227410.86874799087</v>
      </c>
      <c r="N248" s="11">
        <f t="shared" si="16"/>
        <v>497410.86874799087</v>
      </c>
      <c r="O248">
        <f t="shared" si="17"/>
        <v>270000</v>
      </c>
      <c r="P248">
        <v>812.60203000000001</v>
      </c>
      <c r="R248" t="str">
        <f t="shared" si="18"/>
        <v>2</v>
      </c>
      <c r="S248">
        <f t="shared" si="19"/>
        <v>812.62255555555555</v>
      </c>
    </row>
    <row r="249" spans="1:19">
      <c r="A249" s="4" t="s">
        <v>37</v>
      </c>
      <c r="B249" s="4" t="s">
        <v>23</v>
      </c>
      <c r="C249" s="4">
        <v>370000</v>
      </c>
      <c r="D249" s="4">
        <v>2500</v>
      </c>
      <c r="E249" s="4">
        <v>2024</v>
      </c>
      <c r="F249" s="4">
        <v>5.3</v>
      </c>
      <c r="G249" s="4" t="s">
        <v>24</v>
      </c>
      <c r="H249" s="4" t="s">
        <v>19</v>
      </c>
      <c r="I249" s="4" t="s">
        <v>20</v>
      </c>
      <c r="J249" s="4" t="s">
        <v>21</v>
      </c>
      <c r="K249" s="20">
        <f>C249/D249</f>
        <v>148</v>
      </c>
      <c r="L249" s="11">
        <f>PMT(F249/100/12, 300, -(C249 *
(1 - G249/100)))</f>
        <v>2005.3299835328546</v>
      </c>
      <c r="M249" s="11">
        <f t="shared" si="15"/>
        <v>268598.99505985627</v>
      </c>
      <c r="N249" s="11">
        <f t="shared" si="16"/>
        <v>601598.99505985621</v>
      </c>
      <c r="O249">
        <f t="shared" si="17"/>
        <v>333000</v>
      </c>
      <c r="P249">
        <v>1000.602027027027</v>
      </c>
      <c r="R249" t="str">
        <f t="shared" si="18"/>
        <v>2</v>
      </c>
      <c r="S249">
        <f t="shared" si="19"/>
        <v>1000.6225225225226</v>
      </c>
    </row>
    <row r="250" spans="1:19">
      <c r="A250" s="6" t="s">
        <v>37</v>
      </c>
      <c r="B250" s="6" t="s">
        <v>23</v>
      </c>
      <c r="C250" s="6">
        <v>385000</v>
      </c>
      <c r="D250" s="6">
        <v>2600</v>
      </c>
      <c r="E250" s="6">
        <v>2024</v>
      </c>
      <c r="F250" s="6">
        <v>5.3</v>
      </c>
      <c r="G250" s="6" t="s">
        <v>24</v>
      </c>
      <c r="H250" s="6" t="s">
        <v>19</v>
      </c>
      <c r="I250" s="6" t="s">
        <v>20</v>
      </c>
      <c r="J250" s="6" t="s">
        <v>21</v>
      </c>
      <c r="K250" s="20">
        <f>C250/D250</f>
        <v>148.07692307692307</v>
      </c>
      <c r="L250" s="11">
        <f>PMT(F250/100/12, 300, -(C250 *
(1 - G250/100)))</f>
        <v>2086.6271450274298</v>
      </c>
      <c r="M250" s="11">
        <f t="shared" si="15"/>
        <v>279488.14350822894</v>
      </c>
      <c r="N250" s="11">
        <f t="shared" si="16"/>
        <v>625988.14350822894</v>
      </c>
      <c r="O250">
        <f t="shared" si="17"/>
        <v>346500</v>
      </c>
      <c r="P250">
        <v>1040.602025974026</v>
      </c>
      <c r="R250" t="str">
        <f t="shared" si="18"/>
        <v>2</v>
      </c>
      <c r="S250">
        <f t="shared" si="19"/>
        <v>1040.6225108225108</v>
      </c>
    </row>
    <row r="251" spans="1:19">
      <c r="A251" s="4" t="s">
        <v>32</v>
      </c>
      <c r="B251" s="4" t="s">
        <v>23</v>
      </c>
      <c r="C251" s="4">
        <v>292000</v>
      </c>
      <c r="D251" s="4">
        <v>1970</v>
      </c>
      <c r="E251" s="4">
        <v>2023</v>
      </c>
      <c r="F251" s="4">
        <v>6.4</v>
      </c>
      <c r="G251" s="4" t="s">
        <v>24</v>
      </c>
      <c r="H251" s="4" t="s">
        <v>19</v>
      </c>
      <c r="I251" s="4" t="s">
        <v>20</v>
      </c>
      <c r="J251" s="4" t="s">
        <v>21</v>
      </c>
      <c r="K251" s="20">
        <f>C251/D251</f>
        <v>148.2233502538071</v>
      </c>
      <c r="L251" s="11">
        <f>PMT(F251/100/12, 300, -(C251 *
(1 - G251/100)))</f>
        <v>1758.058091928749</v>
      </c>
      <c r="M251" s="11">
        <f t="shared" si="15"/>
        <v>264617.4275786248</v>
      </c>
      <c r="N251" s="11">
        <f t="shared" si="16"/>
        <v>527417.4275786248</v>
      </c>
      <c r="O251">
        <f t="shared" si="17"/>
        <v>262800</v>
      </c>
      <c r="P251">
        <v>788.60202397260275</v>
      </c>
      <c r="R251" t="str">
        <f t="shared" si="18"/>
        <v>2</v>
      </c>
      <c r="S251">
        <f t="shared" si="19"/>
        <v>788.62248858447492</v>
      </c>
    </row>
    <row r="252" spans="1:19">
      <c r="A252" s="6" t="s">
        <v>32</v>
      </c>
      <c r="B252" s="6" t="s">
        <v>23</v>
      </c>
      <c r="C252" s="6">
        <v>315000</v>
      </c>
      <c r="D252" s="6">
        <v>2120</v>
      </c>
      <c r="E252" s="6">
        <v>2023</v>
      </c>
      <c r="F252" s="6">
        <v>6.4</v>
      </c>
      <c r="G252" s="6" t="s">
        <v>24</v>
      </c>
      <c r="H252" s="6" t="s">
        <v>19</v>
      </c>
      <c r="I252" s="6" t="s">
        <v>20</v>
      </c>
      <c r="J252" s="6" t="s">
        <v>21</v>
      </c>
      <c r="K252" s="20">
        <f>C252/D252</f>
        <v>148.58490566037736</v>
      </c>
      <c r="L252" s="11">
        <f>PMT(F252/100/12, 300, -(C252 *
(1 - G252/100)))</f>
        <v>1896.5352704025888</v>
      </c>
      <c r="M252" s="11">
        <f t="shared" si="15"/>
        <v>285460.58112077671</v>
      </c>
      <c r="N252" s="11">
        <f t="shared" si="16"/>
        <v>568960.58112077671</v>
      </c>
      <c r="O252">
        <f t="shared" si="17"/>
        <v>283500</v>
      </c>
      <c r="P252">
        <v>848.60201904761902</v>
      </c>
      <c r="R252" t="str">
        <f t="shared" si="18"/>
        <v>2</v>
      </c>
      <c r="S252">
        <f t="shared" si="19"/>
        <v>848.62243386243392</v>
      </c>
    </row>
    <row r="253" spans="1:19">
      <c r="A253" s="4" t="s">
        <v>32</v>
      </c>
      <c r="B253" s="4" t="s">
        <v>23</v>
      </c>
      <c r="C253" s="4">
        <v>305000</v>
      </c>
      <c r="D253" s="4">
        <v>2050</v>
      </c>
      <c r="E253" s="4">
        <v>2023</v>
      </c>
      <c r="F253" s="4">
        <v>6.4</v>
      </c>
      <c r="G253" s="4" t="s">
        <v>24</v>
      </c>
      <c r="H253" s="4" t="s">
        <v>19</v>
      </c>
      <c r="I253" s="4" t="s">
        <v>20</v>
      </c>
      <c r="J253" s="4" t="s">
        <v>21</v>
      </c>
      <c r="K253" s="20">
        <f>C253/D253</f>
        <v>148.78048780487805</v>
      </c>
      <c r="L253" s="11">
        <f>PMT(F253/100/12, 300, -(C253 *
(1 - G253/100)))</f>
        <v>1836.3278015009191</v>
      </c>
      <c r="M253" s="11">
        <f t="shared" si="15"/>
        <v>276398.34045027598</v>
      </c>
      <c r="N253" s="11">
        <f t="shared" si="16"/>
        <v>550898.34045027592</v>
      </c>
      <c r="O253">
        <f t="shared" si="17"/>
        <v>274500</v>
      </c>
      <c r="P253">
        <v>820.60201639344268</v>
      </c>
      <c r="R253" t="str">
        <f t="shared" si="18"/>
        <v>2</v>
      </c>
      <c r="S253">
        <f t="shared" si="19"/>
        <v>820.62240437158471</v>
      </c>
    </row>
    <row r="254" spans="1:19">
      <c r="A254" s="4" t="s">
        <v>22</v>
      </c>
      <c r="B254" s="4" t="s">
        <v>27</v>
      </c>
      <c r="C254" s="4">
        <v>350000</v>
      </c>
      <c r="D254" s="4">
        <v>2350</v>
      </c>
      <c r="E254" s="4">
        <v>2024</v>
      </c>
      <c r="F254" s="4">
        <v>5.4</v>
      </c>
      <c r="G254" s="4" t="s">
        <v>39</v>
      </c>
      <c r="H254" s="4" t="s">
        <v>19</v>
      </c>
      <c r="I254" s="4" t="s">
        <v>20</v>
      </c>
      <c r="J254" s="4" t="s">
        <v>29</v>
      </c>
      <c r="K254" s="20">
        <f>C254/D254</f>
        <v>148.93617021276594</v>
      </c>
      <c r="L254" s="11">
        <f>PMT(F254/100/12, 300, -(C254 *
(1 - G254/100)))</f>
        <v>1830.4710513986947</v>
      </c>
      <c r="M254" s="11">
        <f t="shared" si="15"/>
        <v>248141.31541960838</v>
      </c>
      <c r="N254" s="11">
        <f t="shared" si="16"/>
        <v>549141.31541960838</v>
      </c>
      <c r="O254">
        <f t="shared" si="17"/>
        <v>301000</v>
      </c>
      <c r="P254">
        <v>940.60201428571429</v>
      </c>
      <c r="R254" t="str">
        <f t="shared" si="18"/>
        <v>2</v>
      </c>
      <c r="S254">
        <f t="shared" si="19"/>
        <v>940.62238095238092</v>
      </c>
    </row>
    <row r="255" spans="1:19">
      <c r="A255" s="6" t="s">
        <v>37</v>
      </c>
      <c r="B255" s="6" t="s">
        <v>23</v>
      </c>
      <c r="C255" s="6">
        <v>380000</v>
      </c>
      <c r="D255" s="6">
        <v>2550</v>
      </c>
      <c r="E255" s="6">
        <v>2024</v>
      </c>
      <c r="F255" s="6">
        <v>5.3</v>
      </c>
      <c r="G255" s="6" t="s">
        <v>24</v>
      </c>
      <c r="H255" s="6" t="s">
        <v>19</v>
      </c>
      <c r="I255" s="6" t="s">
        <v>20</v>
      </c>
      <c r="J255" s="6" t="s">
        <v>21</v>
      </c>
      <c r="K255" s="20">
        <f>C255/D255</f>
        <v>149.01960784313727</v>
      </c>
      <c r="L255" s="11">
        <f>PMT(F255/100/12, 300, -(C255 *
(1 - G255/100)))</f>
        <v>2059.5280911959048</v>
      </c>
      <c r="M255" s="11">
        <f t="shared" si="15"/>
        <v>275858.42735877144</v>
      </c>
      <c r="N255" s="11">
        <f t="shared" si="16"/>
        <v>617858.42735877144</v>
      </c>
      <c r="O255">
        <f t="shared" si="17"/>
        <v>342000</v>
      </c>
      <c r="P255">
        <v>1020.6020131578947</v>
      </c>
      <c r="R255" t="str">
        <f t="shared" si="18"/>
        <v>2</v>
      </c>
      <c r="S255">
        <f t="shared" si="19"/>
        <v>1020.6223684210527</v>
      </c>
    </row>
    <row r="256" spans="1:19">
      <c r="A256" s="4" t="s">
        <v>30</v>
      </c>
      <c r="B256" s="4" t="s">
        <v>23</v>
      </c>
      <c r="C256" s="4">
        <v>278000</v>
      </c>
      <c r="D256" s="4">
        <v>1860</v>
      </c>
      <c r="E256" s="4">
        <v>2024</v>
      </c>
      <c r="F256" s="4">
        <v>5.6</v>
      </c>
      <c r="G256" s="4" t="s">
        <v>24</v>
      </c>
      <c r="H256" s="4" t="s">
        <v>19</v>
      </c>
      <c r="I256" s="4" t="s">
        <v>20</v>
      </c>
      <c r="J256" s="4" t="s">
        <v>21</v>
      </c>
      <c r="K256" s="20">
        <f>C256/D256</f>
        <v>149.46236559139786</v>
      </c>
      <c r="L256" s="11">
        <f>PMT(F256/100/12, 300, -(C256 *
(1 - G256/100)))</f>
        <v>1551.4244706212367</v>
      </c>
      <c r="M256" s="11">
        <f t="shared" si="15"/>
        <v>215227.34118637102</v>
      </c>
      <c r="N256" s="11">
        <f t="shared" si="16"/>
        <v>465427.34118637105</v>
      </c>
      <c r="O256">
        <f t="shared" si="17"/>
        <v>250200</v>
      </c>
      <c r="P256">
        <v>744.60200719424461</v>
      </c>
      <c r="R256" t="str">
        <f t="shared" si="18"/>
        <v>2</v>
      </c>
      <c r="S256">
        <f t="shared" si="19"/>
        <v>744.62230215827344</v>
      </c>
    </row>
    <row r="257" spans="1:19">
      <c r="A257" s="4" t="s">
        <v>32</v>
      </c>
      <c r="B257" s="4" t="s">
        <v>23</v>
      </c>
      <c r="C257" s="4">
        <v>320000</v>
      </c>
      <c r="D257" s="4">
        <v>2140</v>
      </c>
      <c r="E257" s="4">
        <v>2024</v>
      </c>
      <c r="F257" s="4">
        <v>5.5</v>
      </c>
      <c r="G257" s="4" t="s">
        <v>24</v>
      </c>
      <c r="H257" s="4" t="s">
        <v>19</v>
      </c>
      <c r="I257" s="4" t="s">
        <v>20</v>
      </c>
      <c r="J257" s="4" t="s">
        <v>21</v>
      </c>
      <c r="K257" s="20">
        <f>C257/D257</f>
        <v>149.53271028037383</v>
      </c>
      <c r="L257" s="11">
        <f>PMT(F257/100/12, 300, -(C257 *
(1 - G257/100)))</f>
        <v>1768.5719777706342</v>
      </c>
      <c r="M257" s="11">
        <f t="shared" si="15"/>
        <v>242571.59333119029</v>
      </c>
      <c r="N257" s="11">
        <f t="shared" si="16"/>
        <v>530571.59333119029</v>
      </c>
      <c r="O257">
        <f t="shared" si="17"/>
        <v>288000</v>
      </c>
      <c r="P257">
        <v>856.60200625000004</v>
      </c>
      <c r="R257" t="str">
        <f t="shared" si="18"/>
        <v>2</v>
      </c>
      <c r="S257">
        <f t="shared" si="19"/>
        <v>856.62229166666668</v>
      </c>
    </row>
    <row r="258" spans="1:19">
      <c r="A258" s="4" t="s">
        <v>32</v>
      </c>
      <c r="B258" s="4" t="s">
        <v>23</v>
      </c>
      <c r="C258" s="4">
        <v>300000</v>
      </c>
      <c r="D258" s="4">
        <v>2000</v>
      </c>
      <c r="E258" s="4">
        <v>2023</v>
      </c>
      <c r="F258" s="4">
        <v>6.4</v>
      </c>
      <c r="G258" s="4" t="s">
        <v>24</v>
      </c>
      <c r="H258" s="4" t="s">
        <v>19</v>
      </c>
      <c r="I258" s="4" t="s">
        <v>20</v>
      </c>
      <c r="J258" s="4" t="s">
        <v>21</v>
      </c>
      <c r="K258" s="20">
        <f>C258/D258</f>
        <v>150</v>
      </c>
      <c r="L258" s="11">
        <f>PMT(F258/100/12, 300, -(C258 *
(1 - G258/100)))</f>
        <v>1806.2240670500846</v>
      </c>
      <c r="M258" s="11">
        <f t="shared" si="15"/>
        <v>271867.22011502553</v>
      </c>
      <c r="N258" s="11">
        <f t="shared" si="16"/>
        <v>541867.22011502553</v>
      </c>
      <c r="O258">
        <f t="shared" si="17"/>
        <v>270000</v>
      </c>
      <c r="P258">
        <v>800.60199999999998</v>
      </c>
      <c r="R258" t="str">
        <f t="shared" si="18"/>
        <v>2</v>
      </c>
      <c r="S258">
        <f t="shared" si="19"/>
        <v>800.62222222222226</v>
      </c>
    </row>
    <row r="259" spans="1:19">
      <c r="A259" s="6" t="s">
        <v>10</v>
      </c>
      <c r="B259" s="6" t="s">
        <v>17</v>
      </c>
      <c r="C259" s="6">
        <v>510000</v>
      </c>
      <c r="D259" s="6">
        <v>3400</v>
      </c>
      <c r="E259" s="6">
        <v>2024</v>
      </c>
      <c r="F259" s="6">
        <v>5</v>
      </c>
      <c r="G259" s="6" t="s">
        <v>18</v>
      </c>
      <c r="H259" s="6" t="s">
        <v>19</v>
      </c>
      <c r="I259" s="6" t="s">
        <v>20</v>
      </c>
      <c r="J259" s="6" t="s">
        <v>21</v>
      </c>
      <c r="K259" s="20">
        <f>C259/D259</f>
        <v>150</v>
      </c>
      <c r="L259" s="11">
        <f>PMT(F259/100/12, 300, -(C259 *
(1 - G259/100)))</f>
        <v>2623.6401062878099</v>
      </c>
      <c r="M259" s="11">
        <f t="shared" ref="M259:M322" si="20">-CUMIPMT(F259/1200,300,O259,1,300,0)</f>
        <v>338292.03188634297</v>
      </c>
      <c r="N259" s="11">
        <f t="shared" ref="N259:N322" si="21">O259+M259</f>
        <v>787092.03188634291</v>
      </c>
      <c r="O259">
        <f t="shared" ref="O259:O322" si="22">C259*(1-G259/100)</f>
        <v>448800</v>
      </c>
      <c r="P259">
        <v>1360.6019999999999</v>
      </c>
      <c r="R259" t="str">
        <f t="shared" ref="R259:R322" si="23">IF(H259="A","4",IF(H259="B","3",IF(H259="C","2",IF(H259="D","1",0))))</f>
        <v>2</v>
      </c>
      <c r="S259">
        <f t="shared" ref="S259:S322" si="24">D259*0.4 +R259*0.3 +(1/(K259*0.3))</f>
        <v>1360.622222222222</v>
      </c>
    </row>
    <row r="260" spans="1:19">
      <c r="A260" s="4" t="s">
        <v>37</v>
      </c>
      <c r="B260" s="4" t="s">
        <v>23</v>
      </c>
      <c r="C260" s="4">
        <v>368000</v>
      </c>
      <c r="D260" s="4">
        <v>2450</v>
      </c>
      <c r="E260" s="4">
        <v>2024</v>
      </c>
      <c r="F260" s="4">
        <v>5.3</v>
      </c>
      <c r="G260" s="4" t="s">
        <v>24</v>
      </c>
      <c r="H260" s="4" t="s">
        <v>19</v>
      </c>
      <c r="I260" s="4" t="s">
        <v>20</v>
      </c>
      <c r="J260" s="4" t="s">
        <v>21</v>
      </c>
      <c r="K260" s="20">
        <f>C260/D260</f>
        <v>150.20408163265307</v>
      </c>
      <c r="L260" s="11">
        <f>PMT(F260/100/12, 300, -(C260 *
(1 - G260/100)))</f>
        <v>1994.4903620002449</v>
      </c>
      <c r="M260" s="11">
        <f t="shared" si="20"/>
        <v>267147.10860007349</v>
      </c>
      <c r="N260" s="11">
        <f t="shared" si="21"/>
        <v>598347.10860007349</v>
      </c>
      <c r="O260">
        <f t="shared" si="22"/>
        <v>331200</v>
      </c>
      <c r="P260">
        <v>980.60199728260875</v>
      </c>
      <c r="R260" t="str">
        <f t="shared" si="23"/>
        <v>2</v>
      </c>
      <c r="S260">
        <f t="shared" si="24"/>
        <v>980.62219202898552</v>
      </c>
    </row>
    <row r="261" spans="1:19">
      <c r="A261" s="6" t="s">
        <v>10</v>
      </c>
      <c r="B261" s="6" t="s">
        <v>17</v>
      </c>
      <c r="C261" s="6">
        <v>505000</v>
      </c>
      <c r="D261" s="6">
        <v>3350</v>
      </c>
      <c r="E261" s="6">
        <v>2024</v>
      </c>
      <c r="F261" s="6">
        <v>5</v>
      </c>
      <c r="G261" s="6" t="s">
        <v>18</v>
      </c>
      <c r="H261" s="6" t="s">
        <v>19</v>
      </c>
      <c r="I261" s="6" t="s">
        <v>20</v>
      </c>
      <c r="J261" s="6" t="s">
        <v>21</v>
      </c>
      <c r="K261" s="20">
        <f>C261/D261</f>
        <v>150.74626865671641</v>
      </c>
      <c r="L261" s="11">
        <f>PMT(F261/100/12, 300, -(C261 *
(1 - G261/100)))</f>
        <v>2597.9181444614592</v>
      </c>
      <c r="M261" s="11">
        <f t="shared" si="20"/>
        <v>334975.4433384377</v>
      </c>
      <c r="N261" s="11">
        <f t="shared" si="21"/>
        <v>779375.4433384377</v>
      </c>
      <c r="O261">
        <f t="shared" si="22"/>
        <v>444400</v>
      </c>
      <c r="P261">
        <v>1340.6019900990098</v>
      </c>
      <c r="R261" t="str">
        <f t="shared" si="23"/>
        <v>2</v>
      </c>
      <c r="S261">
        <f t="shared" si="24"/>
        <v>1340.6221122112211</v>
      </c>
    </row>
    <row r="262" spans="1:19">
      <c r="A262" s="6" t="s">
        <v>32</v>
      </c>
      <c r="B262" s="6" t="s">
        <v>23</v>
      </c>
      <c r="C262" s="6">
        <v>284000</v>
      </c>
      <c r="D262" s="6">
        <v>1880</v>
      </c>
      <c r="E262" s="6">
        <v>2024</v>
      </c>
      <c r="F262" s="6">
        <v>5.5</v>
      </c>
      <c r="G262" s="6" t="s">
        <v>24</v>
      </c>
      <c r="H262" s="6" t="s">
        <v>19</v>
      </c>
      <c r="I262" s="6" t="s">
        <v>20</v>
      </c>
      <c r="J262" s="6" t="s">
        <v>21</v>
      </c>
      <c r="K262" s="20">
        <f>C262/D262</f>
        <v>151.06382978723406</v>
      </c>
      <c r="L262" s="11">
        <f>PMT(F262/100/12, 300, -(C262 *
(1 - G262/100)))</f>
        <v>1569.607630271438</v>
      </c>
      <c r="M262" s="11">
        <f t="shared" si="20"/>
        <v>215282.28908143137</v>
      </c>
      <c r="N262" s="11">
        <f t="shared" si="21"/>
        <v>470882.28908143134</v>
      </c>
      <c r="O262">
        <f t="shared" si="22"/>
        <v>255600</v>
      </c>
      <c r="P262">
        <v>752.60198591549295</v>
      </c>
      <c r="R262" t="str">
        <f t="shared" si="23"/>
        <v>2</v>
      </c>
      <c r="S262">
        <f t="shared" si="24"/>
        <v>752.62206572769958</v>
      </c>
    </row>
    <row r="263" spans="1:19">
      <c r="A263" s="6" t="s">
        <v>10</v>
      </c>
      <c r="B263" s="6" t="s">
        <v>17</v>
      </c>
      <c r="C263" s="6">
        <v>515000</v>
      </c>
      <c r="D263" s="6">
        <v>3405</v>
      </c>
      <c r="E263" s="6">
        <v>2024</v>
      </c>
      <c r="F263" s="6">
        <v>5</v>
      </c>
      <c r="G263" s="6" t="s">
        <v>18</v>
      </c>
      <c r="H263" s="6" t="s">
        <v>19</v>
      </c>
      <c r="I263" s="6" t="s">
        <v>20</v>
      </c>
      <c r="J263" s="6" t="s">
        <v>21</v>
      </c>
      <c r="K263" s="20">
        <f>C263/D263</f>
        <v>151.24816446402349</v>
      </c>
      <c r="L263" s="11">
        <f>PMT(F263/100/12, 300, -(C263 *
(1 - G263/100)))</f>
        <v>2649.3620681141615</v>
      </c>
      <c r="M263" s="11">
        <f t="shared" si="20"/>
        <v>341608.62043424841</v>
      </c>
      <c r="N263" s="11">
        <f t="shared" si="21"/>
        <v>794808.62043424835</v>
      </c>
      <c r="O263">
        <f t="shared" si="22"/>
        <v>453200</v>
      </c>
      <c r="P263">
        <v>1362.6019834951455</v>
      </c>
      <c r="R263" t="str">
        <f t="shared" si="23"/>
        <v>2</v>
      </c>
      <c r="S263">
        <f t="shared" si="24"/>
        <v>1362.6220388349514</v>
      </c>
    </row>
    <row r="264" spans="1:19">
      <c r="A264" s="4" t="s">
        <v>22</v>
      </c>
      <c r="B264" s="4" t="s">
        <v>27</v>
      </c>
      <c r="C264" s="4">
        <v>348000</v>
      </c>
      <c r="D264" s="4">
        <v>2300</v>
      </c>
      <c r="E264" s="4">
        <v>2024</v>
      </c>
      <c r="F264" s="4">
        <v>5.4</v>
      </c>
      <c r="G264" s="4" t="s">
        <v>39</v>
      </c>
      <c r="H264" s="4" t="s">
        <v>19</v>
      </c>
      <c r="I264" s="4" t="s">
        <v>20</v>
      </c>
      <c r="J264" s="4" t="s">
        <v>29</v>
      </c>
      <c r="K264" s="20">
        <f>C264/D264</f>
        <v>151.30434782608697</v>
      </c>
      <c r="L264" s="11">
        <f>PMT(F264/100/12, 300, -(C264 *
(1 - G264/100)))</f>
        <v>1820.0112168192736</v>
      </c>
      <c r="M264" s="11">
        <f t="shared" si="20"/>
        <v>246723.36504578212</v>
      </c>
      <c r="N264" s="11">
        <f t="shared" si="21"/>
        <v>546003.36504578218</v>
      </c>
      <c r="O264">
        <f t="shared" si="22"/>
        <v>299280</v>
      </c>
      <c r="P264">
        <v>920.60198275862069</v>
      </c>
      <c r="R264" t="str">
        <f t="shared" si="23"/>
        <v>2</v>
      </c>
      <c r="S264">
        <f t="shared" si="24"/>
        <v>920.62203065134099</v>
      </c>
    </row>
    <row r="265" spans="1:19">
      <c r="A265" s="6" t="s">
        <v>30</v>
      </c>
      <c r="B265" s="6" t="s">
        <v>23</v>
      </c>
      <c r="C265" s="6">
        <v>300000</v>
      </c>
      <c r="D265" s="6">
        <v>1980</v>
      </c>
      <c r="E265" s="6">
        <v>2024</v>
      </c>
      <c r="F265" s="6">
        <v>5.4</v>
      </c>
      <c r="G265" s="6" t="s">
        <v>24</v>
      </c>
      <c r="H265" s="6" t="s">
        <v>19</v>
      </c>
      <c r="I265" s="6" t="s">
        <v>20</v>
      </c>
      <c r="J265" s="6" t="s">
        <v>21</v>
      </c>
      <c r="K265" s="20">
        <f>C265/D265</f>
        <v>151.5151515151515</v>
      </c>
      <c r="L265" s="11">
        <f>PMT(F265/100/12, 300, -(C265 *
(1 - G265/100)))</f>
        <v>1641.9507770021514</v>
      </c>
      <c r="M265" s="11">
        <f t="shared" si="20"/>
        <v>222585.23310064548</v>
      </c>
      <c r="N265" s="11">
        <f t="shared" si="21"/>
        <v>492585.23310064548</v>
      </c>
      <c r="O265">
        <f t="shared" si="22"/>
        <v>270000</v>
      </c>
      <c r="P265">
        <v>792.60198000000003</v>
      </c>
      <c r="R265" t="str">
        <f t="shared" si="23"/>
        <v>2</v>
      </c>
      <c r="S265">
        <f t="shared" si="24"/>
        <v>792.62200000000007</v>
      </c>
    </row>
    <row r="266" spans="1:19">
      <c r="A266" s="6" t="s">
        <v>10</v>
      </c>
      <c r="B266" s="6" t="s">
        <v>17</v>
      </c>
      <c r="C266" s="6">
        <v>500000</v>
      </c>
      <c r="D266" s="6">
        <v>3300</v>
      </c>
      <c r="E266" s="6">
        <v>2024</v>
      </c>
      <c r="F266" s="6">
        <v>5</v>
      </c>
      <c r="G266" s="6" t="s">
        <v>18</v>
      </c>
      <c r="H266" s="6" t="s">
        <v>19</v>
      </c>
      <c r="I266" s="6" t="s">
        <v>20</v>
      </c>
      <c r="J266" s="6" t="s">
        <v>21</v>
      </c>
      <c r="K266" s="20">
        <f>C266/D266</f>
        <v>151.5151515151515</v>
      </c>
      <c r="L266" s="11">
        <f>PMT(F266/100/12, 300, -(C266 *
(1 - G266/100)))</f>
        <v>2572.196182635108</v>
      </c>
      <c r="M266" s="11">
        <f t="shared" si="20"/>
        <v>331658.85479053244</v>
      </c>
      <c r="N266" s="11">
        <f t="shared" si="21"/>
        <v>771658.8547905325</v>
      </c>
      <c r="O266">
        <f t="shared" si="22"/>
        <v>440000</v>
      </c>
      <c r="P266">
        <v>1320.6019799999999</v>
      </c>
      <c r="R266" t="str">
        <f t="shared" si="23"/>
        <v>2</v>
      </c>
      <c r="S266">
        <f t="shared" si="24"/>
        <v>1320.6219999999998</v>
      </c>
    </row>
    <row r="267" spans="1:19">
      <c r="A267" s="6" t="s">
        <v>30</v>
      </c>
      <c r="B267" s="6" t="s">
        <v>23</v>
      </c>
      <c r="C267" s="6">
        <v>272000</v>
      </c>
      <c r="D267" s="6">
        <v>1790</v>
      </c>
      <c r="E267" s="6">
        <v>2023</v>
      </c>
      <c r="F267" s="6">
        <v>6.5</v>
      </c>
      <c r="G267" s="6" t="s">
        <v>24</v>
      </c>
      <c r="H267" s="6" t="s">
        <v>19</v>
      </c>
      <c r="I267" s="6" t="s">
        <v>20</v>
      </c>
      <c r="J267" s="6" t="s">
        <v>21</v>
      </c>
      <c r="K267" s="20">
        <f>C267/D267</f>
        <v>151.95530726256985</v>
      </c>
      <c r="L267" s="11">
        <f>PMT(F267/100/12, 300, -(C267 *
(1 - G267/100)))</f>
        <v>1652.907130979022</v>
      </c>
      <c r="M267" s="11">
        <f t="shared" si="20"/>
        <v>251072.13929370657</v>
      </c>
      <c r="N267" s="11">
        <f t="shared" si="21"/>
        <v>495872.13929370657</v>
      </c>
      <c r="O267">
        <f t="shared" si="22"/>
        <v>244800</v>
      </c>
      <c r="P267">
        <v>716.60197426470586</v>
      </c>
      <c r="R267" t="str">
        <f t="shared" si="23"/>
        <v>2</v>
      </c>
      <c r="S267">
        <f t="shared" si="24"/>
        <v>716.62193627450984</v>
      </c>
    </row>
    <row r="268" spans="1:19">
      <c r="A268" s="4" t="s">
        <v>30</v>
      </c>
      <c r="B268" s="4" t="s">
        <v>23</v>
      </c>
      <c r="C268" s="4">
        <v>295000</v>
      </c>
      <c r="D268" s="4">
        <v>1940</v>
      </c>
      <c r="E268" s="4">
        <v>2023</v>
      </c>
      <c r="F268" s="4">
        <v>6.5</v>
      </c>
      <c r="G268" s="4" t="s">
        <v>24</v>
      </c>
      <c r="H268" s="4" t="s">
        <v>19</v>
      </c>
      <c r="I268" s="4" t="s">
        <v>20</v>
      </c>
      <c r="J268" s="4" t="s">
        <v>21</v>
      </c>
      <c r="K268" s="20">
        <f>C268/D268</f>
        <v>152.06185567010309</v>
      </c>
      <c r="L268" s="11">
        <f>PMT(F268/100/12, 300, -(C268 *
(1 - G268/100)))</f>
        <v>1792.6750133779833</v>
      </c>
      <c r="M268" s="11">
        <f t="shared" si="20"/>
        <v>272302.50401339494</v>
      </c>
      <c r="N268" s="11">
        <f t="shared" si="21"/>
        <v>537802.50401339494</v>
      </c>
      <c r="O268">
        <f t="shared" si="22"/>
        <v>265500</v>
      </c>
      <c r="P268">
        <v>776.60197288135601</v>
      </c>
      <c r="R268" t="str">
        <f t="shared" si="23"/>
        <v>2</v>
      </c>
      <c r="S268">
        <f t="shared" si="24"/>
        <v>776.62192090395479</v>
      </c>
    </row>
    <row r="269" spans="1:19">
      <c r="A269" s="4" t="s">
        <v>37</v>
      </c>
      <c r="B269" s="4" t="s">
        <v>23</v>
      </c>
      <c r="C269" s="4">
        <v>365000</v>
      </c>
      <c r="D269" s="4">
        <v>2400</v>
      </c>
      <c r="E269" s="4">
        <v>2024</v>
      </c>
      <c r="F269" s="4">
        <v>5.3</v>
      </c>
      <c r="G269" s="4" t="s">
        <v>24</v>
      </c>
      <c r="H269" s="4" t="s">
        <v>19</v>
      </c>
      <c r="I269" s="4" t="s">
        <v>20</v>
      </c>
      <c r="J269" s="4" t="s">
        <v>21</v>
      </c>
      <c r="K269" s="20">
        <f>C269/D269</f>
        <v>152.08333333333334</v>
      </c>
      <c r="L269" s="11">
        <f>PMT(F269/100/12, 300, -(C269 *
(1 - G269/100)))</f>
        <v>1978.2309297013298</v>
      </c>
      <c r="M269" s="11">
        <f t="shared" si="20"/>
        <v>264969.27891039889</v>
      </c>
      <c r="N269" s="11">
        <f t="shared" si="21"/>
        <v>593469.27891039895</v>
      </c>
      <c r="O269">
        <f t="shared" si="22"/>
        <v>328500</v>
      </c>
      <c r="P269">
        <v>960.60197260273969</v>
      </c>
      <c r="R269" t="str">
        <f t="shared" si="23"/>
        <v>2</v>
      </c>
      <c r="S269">
        <f t="shared" si="24"/>
        <v>960.62191780821922</v>
      </c>
    </row>
    <row r="270" spans="1:19">
      <c r="A270" s="4" t="s">
        <v>10</v>
      </c>
      <c r="B270" s="4" t="s">
        <v>17</v>
      </c>
      <c r="C270" s="4">
        <v>495000</v>
      </c>
      <c r="D270" s="4">
        <v>3250</v>
      </c>
      <c r="E270" s="4">
        <v>2024</v>
      </c>
      <c r="F270" s="4">
        <v>5</v>
      </c>
      <c r="G270" s="4" t="s">
        <v>18</v>
      </c>
      <c r="H270" s="4" t="s">
        <v>19</v>
      </c>
      <c r="I270" s="4" t="s">
        <v>20</v>
      </c>
      <c r="J270" s="4" t="s">
        <v>21</v>
      </c>
      <c r="K270" s="20">
        <f>C270/D270</f>
        <v>152.30769230769232</v>
      </c>
      <c r="L270" s="11">
        <f>PMT(F270/100/12, 300, -(C270 *
(1 - G270/100)))</f>
        <v>2546.4742208087569</v>
      </c>
      <c r="M270" s="11">
        <f t="shared" si="20"/>
        <v>328342.26624262705</v>
      </c>
      <c r="N270" s="11">
        <f t="shared" si="21"/>
        <v>763942.26624262705</v>
      </c>
      <c r="O270">
        <f t="shared" si="22"/>
        <v>435600</v>
      </c>
      <c r="P270">
        <v>1300.6019696969697</v>
      </c>
      <c r="R270" t="str">
        <f t="shared" si="23"/>
        <v>2</v>
      </c>
      <c r="S270">
        <f t="shared" si="24"/>
        <v>1300.6218855218854</v>
      </c>
    </row>
    <row r="271" spans="1:19">
      <c r="A271" s="6" t="s">
        <v>32</v>
      </c>
      <c r="B271" s="6" t="s">
        <v>23</v>
      </c>
      <c r="C271" s="6">
        <v>310000</v>
      </c>
      <c r="D271" s="6">
        <v>2030</v>
      </c>
      <c r="E271" s="6">
        <v>2024</v>
      </c>
      <c r="F271" s="6">
        <v>5.5</v>
      </c>
      <c r="G271" s="6" t="s">
        <v>24</v>
      </c>
      <c r="H271" s="6" t="s">
        <v>19</v>
      </c>
      <c r="I271" s="6" t="s">
        <v>20</v>
      </c>
      <c r="J271" s="6" t="s">
        <v>21</v>
      </c>
      <c r="K271" s="20">
        <f>C271/D271</f>
        <v>152.70935960591132</v>
      </c>
      <c r="L271" s="11">
        <f>PMT(F271/100/12, 300, -(C271 *
(1 - G271/100)))</f>
        <v>1713.304103465302</v>
      </c>
      <c r="M271" s="11">
        <f t="shared" si="20"/>
        <v>234991.23103959055</v>
      </c>
      <c r="N271" s="11">
        <f t="shared" si="21"/>
        <v>513991.23103959055</v>
      </c>
      <c r="O271">
        <f t="shared" si="22"/>
        <v>279000</v>
      </c>
      <c r="P271">
        <v>812.6019645161291</v>
      </c>
      <c r="R271" t="str">
        <f t="shared" si="23"/>
        <v>2</v>
      </c>
      <c r="S271">
        <f t="shared" si="24"/>
        <v>812.62182795698925</v>
      </c>
    </row>
    <row r="272" spans="1:19">
      <c r="A272" s="4" t="s">
        <v>22</v>
      </c>
      <c r="B272" s="4" t="s">
        <v>27</v>
      </c>
      <c r="C272" s="4">
        <v>345000</v>
      </c>
      <c r="D272" s="4">
        <v>2250</v>
      </c>
      <c r="E272" s="4">
        <v>2024</v>
      </c>
      <c r="F272" s="4">
        <v>5.4</v>
      </c>
      <c r="G272" s="4" t="s">
        <v>39</v>
      </c>
      <c r="H272" s="4" t="s">
        <v>19</v>
      </c>
      <c r="I272" s="4" t="s">
        <v>20</v>
      </c>
      <c r="J272" s="4" t="s">
        <v>29</v>
      </c>
      <c r="K272" s="20">
        <f>C272/D272</f>
        <v>153.33333333333334</v>
      </c>
      <c r="L272" s="11">
        <f>PMT(F272/100/12, 300, -(C272 *
(1 - G272/100)))</f>
        <v>1804.3214649501419</v>
      </c>
      <c r="M272" s="11">
        <f t="shared" si="20"/>
        <v>244596.43948504259</v>
      </c>
      <c r="N272" s="11">
        <f t="shared" si="21"/>
        <v>541296.43948504259</v>
      </c>
      <c r="O272">
        <f t="shared" si="22"/>
        <v>296700</v>
      </c>
      <c r="P272">
        <v>900.60195652173911</v>
      </c>
      <c r="R272" t="str">
        <f t="shared" si="23"/>
        <v>2</v>
      </c>
      <c r="S272">
        <f t="shared" si="24"/>
        <v>900.62173913043478</v>
      </c>
    </row>
    <row r="273" spans="1:19">
      <c r="A273" s="4" t="s">
        <v>16</v>
      </c>
      <c r="B273" s="4" t="s">
        <v>23</v>
      </c>
      <c r="C273" s="4">
        <v>362000</v>
      </c>
      <c r="D273" s="4">
        <v>2360</v>
      </c>
      <c r="E273" s="4">
        <v>2024</v>
      </c>
      <c r="F273" s="4">
        <v>5.4</v>
      </c>
      <c r="G273" s="4" t="s">
        <v>24</v>
      </c>
      <c r="H273" s="4" t="s">
        <v>19</v>
      </c>
      <c r="I273" s="4" t="s">
        <v>20</v>
      </c>
      <c r="J273" s="4" t="s">
        <v>21</v>
      </c>
      <c r="K273" s="20">
        <f>C273/D273</f>
        <v>153.38983050847457</v>
      </c>
      <c r="L273" s="11">
        <f>PMT(F273/100/12, 300, -(C273 *
(1 - G273/100)))</f>
        <v>1981.2872709159292</v>
      </c>
      <c r="M273" s="11">
        <f t="shared" si="20"/>
        <v>268586.18127477879</v>
      </c>
      <c r="N273" s="11">
        <f t="shared" si="21"/>
        <v>594386.18127477879</v>
      </c>
      <c r="O273">
        <f t="shared" si="22"/>
        <v>325800</v>
      </c>
      <c r="P273">
        <v>944.60195580110496</v>
      </c>
      <c r="R273" t="str">
        <f t="shared" si="23"/>
        <v>2</v>
      </c>
      <c r="S273">
        <f t="shared" si="24"/>
        <v>944.6217311233886</v>
      </c>
    </row>
    <row r="274" spans="1:19">
      <c r="A274" s="4" t="s">
        <v>10</v>
      </c>
      <c r="B274" s="4" t="s">
        <v>17</v>
      </c>
      <c r="C274" s="4">
        <v>492000</v>
      </c>
      <c r="D274" s="4">
        <v>3200</v>
      </c>
      <c r="E274" s="4">
        <v>2024</v>
      </c>
      <c r="F274" s="4">
        <v>5</v>
      </c>
      <c r="G274" s="4" t="s">
        <v>18</v>
      </c>
      <c r="H274" s="4" t="s">
        <v>19</v>
      </c>
      <c r="I274" s="4" t="s">
        <v>20</v>
      </c>
      <c r="J274" s="4" t="s">
        <v>21</v>
      </c>
      <c r="K274" s="20">
        <f>C274/D274</f>
        <v>153.75</v>
      </c>
      <c r="L274" s="11">
        <f>PMT(F274/100/12, 300, -(C274 *
(1 - G274/100)))</f>
        <v>2531.0410437129462</v>
      </c>
      <c r="M274" s="11">
        <f t="shared" si="20"/>
        <v>326352.31311388384</v>
      </c>
      <c r="N274" s="11">
        <f t="shared" si="21"/>
        <v>759312.31311388384</v>
      </c>
      <c r="O274">
        <f t="shared" si="22"/>
        <v>432960</v>
      </c>
      <c r="P274">
        <v>1280.6019512195121</v>
      </c>
      <c r="R274" t="str">
        <f t="shared" si="23"/>
        <v>2</v>
      </c>
      <c r="S274">
        <f t="shared" si="24"/>
        <v>1280.6216802168021</v>
      </c>
    </row>
    <row r="275" spans="1:19">
      <c r="A275" s="4" t="s">
        <v>16</v>
      </c>
      <c r="B275" s="4" t="s">
        <v>23</v>
      </c>
      <c r="C275" s="4">
        <v>400000</v>
      </c>
      <c r="D275" s="4">
        <v>2600</v>
      </c>
      <c r="E275" s="4">
        <v>2023</v>
      </c>
      <c r="F275" s="4">
        <v>6.1</v>
      </c>
      <c r="G275" s="4" t="s">
        <v>24</v>
      </c>
      <c r="H275" s="4" t="s">
        <v>19</v>
      </c>
      <c r="I275" s="4" t="s">
        <v>20</v>
      </c>
      <c r="J275" s="4" t="s">
        <v>21</v>
      </c>
      <c r="K275" s="20">
        <f>C275/D275</f>
        <v>153.84615384615384</v>
      </c>
      <c r="L275" s="11">
        <f>PMT(F275/100/12, 300, -(C275 *
(1 - G275/100)))</f>
        <v>2341.5408403593456</v>
      </c>
      <c r="M275" s="11">
        <f t="shared" si="20"/>
        <v>342462.25210780377</v>
      </c>
      <c r="N275" s="11">
        <f t="shared" si="21"/>
        <v>702462.25210780371</v>
      </c>
      <c r="O275">
        <f t="shared" si="22"/>
        <v>360000</v>
      </c>
      <c r="P275">
        <v>1040.60195</v>
      </c>
      <c r="R275" t="str">
        <f t="shared" si="23"/>
        <v>2</v>
      </c>
      <c r="S275">
        <f t="shared" si="24"/>
        <v>1040.6216666666667</v>
      </c>
    </row>
    <row r="276" spans="1:19">
      <c r="A276" s="4" t="s">
        <v>37</v>
      </c>
      <c r="B276" s="4" t="s">
        <v>23</v>
      </c>
      <c r="C276" s="4">
        <v>362000</v>
      </c>
      <c r="D276" s="4">
        <v>2350</v>
      </c>
      <c r="E276" s="4">
        <v>2024</v>
      </c>
      <c r="F276" s="4">
        <v>5.3</v>
      </c>
      <c r="G276" s="4" t="s">
        <v>24</v>
      </c>
      <c r="H276" s="4" t="s">
        <v>19</v>
      </c>
      <c r="I276" s="4" t="s">
        <v>20</v>
      </c>
      <c r="J276" s="4" t="s">
        <v>21</v>
      </c>
      <c r="K276" s="20">
        <f>C276/D276</f>
        <v>154.04255319148936</v>
      </c>
      <c r="L276" s="11">
        <f>PMT(F276/100/12, 300, -(C276 *
(1 - G276/100)))</f>
        <v>1961.9714974024148</v>
      </c>
      <c r="M276" s="11">
        <f t="shared" si="20"/>
        <v>262791.44922072435</v>
      </c>
      <c r="N276" s="11">
        <f t="shared" si="21"/>
        <v>588591.4492207244</v>
      </c>
      <c r="O276">
        <f t="shared" si="22"/>
        <v>325800</v>
      </c>
      <c r="P276">
        <v>940.60194751381221</v>
      </c>
      <c r="R276" t="str">
        <f t="shared" si="23"/>
        <v>2</v>
      </c>
      <c r="S276">
        <f t="shared" si="24"/>
        <v>940.62163904235729</v>
      </c>
    </row>
    <row r="277" spans="1:19">
      <c r="A277" s="4" t="s">
        <v>16</v>
      </c>
      <c r="B277" s="4" t="s">
        <v>23</v>
      </c>
      <c r="C277" s="4">
        <v>370000</v>
      </c>
      <c r="D277" s="4">
        <v>2400</v>
      </c>
      <c r="E277" s="4">
        <v>2024</v>
      </c>
      <c r="F277" s="4">
        <v>5.4</v>
      </c>
      <c r="G277" s="4" t="s">
        <v>24</v>
      </c>
      <c r="H277" s="4" t="s">
        <v>19</v>
      </c>
      <c r="I277" s="4" t="s">
        <v>20</v>
      </c>
      <c r="J277" s="4" t="s">
        <v>21</v>
      </c>
      <c r="K277" s="20">
        <f>C277/D277</f>
        <v>154.16666666666666</v>
      </c>
      <c r="L277" s="11">
        <f>PMT(F277/100/12, 300, -(C277 *
(1 - G277/100)))</f>
        <v>2025.07262496932</v>
      </c>
      <c r="M277" s="11">
        <f t="shared" si="20"/>
        <v>274521.78749079606</v>
      </c>
      <c r="N277" s="11">
        <f t="shared" si="21"/>
        <v>607521.78749079606</v>
      </c>
      <c r="O277">
        <f t="shared" si="22"/>
        <v>333000</v>
      </c>
      <c r="P277">
        <v>960.601945945946</v>
      </c>
      <c r="R277" t="str">
        <f t="shared" si="23"/>
        <v>2</v>
      </c>
      <c r="S277">
        <f t="shared" si="24"/>
        <v>960.62162162162167</v>
      </c>
    </row>
    <row r="278" spans="1:19">
      <c r="A278" s="4" t="s">
        <v>22</v>
      </c>
      <c r="B278" s="4" t="s">
        <v>27</v>
      </c>
      <c r="C278" s="4">
        <v>340000</v>
      </c>
      <c r="D278" s="4">
        <v>2200</v>
      </c>
      <c r="E278" s="4">
        <v>2024</v>
      </c>
      <c r="F278" s="4">
        <v>5.4</v>
      </c>
      <c r="G278" s="4" t="s">
        <v>39</v>
      </c>
      <c r="H278" s="4" t="s">
        <v>19</v>
      </c>
      <c r="I278" s="4" t="s">
        <v>20</v>
      </c>
      <c r="J278" s="4" t="s">
        <v>29</v>
      </c>
      <c r="K278" s="20">
        <f>C278/D278</f>
        <v>154.54545454545453</v>
      </c>
      <c r="L278" s="11">
        <f>PMT(F278/100/12, 300, -(C278 *
(1 - G278/100)))</f>
        <v>1778.1718785015889</v>
      </c>
      <c r="M278" s="11">
        <f t="shared" si="20"/>
        <v>241051.56355047668</v>
      </c>
      <c r="N278" s="11">
        <f t="shared" si="21"/>
        <v>533451.56355047668</v>
      </c>
      <c r="O278">
        <f t="shared" si="22"/>
        <v>292400</v>
      </c>
      <c r="P278">
        <v>880.60194117647063</v>
      </c>
      <c r="R278" t="str">
        <f t="shared" si="23"/>
        <v>2</v>
      </c>
      <c r="S278">
        <f t="shared" si="24"/>
        <v>880.62156862745098</v>
      </c>
    </row>
    <row r="279" spans="1:19">
      <c r="A279" s="4" t="s">
        <v>30</v>
      </c>
      <c r="B279" s="4" t="s">
        <v>23</v>
      </c>
      <c r="C279" s="4">
        <v>310000</v>
      </c>
      <c r="D279" s="4">
        <v>2000</v>
      </c>
      <c r="E279" s="4">
        <v>2023</v>
      </c>
      <c r="F279" s="4">
        <v>6.6</v>
      </c>
      <c r="G279" s="4" t="s">
        <v>24</v>
      </c>
      <c r="H279" s="4" t="s">
        <v>19</v>
      </c>
      <c r="I279" s="4" t="s">
        <v>20</v>
      </c>
      <c r="J279" s="4" t="s">
        <v>21</v>
      </c>
      <c r="K279" s="20">
        <f>C279/D279</f>
        <v>155</v>
      </c>
      <c r="L279" s="11">
        <f>PMT(F279/100/12, 300, -(C279 *
(1 - G279/100)))</f>
        <v>1901.2987875282531</v>
      </c>
      <c r="M279" s="11">
        <f t="shared" si="20"/>
        <v>291389.63625847583</v>
      </c>
      <c r="N279" s="11">
        <f t="shared" si="21"/>
        <v>570389.63625847583</v>
      </c>
      <c r="O279">
        <f t="shared" si="22"/>
        <v>279000</v>
      </c>
      <c r="P279">
        <v>800.60193548387099</v>
      </c>
      <c r="R279" t="str">
        <f t="shared" si="23"/>
        <v>2</v>
      </c>
      <c r="S279">
        <f t="shared" si="24"/>
        <v>800.62150537634409</v>
      </c>
    </row>
    <row r="280" spans="1:19">
      <c r="A280" s="4" t="s">
        <v>16</v>
      </c>
      <c r="B280" s="4" t="s">
        <v>23</v>
      </c>
      <c r="C280" s="4">
        <v>380000</v>
      </c>
      <c r="D280" s="4">
        <v>2450</v>
      </c>
      <c r="E280" s="4">
        <v>2023</v>
      </c>
      <c r="F280" s="4">
        <v>6.1</v>
      </c>
      <c r="G280" s="4" t="s">
        <v>24</v>
      </c>
      <c r="H280" s="4" t="s">
        <v>19</v>
      </c>
      <c r="I280" s="4" t="s">
        <v>20</v>
      </c>
      <c r="J280" s="4" t="s">
        <v>21</v>
      </c>
      <c r="K280" s="20">
        <f>C280/D280</f>
        <v>155.10204081632654</v>
      </c>
      <c r="L280" s="11">
        <f>PMT(F280/100/12, 300, -(C280 *
(1 - G280/100)))</f>
        <v>2224.4637983413782</v>
      </c>
      <c r="M280" s="11">
        <f t="shared" si="20"/>
        <v>325339.13950241345</v>
      </c>
      <c r="N280" s="11">
        <f t="shared" si="21"/>
        <v>667339.13950241345</v>
      </c>
      <c r="O280">
        <f t="shared" si="22"/>
        <v>342000</v>
      </c>
      <c r="P280">
        <v>980.60193421052634</v>
      </c>
      <c r="R280" t="str">
        <f t="shared" si="23"/>
        <v>2</v>
      </c>
      <c r="S280">
        <f t="shared" si="24"/>
        <v>980.62149122807023</v>
      </c>
    </row>
    <row r="281" spans="1:19">
      <c r="A281" s="6" t="s">
        <v>22</v>
      </c>
      <c r="B281" s="6" t="s">
        <v>27</v>
      </c>
      <c r="C281" s="6">
        <v>308000</v>
      </c>
      <c r="D281" s="6">
        <v>1980</v>
      </c>
      <c r="E281" s="6">
        <v>2024</v>
      </c>
      <c r="F281" s="6">
        <v>5.5</v>
      </c>
      <c r="G281" s="6" t="s">
        <v>18</v>
      </c>
      <c r="H281" s="6" t="s">
        <v>19</v>
      </c>
      <c r="I281" s="6" t="s">
        <v>20</v>
      </c>
      <c r="J281" s="6" t="s">
        <v>29</v>
      </c>
      <c r="K281" s="20">
        <f>C281/D281</f>
        <v>155.55555555555554</v>
      </c>
      <c r="L281" s="11">
        <f>PMT(F281/100/12, 300, -(C281 *
(1 - G281/100)))</f>
        <v>1664.4227390796968</v>
      </c>
      <c r="M281" s="11">
        <f t="shared" si="20"/>
        <v>228286.82172390906</v>
      </c>
      <c r="N281" s="11">
        <f t="shared" si="21"/>
        <v>499326.82172390906</v>
      </c>
      <c r="O281">
        <f t="shared" si="22"/>
        <v>271040</v>
      </c>
      <c r="P281">
        <v>792.60192857142863</v>
      </c>
      <c r="R281" t="str">
        <f t="shared" si="23"/>
        <v>2</v>
      </c>
      <c r="S281">
        <f t="shared" si="24"/>
        <v>792.62142857142862</v>
      </c>
    </row>
    <row r="282" spans="1:19">
      <c r="A282" s="6" t="s">
        <v>22</v>
      </c>
      <c r="B282" s="6" t="s">
        <v>27</v>
      </c>
      <c r="C282" s="6">
        <v>350000</v>
      </c>
      <c r="D282" s="6">
        <v>2250</v>
      </c>
      <c r="E282" s="6">
        <v>2024</v>
      </c>
      <c r="F282" s="6">
        <v>5.4</v>
      </c>
      <c r="G282" s="6" t="s">
        <v>18</v>
      </c>
      <c r="H282" s="6" t="s">
        <v>19</v>
      </c>
      <c r="I282" s="6" t="s">
        <v>20</v>
      </c>
      <c r="J282" s="6" t="s">
        <v>29</v>
      </c>
      <c r="K282" s="20">
        <f>C282/D282</f>
        <v>155.55555555555554</v>
      </c>
      <c r="L282" s="11">
        <f>PMT(F282/100/12, 300, -(C282 *
(1 - G282/100)))</f>
        <v>1873.040145617269</v>
      </c>
      <c r="M282" s="11">
        <f t="shared" si="20"/>
        <v>253912.04368518078</v>
      </c>
      <c r="N282" s="11">
        <f t="shared" si="21"/>
        <v>561912.04368518083</v>
      </c>
      <c r="O282">
        <f t="shared" si="22"/>
        <v>308000</v>
      </c>
      <c r="P282">
        <v>900.60192857142863</v>
      </c>
      <c r="R282" t="str">
        <f t="shared" si="23"/>
        <v>2</v>
      </c>
      <c r="S282">
        <f t="shared" si="24"/>
        <v>900.62142857142862</v>
      </c>
    </row>
    <row r="283" spans="1:19">
      <c r="A283" s="4" t="s">
        <v>10</v>
      </c>
      <c r="B283" s="4" t="s">
        <v>17</v>
      </c>
      <c r="C283" s="4">
        <v>490000</v>
      </c>
      <c r="D283" s="4">
        <v>3150</v>
      </c>
      <c r="E283" s="4">
        <v>2024</v>
      </c>
      <c r="F283" s="4">
        <v>5</v>
      </c>
      <c r="G283" s="4" t="s">
        <v>18</v>
      </c>
      <c r="H283" s="4" t="s">
        <v>19</v>
      </c>
      <c r="I283" s="4" t="s">
        <v>20</v>
      </c>
      <c r="J283" s="4" t="s">
        <v>21</v>
      </c>
      <c r="K283" s="20">
        <f>C283/D283</f>
        <v>155.55555555555554</v>
      </c>
      <c r="L283" s="11">
        <f>PMT(F283/100/12, 300, -(C283 *
(1 - G283/100)))</f>
        <v>2520.7522589824061</v>
      </c>
      <c r="M283" s="11">
        <f t="shared" si="20"/>
        <v>325025.67769472179</v>
      </c>
      <c r="N283" s="11">
        <f t="shared" si="21"/>
        <v>756225.67769472185</v>
      </c>
      <c r="O283">
        <f t="shared" si="22"/>
        <v>431200</v>
      </c>
      <c r="P283">
        <v>1260.6019285714285</v>
      </c>
      <c r="R283" t="str">
        <f t="shared" si="23"/>
        <v>2</v>
      </c>
      <c r="S283">
        <f t="shared" si="24"/>
        <v>1260.6214285714284</v>
      </c>
    </row>
    <row r="284" spans="1:19">
      <c r="A284" s="4" t="s">
        <v>30</v>
      </c>
      <c r="B284" s="4" t="s">
        <v>27</v>
      </c>
      <c r="C284" s="4">
        <v>405000</v>
      </c>
      <c r="D284" s="4">
        <v>2600</v>
      </c>
      <c r="E284" s="4">
        <v>2024</v>
      </c>
      <c r="F284" s="4">
        <v>5.3</v>
      </c>
      <c r="G284" s="4" t="s">
        <v>12</v>
      </c>
      <c r="H284" s="4" t="s">
        <v>13</v>
      </c>
      <c r="I284" s="4" t="s">
        <v>20</v>
      </c>
      <c r="J284" s="4" t="s">
        <v>29</v>
      </c>
      <c r="K284" s="20">
        <f>C284/D284</f>
        <v>155.76923076923077</v>
      </c>
      <c r="L284" s="11">
        <f>PMT(F284/100/12, 300, -(C284 *
(1 - G284/100)))</f>
        <v>1999.9101727665497</v>
      </c>
      <c r="M284" s="11">
        <f t="shared" si="20"/>
        <v>267873.05182996497</v>
      </c>
      <c r="N284" s="11">
        <f t="shared" si="21"/>
        <v>599973.05182996497</v>
      </c>
      <c r="O284">
        <f t="shared" si="22"/>
        <v>332100</v>
      </c>
      <c r="P284">
        <v>1040.901925925926</v>
      </c>
      <c r="R284" t="str">
        <f t="shared" si="23"/>
        <v>3</v>
      </c>
      <c r="S284">
        <f t="shared" si="24"/>
        <v>1040.9213991769548</v>
      </c>
    </row>
    <row r="285" spans="1:19">
      <c r="A285" s="4" t="s">
        <v>32</v>
      </c>
      <c r="B285" s="4" t="s">
        <v>23</v>
      </c>
      <c r="C285" s="4">
        <v>320000</v>
      </c>
      <c r="D285" s="4">
        <v>2050</v>
      </c>
      <c r="E285" s="4">
        <v>2023</v>
      </c>
      <c r="F285" s="4">
        <v>6.4</v>
      </c>
      <c r="G285" s="4" t="s">
        <v>24</v>
      </c>
      <c r="H285" s="4" t="s">
        <v>19</v>
      </c>
      <c r="I285" s="4" t="s">
        <v>20</v>
      </c>
      <c r="J285" s="4" t="s">
        <v>21</v>
      </c>
      <c r="K285" s="20">
        <f>C285/D285</f>
        <v>156.09756097560975</v>
      </c>
      <c r="L285" s="11">
        <f>PMT(F285/100/12, 300, -(C285 *
(1 - G285/100)))</f>
        <v>1926.6390048534236</v>
      </c>
      <c r="M285" s="11">
        <f t="shared" si="20"/>
        <v>289991.70145602722</v>
      </c>
      <c r="N285" s="11">
        <f t="shared" si="21"/>
        <v>577991.70145602722</v>
      </c>
      <c r="O285">
        <f t="shared" si="22"/>
        <v>288000</v>
      </c>
      <c r="P285">
        <v>820.60192187500002</v>
      </c>
      <c r="R285" t="str">
        <f t="shared" si="23"/>
        <v>2</v>
      </c>
      <c r="S285">
        <f t="shared" si="24"/>
        <v>820.62135416666672</v>
      </c>
    </row>
    <row r="286" spans="1:19">
      <c r="A286" s="4" t="s">
        <v>30</v>
      </c>
      <c r="B286" s="4" t="s">
        <v>27</v>
      </c>
      <c r="C286" s="4">
        <v>408000</v>
      </c>
      <c r="D286" s="4">
        <v>2610</v>
      </c>
      <c r="E286" s="4">
        <v>2024</v>
      </c>
      <c r="F286" s="4">
        <v>5.3</v>
      </c>
      <c r="G286" s="4" t="s">
        <v>12</v>
      </c>
      <c r="H286" s="4" t="s">
        <v>13</v>
      </c>
      <c r="I286" s="4" t="s">
        <v>20</v>
      </c>
      <c r="J286" s="4" t="s">
        <v>29</v>
      </c>
      <c r="K286" s="20">
        <f>C286/D286</f>
        <v>156.32183908045977</v>
      </c>
      <c r="L286" s="11">
        <f>PMT(F286/100/12, 300, -(C286 *
(1 - G286/100)))</f>
        <v>2014.7243221944502</v>
      </c>
      <c r="M286" s="11">
        <f t="shared" si="20"/>
        <v>269857.29665833502</v>
      </c>
      <c r="N286" s="11">
        <f t="shared" si="21"/>
        <v>604417.29665833502</v>
      </c>
      <c r="O286">
        <f t="shared" si="22"/>
        <v>334560</v>
      </c>
      <c r="P286">
        <v>1044.9019191176471</v>
      </c>
      <c r="R286" t="str">
        <f t="shared" si="23"/>
        <v>3</v>
      </c>
      <c r="S286">
        <f t="shared" si="24"/>
        <v>1044.9213235294119</v>
      </c>
    </row>
    <row r="287" spans="1:19">
      <c r="A287" s="4" t="s">
        <v>22</v>
      </c>
      <c r="B287" s="4" t="s">
        <v>27</v>
      </c>
      <c r="C287" s="4">
        <v>360000</v>
      </c>
      <c r="D287" s="4">
        <v>2300</v>
      </c>
      <c r="E287" s="4">
        <v>2024</v>
      </c>
      <c r="F287" s="4">
        <v>5.4</v>
      </c>
      <c r="G287" s="4" t="s">
        <v>39</v>
      </c>
      <c r="H287" s="4" t="s">
        <v>19</v>
      </c>
      <c r="I287" s="4" t="s">
        <v>20</v>
      </c>
      <c r="J287" s="4" t="s">
        <v>29</v>
      </c>
      <c r="K287" s="20">
        <f>C287/D287</f>
        <v>156.52173913043478</v>
      </c>
      <c r="L287" s="11">
        <f>PMT(F287/100/12, 300, -(C287 *
(1 - G287/100)))</f>
        <v>1882.7702242958003</v>
      </c>
      <c r="M287" s="11">
        <f t="shared" si="20"/>
        <v>255231.06728874013</v>
      </c>
      <c r="N287" s="11">
        <f t="shared" si="21"/>
        <v>564831.06728874007</v>
      </c>
      <c r="O287">
        <f t="shared" si="22"/>
        <v>309600</v>
      </c>
      <c r="P287">
        <v>920.60191666666674</v>
      </c>
      <c r="R287" t="str">
        <f t="shared" si="23"/>
        <v>2</v>
      </c>
      <c r="S287">
        <f t="shared" si="24"/>
        <v>920.62129629629635</v>
      </c>
    </row>
    <row r="288" spans="1:19">
      <c r="A288" s="4" t="s">
        <v>37</v>
      </c>
      <c r="B288" s="4" t="s">
        <v>23</v>
      </c>
      <c r="C288" s="4">
        <v>360000</v>
      </c>
      <c r="D288" s="4">
        <v>2300</v>
      </c>
      <c r="E288" s="4">
        <v>2024</v>
      </c>
      <c r="F288" s="4">
        <v>5.3</v>
      </c>
      <c r="G288" s="4" t="s">
        <v>24</v>
      </c>
      <c r="H288" s="4" t="s">
        <v>19</v>
      </c>
      <c r="I288" s="4" t="s">
        <v>20</v>
      </c>
      <c r="J288" s="4" t="s">
        <v>21</v>
      </c>
      <c r="K288" s="20">
        <f>C288/D288</f>
        <v>156.52173913043478</v>
      </c>
      <c r="L288" s="11">
        <f>PMT(F288/100/12, 300, -(C288 *
(1 - G288/100)))</f>
        <v>1951.1318758698046</v>
      </c>
      <c r="M288" s="11">
        <f t="shared" si="20"/>
        <v>261339.56276094128</v>
      </c>
      <c r="N288" s="11">
        <f t="shared" si="21"/>
        <v>585339.56276094122</v>
      </c>
      <c r="O288">
        <f t="shared" si="22"/>
        <v>324000</v>
      </c>
      <c r="P288">
        <v>920.60191666666674</v>
      </c>
      <c r="R288" t="str">
        <f t="shared" si="23"/>
        <v>2</v>
      </c>
      <c r="S288">
        <f t="shared" si="24"/>
        <v>920.62129629629635</v>
      </c>
    </row>
    <row r="289" spans="1:19">
      <c r="A289" s="4" t="s">
        <v>30</v>
      </c>
      <c r="B289" s="4" t="s">
        <v>27</v>
      </c>
      <c r="C289" s="4">
        <v>400000</v>
      </c>
      <c r="D289" s="4">
        <v>2550</v>
      </c>
      <c r="E289" s="4">
        <v>2024</v>
      </c>
      <c r="F289" s="4">
        <v>5.3</v>
      </c>
      <c r="G289" s="4" t="s">
        <v>12</v>
      </c>
      <c r="H289" s="4" t="s">
        <v>13</v>
      </c>
      <c r="I289" s="4" t="s">
        <v>20</v>
      </c>
      <c r="J289" s="4" t="s">
        <v>29</v>
      </c>
      <c r="K289" s="20">
        <f>C289/D289</f>
        <v>156.86274509803923</v>
      </c>
      <c r="L289" s="11">
        <f>PMT(F289/100/12, 300, -(C289 *
(1 - G289/100)))</f>
        <v>1975.2199237200491</v>
      </c>
      <c r="M289" s="11">
        <f t="shared" si="20"/>
        <v>264565.97711601469</v>
      </c>
      <c r="N289" s="11">
        <f t="shared" si="21"/>
        <v>592565.97711601469</v>
      </c>
      <c r="O289">
        <f t="shared" si="22"/>
        <v>328000</v>
      </c>
      <c r="P289">
        <v>1020.9019125</v>
      </c>
      <c r="R289" t="str">
        <f t="shared" si="23"/>
        <v>3</v>
      </c>
      <c r="S289">
        <f t="shared" si="24"/>
        <v>1020.92125</v>
      </c>
    </row>
    <row r="290" spans="1:19">
      <c r="A290" s="6" t="s">
        <v>22</v>
      </c>
      <c r="B290" s="6" t="s">
        <v>27</v>
      </c>
      <c r="C290" s="6">
        <v>330000</v>
      </c>
      <c r="D290" s="6">
        <v>2100</v>
      </c>
      <c r="E290" s="6">
        <v>2024</v>
      </c>
      <c r="F290" s="6">
        <v>5.4</v>
      </c>
      <c r="G290" s="6" t="s">
        <v>18</v>
      </c>
      <c r="H290" s="6" t="s">
        <v>19</v>
      </c>
      <c r="I290" s="6" t="s">
        <v>20</v>
      </c>
      <c r="J290" s="6" t="s">
        <v>29</v>
      </c>
      <c r="K290" s="20">
        <f>C290/D290</f>
        <v>157.14285714285714</v>
      </c>
      <c r="L290" s="11">
        <f>PMT(F290/100/12, 300, -(C290 *
(1 - G290/100)))</f>
        <v>1766.0092801534252</v>
      </c>
      <c r="M290" s="11">
        <f t="shared" si="20"/>
        <v>239402.78404602758</v>
      </c>
      <c r="N290" s="11">
        <f t="shared" si="21"/>
        <v>529802.78404602758</v>
      </c>
      <c r="O290">
        <f t="shared" si="22"/>
        <v>290400</v>
      </c>
      <c r="P290">
        <v>840.60190909090909</v>
      </c>
      <c r="R290" t="str">
        <f t="shared" si="23"/>
        <v>2</v>
      </c>
      <c r="S290">
        <f t="shared" si="24"/>
        <v>840.62121212121212</v>
      </c>
    </row>
    <row r="291" spans="1:19">
      <c r="A291" s="4" t="s">
        <v>10</v>
      </c>
      <c r="B291" s="4" t="s">
        <v>17</v>
      </c>
      <c r="C291" s="4">
        <v>488000</v>
      </c>
      <c r="D291" s="4">
        <v>3100</v>
      </c>
      <c r="E291" s="4">
        <v>2024</v>
      </c>
      <c r="F291" s="4">
        <v>5</v>
      </c>
      <c r="G291" s="4" t="s">
        <v>18</v>
      </c>
      <c r="H291" s="4" t="s">
        <v>19</v>
      </c>
      <c r="I291" s="4" t="s">
        <v>20</v>
      </c>
      <c r="J291" s="4" t="s">
        <v>21</v>
      </c>
      <c r="K291" s="20">
        <f>C291/D291</f>
        <v>157.41935483870967</v>
      </c>
      <c r="L291" s="11">
        <f>PMT(F291/100/12, 300, -(C291 *
(1 - G291/100)))</f>
        <v>2510.4634742518656</v>
      </c>
      <c r="M291" s="11">
        <f t="shared" si="20"/>
        <v>323699.04227555968</v>
      </c>
      <c r="N291" s="11">
        <f t="shared" si="21"/>
        <v>753139.04227555962</v>
      </c>
      <c r="O291">
        <f t="shared" si="22"/>
        <v>429440</v>
      </c>
      <c r="P291">
        <v>1240.6019057377048</v>
      </c>
      <c r="R291" t="str">
        <f t="shared" si="23"/>
        <v>2</v>
      </c>
      <c r="S291">
        <f t="shared" si="24"/>
        <v>1240.621174863388</v>
      </c>
    </row>
    <row r="292" spans="1:19">
      <c r="A292" s="6" t="s">
        <v>33</v>
      </c>
      <c r="B292" s="6" t="s">
        <v>23</v>
      </c>
      <c r="C292" s="6">
        <v>370000</v>
      </c>
      <c r="D292" s="6">
        <v>2350</v>
      </c>
      <c r="E292" s="6">
        <v>2024</v>
      </c>
      <c r="F292" s="6">
        <v>5.3</v>
      </c>
      <c r="G292" s="6" t="s">
        <v>24</v>
      </c>
      <c r="H292" s="6" t="s">
        <v>19</v>
      </c>
      <c r="I292" s="6" t="s">
        <v>20</v>
      </c>
      <c r="J292" s="6" t="s">
        <v>21</v>
      </c>
      <c r="K292" s="20">
        <f>C292/D292</f>
        <v>157.44680851063831</v>
      </c>
      <c r="L292" s="11">
        <f>PMT(F292/100/12, 300, -(C292 *
(1 - G292/100)))</f>
        <v>2005.3299835328546</v>
      </c>
      <c r="M292" s="11">
        <f t="shared" si="20"/>
        <v>268598.99505985627</v>
      </c>
      <c r="N292" s="11">
        <f t="shared" si="21"/>
        <v>601598.99505985621</v>
      </c>
      <c r="O292">
        <f t="shared" si="22"/>
        <v>333000</v>
      </c>
      <c r="P292">
        <v>940.60190540540543</v>
      </c>
      <c r="R292" t="str">
        <f t="shared" si="23"/>
        <v>2</v>
      </c>
      <c r="S292">
        <f t="shared" si="24"/>
        <v>940.62117117117123</v>
      </c>
    </row>
    <row r="293" spans="1:19">
      <c r="A293" s="4" t="s">
        <v>22</v>
      </c>
      <c r="B293" s="4" t="s">
        <v>27</v>
      </c>
      <c r="C293" s="4">
        <v>315000</v>
      </c>
      <c r="D293" s="4">
        <v>2000</v>
      </c>
      <c r="E293" s="4">
        <v>2023</v>
      </c>
      <c r="F293" s="4">
        <v>6.3</v>
      </c>
      <c r="G293" s="4" t="s">
        <v>39</v>
      </c>
      <c r="H293" s="4" t="s">
        <v>19</v>
      </c>
      <c r="I293" s="4" t="s">
        <v>20</v>
      </c>
      <c r="J293" s="4" t="s">
        <v>29</v>
      </c>
      <c r="K293" s="20">
        <f>C293/D293</f>
        <v>157.5</v>
      </c>
      <c r="L293" s="11">
        <f>PMT(F293/100/12, 300, -(C293 *
(1 - G293/100)))</f>
        <v>1795.4261939169821</v>
      </c>
      <c r="M293" s="11">
        <f t="shared" si="20"/>
        <v>267727.85817509459</v>
      </c>
      <c r="N293" s="11">
        <f t="shared" si="21"/>
        <v>538627.85817509459</v>
      </c>
      <c r="O293">
        <f t="shared" si="22"/>
        <v>270900</v>
      </c>
      <c r="P293">
        <v>800.60190476190473</v>
      </c>
      <c r="R293" t="str">
        <f t="shared" si="23"/>
        <v>2</v>
      </c>
      <c r="S293">
        <f t="shared" si="24"/>
        <v>800.62116402116408</v>
      </c>
    </row>
    <row r="294" spans="1:19">
      <c r="A294" s="6" t="s">
        <v>22</v>
      </c>
      <c r="B294" s="6" t="s">
        <v>27</v>
      </c>
      <c r="C294" s="6">
        <v>320000</v>
      </c>
      <c r="D294" s="6">
        <v>2030</v>
      </c>
      <c r="E294" s="6">
        <v>2024</v>
      </c>
      <c r="F294" s="6">
        <v>5.4</v>
      </c>
      <c r="G294" s="6" t="s">
        <v>39</v>
      </c>
      <c r="H294" s="6" t="s">
        <v>19</v>
      </c>
      <c r="I294" s="6" t="s">
        <v>20</v>
      </c>
      <c r="J294" s="6" t="s">
        <v>29</v>
      </c>
      <c r="K294" s="20">
        <f>C294/D294</f>
        <v>157.63546798029557</v>
      </c>
      <c r="L294" s="11">
        <f>PMT(F294/100/12, 300, -(C294 *
(1 - G294/100)))</f>
        <v>1673.573532707378</v>
      </c>
      <c r="M294" s="11">
        <f t="shared" si="20"/>
        <v>226872.05981221341</v>
      </c>
      <c r="N294" s="11">
        <f t="shared" si="21"/>
        <v>502072.05981221341</v>
      </c>
      <c r="O294">
        <f t="shared" si="22"/>
        <v>275200</v>
      </c>
      <c r="P294">
        <v>812.60190312500004</v>
      </c>
      <c r="R294" t="str">
        <f t="shared" si="23"/>
        <v>2</v>
      </c>
      <c r="S294">
        <f t="shared" si="24"/>
        <v>812.62114583333334</v>
      </c>
    </row>
    <row r="295" spans="1:19">
      <c r="A295" s="6" t="s">
        <v>22</v>
      </c>
      <c r="B295" s="6" t="s">
        <v>27</v>
      </c>
      <c r="C295" s="6">
        <v>300000</v>
      </c>
      <c r="D295" s="6">
        <v>1900</v>
      </c>
      <c r="E295" s="6">
        <v>2023</v>
      </c>
      <c r="F295" s="6">
        <v>6.3</v>
      </c>
      <c r="G295" s="6" t="s">
        <v>18</v>
      </c>
      <c r="H295" s="6" t="s">
        <v>19</v>
      </c>
      <c r="I295" s="6" t="s">
        <v>20</v>
      </c>
      <c r="J295" s="6" t="s">
        <v>29</v>
      </c>
      <c r="K295" s="20">
        <f>C295/D295</f>
        <v>157.89473684210526</v>
      </c>
      <c r="L295" s="11">
        <f>PMT(F295/100/12, 300, -(C295 *
(1 - G295/100)))</f>
        <v>1749.6955156666049</v>
      </c>
      <c r="M295" s="11">
        <f t="shared" si="20"/>
        <v>260908.65469998133</v>
      </c>
      <c r="N295" s="11">
        <f t="shared" si="21"/>
        <v>524908.65469998133</v>
      </c>
      <c r="O295">
        <f t="shared" si="22"/>
        <v>264000</v>
      </c>
      <c r="P295">
        <v>760.6019</v>
      </c>
      <c r="R295" t="str">
        <f t="shared" si="23"/>
        <v>2</v>
      </c>
      <c r="S295">
        <f t="shared" si="24"/>
        <v>760.62111111111119</v>
      </c>
    </row>
    <row r="296" spans="1:19">
      <c r="A296" s="4" t="s">
        <v>30</v>
      </c>
      <c r="B296" s="4" t="s">
        <v>27</v>
      </c>
      <c r="C296" s="4">
        <v>395000</v>
      </c>
      <c r="D296" s="4">
        <v>2500</v>
      </c>
      <c r="E296" s="4">
        <v>2024</v>
      </c>
      <c r="F296" s="4">
        <v>5.3</v>
      </c>
      <c r="G296" s="4" t="s">
        <v>12</v>
      </c>
      <c r="H296" s="4" t="s">
        <v>13</v>
      </c>
      <c r="I296" s="4" t="s">
        <v>20</v>
      </c>
      <c r="J296" s="4" t="s">
        <v>29</v>
      </c>
      <c r="K296" s="20">
        <f>C296/D296</f>
        <v>158</v>
      </c>
      <c r="L296" s="11">
        <f>PMT(F296/100/12, 300, -(C296 *
(1 - G296/100)))</f>
        <v>1950.5296746735487</v>
      </c>
      <c r="M296" s="11">
        <f t="shared" si="20"/>
        <v>261258.90240206465</v>
      </c>
      <c r="N296" s="11">
        <f t="shared" si="21"/>
        <v>585158.90240206465</v>
      </c>
      <c r="O296">
        <f t="shared" si="22"/>
        <v>323900</v>
      </c>
      <c r="P296">
        <v>1000.9018987341772</v>
      </c>
      <c r="R296" t="str">
        <f t="shared" si="23"/>
        <v>3</v>
      </c>
      <c r="S296">
        <f t="shared" si="24"/>
        <v>1000.9210970464135</v>
      </c>
    </row>
    <row r="297" spans="1:19">
      <c r="A297" s="4" t="s">
        <v>22</v>
      </c>
      <c r="B297" s="4" t="s">
        <v>27</v>
      </c>
      <c r="C297" s="4">
        <v>335000</v>
      </c>
      <c r="D297" s="4">
        <v>2120</v>
      </c>
      <c r="E297" s="4">
        <v>2023</v>
      </c>
      <c r="F297" s="4">
        <v>6.3</v>
      </c>
      <c r="G297" s="4" t="s">
        <v>39</v>
      </c>
      <c r="H297" s="4" t="s">
        <v>19</v>
      </c>
      <c r="I297" s="4" t="s">
        <v>20</v>
      </c>
      <c r="J297" s="4" t="s">
        <v>29</v>
      </c>
      <c r="K297" s="20">
        <f>C297/D297</f>
        <v>158.01886792452831</v>
      </c>
      <c r="L297" s="11">
        <f>PMT(F297/100/12, 300, -(C297 *
(1 - G297/100)))</f>
        <v>1909.4215078164732</v>
      </c>
      <c r="M297" s="11">
        <f t="shared" si="20"/>
        <v>284726.45234494179</v>
      </c>
      <c r="N297" s="11">
        <f t="shared" si="21"/>
        <v>572826.45234494179</v>
      </c>
      <c r="O297">
        <f t="shared" si="22"/>
        <v>288100</v>
      </c>
      <c r="P297">
        <v>848.60189850746269</v>
      </c>
      <c r="R297" t="str">
        <f t="shared" si="23"/>
        <v>2</v>
      </c>
      <c r="S297">
        <f t="shared" si="24"/>
        <v>848.6210945273632</v>
      </c>
    </row>
    <row r="298" spans="1:19">
      <c r="A298" s="6" t="s">
        <v>22</v>
      </c>
      <c r="B298" s="6" t="s">
        <v>27</v>
      </c>
      <c r="C298" s="6">
        <v>340000</v>
      </c>
      <c r="D298" s="6">
        <v>2150</v>
      </c>
      <c r="E298" s="6">
        <v>2024</v>
      </c>
      <c r="F298" s="6">
        <v>5.4</v>
      </c>
      <c r="G298" s="6" t="s">
        <v>39</v>
      </c>
      <c r="H298" s="6" t="s">
        <v>19</v>
      </c>
      <c r="I298" s="6" t="s">
        <v>20</v>
      </c>
      <c r="J298" s="6" t="s">
        <v>29</v>
      </c>
      <c r="K298" s="20">
        <f>C298/D298</f>
        <v>158.13953488372093</v>
      </c>
      <c r="L298" s="11">
        <f>PMT(F298/100/12, 300, -(C298 *
(1 - G298/100)))</f>
        <v>1778.1718785015889</v>
      </c>
      <c r="M298" s="11">
        <f t="shared" si="20"/>
        <v>241051.56355047668</v>
      </c>
      <c r="N298" s="11">
        <f t="shared" si="21"/>
        <v>533451.56355047668</v>
      </c>
      <c r="O298">
        <f t="shared" si="22"/>
        <v>292400</v>
      </c>
      <c r="P298">
        <v>860.60189705882351</v>
      </c>
      <c r="R298" t="str">
        <f t="shared" si="23"/>
        <v>2</v>
      </c>
      <c r="S298">
        <f t="shared" si="24"/>
        <v>860.62107843137255</v>
      </c>
    </row>
    <row r="299" spans="1:19">
      <c r="A299" s="4" t="s">
        <v>16</v>
      </c>
      <c r="B299" s="4" t="s">
        <v>23</v>
      </c>
      <c r="C299" s="4">
        <v>380000</v>
      </c>
      <c r="D299" s="4">
        <v>2400</v>
      </c>
      <c r="E299" s="4">
        <v>2024</v>
      </c>
      <c r="F299" s="4">
        <v>5.4</v>
      </c>
      <c r="G299" s="4" t="s">
        <v>24</v>
      </c>
      <c r="H299" s="4" t="s">
        <v>19</v>
      </c>
      <c r="I299" s="4" t="s">
        <v>20</v>
      </c>
      <c r="J299" s="4" t="s">
        <v>21</v>
      </c>
      <c r="K299" s="20">
        <f>C299/D299</f>
        <v>158.33333333333334</v>
      </c>
      <c r="L299" s="11">
        <f>PMT(F299/100/12, 300, -(C299 *
(1 - G299/100)))</f>
        <v>2079.8043175360585</v>
      </c>
      <c r="M299" s="11">
        <f t="shared" si="20"/>
        <v>281941.29526081757</v>
      </c>
      <c r="N299" s="11">
        <f t="shared" si="21"/>
        <v>623941.29526081751</v>
      </c>
      <c r="O299">
        <f t="shared" si="22"/>
        <v>342000</v>
      </c>
      <c r="P299">
        <v>960.60189473684215</v>
      </c>
      <c r="R299" t="str">
        <f t="shared" si="23"/>
        <v>2</v>
      </c>
      <c r="S299">
        <f t="shared" si="24"/>
        <v>960.621052631579</v>
      </c>
    </row>
    <row r="300" spans="1:19">
      <c r="A300" s="4" t="s">
        <v>33</v>
      </c>
      <c r="B300" s="4" t="s">
        <v>23</v>
      </c>
      <c r="C300" s="4">
        <v>365000</v>
      </c>
      <c r="D300" s="4">
        <v>2300</v>
      </c>
      <c r="E300" s="4">
        <v>2024</v>
      </c>
      <c r="F300" s="4">
        <v>5.3</v>
      </c>
      <c r="G300" s="4" t="s">
        <v>24</v>
      </c>
      <c r="H300" s="4" t="s">
        <v>19</v>
      </c>
      <c r="I300" s="4" t="s">
        <v>20</v>
      </c>
      <c r="J300" s="4" t="s">
        <v>21</v>
      </c>
      <c r="K300" s="20">
        <f>C300/D300</f>
        <v>158.69565217391303</v>
      </c>
      <c r="L300" s="11">
        <f>PMT(F300/100/12, 300, -(C300 *
(1 - G300/100)))</f>
        <v>1978.2309297013298</v>
      </c>
      <c r="M300" s="11">
        <f t="shared" si="20"/>
        <v>264969.27891039889</v>
      </c>
      <c r="N300" s="11">
        <f t="shared" si="21"/>
        <v>593469.27891039895</v>
      </c>
      <c r="O300">
        <f t="shared" si="22"/>
        <v>328500</v>
      </c>
      <c r="P300">
        <v>920.60189041095896</v>
      </c>
      <c r="R300" t="str">
        <f t="shared" si="23"/>
        <v>2</v>
      </c>
      <c r="S300">
        <f t="shared" si="24"/>
        <v>920.6210045662101</v>
      </c>
    </row>
    <row r="301" spans="1:19">
      <c r="A301" s="6" t="s">
        <v>22</v>
      </c>
      <c r="B301" s="6" t="s">
        <v>27</v>
      </c>
      <c r="C301" s="6">
        <v>310000</v>
      </c>
      <c r="D301" s="6">
        <v>1950</v>
      </c>
      <c r="E301" s="6">
        <v>2023</v>
      </c>
      <c r="F301" s="6">
        <v>6.3</v>
      </c>
      <c r="G301" s="6" t="s">
        <v>39</v>
      </c>
      <c r="H301" s="6" t="s">
        <v>19</v>
      </c>
      <c r="I301" s="6" t="s">
        <v>20</v>
      </c>
      <c r="J301" s="6" t="s">
        <v>29</v>
      </c>
      <c r="K301" s="20">
        <f>C301/D301</f>
        <v>158.97435897435898</v>
      </c>
      <c r="L301" s="11">
        <f>PMT(F301/100/12, 300, -(C301 *
(1 - G301/100)))</f>
        <v>1766.9273654421092</v>
      </c>
      <c r="M301" s="11">
        <f t="shared" si="20"/>
        <v>263478.20963263267</v>
      </c>
      <c r="N301" s="11">
        <f t="shared" si="21"/>
        <v>530078.20963263267</v>
      </c>
      <c r="O301">
        <f t="shared" si="22"/>
        <v>266600</v>
      </c>
      <c r="P301">
        <v>780.60188709677425</v>
      </c>
      <c r="R301" t="str">
        <f t="shared" si="23"/>
        <v>2</v>
      </c>
      <c r="S301">
        <f t="shared" si="24"/>
        <v>780.62096774193549</v>
      </c>
    </row>
    <row r="302" spans="1:19">
      <c r="A302" s="4" t="s">
        <v>10</v>
      </c>
      <c r="B302" s="4" t="s">
        <v>17</v>
      </c>
      <c r="C302" s="4">
        <v>485000</v>
      </c>
      <c r="D302" s="4">
        <v>3050</v>
      </c>
      <c r="E302" s="4">
        <v>2024</v>
      </c>
      <c r="F302" s="4">
        <v>5</v>
      </c>
      <c r="G302" s="4" t="s">
        <v>18</v>
      </c>
      <c r="H302" s="4" t="s">
        <v>19</v>
      </c>
      <c r="I302" s="4" t="s">
        <v>20</v>
      </c>
      <c r="J302" s="4" t="s">
        <v>21</v>
      </c>
      <c r="K302" s="20">
        <f>C302/D302</f>
        <v>159.01639344262296</v>
      </c>
      <c r="L302" s="11">
        <f>PMT(F302/100/12, 300, -(C302 *
(1 - G302/100)))</f>
        <v>2495.0302971560545</v>
      </c>
      <c r="M302" s="11">
        <f t="shared" si="20"/>
        <v>321709.08914681646</v>
      </c>
      <c r="N302" s="11">
        <f t="shared" si="21"/>
        <v>748509.0891468164</v>
      </c>
      <c r="O302">
        <f t="shared" si="22"/>
        <v>426800</v>
      </c>
      <c r="P302">
        <v>1220.6018865979381</v>
      </c>
      <c r="R302" t="str">
        <f t="shared" si="23"/>
        <v>2</v>
      </c>
      <c r="S302">
        <f t="shared" si="24"/>
        <v>1220.6209621993125</v>
      </c>
    </row>
    <row r="303" spans="1:19">
      <c r="A303" s="6" t="s">
        <v>26</v>
      </c>
      <c r="B303" s="6" t="s">
        <v>27</v>
      </c>
      <c r="C303" s="6">
        <v>315000</v>
      </c>
      <c r="D303" s="6">
        <v>1980</v>
      </c>
      <c r="E303" s="6">
        <v>2023</v>
      </c>
      <c r="F303" s="6">
        <v>6.2</v>
      </c>
      <c r="G303" s="6" t="s">
        <v>28</v>
      </c>
      <c r="H303" s="6" t="s">
        <v>19</v>
      </c>
      <c r="I303" s="6" t="s">
        <v>20</v>
      </c>
      <c r="J303" s="6" t="s">
        <v>29</v>
      </c>
      <c r="K303" s="20">
        <f>C303/D303</f>
        <v>159.09090909090909</v>
      </c>
      <c r="L303" s="11">
        <f>PMT(F303/100/12, 300, -(C303 *
(1 - G303/100)))</f>
        <v>1757.9985624318508</v>
      </c>
      <c r="M303" s="11">
        <f t="shared" si="20"/>
        <v>259649.56872955529</v>
      </c>
      <c r="N303" s="11">
        <f t="shared" si="21"/>
        <v>527399.56872955523</v>
      </c>
      <c r="O303">
        <f t="shared" si="22"/>
        <v>267750</v>
      </c>
      <c r="P303">
        <v>792.60188571428569</v>
      </c>
      <c r="R303" t="str">
        <f t="shared" si="23"/>
        <v>2</v>
      </c>
      <c r="S303">
        <f t="shared" si="24"/>
        <v>792.62095238095242</v>
      </c>
    </row>
    <row r="304" spans="1:19">
      <c r="A304" s="6" t="s">
        <v>26</v>
      </c>
      <c r="B304" s="6" t="s">
        <v>27</v>
      </c>
      <c r="C304" s="6">
        <v>350000</v>
      </c>
      <c r="D304" s="6">
        <v>2200</v>
      </c>
      <c r="E304" s="6">
        <v>2024</v>
      </c>
      <c r="F304" s="6">
        <v>5.5</v>
      </c>
      <c r="G304" s="6" t="s">
        <v>18</v>
      </c>
      <c r="H304" s="6" t="s">
        <v>19</v>
      </c>
      <c r="I304" s="6" t="s">
        <v>20</v>
      </c>
      <c r="J304" s="6" t="s">
        <v>29</v>
      </c>
      <c r="K304" s="20">
        <f>C304/D304</f>
        <v>159.09090909090909</v>
      </c>
      <c r="L304" s="11">
        <f>PMT(F304/100/12, 300, -(C304 *
(1 - G304/100)))</f>
        <v>1891.3894762269285</v>
      </c>
      <c r="M304" s="11">
        <f t="shared" si="20"/>
        <v>259416.84286807862</v>
      </c>
      <c r="N304" s="11">
        <f t="shared" si="21"/>
        <v>567416.84286807862</v>
      </c>
      <c r="O304">
        <f t="shared" si="22"/>
        <v>308000</v>
      </c>
      <c r="P304">
        <v>880.60188571428569</v>
      </c>
      <c r="R304" t="str">
        <f t="shared" si="23"/>
        <v>2</v>
      </c>
      <c r="S304">
        <f t="shared" si="24"/>
        <v>880.62095238095242</v>
      </c>
    </row>
    <row r="305" spans="1:19">
      <c r="A305" s="6" t="s">
        <v>22</v>
      </c>
      <c r="B305" s="6" t="s">
        <v>27</v>
      </c>
      <c r="C305" s="6">
        <v>315000</v>
      </c>
      <c r="D305" s="6">
        <v>1980</v>
      </c>
      <c r="E305" s="6">
        <v>2024</v>
      </c>
      <c r="F305" s="6">
        <v>5.5</v>
      </c>
      <c r="G305" s="6" t="s">
        <v>18</v>
      </c>
      <c r="H305" s="6" t="s">
        <v>19</v>
      </c>
      <c r="I305" s="6" t="s">
        <v>20</v>
      </c>
      <c r="J305" s="6" t="s">
        <v>29</v>
      </c>
      <c r="K305" s="20">
        <f>C305/D305</f>
        <v>159.09090909090909</v>
      </c>
      <c r="L305" s="11">
        <f>PMT(F305/100/12, 300, -(C305 *
(1 - G305/100)))</f>
        <v>1702.2505286042356</v>
      </c>
      <c r="M305" s="11">
        <f t="shared" si="20"/>
        <v>233475.15858127066</v>
      </c>
      <c r="N305" s="11">
        <f t="shared" si="21"/>
        <v>510675.15858127066</v>
      </c>
      <c r="O305">
        <f t="shared" si="22"/>
        <v>277200</v>
      </c>
      <c r="P305">
        <v>792.60188571428569</v>
      </c>
      <c r="R305" t="str">
        <f t="shared" si="23"/>
        <v>2</v>
      </c>
      <c r="S305">
        <f t="shared" si="24"/>
        <v>792.62095238095242</v>
      </c>
    </row>
    <row r="306" spans="1:19">
      <c r="A306" s="4" t="s">
        <v>22</v>
      </c>
      <c r="B306" s="4" t="s">
        <v>27</v>
      </c>
      <c r="C306" s="4">
        <v>298000</v>
      </c>
      <c r="D306" s="4">
        <v>1870</v>
      </c>
      <c r="E306" s="4">
        <v>2024</v>
      </c>
      <c r="F306" s="4">
        <v>5.4</v>
      </c>
      <c r="G306" s="4" t="s">
        <v>39</v>
      </c>
      <c r="H306" s="4" t="s">
        <v>19</v>
      </c>
      <c r="I306" s="4" t="s">
        <v>20</v>
      </c>
      <c r="J306" s="4" t="s">
        <v>29</v>
      </c>
      <c r="K306" s="20">
        <f>C306/D306</f>
        <v>159.35828877005346</v>
      </c>
      <c r="L306" s="11">
        <f>PMT(F306/100/12, 300, -(C306 *
(1 - G306/100)))</f>
        <v>1558.5153523337456</v>
      </c>
      <c r="M306" s="11">
        <f t="shared" si="20"/>
        <v>211274.60570012368</v>
      </c>
      <c r="N306" s="11">
        <f t="shared" si="21"/>
        <v>467554.60570012371</v>
      </c>
      <c r="O306">
        <f t="shared" si="22"/>
        <v>256280</v>
      </c>
      <c r="P306">
        <v>748.60188255033563</v>
      </c>
      <c r="R306" t="str">
        <f t="shared" si="23"/>
        <v>2</v>
      </c>
      <c r="S306">
        <f t="shared" si="24"/>
        <v>748.62091722595085</v>
      </c>
    </row>
    <row r="307" spans="1:19">
      <c r="A307" s="4" t="s">
        <v>33</v>
      </c>
      <c r="B307" s="4" t="s">
        <v>23</v>
      </c>
      <c r="C307" s="4">
        <v>360000</v>
      </c>
      <c r="D307" s="4">
        <v>2250</v>
      </c>
      <c r="E307" s="4">
        <v>2024</v>
      </c>
      <c r="F307" s="4">
        <v>5.3</v>
      </c>
      <c r="G307" s="8">
        <v>10</v>
      </c>
      <c r="H307" s="4" t="s">
        <v>19</v>
      </c>
      <c r="I307" s="4" t="s">
        <v>20</v>
      </c>
      <c r="J307" s="4" t="s">
        <v>21</v>
      </c>
      <c r="K307" s="20">
        <f>C307/D307</f>
        <v>160</v>
      </c>
      <c r="L307" s="11">
        <f>PMT(F307/100/12, 300, -(C307 *
(1 - G307/100)))</f>
        <v>1951.1318758698046</v>
      </c>
      <c r="M307" s="11">
        <f t="shared" si="20"/>
        <v>261339.56276094128</v>
      </c>
      <c r="N307" s="11">
        <f t="shared" si="21"/>
        <v>585339.56276094122</v>
      </c>
      <c r="O307">
        <f t="shared" si="22"/>
        <v>324000</v>
      </c>
      <c r="P307">
        <v>900.60187500000006</v>
      </c>
      <c r="R307" t="str">
        <f t="shared" si="23"/>
        <v>2</v>
      </c>
      <c r="S307">
        <f t="shared" si="24"/>
        <v>900.62083333333339</v>
      </c>
    </row>
    <row r="308" spans="1:19">
      <c r="A308" s="4" t="s">
        <v>33</v>
      </c>
      <c r="B308" s="4" t="s">
        <v>23</v>
      </c>
      <c r="C308" s="4">
        <v>322000</v>
      </c>
      <c r="D308" s="4">
        <v>2010</v>
      </c>
      <c r="E308" s="4">
        <v>2024</v>
      </c>
      <c r="F308" s="4">
        <v>5.3</v>
      </c>
      <c r="G308" s="4" t="s">
        <v>24</v>
      </c>
      <c r="H308" s="4" t="s">
        <v>19</v>
      </c>
      <c r="I308" s="4" t="s">
        <v>20</v>
      </c>
      <c r="J308" s="4" t="s">
        <v>21</v>
      </c>
      <c r="K308" s="20">
        <f>C308/D308</f>
        <v>160.19900497512438</v>
      </c>
      <c r="L308" s="11">
        <f>PMT(F308/100/12, 300, -(C308 *
(1 - G308/100)))</f>
        <v>1745.1790667502141</v>
      </c>
      <c r="M308" s="11">
        <f t="shared" si="20"/>
        <v>233753.72002506419</v>
      </c>
      <c r="N308" s="11">
        <f t="shared" si="21"/>
        <v>523553.72002506419</v>
      </c>
      <c r="O308">
        <f t="shared" si="22"/>
        <v>289800</v>
      </c>
      <c r="P308">
        <v>804.60187267080744</v>
      </c>
      <c r="R308" t="str">
        <f t="shared" si="23"/>
        <v>2</v>
      </c>
      <c r="S308">
        <f t="shared" si="24"/>
        <v>804.62080745341621</v>
      </c>
    </row>
    <row r="309" spans="1:19">
      <c r="A309" s="4" t="s">
        <v>26</v>
      </c>
      <c r="B309" s="4" t="s">
        <v>27</v>
      </c>
      <c r="C309" s="4">
        <v>345000</v>
      </c>
      <c r="D309" s="4">
        <v>2150</v>
      </c>
      <c r="E309" s="4">
        <v>2024</v>
      </c>
      <c r="F309" s="4">
        <v>5.5</v>
      </c>
      <c r="G309" s="4" t="s">
        <v>18</v>
      </c>
      <c r="H309" s="4" t="s">
        <v>19</v>
      </c>
      <c r="I309" s="4" t="s">
        <v>20</v>
      </c>
      <c r="J309" s="4" t="s">
        <v>29</v>
      </c>
      <c r="K309" s="20">
        <f>C309/D309</f>
        <v>160.46511627906978</v>
      </c>
      <c r="L309" s="11">
        <f>PMT(F309/100/12, 300, -(C309 *
(1 - G309/100)))</f>
        <v>1864.3696265665435</v>
      </c>
      <c r="M309" s="11">
        <f t="shared" si="20"/>
        <v>255710.88796996302</v>
      </c>
      <c r="N309" s="11">
        <f t="shared" si="21"/>
        <v>559310.88796996302</v>
      </c>
      <c r="O309">
        <f t="shared" si="22"/>
        <v>303600</v>
      </c>
      <c r="P309">
        <v>860.60186956521738</v>
      </c>
      <c r="R309" t="str">
        <f t="shared" si="23"/>
        <v>2</v>
      </c>
      <c r="S309">
        <f t="shared" si="24"/>
        <v>860.62077294685992</v>
      </c>
    </row>
    <row r="310" spans="1:19">
      <c r="A310" s="6" t="s">
        <v>33</v>
      </c>
      <c r="B310" s="6" t="s">
        <v>23</v>
      </c>
      <c r="C310" s="6">
        <v>326000</v>
      </c>
      <c r="D310" s="6">
        <v>2030</v>
      </c>
      <c r="E310" s="6">
        <v>2023</v>
      </c>
      <c r="F310" s="6">
        <v>6.1</v>
      </c>
      <c r="G310" s="6" t="s">
        <v>24</v>
      </c>
      <c r="H310" s="6" t="s">
        <v>19</v>
      </c>
      <c r="I310" s="6" t="s">
        <v>20</v>
      </c>
      <c r="J310" s="6" t="s">
        <v>21</v>
      </c>
      <c r="K310" s="20">
        <f>C310/D310</f>
        <v>160.59113300492612</v>
      </c>
      <c r="L310" s="11">
        <f>PMT(F310/100/12, 300, -(C310 *
(1 - G310/100)))</f>
        <v>1908.3557848928667</v>
      </c>
      <c r="M310" s="11">
        <f t="shared" si="20"/>
        <v>279106.73546786001</v>
      </c>
      <c r="N310" s="11">
        <f t="shared" si="21"/>
        <v>572506.73546786001</v>
      </c>
      <c r="O310">
        <f t="shared" si="22"/>
        <v>293400</v>
      </c>
      <c r="P310">
        <v>812.60186809815957</v>
      </c>
      <c r="R310" t="str">
        <f t="shared" si="23"/>
        <v>2</v>
      </c>
      <c r="S310">
        <f t="shared" si="24"/>
        <v>812.62075664621682</v>
      </c>
    </row>
    <row r="311" spans="1:19">
      <c r="A311" s="4" t="s">
        <v>33</v>
      </c>
      <c r="B311" s="4" t="s">
        <v>23</v>
      </c>
      <c r="C311" s="4">
        <v>330000</v>
      </c>
      <c r="D311" s="4">
        <v>2050</v>
      </c>
      <c r="E311" s="4">
        <v>2024</v>
      </c>
      <c r="F311" s="4">
        <v>5.3</v>
      </c>
      <c r="G311" s="4">
        <v>10</v>
      </c>
      <c r="H311" s="4" t="s">
        <v>19</v>
      </c>
      <c r="I311" s="4" t="s">
        <v>20</v>
      </c>
      <c r="J311" s="4" t="s">
        <v>21</v>
      </c>
      <c r="K311" s="20">
        <f>C311/D311</f>
        <v>160.97560975609755</v>
      </c>
      <c r="L311" s="11">
        <f>PMT(F311/100/12, 300, -(C311 *
(1 - G311/100)))</f>
        <v>1788.5375528806542</v>
      </c>
      <c r="M311" s="11">
        <f t="shared" si="20"/>
        <v>239561.26586419623</v>
      </c>
      <c r="N311" s="11">
        <f t="shared" si="21"/>
        <v>536561.26586419623</v>
      </c>
      <c r="O311">
        <f t="shared" si="22"/>
        <v>297000</v>
      </c>
      <c r="P311">
        <v>820.60186363636365</v>
      </c>
      <c r="R311" t="str">
        <f t="shared" si="23"/>
        <v>2</v>
      </c>
      <c r="S311">
        <f t="shared" si="24"/>
        <v>820.62070707070711</v>
      </c>
    </row>
    <row r="312" spans="1:19">
      <c r="A312" s="6" t="s">
        <v>26</v>
      </c>
      <c r="B312" s="6" t="s">
        <v>27</v>
      </c>
      <c r="C312" s="6">
        <v>330000</v>
      </c>
      <c r="D312" s="6">
        <v>2050</v>
      </c>
      <c r="E312" s="6">
        <v>2024</v>
      </c>
      <c r="F312" s="6">
        <v>5.5</v>
      </c>
      <c r="G312" s="6" t="s">
        <v>18</v>
      </c>
      <c r="H312" s="6" t="s">
        <v>19</v>
      </c>
      <c r="I312" s="6" t="s">
        <v>20</v>
      </c>
      <c r="J312" s="6" t="s">
        <v>29</v>
      </c>
      <c r="K312" s="20">
        <f>C312/D312</f>
        <v>160.97560975609755</v>
      </c>
      <c r="L312" s="11">
        <f>PMT(F312/100/12, 300, -(C312 *
(1 - G312/100)))</f>
        <v>1783.3100775853898</v>
      </c>
      <c r="M312" s="11">
        <f t="shared" si="20"/>
        <v>244593.02327561693</v>
      </c>
      <c r="N312" s="11">
        <f t="shared" si="21"/>
        <v>534993.02327561693</v>
      </c>
      <c r="O312">
        <f t="shared" si="22"/>
        <v>290400</v>
      </c>
      <c r="P312">
        <v>820.60186363636365</v>
      </c>
      <c r="R312" t="str">
        <f t="shared" si="23"/>
        <v>2</v>
      </c>
      <c r="S312">
        <f t="shared" si="24"/>
        <v>820.62070707070711</v>
      </c>
    </row>
    <row r="313" spans="1:19">
      <c r="A313" s="4" t="s">
        <v>22</v>
      </c>
      <c r="B313" s="4" t="s">
        <v>27</v>
      </c>
      <c r="C313" s="4">
        <v>330000</v>
      </c>
      <c r="D313" s="4">
        <v>2050</v>
      </c>
      <c r="E313" s="4">
        <v>2024</v>
      </c>
      <c r="F313" s="4">
        <v>5.4</v>
      </c>
      <c r="G313" s="4" t="s">
        <v>39</v>
      </c>
      <c r="H313" s="4" t="s">
        <v>19</v>
      </c>
      <c r="I313" s="4" t="s">
        <v>20</v>
      </c>
      <c r="J313" s="4" t="s">
        <v>29</v>
      </c>
      <c r="K313" s="20">
        <f>C313/D313</f>
        <v>160.97560975609755</v>
      </c>
      <c r="L313" s="11">
        <f>PMT(F313/100/12, 300, -(C313 *
(1 - G313/100)))</f>
        <v>1725.8727056044836</v>
      </c>
      <c r="M313" s="11">
        <f t="shared" si="20"/>
        <v>233961.81168134516</v>
      </c>
      <c r="N313" s="11">
        <f t="shared" si="21"/>
        <v>517761.81168134516</v>
      </c>
      <c r="O313">
        <f t="shared" si="22"/>
        <v>283800</v>
      </c>
      <c r="P313">
        <v>820.60186363636365</v>
      </c>
      <c r="R313" t="str">
        <f t="shared" si="23"/>
        <v>2</v>
      </c>
      <c r="S313">
        <f t="shared" si="24"/>
        <v>820.62070707070711</v>
      </c>
    </row>
    <row r="314" spans="1:19">
      <c r="A314" s="4" t="s">
        <v>33</v>
      </c>
      <c r="B314" s="4" t="s">
        <v>23</v>
      </c>
      <c r="C314" s="4">
        <v>335000</v>
      </c>
      <c r="D314" s="4">
        <v>2080</v>
      </c>
      <c r="E314" s="4">
        <v>2024</v>
      </c>
      <c r="F314" s="4">
        <v>5.3</v>
      </c>
      <c r="G314" s="4" t="s">
        <v>24</v>
      </c>
      <c r="H314" s="4" t="s">
        <v>19</v>
      </c>
      <c r="I314" s="4" t="s">
        <v>20</v>
      </c>
      <c r="J314" s="4" t="s">
        <v>21</v>
      </c>
      <c r="K314" s="20">
        <f>C314/D314</f>
        <v>161.05769230769232</v>
      </c>
      <c r="L314" s="11">
        <f>PMT(F314/100/12, 300, -(C314 *
(1 - G314/100)))</f>
        <v>1815.6366067121794</v>
      </c>
      <c r="M314" s="11">
        <f t="shared" si="20"/>
        <v>243190.98201365385</v>
      </c>
      <c r="N314" s="11">
        <f t="shared" si="21"/>
        <v>544690.98201365385</v>
      </c>
      <c r="O314">
        <f t="shared" si="22"/>
        <v>301500</v>
      </c>
      <c r="P314">
        <v>832.60186268656719</v>
      </c>
      <c r="R314" t="str">
        <f t="shared" si="23"/>
        <v>2</v>
      </c>
      <c r="S314">
        <f t="shared" si="24"/>
        <v>832.62069651741297</v>
      </c>
    </row>
    <row r="315" spans="1:19">
      <c r="A315" s="6" t="s">
        <v>26</v>
      </c>
      <c r="B315" s="6" t="s">
        <v>27</v>
      </c>
      <c r="C315" s="6">
        <v>300000</v>
      </c>
      <c r="D315" s="6">
        <v>1860</v>
      </c>
      <c r="E315" s="6">
        <v>2024</v>
      </c>
      <c r="F315" s="6">
        <v>5.5</v>
      </c>
      <c r="G315" s="6" t="s">
        <v>18</v>
      </c>
      <c r="H315" s="6" t="s">
        <v>19</v>
      </c>
      <c r="I315" s="6" t="s">
        <v>20</v>
      </c>
      <c r="J315" s="6" t="s">
        <v>29</v>
      </c>
      <c r="K315" s="20">
        <f>C315/D315</f>
        <v>161.29032258064515</v>
      </c>
      <c r="L315" s="11">
        <f>PMT(F315/100/12, 300, -(C315 *
(1 - G315/100)))</f>
        <v>1621.1909796230816</v>
      </c>
      <c r="M315" s="11">
        <f t="shared" si="20"/>
        <v>222357.29388692445</v>
      </c>
      <c r="N315" s="11">
        <f t="shared" si="21"/>
        <v>486357.29388692445</v>
      </c>
      <c r="O315">
        <f t="shared" si="22"/>
        <v>264000</v>
      </c>
      <c r="P315">
        <v>744.60185999999999</v>
      </c>
      <c r="R315" t="str">
        <f t="shared" si="23"/>
        <v>2</v>
      </c>
      <c r="S315">
        <f t="shared" si="24"/>
        <v>744.62066666666669</v>
      </c>
    </row>
    <row r="316" spans="1:19">
      <c r="A316" s="6" t="s">
        <v>26</v>
      </c>
      <c r="B316" s="6" t="s">
        <v>27</v>
      </c>
      <c r="C316" s="6">
        <v>320000</v>
      </c>
      <c r="D316" s="6">
        <v>1980</v>
      </c>
      <c r="E316" s="6">
        <v>2023</v>
      </c>
      <c r="F316" s="6">
        <v>6.2</v>
      </c>
      <c r="G316" s="6" t="s">
        <v>28</v>
      </c>
      <c r="H316" s="6" t="s">
        <v>19</v>
      </c>
      <c r="I316" s="6" t="s">
        <v>20</v>
      </c>
      <c r="J316" s="6" t="s">
        <v>29</v>
      </c>
      <c r="K316" s="20">
        <f>C316/D316</f>
        <v>161.61616161616161</v>
      </c>
      <c r="L316" s="11">
        <f>PMT(F316/100/12, 300, -(C316 *
(1 - G316/100)))</f>
        <v>1785.9033015180707</v>
      </c>
      <c r="M316" s="11">
        <f t="shared" si="20"/>
        <v>263770.99045542127</v>
      </c>
      <c r="N316" s="11">
        <f t="shared" si="21"/>
        <v>535770.99045542127</v>
      </c>
      <c r="O316">
        <f t="shared" si="22"/>
        <v>272000</v>
      </c>
      <c r="P316">
        <v>792.60185624999997</v>
      </c>
      <c r="R316" t="str">
        <f t="shared" si="23"/>
        <v>2</v>
      </c>
      <c r="S316">
        <f t="shared" si="24"/>
        <v>792.62062500000002</v>
      </c>
    </row>
    <row r="317" spans="1:19">
      <c r="A317" s="6" t="s">
        <v>33</v>
      </c>
      <c r="B317" s="6" t="s">
        <v>23</v>
      </c>
      <c r="C317" s="6">
        <v>340000</v>
      </c>
      <c r="D317" s="6">
        <v>2100</v>
      </c>
      <c r="E317" s="6">
        <v>2023</v>
      </c>
      <c r="F317" s="6">
        <v>6.1</v>
      </c>
      <c r="G317" s="6" t="s">
        <v>24</v>
      </c>
      <c r="H317" s="6" t="s">
        <v>19</v>
      </c>
      <c r="I317" s="6" t="s">
        <v>20</v>
      </c>
      <c r="J317" s="6" t="s">
        <v>21</v>
      </c>
      <c r="K317" s="20">
        <f>C317/D317</f>
        <v>161.9047619047619</v>
      </c>
      <c r="L317" s="11">
        <f>PMT(F317/100/12, 300, -(C317 *
(1 - G317/100)))</f>
        <v>1990.3097143054438</v>
      </c>
      <c r="M317" s="11">
        <f t="shared" si="20"/>
        <v>291092.91429163318</v>
      </c>
      <c r="N317" s="11">
        <f t="shared" si="21"/>
        <v>597092.91429163318</v>
      </c>
      <c r="O317">
        <f t="shared" si="22"/>
        <v>306000</v>
      </c>
      <c r="P317">
        <v>840.6018529411765</v>
      </c>
      <c r="R317" t="str">
        <f t="shared" si="23"/>
        <v>2</v>
      </c>
      <c r="S317">
        <f t="shared" si="24"/>
        <v>840.62058823529412</v>
      </c>
    </row>
    <row r="318" spans="1:19">
      <c r="A318" s="6" t="s">
        <v>26</v>
      </c>
      <c r="B318" s="6" t="s">
        <v>27</v>
      </c>
      <c r="C318" s="6">
        <v>340000</v>
      </c>
      <c r="D318" s="6">
        <v>2100</v>
      </c>
      <c r="E318" s="6">
        <v>2024</v>
      </c>
      <c r="F318" s="6">
        <v>5.4</v>
      </c>
      <c r="G318" s="6" t="s">
        <v>28</v>
      </c>
      <c r="H318" s="6" t="s">
        <v>19</v>
      </c>
      <c r="I318" s="6" t="s">
        <v>20</v>
      </c>
      <c r="J318" s="6" t="s">
        <v>29</v>
      </c>
      <c r="K318" s="20">
        <f>C318/D318</f>
        <v>161.9047619047619</v>
      </c>
      <c r="L318" s="11">
        <f>PMT(F318/100/12, 300, -(C318 *
(1 - G318/100)))</f>
        <v>1757.4954613097102</v>
      </c>
      <c r="M318" s="11">
        <f t="shared" si="20"/>
        <v>238248.63839291304</v>
      </c>
      <c r="N318" s="11">
        <f t="shared" si="21"/>
        <v>527248.63839291304</v>
      </c>
      <c r="O318">
        <f t="shared" si="22"/>
        <v>289000</v>
      </c>
      <c r="P318">
        <v>840.6018529411765</v>
      </c>
      <c r="R318" t="str">
        <f t="shared" si="23"/>
        <v>2</v>
      </c>
      <c r="S318">
        <f t="shared" si="24"/>
        <v>840.62058823529412</v>
      </c>
    </row>
    <row r="319" spans="1:19">
      <c r="A319" s="4" t="s">
        <v>26</v>
      </c>
      <c r="B319" s="4" t="s">
        <v>27</v>
      </c>
      <c r="C319" s="4">
        <v>312000</v>
      </c>
      <c r="D319" s="4">
        <v>1920</v>
      </c>
      <c r="E319" s="4">
        <v>2024</v>
      </c>
      <c r="F319" s="4">
        <v>5.5</v>
      </c>
      <c r="G319" s="4" t="s">
        <v>18</v>
      </c>
      <c r="H319" s="4" t="s">
        <v>19</v>
      </c>
      <c r="I319" s="4" t="s">
        <v>20</v>
      </c>
      <c r="J319" s="4" t="s">
        <v>29</v>
      </c>
      <c r="K319" s="20">
        <f>C319/D319</f>
        <v>162.5</v>
      </c>
      <c r="L319" s="11">
        <f>PMT(F319/100/12, 300, -(C319 *
(1 - G319/100)))</f>
        <v>1686.0386188080047</v>
      </c>
      <c r="M319" s="11">
        <f t="shared" si="20"/>
        <v>231251.58564240142</v>
      </c>
      <c r="N319" s="11">
        <f t="shared" si="21"/>
        <v>505811.58564240142</v>
      </c>
      <c r="O319">
        <f t="shared" si="22"/>
        <v>274560</v>
      </c>
      <c r="P319">
        <v>768.60184615384617</v>
      </c>
      <c r="R319" t="str">
        <f t="shared" si="23"/>
        <v>2</v>
      </c>
      <c r="S319">
        <f t="shared" si="24"/>
        <v>768.62051282051289</v>
      </c>
    </row>
    <row r="320" spans="1:19">
      <c r="A320" s="4" t="s">
        <v>26</v>
      </c>
      <c r="B320" s="4" t="s">
        <v>27</v>
      </c>
      <c r="C320" s="4">
        <v>325000</v>
      </c>
      <c r="D320" s="4">
        <v>2000</v>
      </c>
      <c r="E320" s="4">
        <v>2024</v>
      </c>
      <c r="F320" s="4">
        <v>5.5</v>
      </c>
      <c r="G320" s="4" t="s">
        <v>18</v>
      </c>
      <c r="H320" s="4" t="s">
        <v>19</v>
      </c>
      <c r="I320" s="4" t="s">
        <v>20</v>
      </c>
      <c r="J320" s="4" t="s">
        <v>29</v>
      </c>
      <c r="K320" s="20">
        <f>C320/D320</f>
        <v>162.5</v>
      </c>
      <c r="L320" s="11">
        <f>PMT(F320/100/12, 300, -(C320 *
(1 - G320/100)))</f>
        <v>1756.290227925005</v>
      </c>
      <c r="M320" s="11">
        <f t="shared" si="20"/>
        <v>240887.06837750139</v>
      </c>
      <c r="N320" s="11">
        <f t="shared" si="21"/>
        <v>526887.06837750133</v>
      </c>
      <c r="O320">
        <f t="shared" si="22"/>
        <v>286000</v>
      </c>
      <c r="P320">
        <v>800.60184615384617</v>
      </c>
      <c r="R320" t="str">
        <f t="shared" si="23"/>
        <v>2</v>
      </c>
      <c r="S320">
        <f t="shared" si="24"/>
        <v>800.62051282051289</v>
      </c>
    </row>
    <row r="321" spans="1:19">
      <c r="A321" s="4" t="s">
        <v>22</v>
      </c>
      <c r="B321" s="4" t="s">
        <v>27</v>
      </c>
      <c r="C321" s="4">
        <v>325000</v>
      </c>
      <c r="D321" s="4">
        <v>2000</v>
      </c>
      <c r="E321" s="4">
        <v>2024</v>
      </c>
      <c r="F321" s="4">
        <v>5.4</v>
      </c>
      <c r="G321" s="4" t="s">
        <v>39</v>
      </c>
      <c r="H321" s="4" t="s">
        <v>19</v>
      </c>
      <c r="I321" s="4" t="s">
        <v>20</v>
      </c>
      <c r="J321" s="4" t="s">
        <v>29</v>
      </c>
      <c r="K321" s="20">
        <f>C321/D321</f>
        <v>162.5</v>
      </c>
      <c r="L321" s="11">
        <f>PMT(F321/100/12, 300, -(C321 *
(1 - G321/100)))</f>
        <v>1699.7231191559306</v>
      </c>
      <c r="M321" s="11">
        <f t="shared" si="20"/>
        <v>230416.93574677926</v>
      </c>
      <c r="N321" s="11">
        <f t="shared" si="21"/>
        <v>509916.93574677926</v>
      </c>
      <c r="O321">
        <f t="shared" si="22"/>
        <v>279500</v>
      </c>
      <c r="P321">
        <v>800.60184615384617</v>
      </c>
      <c r="R321" t="str">
        <f t="shared" si="23"/>
        <v>2</v>
      </c>
      <c r="S321">
        <f t="shared" si="24"/>
        <v>800.62051282051289</v>
      </c>
    </row>
    <row r="322" spans="1:19">
      <c r="A322" s="4" t="s">
        <v>33</v>
      </c>
      <c r="B322" s="4" t="s">
        <v>23</v>
      </c>
      <c r="C322" s="4">
        <v>345000</v>
      </c>
      <c r="D322" s="4">
        <v>2120</v>
      </c>
      <c r="E322" s="4">
        <v>2024</v>
      </c>
      <c r="F322" s="4">
        <v>5.3</v>
      </c>
      <c r="G322" s="4">
        <v>10</v>
      </c>
      <c r="H322" s="4" t="s">
        <v>19</v>
      </c>
      <c r="I322" s="4" t="s">
        <v>20</v>
      </c>
      <c r="J322" s="4" t="s">
        <v>21</v>
      </c>
      <c r="K322" s="20">
        <f>C322/D322</f>
        <v>162.73584905660377</v>
      </c>
      <c r="L322" s="11">
        <f>PMT(F322/100/12, 300, -(C322 *
(1 - G322/100)))</f>
        <v>1869.8347143752296</v>
      </c>
      <c r="M322" s="11">
        <f t="shared" si="20"/>
        <v>250450.41431256878</v>
      </c>
      <c r="N322" s="11">
        <f t="shared" si="21"/>
        <v>560950.41431256873</v>
      </c>
      <c r="O322">
        <f t="shared" si="22"/>
        <v>310500</v>
      </c>
      <c r="P322">
        <v>848.60184347826089</v>
      </c>
      <c r="R322" t="str">
        <f t="shared" si="23"/>
        <v>2</v>
      </c>
      <c r="S322">
        <f t="shared" si="24"/>
        <v>848.62048309178749</v>
      </c>
    </row>
    <row r="323" spans="1:19">
      <c r="A323" s="4" t="s">
        <v>33</v>
      </c>
      <c r="B323" s="4" t="s">
        <v>23</v>
      </c>
      <c r="C323" s="4">
        <v>350000</v>
      </c>
      <c r="D323" s="4">
        <v>2150</v>
      </c>
      <c r="E323" s="4">
        <v>2023</v>
      </c>
      <c r="F323" s="4">
        <v>6.1</v>
      </c>
      <c r="G323" s="4" t="s">
        <v>24</v>
      </c>
      <c r="H323" s="4" t="s">
        <v>19</v>
      </c>
      <c r="I323" s="4" t="s">
        <v>20</v>
      </c>
      <c r="J323" s="4" t="s">
        <v>21</v>
      </c>
      <c r="K323" s="20">
        <f>C323/D323</f>
        <v>162.7906976744186</v>
      </c>
      <c r="L323" s="11">
        <f>PMT(F323/100/12, 300, -(C323 *
(1 - G323/100)))</f>
        <v>2048.8482353144273</v>
      </c>
      <c r="M323" s="11">
        <f t="shared" ref="M323:M386" si="25">-CUMIPMT(F323/1200,300,O323,1,300,0)</f>
        <v>299654.47059432813</v>
      </c>
      <c r="N323" s="11">
        <f t="shared" ref="N323:N386" si="26">O323+M323</f>
        <v>614654.47059432813</v>
      </c>
      <c r="O323">
        <f t="shared" ref="O323:O386" si="27">C323*(1-G323/100)</f>
        <v>315000</v>
      </c>
      <c r="P323">
        <v>860.60184285714286</v>
      </c>
      <c r="R323" t="str">
        <f t="shared" ref="R323:R386" si="28">IF(H323="A","4",IF(H323="B","3",IF(H323="C","2",IF(H323="D","1",0))))</f>
        <v>2</v>
      </c>
      <c r="S323">
        <f t="shared" ref="S323:S386" si="29">D323*0.4 +R323*0.3 +(1/(K323*0.3))</f>
        <v>860.62047619047621</v>
      </c>
    </row>
    <row r="324" spans="1:19">
      <c r="A324" s="4" t="s">
        <v>37</v>
      </c>
      <c r="B324" s="4" t="s">
        <v>23</v>
      </c>
      <c r="C324" s="4">
        <v>350000</v>
      </c>
      <c r="D324" s="4">
        <v>2150</v>
      </c>
      <c r="E324" s="4">
        <v>2024</v>
      </c>
      <c r="F324" s="4">
        <v>5.3</v>
      </c>
      <c r="G324" s="4" t="s">
        <v>24</v>
      </c>
      <c r="H324" s="4" t="s">
        <v>19</v>
      </c>
      <c r="I324" s="4" t="s">
        <v>20</v>
      </c>
      <c r="J324" s="4" t="s">
        <v>21</v>
      </c>
      <c r="K324" s="20">
        <f>C324/D324</f>
        <v>162.7906976744186</v>
      </c>
      <c r="L324" s="11">
        <f>PMT(F324/100/12, 300, -(C324 *
(1 - G324/100)))</f>
        <v>1896.9337682067544</v>
      </c>
      <c r="M324" s="11">
        <f t="shared" si="25"/>
        <v>254080.13046202634</v>
      </c>
      <c r="N324" s="11">
        <f t="shared" si="26"/>
        <v>569080.13046202634</v>
      </c>
      <c r="O324">
        <f t="shared" si="27"/>
        <v>315000</v>
      </c>
      <c r="P324">
        <v>860.60184285714286</v>
      </c>
      <c r="R324" t="str">
        <f t="shared" si="28"/>
        <v>2</v>
      </c>
      <c r="S324">
        <f t="shared" si="29"/>
        <v>860.62047619047621</v>
      </c>
    </row>
    <row r="325" spans="1:19">
      <c r="A325" s="6" t="s">
        <v>33</v>
      </c>
      <c r="B325" s="6" t="s">
        <v>23</v>
      </c>
      <c r="C325" s="6">
        <v>355000</v>
      </c>
      <c r="D325" s="6">
        <v>2180</v>
      </c>
      <c r="E325" s="6">
        <v>2024</v>
      </c>
      <c r="F325" s="6">
        <v>5.3</v>
      </c>
      <c r="G325" s="6" t="s">
        <v>24</v>
      </c>
      <c r="H325" s="6" t="s">
        <v>19</v>
      </c>
      <c r="I325" s="6" t="s">
        <v>20</v>
      </c>
      <c r="J325" s="6" t="s">
        <v>21</v>
      </c>
      <c r="K325" s="20">
        <f>C325/D325</f>
        <v>162.8440366972477</v>
      </c>
      <c r="L325" s="11">
        <f>PMT(F325/100/12, 300, -(C325 *
(1 - G325/100)))</f>
        <v>1924.0328220382796</v>
      </c>
      <c r="M325" s="11">
        <f t="shared" si="25"/>
        <v>257709.84661148378</v>
      </c>
      <c r="N325" s="11">
        <f t="shared" si="26"/>
        <v>577209.84661148372</v>
      </c>
      <c r="O325">
        <f t="shared" si="27"/>
        <v>319500</v>
      </c>
      <c r="P325">
        <v>872.60184225352111</v>
      </c>
      <c r="R325" t="str">
        <f t="shared" si="28"/>
        <v>2</v>
      </c>
      <c r="S325">
        <f t="shared" si="29"/>
        <v>872.62046948356806</v>
      </c>
    </row>
    <row r="326" spans="1:19">
      <c r="A326" s="6" t="s">
        <v>26</v>
      </c>
      <c r="B326" s="6" t="s">
        <v>27</v>
      </c>
      <c r="C326" s="6">
        <v>318000</v>
      </c>
      <c r="D326" s="6">
        <v>1950</v>
      </c>
      <c r="E326" s="6">
        <v>2024</v>
      </c>
      <c r="F326" s="6">
        <v>5.5</v>
      </c>
      <c r="G326" s="6" t="s">
        <v>18</v>
      </c>
      <c r="H326" s="6" t="s">
        <v>19</v>
      </c>
      <c r="I326" s="6" t="s">
        <v>20</v>
      </c>
      <c r="J326" s="6" t="s">
        <v>29</v>
      </c>
      <c r="K326" s="20">
        <f>C326/D326</f>
        <v>163.07692307692307</v>
      </c>
      <c r="L326" s="11">
        <f>PMT(F326/100/12, 300, -(C326 *
(1 - G326/100)))</f>
        <v>1718.4624384004665</v>
      </c>
      <c r="M326" s="11">
        <f t="shared" si="25"/>
        <v>235698.73152013996</v>
      </c>
      <c r="N326" s="11">
        <f t="shared" si="26"/>
        <v>515538.73152013996</v>
      </c>
      <c r="O326">
        <f t="shared" si="27"/>
        <v>279840</v>
      </c>
      <c r="P326">
        <v>780.60183962264148</v>
      </c>
      <c r="R326" t="str">
        <f t="shared" si="28"/>
        <v>2</v>
      </c>
      <c r="S326">
        <f t="shared" si="29"/>
        <v>780.6204402515724</v>
      </c>
    </row>
    <row r="327" spans="1:19">
      <c r="A327" s="4" t="s">
        <v>26</v>
      </c>
      <c r="B327" s="4" t="s">
        <v>27</v>
      </c>
      <c r="C327" s="4">
        <v>298000</v>
      </c>
      <c r="D327" s="4">
        <v>1820</v>
      </c>
      <c r="E327" s="4">
        <v>2023</v>
      </c>
      <c r="F327" s="4">
        <v>6.3</v>
      </c>
      <c r="G327" s="4" t="s">
        <v>18</v>
      </c>
      <c r="H327" s="4" t="s">
        <v>19</v>
      </c>
      <c r="I327" s="4" t="s">
        <v>20</v>
      </c>
      <c r="J327" s="4" t="s">
        <v>29</v>
      </c>
      <c r="K327" s="20">
        <f>C327/D327</f>
        <v>163.73626373626374</v>
      </c>
      <c r="L327" s="11">
        <f>PMT(F327/100/12, 300, -(C327 *
(1 - G327/100)))</f>
        <v>1738.0308788954944</v>
      </c>
      <c r="M327" s="11">
        <f t="shared" si="25"/>
        <v>259169.2636686482</v>
      </c>
      <c r="N327" s="11">
        <f t="shared" si="26"/>
        <v>521409.2636686482</v>
      </c>
      <c r="O327">
        <f t="shared" si="27"/>
        <v>262240</v>
      </c>
      <c r="P327">
        <v>728.60183221476507</v>
      </c>
      <c r="R327" t="str">
        <f t="shared" si="28"/>
        <v>2</v>
      </c>
      <c r="S327">
        <f t="shared" si="29"/>
        <v>728.62035794183453</v>
      </c>
    </row>
    <row r="328" spans="1:19">
      <c r="A328" s="4" t="s">
        <v>10</v>
      </c>
      <c r="B328" s="4" t="s">
        <v>17</v>
      </c>
      <c r="C328" s="4">
        <v>475000</v>
      </c>
      <c r="D328" s="4">
        <v>2900</v>
      </c>
      <c r="E328" s="4">
        <v>2024</v>
      </c>
      <c r="F328" s="4">
        <v>5</v>
      </c>
      <c r="G328" s="4" t="s">
        <v>18</v>
      </c>
      <c r="H328" s="4" t="s">
        <v>19</v>
      </c>
      <c r="I328" s="4" t="s">
        <v>20</v>
      </c>
      <c r="J328" s="4" t="s">
        <v>21</v>
      </c>
      <c r="K328" s="20">
        <f>C328/D328</f>
        <v>163.79310344827587</v>
      </c>
      <c r="L328" s="11">
        <f>PMT(F328/100/12, 300, -(C328 *
(1 - G328/100)))</f>
        <v>2443.5863735033522</v>
      </c>
      <c r="M328" s="11">
        <f t="shared" si="25"/>
        <v>315075.9120510057</v>
      </c>
      <c r="N328" s="11">
        <f t="shared" si="26"/>
        <v>733075.91205100575</v>
      </c>
      <c r="O328">
        <f t="shared" si="27"/>
        <v>418000</v>
      </c>
      <c r="P328">
        <v>1160.6018315789472</v>
      </c>
      <c r="R328" t="str">
        <f t="shared" si="28"/>
        <v>2</v>
      </c>
      <c r="S328">
        <f t="shared" si="29"/>
        <v>1160.620350877193</v>
      </c>
    </row>
    <row r="329" spans="1:19">
      <c r="A329" s="6" t="s">
        <v>30</v>
      </c>
      <c r="B329" s="6" t="s">
        <v>27</v>
      </c>
      <c r="C329" s="6">
        <v>385000</v>
      </c>
      <c r="D329" s="6">
        <v>2350</v>
      </c>
      <c r="E329" s="6">
        <v>2024</v>
      </c>
      <c r="F329" s="6">
        <v>5.3</v>
      </c>
      <c r="G329" s="6" t="s">
        <v>12</v>
      </c>
      <c r="H329" s="6" t="s">
        <v>13</v>
      </c>
      <c r="I329" s="6" t="s">
        <v>20</v>
      </c>
      <c r="J329" s="6" t="s">
        <v>29</v>
      </c>
      <c r="K329" s="20">
        <f>C329/D329</f>
        <v>163.82978723404256</v>
      </c>
      <c r="L329" s="11">
        <f>PMT(F329/100/12, 300, -(C329 *
(1 - G329/100)))</f>
        <v>1901.1491765805472</v>
      </c>
      <c r="M329" s="11">
        <f t="shared" si="25"/>
        <v>254644.75297416421</v>
      </c>
      <c r="N329" s="11">
        <f t="shared" si="26"/>
        <v>570344.75297416421</v>
      </c>
      <c r="O329">
        <f t="shared" si="27"/>
        <v>315700</v>
      </c>
      <c r="P329">
        <v>940.90183116883111</v>
      </c>
      <c r="R329" t="str">
        <f t="shared" si="28"/>
        <v>3</v>
      </c>
      <c r="S329">
        <f t="shared" si="29"/>
        <v>940.92034632034631</v>
      </c>
    </row>
    <row r="330" spans="1:19">
      <c r="A330" s="4" t="s">
        <v>22</v>
      </c>
      <c r="B330" s="4" t="s">
        <v>27</v>
      </c>
      <c r="C330" s="4">
        <v>320000</v>
      </c>
      <c r="D330" s="4">
        <v>1950</v>
      </c>
      <c r="E330" s="4">
        <v>2024</v>
      </c>
      <c r="F330" s="4">
        <v>5.4</v>
      </c>
      <c r="G330" s="4" t="s">
        <v>39</v>
      </c>
      <c r="H330" s="4" t="s">
        <v>19</v>
      </c>
      <c r="I330" s="4" t="s">
        <v>20</v>
      </c>
      <c r="J330" s="4" t="s">
        <v>29</v>
      </c>
      <c r="K330" s="20">
        <f>C330/D330</f>
        <v>164.10256410256412</v>
      </c>
      <c r="L330" s="11">
        <f>PMT(F330/100/12, 300, -(C330 *
(1 - G330/100)))</f>
        <v>1673.573532707378</v>
      </c>
      <c r="M330" s="11">
        <f t="shared" si="25"/>
        <v>226872.05981221341</v>
      </c>
      <c r="N330" s="11">
        <f t="shared" si="26"/>
        <v>502072.05981221341</v>
      </c>
      <c r="O330">
        <f t="shared" si="27"/>
        <v>275200</v>
      </c>
      <c r="P330">
        <v>780.601828125</v>
      </c>
      <c r="R330" t="str">
        <f t="shared" si="28"/>
        <v>2</v>
      </c>
      <c r="S330">
        <f t="shared" si="29"/>
        <v>780.62031250000007</v>
      </c>
    </row>
    <row r="331" spans="1:19">
      <c r="A331" s="6" t="s">
        <v>26</v>
      </c>
      <c r="B331" s="6" t="s">
        <v>27</v>
      </c>
      <c r="C331" s="6">
        <v>325000</v>
      </c>
      <c r="D331" s="6">
        <v>1980</v>
      </c>
      <c r="E331" s="6">
        <v>2023</v>
      </c>
      <c r="F331" s="6">
        <v>6.2</v>
      </c>
      <c r="G331" s="6" t="s">
        <v>28</v>
      </c>
      <c r="H331" s="6" t="s">
        <v>19</v>
      </c>
      <c r="I331" s="6" t="s">
        <v>20</v>
      </c>
      <c r="J331" s="6" t="s">
        <v>29</v>
      </c>
      <c r="K331" s="20">
        <f>C331/D331</f>
        <v>164.14141414141415</v>
      </c>
      <c r="L331" s="11">
        <f>PMT(F331/100/12, 300, -(C331 *
(1 - G331/100)))</f>
        <v>1813.8080406042907</v>
      </c>
      <c r="M331" s="11">
        <f t="shared" si="25"/>
        <v>267892.41218128713</v>
      </c>
      <c r="N331" s="11">
        <f t="shared" si="26"/>
        <v>544142.41218128707</v>
      </c>
      <c r="O331">
        <f t="shared" si="27"/>
        <v>276250</v>
      </c>
      <c r="P331">
        <v>792.60182769230767</v>
      </c>
      <c r="R331" t="str">
        <f t="shared" si="28"/>
        <v>2</v>
      </c>
      <c r="S331">
        <f t="shared" si="29"/>
        <v>792.62030769230773</v>
      </c>
    </row>
    <row r="332" spans="1:19">
      <c r="A332" s="4" t="s">
        <v>37</v>
      </c>
      <c r="B332" s="4" t="s">
        <v>23</v>
      </c>
      <c r="C332" s="4">
        <v>345000</v>
      </c>
      <c r="D332" s="4">
        <v>2100</v>
      </c>
      <c r="E332" s="4">
        <v>2024</v>
      </c>
      <c r="F332" s="4">
        <v>5.3</v>
      </c>
      <c r="G332" s="4" t="s">
        <v>24</v>
      </c>
      <c r="H332" s="4" t="s">
        <v>19</v>
      </c>
      <c r="I332" s="4" t="s">
        <v>20</v>
      </c>
      <c r="J332" s="4" t="s">
        <v>21</v>
      </c>
      <c r="K332" s="20">
        <f>C332/D332</f>
        <v>164.28571428571428</v>
      </c>
      <c r="L332" s="11">
        <f>PMT(F332/100/12, 300, -(C332 *
(1 - G332/100)))</f>
        <v>1869.8347143752296</v>
      </c>
      <c r="M332" s="11">
        <f t="shared" si="25"/>
        <v>250450.41431256878</v>
      </c>
      <c r="N332" s="11">
        <f t="shared" si="26"/>
        <v>560950.41431256873</v>
      </c>
      <c r="O332">
        <f t="shared" si="27"/>
        <v>310500</v>
      </c>
      <c r="P332">
        <v>840.60182608695652</v>
      </c>
      <c r="R332" t="str">
        <f t="shared" si="28"/>
        <v>2</v>
      </c>
      <c r="S332">
        <f t="shared" si="29"/>
        <v>840.62028985507254</v>
      </c>
    </row>
    <row r="333" spans="1:19">
      <c r="A333" s="4" t="s">
        <v>22</v>
      </c>
      <c r="B333" s="4" t="s">
        <v>27</v>
      </c>
      <c r="C333" s="4">
        <v>305000</v>
      </c>
      <c r="D333" s="4">
        <v>1850</v>
      </c>
      <c r="E333" s="4">
        <v>2024</v>
      </c>
      <c r="F333" s="4">
        <v>5.4</v>
      </c>
      <c r="G333" s="4">
        <v>14</v>
      </c>
      <c r="H333" s="4" t="s">
        <v>19</v>
      </c>
      <c r="I333" s="4" t="s">
        <v>20</v>
      </c>
      <c r="J333" s="4" t="s">
        <v>21</v>
      </c>
      <c r="K333" s="20">
        <f>C333/D333</f>
        <v>164.86486486486487</v>
      </c>
      <c r="L333" s="11">
        <f>PMT(F333/100/12, 300, -(C333 *
(1 - G333/100)))</f>
        <v>1595.1247733617197</v>
      </c>
      <c r="M333" s="11">
        <f t="shared" si="25"/>
        <v>216237.43200851599</v>
      </c>
      <c r="N333" s="11">
        <f t="shared" si="26"/>
        <v>478537.43200851599</v>
      </c>
      <c r="O333">
        <f t="shared" si="27"/>
        <v>262300</v>
      </c>
      <c r="P333">
        <v>740.60181967213111</v>
      </c>
      <c r="R333" t="str">
        <f t="shared" si="28"/>
        <v>2</v>
      </c>
      <c r="S333">
        <f t="shared" si="29"/>
        <v>740.62021857923503</v>
      </c>
    </row>
    <row r="334" spans="1:19">
      <c r="A334" s="4" t="s">
        <v>22</v>
      </c>
      <c r="B334" s="4" t="s">
        <v>27</v>
      </c>
      <c r="C334" s="4">
        <v>330000</v>
      </c>
      <c r="D334" s="4">
        <v>2000</v>
      </c>
      <c r="E334" s="4">
        <v>2023</v>
      </c>
      <c r="F334" s="4">
        <v>6.3</v>
      </c>
      <c r="G334" s="4" t="s">
        <v>39</v>
      </c>
      <c r="H334" s="4" t="s">
        <v>19</v>
      </c>
      <c r="I334" s="4" t="s">
        <v>20</v>
      </c>
      <c r="J334" s="4" t="s">
        <v>29</v>
      </c>
      <c r="K334" s="20">
        <f>C334/D334</f>
        <v>165</v>
      </c>
      <c r="L334" s="11">
        <f>PMT(F334/100/12, 300, -(C334 *
(1 - G334/100)))</f>
        <v>1880.9226793416003</v>
      </c>
      <c r="M334" s="11">
        <f t="shared" si="25"/>
        <v>280476.80380247999</v>
      </c>
      <c r="N334" s="11">
        <f t="shared" si="26"/>
        <v>564276.80380247999</v>
      </c>
      <c r="O334">
        <f t="shared" si="27"/>
        <v>283800</v>
      </c>
      <c r="P334">
        <v>800.6018181818182</v>
      </c>
      <c r="R334" t="str">
        <f t="shared" si="28"/>
        <v>2</v>
      </c>
      <c r="S334">
        <f t="shared" si="29"/>
        <v>800.62020202020199</v>
      </c>
    </row>
    <row r="335" spans="1:19">
      <c r="A335" s="4" t="s">
        <v>35</v>
      </c>
      <c r="B335" s="4" t="s">
        <v>27</v>
      </c>
      <c r="C335" s="4">
        <v>278000</v>
      </c>
      <c r="D335" s="4">
        <v>1680</v>
      </c>
      <c r="E335" s="4">
        <v>2024</v>
      </c>
      <c r="F335" s="4">
        <v>5.4</v>
      </c>
      <c r="G335" s="4" t="s">
        <v>18</v>
      </c>
      <c r="H335" s="4" t="s">
        <v>19</v>
      </c>
      <c r="I335" s="4" t="s">
        <v>20</v>
      </c>
      <c r="J335" s="4" t="s">
        <v>29</v>
      </c>
      <c r="K335" s="20">
        <f>C335/D335</f>
        <v>165.47619047619048</v>
      </c>
      <c r="L335" s="11">
        <f>PMT(F335/100/12, 300, -(C335 *
(1 - G335/100)))</f>
        <v>1487.7290299474309</v>
      </c>
      <c r="M335" s="11">
        <f t="shared" si="25"/>
        <v>201678.70898422934</v>
      </c>
      <c r="N335" s="11">
        <f t="shared" si="26"/>
        <v>446318.70898422936</v>
      </c>
      <c r="O335">
        <f t="shared" si="27"/>
        <v>244640</v>
      </c>
      <c r="P335">
        <v>672.60181294964036</v>
      </c>
      <c r="R335" t="str">
        <f t="shared" si="28"/>
        <v>2</v>
      </c>
      <c r="S335">
        <f t="shared" si="29"/>
        <v>672.62014388489206</v>
      </c>
    </row>
    <row r="336" spans="1:19">
      <c r="A336" s="6" t="s">
        <v>26</v>
      </c>
      <c r="B336" s="6" t="s">
        <v>27</v>
      </c>
      <c r="C336" s="6">
        <v>305000</v>
      </c>
      <c r="D336" s="6">
        <v>1840</v>
      </c>
      <c r="E336" s="6">
        <v>2024</v>
      </c>
      <c r="F336" s="6">
        <v>5.2</v>
      </c>
      <c r="G336" s="6" t="s">
        <v>28</v>
      </c>
      <c r="H336" s="6" t="s">
        <v>19</v>
      </c>
      <c r="I336" s="6" t="s">
        <v>20</v>
      </c>
      <c r="J336" s="6" t="s">
        <v>29</v>
      </c>
      <c r="K336" s="20">
        <f>C336/D336</f>
        <v>165.7608695652174</v>
      </c>
      <c r="L336" s="11">
        <f>PMT(F336/100/12, 300, -(C336 *
(1 - G336/100)))</f>
        <v>1545.9116866629702</v>
      </c>
      <c r="M336" s="11">
        <f t="shared" si="25"/>
        <v>204523.50599889091</v>
      </c>
      <c r="N336" s="11">
        <f t="shared" si="26"/>
        <v>463773.50599889091</v>
      </c>
      <c r="O336">
        <f t="shared" si="27"/>
        <v>259250</v>
      </c>
      <c r="P336">
        <v>736.60180983606563</v>
      </c>
      <c r="R336" t="str">
        <f t="shared" si="28"/>
        <v>2</v>
      </c>
      <c r="S336">
        <f t="shared" si="29"/>
        <v>736.62010928961752</v>
      </c>
    </row>
    <row r="337" spans="1:19">
      <c r="A337" s="4" t="s">
        <v>33</v>
      </c>
      <c r="B337" s="4" t="s">
        <v>23</v>
      </c>
      <c r="C337" s="4">
        <v>340000</v>
      </c>
      <c r="D337" s="4">
        <v>2050</v>
      </c>
      <c r="E337" s="4">
        <v>2024</v>
      </c>
      <c r="F337" s="4">
        <v>5.3</v>
      </c>
      <c r="G337" s="8">
        <v>10</v>
      </c>
      <c r="H337" s="4" t="s">
        <v>19</v>
      </c>
      <c r="I337" s="4" t="s">
        <v>20</v>
      </c>
      <c r="J337" s="4" t="s">
        <v>21</v>
      </c>
      <c r="K337" s="20">
        <f>C337/D337</f>
        <v>165.85365853658536</v>
      </c>
      <c r="L337" s="11">
        <f>PMT(F337/100/12, 300, -(C337 *
(1 - G337/100)))</f>
        <v>1842.7356605437044</v>
      </c>
      <c r="M337" s="11">
        <f t="shared" si="25"/>
        <v>246820.69816311129</v>
      </c>
      <c r="N337" s="11">
        <f t="shared" si="26"/>
        <v>552820.69816311123</v>
      </c>
      <c r="O337">
        <f t="shared" si="27"/>
        <v>306000</v>
      </c>
      <c r="P337">
        <v>820.60180882352938</v>
      </c>
      <c r="R337" t="str">
        <f t="shared" si="28"/>
        <v>2</v>
      </c>
      <c r="S337">
        <f t="shared" si="29"/>
        <v>820.62009803921569</v>
      </c>
    </row>
    <row r="338" spans="1:19">
      <c r="A338" s="4" t="s">
        <v>37</v>
      </c>
      <c r="B338" s="4" t="s">
        <v>23</v>
      </c>
      <c r="C338" s="4">
        <v>340000</v>
      </c>
      <c r="D338" s="4">
        <v>2050</v>
      </c>
      <c r="E338" s="4">
        <v>2024</v>
      </c>
      <c r="F338" s="4">
        <v>5.3</v>
      </c>
      <c r="G338" s="4" t="s">
        <v>24</v>
      </c>
      <c r="H338" s="4" t="s">
        <v>19</v>
      </c>
      <c r="I338" s="4" t="s">
        <v>20</v>
      </c>
      <c r="J338" s="4" t="s">
        <v>21</v>
      </c>
      <c r="K338" s="20">
        <f>C338/D338</f>
        <v>165.85365853658536</v>
      </c>
      <c r="L338" s="11">
        <f>PMT(F338/100/12, 300, -(C338 *
(1 - G338/100)))</f>
        <v>1842.7356605437044</v>
      </c>
      <c r="M338" s="11">
        <f t="shared" si="25"/>
        <v>246820.69816311129</v>
      </c>
      <c r="N338" s="11">
        <f t="shared" si="26"/>
        <v>552820.69816311123</v>
      </c>
      <c r="O338">
        <f t="shared" si="27"/>
        <v>306000</v>
      </c>
      <c r="P338">
        <v>820.60180882352938</v>
      </c>
      <c r="R338" t="str">
        <f t="shared" si="28"/>
        <v>2</v>
      </c>
      <c r="S338">
        <f t="shared" si="29"/>
        <v>820.62009803921569</v>
      </c>
    </row>
    <row r="339" spans="1:19">
      <c r="A339" s="4" t="s">
        <v>33</v>
      </c>
      <c r="B339" s="4" t="s">
        <v>23</v>
      </c>
      <c r="C339" s="4">
        <v>345000</v>
      </c>
      <c r="D339" s="4">
        <v>2080</v>
      </c>
      <c r="E339" s="4">
        <v>2024</v>
      </c>
      <c r="F339" s="4">
        <v>5.3</v>
      </c>
      <c r="G339" s="4" t="s">
        <v>24</v>
      </c>
      <c r="H339" s="4" t="s">
        <v>19</v>
      </c>
      <c r="I339" s="4" t="s">
        <v>20</v>
      </c>
      <c r="J339" s="4" t="s">
        <v>21</v>
      </c>
      <c r="K339" s="20">
        <f>C339/D339</f>
        <v>165.86538461538461</v>
      </c>
      <c r="L339" s="11">
        <f>PMT(F339/100/12, 300, -(C339 *
(1 - G339/100)))</f>
        <v>1869.8347143752296</v>
      </c>
      <c r="M339" s="11">
        <f t="shared" si="25"/>
        <v>250450.41431256878</v>
      </c>
      <c r="N339" s="11">
        <f t="shared" si="26"/>
        <v>560950.41431256873</v>
      </c>
      <c r="O339">
        <f t="shared" si="27"/>
        <v>310500</v>
      </c>
      <c r="P339">
        <v>832.60180869565215</v>
      </c>
      <c r="R339" t="str">
        <f t="shared" si="28"/>
        <v>2</v>
      </c>
      <c r="S339">
        <f t="shared" si="29"/>
        <v>832.62009661835748</v>
      </c>
    </row>
    <row r="340" spans="1:19">
      <c r="A340" s="4" t="s">
        <v>10</v>
      </c>
      <c r="B340" s="4" t="s">
        <v>17</v>
      </c>
      <c r="C340" s="4">
        <v>465000</v>
      </c>
      <c r="D340" s="4">
        <v>2800</v>
      </c>
      <c r="E340" s="4">
        <v>2024</v>
      </c>
      <c r="F340" s="4">
        <v>5</v>
      </c>
      <c r="G340" s="4" t="s">
        <v>18</v>
      </c>
      <c r="H340" s="4" t="s">
        <v>25</v>
      </c>
      <c r="I340" s="4" t="s">
        <v>20</v>
      </c>
      <c r="J340" s="4" t="s">
        <v>21</v>
      </c>
      <c r="K340" s="20">
        <f>C340/D340</f>
        <v>166.07142857142858</v>
      </c>
      <c r="L340" s="11">
        <f>PMT(F340/100/12, 300, -(C340 *
(1 - G340/100)))</f>
        <v>2392.1424498506508</v>
      </c>
      <c r="M340" s="11">
        <f t="shared" si="25"/>
        <v>308442.73495519522</v>
      </c>
      <c r="N340" s="11">
        <f t="shared" si="26"/>
        <v>717642.73495519522</v>
      </c>
      <c r="O340">
        <f t="shared" si="27"/>
        <v>409200</v>
      </c>
      <c r="P340">
        <v>1120.3018064516129</v>
      </c>
      <c r="R340" t="str">
        <f t="shared" si="28"/>
        <v>1</v>
      </c>
      <c r="S340">
        <f t="shared" si="29"/>
        <v>1120.3200716845877</v>
      </c>
    </row>
    <row r="341" spans="1:19">
      <c r="A341" s="6" t="s">
        <v>30</v>
      </c>
      <c r="B341" s="6" t="s">
        <v>27</v>
      </c>
      <c r="C341" s="6">
        <v>382000</v>
      </c>
      <c r="D341" s="6">
        <v>2300</v>
      </c>
      <c r="E341" s="6">
        <v>2024</v>
      </c>
      <c r="F341" s="6">
        <v>5.3</v>
      </c>
      <c r="G341" s="6" t="s">
        <v>12</v>
      </c>
      <c r="H341" s="6" t="s">
        <v>13</v>
      </c>
      <c r="I341" s="6" t="s">
        <v>20</v>
      </c>
      <c r="J341" s="6" t="s">
        <v>29</v>
      </c>
      <c r="K341" s="20">
        <f>C341/D341</f>
        <v>166.08695652173913</v>
      </c>
      <c r="L341" s="11">
        <f>PMT(F341/100/12, 300, -(C341 *
(1 - G341/100)))</f>
        <v>1886.3350271526472</v>
      </c>
      <c r="M341" s="11">
        <f t="shared" si="25"/>
        <v>252660.5081457941</v>
      </c>
      <c r="N341" s="11">
        <f t="shared" si="26"/>
        <v>565900.50814579404</v>
      </c>
      <c r="O341">
        <f t="shared" si="27"/>
        <v>313240</v>
      </c>
      <c r="P341">
        <v>920.90180628272253</v>
      </c>
      <c r="R341" t="str">
        <f t="shared" si="28"/>
        <v>3</v>
      </c>
      <c r="S341">
        <f t="shared" si="29"/>
        <v>920.92006980802785</v>
      </c>
    </row>
    <row r="342" spans="1:19">
      <c r="A342" s="4" t="s">
        <v>35</v>
      </c>
      <c r="B342" s="4" t="s">
        <v>27</v>
      </c>
      <c r="C342" s="4">
        <v>270000</v>
      </c>
      <c r="D342" s="4">
        <v>1620</v>
      </c>
      <c r="E342" s="4">
        <v>2024</v>
      </c>
      <c r="F342" s="4">
        <v>5.4</v>
      </c>
      <c r="G342" s="4" t="s">
        <v>18</v>
      </c>
      <c r="H342" s="4" t="s">
        <v>19</v>
      </c>
      <c r="I342" s="4" t="s">
        <v>20</v>
      </c>
      <c r="J342" s="4" t="s">
        <v>29</v>
      </c>
      <c r="K342" s="20">
        <f>C342/D342</f>
        <v>166.66666666666666</v>
      </c>
      <c r="L342" s="11">
        <f>PMT(F342/100/12, 300, -(C342 *
(1 - G342/100)))</f>
        <v>1444.916683761893</v>
      </c>
      <c r="M342" s="11">
        <f t="shared" si="25"/>
        <v>195875.00512856792</v>
      </c>
      <c r="N342" s="11">
        <f t="shared" si="26"/>
        <v>433475.00512856792</v>
      </c>
      <c r="O342">
        <f t="shared" si="27"/>
        <v>237600</v>
      </c>
      <c r="P342">
        <v>648.60180000000003</v>
      </c>
      <c r="R342" t="str">
        <f t="shared" si="28"/>
        <v>2</v>
      </c>
      <c r="S342">
        <f t="shared" si="29"/>
        <v>648.62</v>
      </c>
    </row>
    <row r="343" spans="1:19">
      <c r="A343" s="4" t="s">
        <v>10</v>
      </c>
      <c r="B343" s="4" t="s">
        <v>17</v>
      </c>
      <c r="C343" s="4">
        <v>450000</v>
      </c>
      <c r="D343" s="4">
        <v>2700</v>
      </c>
      <c r="E343" s="4">
        <v>2023</v>
      </c>
      <c r="F343" s="4">
        <v>6</v>
      </c>
      <c r="G343" s="4" t="s">
        <v>24</v>
      </c>
      <c r="H343" s="4" t="s">
        <v>19</v>
      </c>
      <c r="I343" s="4" t="s">
        <v>20</v>
      </c>
      <c r="J343" s="4" t="s">
        <v>21</v>
      </c>
      <c r="K343" s="20">
        <f>C343/D343</f>
        <v>166.66666666666666</v>
      </c>
      <c r="L343" s="11">
        <f>PMT(F343/100/12, 300, -(C343 *
(1 - G343/100)))</f>
        <v>2609.4206760163097</v>
      </c>
      <c r="M343" s="11">
        <f t="shared" si="25"/>
        <v>377826.20280489296</v>
      </c>
      <c r="N343" s="11">
        <f t="shared" si="26"/>
        <v>782826.20280489302</v>
      </c>
      <c r="O343">
        <f t="shared" si="27"/>
        <v>405000</v>
      </c>
      <c r="P343">
        <v>1080.6017999999999</v>
      </c>
      <c r="R343" t="str">
        <f t="shared" si="28"/>
        <v>2</v>
      </c>
      <c r="S343">
        <f t="shared" si="29"/>
        <v>1080.6199999999999</v>
      </c>
    </row>
    <row r="344" spans="1:19">
      <c r="A344" s="6" t="s">
        <v>35</v>
      </c>
      <c r="B344" s="6" t="s">
        <v>27</v>
      </c>
      <c r="C344" s="6">
        <v>275000</v>
      </c>
      <c r="D344" s="6">
        <v>1650</v>
      </c>
      <c r="E344" s="6">
        <v>2023</v>
      </c>
      <c r="F344" s="6">
        <v>6.5</v>
      </c>
      <c r="G344" s="6" t="s">
        <v>18</v>
      </c>
      <c r="H344" s="6" t="s">
        <v>19</v>
      </c>
      <c r="I344" s="6" t="s">
        <v>20</v>
      </c>
      <c r="J344" s="6" t="s">
        <v>29</v>
      </c>
      <c r="K344" s="20">
        <f>C344/D344</f>
        <v>166.66666666666666</v>
      </c>
      <c r="L344" s="11">
        <f>PMT(F344/100/12, 300, -(C344 *
(1 - G344/100)))</f>
        <v>1634.0013304612878</v>
      </c>
      <c r="M344" s="11">
        <f t="shared" si="25"/>
        <v>248200.39913838636</v>
      </c>
      <c r="N344" s="11">
        <f t="shared" si="26"/>
        <v>490200.39913838636</v>
      </c>
      <c r="O344">
        <f t="shared" si="27"/>
        <v>242000</v>
      </c>
      <c r="P344">
        <v>660.60180000000003</v>
      </c>
      <c r="R344" t="str">
        <f t="shared" si="28"/>
        <v>2</v>
      </c>
      <c r="S344">
        <f t="shared" si="29"/>
        <v>660.62</v>
      </c>
    </row>
    <row r="345" spans="1:19">
      <c r="A345" s="6" t="s">
        <v>35</v>
      </c>
      <c r="B345" s="6" t="s">
        <v>27</v>
      </c>
      <c r="C345" s="6">
        <v>300000</v>
      </c>
      <c r="D345" s="6">
        <v>1800</v>
      </c>
      <c r="E345" s="6">
        <v>2023</v>
      </c>
      <c r="F345" s="6">
        <v>6.5</v>
      </c>
      <c r="G345" s="6" t="s">
        <v>18</v>
      </c>
      <c r="H345" s="6" t="s">
        <v>19</v>
      </c>
      <c r="I345" s="6" t="s">
        <v>20</v>
      </c>
      <c r="J345" s="6" t="s">
        <v>29</v>
      </c>
      <c r="K345" s="20">
        <f>C345/D345</f>
        <v>166.66666666666666</v>
      </c>
      <c r="L345" s="11">
        <f>PMT(F345/100/12, 300, -(C345 *
(1 - G345/100)))</f>
        <v>1782.5469059577686</v>
      </c>
      <c r="M345" s="11">
        <f t="shared" si="25"/>
        <v>270764.07178733061</v>
      </c>
      <c r="N345" s="11">
        <f t="shared" si="26"/>
        <v>534764.07178733055</v>
      </c>
      <c r="O345">
        <f t="shared" si="27"/>
        <v>264000</v>
      </c>
      <c r="P345">
        <v>720.60180000000003</v>
      </c>
      <c r="R345" t="str">
        <f t="shared" si="28"/>
        <v>2</v>
      </c>
      <c r="S345">
        <f t="shared" si="29"/>
        <v>720.62</v>
      </c>
    </row>
    <row r="346" spans="1:19">
      <c r="A346" s="4" t="s">
        <v>26</v>
      </c>
      <c r="B346" s="4" t="s">
        <v>27</v>
      </c>
      <c r="C346" s="4">
        <v>320000</v>
      </c>
      <c r="D346" s="4">
        <v>1920</v>
      </c>
      <c r="E346" s="4">
        <v>2024</v>
      </c>
      <c r="F346" s="4">
        <v>5.5</v>
      </c>
      <c r="G346" s="4" t="s">
        <v>18</v>
      </c>
      <c r="H346" s="4" t="s">
        <v>19</v>
      </c>
      <c r="I346" s="4" t="s">
        <v>20</v>
      </c>
      <c r="J346" s="4" t="s">
        <v>29</v>
      </c>
      <c r="K346" s="20">
        <f>C346/D346</f>
        <v>166.66666666666666</v>
      </c>
      <c r="L346" s="11">
        <f>PMT(F346/100/12, 300, -(C346 *
(1 - G346/100)))</f>
        <v>1729.2703782646201</v>
      </c>
      <c r="M346" s="11">
        <f t="shared" si="25"/>
        <v>237181.11347938603</v>
      </c>
      <c r="N346" s="11">
        <f t="shared" si="26"/>
        <v>518781.11347938603</v>
      </c>
      <c r="O346">
        <f t="shared" si="27"/>
        <v>281600</v>
      </c>
      <c r="P346">
        <v>768.60180000000003</v>
      </c>
      <c r="R346" t="str">
        <f t="shared" si="28"/>
        <v>2</v>
      </c>
      <c r="S346">
        <f t="shared" si="29"/>
        <v>768.62</v>
      </c>
    </row>
    <row r="347" spans="1:19">
      <c r="A347" s="6" t="s">
        <v>33</v>
      </c>
      <c r="B347" s="6" t="s">
        <v>23</v>
      </c>
      <c r="C347" s="6">
        <v>350000</v>
      </c>
      <c r="D347" s="6">
        <v>2100</v>
      </c>
      <c r="E347" s="6">
        <v>2023</v>
      </c>
      <c r="F347" s="6">
        <v>6.1</v>
      </c>
      <c r="G347" s="6" t="s">
        <v>24</v>
      </c>
      <c r="H347" s="6" t="s">
        <v>19</v>
      </c>
      <c r="I347" s="6" t="s">
        <v>20</v>
      </c>
      <c r="J347" s="6" t="s">
        <v>21</v>
      </c>
      <c r="K347" s="20">
        <f>C347/D347</f>
        <v>166.66666666666666</v>
      </c>
      <c r="L347" s="11">
        <f>PMT(F347/100/12, 300, -(C347 *
(1 - G347/100)))</f>
        <v>2048.8482353144273</v>
      </c>
      <c r="M347" s="11">
        <f t="shared" si="25"/>
        <v>299654.47059432813</v>
      </c>
      <c r="N347" s="11">
        <f t="shared" si="26"/>
        <v>614654.47059432813</v>
      </c>
      <c r="O347">
        <f t="shared" si="27"/>
        <v>315000</v>
      </c>
      <c r="P347">
        <v>840.60180000000003</v>
      </c>
      <c r="R347" t="str">
        <f t="shared" si="28"/>
        <v>2</v>
      </c>
      <c r="S347">
        <f t="shared" si="29"/>
        <v>840.62</v>
      </c>
    </row>
    <row r="348" spans="1:19">
      <c r="A348" s="6" t="s">
        <v>26</v>
      </c>
      <c r="B348" s="6" t="s">
        <v>27</v>
      </c>
      <c r="C348" s="6">
        <v>325000</v>
      </c>
      <c r="D348" s="6">
        <v>1950</v>
      </c>
      <c r="E348" s="6">
        <v>2024</v>
      </c>
      <c r="F348" s="6">
        <v>5.5</v>
      </c>
      <c r="G348" s="6" t="s">
        <v>18</v>
      </c>
      <c r="H348" s="6" t="s">
        <v>19</v>
      </c>
      <c r="I348" s="6" t="s">
        <v>20</v>
      </c>
      <c r="J348" s="6" t="s">
        <v>29</v>
      </c>
      <c r="K348" s="20">
        <f>C348/D348</f>
        <v>166.66666666666666</v>
      </c>
      <c r="L348" s="11">
        <f>PMT(F348/100/12, 300, -(C348 *
(1 - G348/100)))</f>
        <v>1756.290227925005</v>
      </c>
      <c r="M348" s="11">
        <f t="shared" si="25"/>
        <v>240887.06837750139</v>
      </c>
      <c r="N348" s="11">
        <f t="shared" si="26"/>
        <v>526887.06837750133</v>
      </c>
      <c r="O348">
        <f t="shared" si="27"/>
        <v>286000</v>
      </c>
      <c r="P348">
        <v>780.60180000000003</v>
      </c>
      <c r="R348" t="str">
        <f t="shared" si="28"/>
        <v>2</v>
      </c>
      <c r="S348">
        <f t="shared" si="29"/>
        <v>780.62</v>
      </c>
    </row>
    <row r="349" spans="1:19">
      <c r="A349" s="4" t="s">
        <v>10</v>
      </c>
      <c r="B349" s="4" t="s">
        <v>17</v>
      </c>
      <c r="C349" s="4">
        <v>432000</v>
      </c>
      <c r="D349" s="4">
        <v>2590</v>
      </c>
      <c r="E349" s="4">
        <v>2023</v>
      </c>
      <c r="F349" s="4">
        <v>6.1</v>
      </c>
      <c r="G349" s="4" t="s">
        <v>24</v>
      </c>
      <c r="H349" s="4" t="s">
        <v>19</v>
      </c>
      <c r="I349" s="4" t="s">
        <v>20</v>
      </c>
      <c r="J349" s="4" t="s">
        <v>21</v>
      </c>
      <c r="K349" s="20">
        <f>C349/D349</f>
        <v>166.79536679536679</v>
      </c>
      <c r="L349" s="11">
        <f>PMT(F349/100/12, 300, -(C349 *
(1 - G349/100)))</f>
        <v>2528.8641075880932</v>
      </c>
      <c r="M349" s="11">
        <f t="shared" si="25"/>
        <v>369859.23227642808</v>
      </c>
      <c r="N349" s="11">
        <f t="shared" si="26"/>
        <v>758659.23227642803</v>
      </c>
      <c r="O349">
        <f t="shared" si="27"/>
        <v>388800</v>
      </c>
      <c r="P349">
        <v>1036.601798611111</v>
      </c>
      <c r="R349" t="str">
        <f t="shared" si="28"/>
        <v>2</v>
      </c>
      <c r="S349">
        <f t="shared" si="29"/>
        <v>1036.6199845679012</v>
      </c>
    </row>
    <row r="350" spans="1:19">
      <c r="A350" s="6" t="s">
        <v>10</v>
      </c>
      <c r="B350" s="6" t="s">
        <v>17</v>
      </c>
      <c r="C350" s="6">
        <v>460000</v>
      </c>
      <c r="D350" s="6">
        <v>2750</v>
      </c>
      <c r="E350" s="6">
        <v>2024</v>
      </c>
      <c r="F350" s="6">
        <v>5</v>
      </c>
      <c r="G350" s="6" t="s">
        <v>18</v>
      </c>
      <c r="H350" s="6" t="s">
        <v>19</v>
      </c>
      <c r="I350" s="6" t="s">
        <v>20</v>
      </c>
      <c r="J350" s="6" t="s">
        <v>21</v>
      </c>
      <c r="K350" s="20">
        <f>C350/D350</f>
        <v>167.27272727272728</v>
      </c>
      <c r="L350" s="11">
        <f>PMT(F350/100/12, 300, -(C350 *
(1 - G350/100)))</f>
        <v>2366.4204880242992</v>
      </c>
      <c r="M350" s="11">
        <f t="shared" si="25"/>
        <v>305126.14640728984</v>
      </c>
      <c r="N350" s="11">
        <f t="shared" si="26"/>
        <v>709926.1464072899</v>
      </c>
      <c r="O350">
        <f t="shared" si="27"/>
        <v>404800</v>
      </c>
      <c r="P350">
        <v>1100.6017934782608</v>
      </c>
      <c r="R350" t="str">
        <f t="shared" si="28"/>
        <v>2</v>
      </c>
      <c r="S350">
        <f t="shared" si="29"/>
        <v>1100.6199275362319</v>
      </c>
    </row>
    <row r="351" spans="1:19">
      <c r="A351" s="6" t="s">
        <v>10</v>
      </c>
      <c r="B351" s="6" t="s">
        <v>17</v>
      </c>
      <c r="C351" s="6">
        <v>455000</v>
      </c>
      <c r="D351" s="6">
        <v>2720</v>
      </c>
      <c r="E351" s="6">
        <v>2024</v>
      </c>
      <c r="F351" s="6">
        <v>5</v>
      </c>
      <c r="G351" s="6" t="s">
        <v>24</v>
      </c>
      <c r="H351" s="6" t="s">
        <v>19</v>
      </c>
      <c r="I351" s="6" t="s">
        <v>20</v>
      </c>
      <c r="J351" s="6" t="s">
        <v>21</v>
      </c>
      <c r="K351" s="20">
        <f>C351/D351</f>
        <v>167.27941176470588</v>
      </c>
      <c r="L351" s="11">
        <f>PMT(F351/100/12, 300, -(C351 *
(1 - G351/100)))</f>
        <v>2393.8962199751745</v>
      </c>
      <c r="M351" s="11">
        <f t="shared" si="25"/>
        <v>308668.86599255237</v>
      </c>
      <c r="N351" s="11">
        <f t="shared" si="26"/>
        <v>718168.86599255237</v>
      </c>
      <c r="O351">
        <f t="shared" si="27"/>
        <v>409500</v>
      </c>
      <c r="P351">
        <v>1088.6017934065933</v>
      </c>
      <c r="R351" t="str">
        <f t="shared" si="28"/>
        <v>2</v>
      </c>
      <c r="S351">
        <f t="shared" si="29"/>
        <v>1088.6199267399265</v>
      </c>
    </row>
    <row r="352" spans="1:19">
      <c r="A352" s="6" t="s">
        <v>22</v>
      </c>
      <c r="B352" s="6" t="s">
        <v>27</v>
      </c>
      <c r="C352" s="6">
        <v>340000</v>
      </c>
      <c r="D352" s="6">
        <v>2030</v>
      </c>
      <c r="E352" s="6">
        <v>2024</v>
      </c>
      <c r="F352" s="6">
        <v>5.4</v>
      </c>
      <c r="G352" s="6" t="s">
        <v>39</v>
      </c>
      <c r="H352" s="6" t="s">
        <v>19</v>
      </c>
      <c r="I352" s="6" t="s">
        <v>20</v>
      </c>
      <c r="J352" s="6" t="s">
        <v>29</v>
      </c>
      <c r="K352" s="20">
        <f>C352/D352</f>
        <v>167.48768472906403</v>
      </c>
      <c r="L352" s="11">
        <f>PMT(F352/100/12, 300, -(C352 *
(1 - G352/100)))</f>
        <v>1778.1718785015889</v>
      </c>
      <c r="M352" s="11">
        <f t="shared" si="25"/>
        <v>241051.56355047668</v>
      </c>
      <c r="N352" s="11">
        <f t="shared" si="26"/>
        <v>533451.56355047668</v>
      </c>
      <c r="O352">
        <f t="shared" si="27"/>
        <v>292400</v>
      </c>
      <c r="P352">
        <v>812.60179117647056</v>
      </c>
      <c r="R352" t="str">
        <f t="shared" si="28"/>
        <v>2</v>
      </c>
      <c r="S352">
        <f t="shared" si="29"/>
        <v>812.61990196078432</v>
      </c>
    </row>
    <row r="353" spans="1:19">
      <c r="A353" s="4" t="s">
        <v>37</v>
      </c>
      <c r="B353" s="4" t="s">
        <v>23</v>
      </c>
      <c r="C353" s="4">
        <v>335000</v>
      </c>
      <c r="D353" s="4">
        <v>2000</v>
      </c>
      <c r="E353" s="4">
        <v>2024</v>
      </c>
      <c r="F353" s="4">
        <v>5.3</v>
      </c>
      <c r="G353" s="4" t="s">
        <v>24</v>
      </c>
      <c r="H353" s="4" t="s">
        <v>19</v>
      </c>
      <c r="I353" s="4" t="s">
        <v>20</v>
      </c>
      <c r="J353" s="4" t="s">
        <v>21</v>
      </c>
      <c r="K353" s="20">
        <f>C353/D353</f>
        <v>167.5</v>
      </c>
      <c r="L353" s="11">
        <f>PMT(F353/100/12, 300, -(C353 *
(1 - G353/100)))</f>
        <v>1815.6366067121794</v>
      </c>
      <c r="M353" s="11">
        <f t="shared" si="25"/>
        <v>243190.98201365385</v>
      </c>
      <c r="N353" s="11">
        <f t="shared" si="26"/>
        <v>544690.98201365385</v>
      </c>
      <c r="O353">
        <f t="shared" si="27"/>
        <v>301500</v>
      </c>
      <c r="P353">
        <v>800.60179104477618</v>
      </c>
      <c r="R353" t="str">
        <f t="shared" si="28"/>
        <v>2</v>
      </c>
      <c r="S353">
        <f t="shared" si="29"/>
        <v>800.6199004975125</v>
      </c>
    </row>
    <row r="354" spans="1:19">
      <c r="A354" s="4" t="s">
        <v>35</v>
      </c>
      <c r="B354" s="4" t="s">
        <v>27</v>
      </c>
      <c r="C354" s="4">
        <v>310000</v>
      </c>
      <c r="D354" s="4">
        <v>1850</v>
      </c>
      <c r="E354" s="4">
        <v>2023</v>
      </c>
      <c r="F354" s="4">
        <v>6.5</v>
      </c>
      <c r="G354" s="4" t="s">
        <v>18</v>
      </c>
      <c r="H354" s="4" t="s">
        <v>19</v>
      </c>
      <c r="I354" s="4" t="s">
        <v>20</v>
      </c>
      <c r="J354" s="4" t="s">
        <v>29</v>
      </c>
      <c r="K354" s="20">
        <f>C354/D354</f>
        <v>167.56756756756758</v>
      </c>
      <c r="L354" s="11">
        <f>PMT(F354/100/12, 300, -(C354 *
(1 - G354/100)))</f>
        <v>1841.965136156361</v>
      </c>
      <c r="M354" s="11">
        <f t="shared" si="25"/>
        <v>279789.54084690835</v>
      </c>
      <c r="N354" s="11">
        <f t="shared" si="26"/>
        <v>552589.54084690835</v>
      </c>
      <c r="O354">
        <f t="shared" si="27"/>
        <v>272800</v>
      </c>
      <c r="P354">
        <v>740.60179032258065</v>
      </c>
      <c r="R354" t="str">
        <f t="shared" si="28"/>
        <v>2</v>
      </c>
      <c r="S354">
        <f t="shared" si="29"/>
        <v>740.61989247311828</v>
      </c>
    </row>
    <row r="355" spans="1:19">
      <c r="A355" s="6" t="s">
        <v>35</v>
      </c>
      <c r="B355" s="6" t="s">
        <v>27</v>
      </c>
      <c r="C355" s="6">
        <v>285000</v>
      </c>
      <c r="D355" s="6">
        <v>1700</v>
      </c>
      <c r="E355" s="6">
        <v>2024</v>
      </c>
      <c r="F355" s="6">
        <v>5.4</v>
      </c>
      <c r="G355" s="6" t="s">
        <v>18</v>
      </c>
      <c r="H355" s="6" t="s">
        <v>19</v>
      </c>
      <c r="I355" s="6" t="s">
        <v>20</v>
      </c>
      <c r="J355" s="6" t="s">
        <v>29</v>
      </c>
      <c r="K355" s="20">
        <f>C355/D355</f>
        <v>167.64705882352942</v>
      </c>
      <c r="L355" s="11">
        <f>PMT(F355/100/12, 300, -(C355 *
(1 - G355/100)))</f>
        <v>1525.1898328597761</v>
      </c>
      <c r="M355" s="11">
        <f t="shared" si="25"/>
        <v>206756.94985793286</v>
      </c>
      <c r="N355" s="11">
        <f t="shared" si="26"/>
        <v>457556.94985793286</v>
      </c>
      <c r="O355">
        <f t="shared" si="27"/>
        <v>250800</v>
      </c>
      <c r="P355">
        <v>680.60178947368422</v>
      </c>
      <c r="R355" t="str">
        <f t="shared" si="28"/>
        <v>2</v>
      </c>
      <c r="S355">
        <f t="shared" si="29"/>
        <v>680.61988304093575</v>
      </c>
    </row>
    <row r="356" spans="1:19">
      <c r="A356" s="4" t="s">
        <v>10</v>
      </c>
      <c r="B356" s="4" t="s">
        <v>17</v>
      </c>
      <c r="C356" s="4">
        <v>470000</v>
      </c>
      <c r="D356" s="4">
        <v>2800</v>
      </c>
      <c r="E356" s="4">
        <v>2024</v>
      </c>
      <c r="F356" s="4">
        <v>5</v>
      </c>
      <c r="G356" s="4" t="s">
        <v>24</v>
      </c>
      <c r="H356" s="4" t="s">
        <v>19</v>
      </c>
      <c r="I356" s="4" t="s">
        <v>20</v>
      </c>
      <c r="J356" s="4" t="s">
        <v>21</v>
      </c>
      <c r="K356" s="20">
        <f>C356/D356</f>
        <v>167.85714285714286</v>
      </c>
      <c r="L356" s="11">
        <f>PMT(F356/100/12, 300, -(C356 *
(1 - G356/100)))</f>
        <v>2472.8158755787517</v>
      </c>
      <c r="M356" s="11">
        <f t="shared" si="25"/>
        <v>318844.76267362549</v>
      </c>
      <c r="N356" s="11">
        <f t="shared" si="26"/>
        <v>741844.76267362549</v>
      </c>
      <c r="O356">
        <f t="shared" si="27"/>
        <v>423000</v>
      </c>
      <c r="P356">
        <v>1120.6017872340424</v>
      </c>
      <c r="R356" t="str">
        <f t="shared" si="28"/>
        <v>2</v>
      </c>
      <c r="S356">
        <f t="shared" si="29"/>
        <v>1120.6198581560284</v>
      </c>
    </row>
    <row r="357" spans="1:19">
      <c r="A357" s="6" t="s">
        <v>10</v>
      </c>
      <c r="B357" s="6" t="s">
        <v>17</v>
      </c>
      <c r="C357" s="6">
        <v>450000</v>
      </c>
      <c r="D357" s="6">
        <v>2680</v>
      </c>
      <c r="E357" s="6">
        <v>2024</v>
      </c>
      <c r="F357" s="6">
        <v>5</v>
      </c>
      <c r="G357" s="6" t="s">
        <v>18</v>
      </c>
      <c r="H357" s="6" t="s">
        <v>19</v>
      </c>
      <c r="I357" s="6" t="s">
        <v>20</v>
      </c>
      <c r="J357" s="6" t="s">
        <v>21</v>
      </c>
      <c r="K357" s="20">
        <f>C357/D357</f>
        <v>167.91044776119404</v>
      </c>
      <c r="L357" s="11">
        <f>PMT(F357/100/12, 300, -(C357 *
(1 - G357/100)))</f>
        <v>2314.9765643715969</v>
      </c>
      <c r="M357" s="11">
        <f t="shared" si="25"/>
        <v>298492.96931147907</v>
      </c>
      <c r="N357" s="11">
        <f t="shared" si="26"/>
        <v>694492.96931147901</v>
      </c>
      <c r="O357">
        <f t="shared" si="27"/>
        <v>396000</v>
      </c>
      <c r="P357">
        <v>1072.6017866666666</v>
      </c>
      <c r="R357" t="str">
        <f t="shared" si="28"/>
        <v>2</v>
      </c>
      <c r="S357">
        <f t="shared" si="29"/>
        <v>1072.6198518518518</v>
      </c>
    </row>
    <row r="358" spans="1:19">
      <c r="A358" s="6" t="s">
        <v>10</v>
      </c>
      <c r="B358" s="6" t="s">
        <v>17</v>
      </c>
      <c r="C358" s="6">
        <v>475000</v>
      </c>
      <c r="D358" s="6">
        <v>2820</v>
      </c>
      <c r="E358" s="6">
        <v>2023</v>
      </c>
      <c r="F358" s="6">
        <v>6</v>
      </c>
      <c r="G358" s="6" t="s">
        <v>24</v>
      </c>
      <c r="H358" s="6" t="s">
        <v>19</v>
      </c>
      <c r="I358" s="6" t="s">
        <v>20</v>
      </c>
      <c r="J358" s="6" t="s">
        <v>21</v>
      </c>
      <c r="K358" s="20">
        <f>C358/D358</f>
        <v>168.43971631205673</v>
      </c>
      <c r="L358" s="11">
        <f>PMT(F358/100/12, 300, -(C358 *
(1 - G358/100)))</f>
        <v>2754.3884913505494</v>
      </c>
      <c r="M358" s="11">
        <f t="shared" si="25"/>
        <v>398816.54740516481</v>
      </c>
      <c r="N358" s="11">
        <f t="shared" si="26"/>
        <v>826316.54740516481</v>
      </c>
      <c r="O358">
        <f t="shared" si="27"/>
        <v>427500</v>
      </c>
      <c r="P358">
        <v>1128.6017810526314</v>
      </c>
      <c r="R358" t="str">
        <f t="shared" si="28"/>
        <v>2</v>
      </c>
      <c r="S358">
        <f t="shared" si="29"/>
        <v>1128.619789473684</v>
      </c>
    </row>
    <row r="359" spans="1:19">
      <c r="A359" s="6" t="s">
        <v>10</v>
      </c>
      <c r="B359" s="6" t="s">
        <v>17</v>
      </c>
      <c r="C359" s="6">
        <v>438000</v>
      </c>
      <c r="D359" s="6">
        <v>2600</v>
      </c>
      <c r="E359" s="6">
        <v>2024</v>
      </c>
      <c r="F359" s="6">
        <v>5</v>
      </c>
      <c r="G359" s="6" t="s">
        <v>18</v>
      </c>
      <c r="H359" s="6" t="s">
        <v>19</v>
      </c>
      <c r="I359" s="6" t="s">
        <v>20</v>
      </c>
      <c r="J359" s="6" t="s">
        <v>21</v>
      </c>
      <c r="K359" s="20">
        <f>C359/D359</f>
        <v>168.46153846153845</v>
      </c>
      <c r="L359" s="11">
        <f>PMT(F359/100/12, 300, -(C359 *
(1 - G359/100)))</f>
        <v>2253.2438559883544</v>
      </c>
      <c r="M359" s="11">
        <f t="shared" si="25"/>
        <v>290533.15679650637</v>
      </c>
      <c r="N359" s="11">
        <f t="shared" si="26"/>
        <v>675973.15679650637</v>
      </c>
      <c r="O359">
        <f t="shared" si="27"/>
        <v>385440</v>
      </c>
      <c r="P359">
        <v>1040.6017808219178</v>
      </c>
      <c r="R359" t="str">
        <f t="shared" si="28"/>
        <v>2</v>
      </c>
      <c r="S359">
        <f t="shared" si="29"/>
        <v>1040.6197869101977</v>
      </c>
    </row>
    <row r="360" spans="1:19">
      <c r="A360" s="4" t="s">
        <v>10</v>
      </c>
      <c r="B360" s="4" t="s">
        <v>17</v>
      </c>
      <c r="C360" s="4">
        <v>455000</v>
      </c>
      <c r="D360" s="4">
        <v>2700</v>
      </c>
      <c r="E360" s="4">
        <v>2024</v>
      </c>
      <c r="F360" s="4">
        <v>5</v>
      </c>
      <c r="G360" s="4">
        <v>12</v>
      </c>
      <c r="H360" s="4" t="s">
        <v>19</v>
      </c>
      <c r="I360" s="4" t="s">
        <v>20</v>
      </c>
      <c r="J360" s="4" t="s">
        <v>29</v>
      </c>
      <c r="K360" s="20">
        <f>C360/D360</f>
        <v>168.5185185185185</v>
      </c>
      <c r="L360" s="11">
        <f>PMT(F360/100/12, 300, -(C360 *
(1 - G360/100)))</f>
        <v>2340.6985261979485</v>
      </c>
      <c r="M360" s="11">
        <f t="shared" si="25"/>
        <v>301809.55785938457</v>
      </c>
      <c r="N360" s="11">
        <f t="shared" si="26"/>
        <v>702209.55785938457</v>
      </c>
      <c r="O360">
        <f t="shared" si="27"/>
        <v>400400</v>
      </c>
      <c r="P360">
        <v>1080.60178021978</v>
      </c>
      <c r="R360" t="str">
        <f t="shared" si="28"/>
        <v>2</v>
      </c>
      <c r="S360">
        <f t="shared" si="29"/>
        <v>1080.6197802197801</v>
      </c>
    </row>
    <row r="361" spans="1:19">
      <c r="A361" s="6" t="s">
        <v>35</v>
      </c>
      <c r="B361" s="6" t="s">
        <v>27</v>
      </c>
      <c r="C361" s="6">
        <v>268000</v>
      </c>
      <c r="D361" s="6">
        <v>1590</v>
      </c>
      <c r="E361" s="6">
        <v>2023</v>
      </c>
      <c r="F361" s="6">
        <v>6.6</v>
      </c>
      <c r="G361" s="6" t="s">
        <v>18</v>
      </c>
      <c r="H361" s="6" t="s">
        <v>19</v>
      </c>
      <c r="I361" s="6" t="s">
        <v>20</v>
      </c>
      <c r="J361" s="6" t="s">
        <v>29</v>
      </c>
      <c r="K361" s="20">
        <f>C361/D361</f>
        <v>168.55345911949686</v>
      </c>
      <c r="L361" s="11">
        <f>PMT(F361/100/12, 300, -(C361 *
(1 - G361/100)))</f>
        <v>1607.1767241959255</v>
      </c>
      <c r="M361" s="11">
        <f t="shared" si="25"/>
        <v>246313.01725877757</v>
      </c>
      <c r="N361" s="11">
        <f t="shared" si="26"/>
        <v>482153.01725877757</v>
      </c>
      <c r="O361">
        <f t="shared" si="27"/>
        <v>235840</v>
      </c>
      <c r="P361">
        <v>636.60177985074631</v>
      </c>
      <c r="R361" t="str">
        <f t="shared" si="28"/>
        <v>2</v>
      </c>
      <c r="S361">
        <f t="shared" si="29"/>
        <v>636.61977611940301</v>
      </c>
    </row>
    <row r="362" spans="1:19">
      <c r="A362" s="4" t="s">
        <v>35</v>
      </c>
      <c r="B362" s="4" t="s">
        <v>27</v>
      </c>
      <c r="C362" s="4">
        <v>290000</v>
      </c>
      <c r="D362" s="4">
        <v>1720</v>
      </c>
      <c r="E362" s="4">
        <v>2023</v>
      </c>
      <c r="F362" s="4">
        <v>6.5</v>
      </c>
      <c r="G362" s="4" t="s">
        <v>18</v>
      </c>
      <c r="H362" s="4" t="s">
        <v>19</v>
      </c>
      <c r="I362" s="4" t="s">
        <v>20</v>
      </c>
      <c r="J362" s="4" t="s">
        <v>29</v>
      </c>
      <c r="K362" s="20">
        <f>C362/D362</f>
        <v>168.6046511627907</v>
      </c>
      <c r="L362" s="11">
        <f>PMT(F362/100/12, 300, -(C362 *
(1 - G362/100)))</f>
        <v>1723.1286757591763</v>
      </c>
      <c r="M362" s="11">
        <f t="shared" si="25"/>
        <v>261738.60272775288</v>
      </c>
      <c r="N362" s="11">
        <f t="shared" si="26"/>
        <v>516938.60272775288</v>
      </c>
      <c r="O362">
        <f t="shared" si="27"/>
        <v>255200</v>
      </c>
      <c r="P362">
        <v>688.6017793103448</v>
      </c>
      <c r="R362" t="str">
        <f t="shared" si="28"/>
        <v>2</v>
      </c>
      <c r="S362">
        <f t="shared" si="29"/>
        <v>688.61977011494253</v>
      </c>
    </row>
    <row r="363" spans="1:19">
      <c r="A363" s="6" t="s">
        <v>30</v>
      </c>
      <c r="B363" s="6" t="s">
        <v>27</v>
      </c>
      <c r="C363" s="6">
        <v>380000</v>
      </c>
      <c r="D363" s="6">
        <v>2250</v>
      </c>
      <c r="E363" s="6">
        <v>2024</v>
      </c>
      <c r="F363" s="6">
        <v>5.3</v>
      </c>
      <c r="G363" s="6" t="s">
        <v>12</v>
      </c>
      <c r="H363" s="6" t="s">
        <v>13</v>
      </c>
      <c r="I363" s="6" t="s">
        <v>20</v>
      </c>
      <c r="J363" s="6" t="s">
        <v>29</v>
      </c>
      <c r="K363" s="20">
        <f>C363/D363</f>
        <v>168.88888888888889</v>
      </c>
      <c r="L363" s="11">
        <f>PMT(F363/100/12, 300, -(C363 *
(1 - G363/100)))</f>
        <v>1876.4589275340466</v>
      </c>
      <c r="M363" s="11">
        <f t="shared" si="25"/>
        <v>251337.67826021393</v>
      </c>
      <c r="N363" s="11">
        <f t="shared" si="26"/>
        <v>562937.67826021393</v>
      </c>
      <c r="O363">
        <f t="shared" si="27"/>
        <v>311600</v>
      </c>
      <c r="P363">
        <v>900.90177631578945</v>
      </c>
      <c r="R363" t="str">
        <f t="shared" si="28"/>
        <v>3</v>
      </c>
      <c r="S363">
        <f t="shared" si="29"/>
        <v>900.91973684210529</v>
      </c>
    </row>
    <row r="364" spans="1:19">
      <c r="A364" s="6" t="s">
        <v>10</v>
      </c>
      <c r="B364" s="6" t="s">
        <v>17</v>
      </c>
      <c r="C364" s="6">
        <v>490000</v>
      </c>
      <c r="D364" s="6">
        <v>2900</v>
      </c>
      <c r="E364" s="6">
        <v>2024</v>
      </c>
      <c r="F364" s="6">
        <v>5</v>
      </c>
      <c r="G364" s="6" t="s">
        <v>18</v>
      </c>
      <c r="H364" s="6" t="s">
        <v>19</v>
      </c>
      <c r="I364" s="6" t="s">
        <v>20</v>
      </c>
      <c r="J364" s="6" t="s">
        <v>21</v>
      </c>
      <c r="K364" s="20">
        <f>C364/D364</f>
        <v>168.9655172413793</v>
      </c>
      <c r="L364" s="11">
        <f>PMT(F364/100/12, 300, -(C364 *
(1 - G364/100)))</f>
        <v>2520.7522589824061</v>
      </c>
      <c r="M364" s="11">
        <f t="shared" si="25"/>
        <v>325025.67769472179</v>
      </c>
      <c r="N364" s="11">
        <f t="shared" si="26"/>
        <v>756225.67769472185</v>
      </c>
      <c r="O364">
        <f t="shared" si="27"/>
        <v>431200</v>
      </c>
      <c r="P364">
        <v>1160.6017755102039</v>
      </c>
      <c r="R364" t="str">
        <f t="shared" si="28"/>
        <v>2</v>
      </c>
      <c r="S364">
        <f t="shared" si="29"/>
        <v>1160.6197278911563</v>
      </c>
    </row>
    <row r="365" spans="1:19">
      <c r="A365" s="4" t="s">
        <v>10</v>
      </c>
      <c r="B365" s="4" t="s">
        <v>17</v>
      </c>
      <c r="C365" s="4">
        <v>500000</v>
      </c>
      <c r="D365" s="4">
        <v>2950</v>
      </c>
      <c r="E365" s="4">
        <v>2024</v>
      </c>
      <c r="F365" s="4">
        <v>5</v>
      </c>
      <c r="G365" s="4" t="s">
        <v>24</v>
      </c>
      <c r="H365" s="4" t="s">
        <v>19</v>
      </c>
      <c r="I365" s="4" t="s">
        <v>20</v>
      </c>
      <c r="J365" s="4" t="s">
        <v>21</v>
      </c>
      <c r="K365" s="20">
        <f>C365/D365</f>
        <v>169.4915254237288</v>
      </c>
      <c r="L365" s="11">
        <f>PMT(F365/100/12, 300, -(C365 *
(1 - G365/100)))</f>
        <v>2630.6551867859062</v>
      </c>
      <c r="M365" s="11">
        <f t="shared" si="25"/>
        <v>339196.55603577185</v>
      </c>
      <c r="N365" s="11">
        <f t="shared" si="26"/>
        <v>789196.55603577185</v>
      </c>
      <c r="O365">
        <f t="shared" si="27"/>
        <v>450000</v>
      </c>
      <c r="P365">
        <v>1180.60177</v>
      </c>
      <c r="R365" t="str">
        <f t="shared" si="28"/>
        <v>2</v>
      </c>
      <c r="S365">
        <f t="shared" si="29"/>
        <v>1180.6196666666665</v>
      </c>
    </row>
    <row r="366" spans="1:19">
      <c r="A366" s="4" t="s">
        <v>35</v>
      </c>
      <c r="B366" s="4" t="s">
        <v>27</v>
      </c>
      <c r="C366" s="4">
        <v>285000</v>
      </c>
      <c r="D366" s="4">
        <v>1680</v>
      </c>
      <c r="E366" s="4">
        <v>2024</v>
      </c>
      <c r="F366" s="4">
        <v>5.4</v>
      </c>
      <c r="G366" s="4" t="s">
        <v>18</v>
      </c>
      <c r="H366" s="4" t="s">
        <v>19</v>
      </c>
      <c r="I366" s="4" t="s">
        <v>20</v>
      </c>
      <c r="J366" s="4" t="s">
        <v>29</v>
      </c>
      <c r="K366" s="20">
        <f>C366/D366</f>
        <v>169.64285714285714</v>
      </c>
      <c r="L366" s="11">
        <f>PMT(F366/100/12, 300, -(C366 *
(1 - G366/100)))</f>
        <v>1525.1898328597761</v>
      </c>
      <c r="M366" s="11">
        <f t="shared" si="25"/>
        <v>206756.94985793286</v>
      </c>
      <c r="N366" s="11">
        <f t="shared" si="26"/>
        <v>457556.94985793286</v>
      </c>
      <c r="O366">
        <f t="shared" si="27"/>
        <v>250800</v>
      </c>
      <c r="P366">
        <v>672.60176842105261</v>
      </c>
      <c r="R366" t="str">
        <f t="shared" si="28"/>
        <v>2</v>
      </c>
      <c r="S366">
        <f t="shared" si="29"/>
        <v>672.619649122807</v>
      </c>
    </row>
    <row r="367" spans="1:19">
      <c r="A367" s="6" t="s">
        <v>10</v>
      </c>
      <c r="B367" s="6" t="s">
        <v>17</v>
      </c>
      <c r="C367" s="6">
        <v>436000</v>
      </c>
      <c r="D367" s="6">
        <v>2570</v>
      </c>
      <c r="E367" s="6">
        <v>2024</v>
      </c>
      <c r="F367" s="6">
        <v>5.0999999999999996</v>
      </c>
      <c r="G367" s="6" t="s">
        <v>24</v>
      </c>
      <c r="H367" s="6" t="s">
        <v>19</v>
      </c>
      <c r="I367" s="6" t="s">
        <v>20</v>
      </c>
      <c r="J367" s="6" t="s">
        <v>21</v>
      </c>
      <c r="K367" s="20">
        <f>C367/D367</f>
        <v>169.64980544747081</v>
      </c>
      <c r="L367" s="11">
        <f>PMT(F367/100/12, 300, -(C367 *
(1 - G367/100)))</f>
        <v>2316.8515254198355</v>
      </c>
      <c r="M367" s="11">
        <f t="shared" si="25"/>
        <v>302655.45762595063</v>
      </c>
      <c r="N367" s="11">
        <f t="shared" si="26"/>
        <v>695055.45762595069</v>
      </c>
      <c r="O367">
        <f t="shared" si="27"/>
        <v>392400</v>
      </c>
      <c r="P367">
        <v>1028.6017683486239</v>
      </c>
      <c r="R367" t="str">
        <f t="shared" si="28"/>
        <v>2</v>
      </c>
      <c r="S367">
        <f t="shared" si="29"/>
        <v>1028.6196483180427</v>
      </c>
    </row>
    <row r="368" spans="1:19">
      <c r="A368" s="6" t="s">
        <v>35</v>
      </c>
      <c r="B368" s="6" t="s">
        <v>27</v>
      </c>
      <c r="C368" s="6">
        <v>280000</v>
      </c>
      <c r="D368" s="6">
        <v>1650</v>
      </c>
      <c r="E368" s="6">
        <v>2023</v>
      </c>
      <c r="F368" s="6">
        <v>6.5</v>
      </c>
      <c r="G368" s="6" t="s">
        <v>18</v>
      </c>
      <c r="H368" s="6" t="s">
        <v>19</v>
      </c>
      <c r="I368" s="6" t="s">
        <v>20</v>
      </c>
      <c r="J368" s="6" t="s">
        <v>29</v>
      </c>
      <c r="K368" s="20">
        <f>C368/D368</f>
        <v>169.69696969696969</v>
      </c>
      <c r="L368" s="11">
        <f>PMT(F368/100/12, 300, -(C368 *
(1 - G368/100)))</f>
        <v>1663.710445560584</v>
      </c>
      <c r="M368" s="11">
        <f t="shared" si="25"/>
        <v>252713.1336681752</v>
      </c>
      <c r="N368" s="11">
        <f t="shared" si="26"/>
        <v>499113.1336681752</v>
      </c>
      <c r="O368">
        <f t="shared" si="27"/>
        <v>246400</v>
      </c>
      <c r="P368">
        <v>660.60176785714293</v>
      </c>
      <c r="R368" t="str">
        <f t="shared" si="28"/>
        <v>2</v>
      </c>
      <c r="S368">
        <f t="shared" si="29"/>
        <v>660.61964285714294</v>
      </c>
    </row>
    <row r="369" spans="1:19">
      <c r="A369" s="6" t="s">
        <v>10</v>
      </c>
      <c r="B369" s="6" t="s">
        <v>17</v>
      </c>
      <c r="C369" s="6">
        <v>510000</v>
      </c>
      <c r="D369" s="6">
        <v>3000</v>
      </c>
      <c r="E369" s="6">
        <v>2023</v>
      </c>
      <c r="F369" s="6">
        <v>6</v>
      </c>
      <c r="G369" s="6" t="s">
        <v>24</v>
      </c>
      <c r="H369" s="6" t="s">
        <v>19</v>
      </c>
      <c r="I369" s="6" t="s">
        <v>20</v>
      </c>
      <c r="J369" s="6" t="s">
        <v>21</v>
      </c>
      <c r="K369" s="20">
        <f>C369/D369</f>
        <v>170</v>
      </c>
      <c r="L369" s="11">
        <f>PMT(F369/100/12, 300, -(C369 *
(1 - G369/100)))</f>
        <v>2957.3434328184844</v>
      </c>
      <c r="M369" s="11">
        <f t="shared" si="25"/>
        <v>428203.02984554536</v>
      </c>
      <c r="N369" s="11">
        <f t="shared" si="26"/>
        <v>887203.0298455453</v>
      </c>
      <c r="O369">
        <f t="shared" si="27"/>
        <v>459000</v>
      </c>
      <c r="P369">
        <v>1200.6017647058823</v>
      </c>
      <c r="R369" t="str">
        <f t="shared" si="28"/>
        <v>2</v>
      </c>
      <c r="S369">
        <f t="shared" si="29"/>
        <v>1200.6196078431371</v>
      </c>
    </row>
    <row r="370" spans="1:19">
      <c r="A370" s="4" t="s">
        <v>10</v>
      </c>
      <c r="B370" s="4" t="s">
        <v>17</v>
      </c>
      <c r="C370" s="4">
        <v>460000</v>
      </c>
      <c r="D370" s="4">
        <v>2700</v>
      </c>
      <c r="E370" s="4">
        <v>2023</v>
      </c>
      <c r="F370" s="4">
        <v>6</v>
      </c>
      <c r="G370" s="4" t="s">
        <v>24</v>
      </c>
      <c r="H370" s="4" t="s">
        <v>19</v>
      </c>
      <c r="I370" s="4" t="s">
        <v>20</v>
      </c>
      <c r="J370" s="4" t="s">
        <v>21</v>
      </c>
      <c r="K370" s="20">
        <f>C370/D370</f>
        <v>170.37037037037038</v>
      </c>
      <c r="L370" s="11">
        <f>PMT(F370/100/12, 300, -(C370 *
(1 - G370/100)))</f>
        <v>2667.4078021500059</v>
      </c>
      <c r="M370" s="11">
        <f t="shared" si="25"/>
        <v>386222.34064500174</v>
      </c>
      <c r="N370" s="11">
        <f t="shared" si="26"/>
        <v>800222.34064500174</v>
      </c>
      <c r="O370">
        <f t="shared" si="27"/>
        <v>414000</v>
      </c>
      <c r="P370">
        <v>1080.6017608695652</v>
      </c>
      <c r="R370" t="str">
        <f t="shared" si="28"/>
        <v>2</v>
      </c>
      <c r="S370">
        <f t="shared" si="29"/>
        <v>1080.6195652173913</v>
      </c>
    </row>
    <row r="371" spans="1:19">
      <c r="A371" s="6" t="s">
        <v>30</v>
      </c>
      <c r="B371" s="6" t="s">
        <v>27</v>
      </c>
      <c r="C371" s="6">
        <v>378000</v>
      </c>
      <c r="D371" s="6">
        <v>2200</v>
      </c>
      <c r="E371" s="6">
        <v>2024</v>
      </c>
      <c r="F371" s="6">
        <v>5.3</v>
      </c>
      <c r="G371" s="6" t="s">
        <v>12</v>
      </c>
      <c r="H371" s="6" t="s">
        <v>13</v>
      </c>
      <c r="I371" s="6" t="s">
        <v>20</v>
      </c>
      <c r="J371" s="6" t="s">
        <v>29</v>
      </c>
      <c r="K371" s="20">
        <f>C371/D371</f>
        <v>171.81818181818181</v>
      </c>
      <c r="L371" s="11">
        <f>PMT(F371/100/12, 300, -(C371 *
(1 - G371/100)))</f>
        <v>1866.5828279154464</v>
      </c>
      <c r="M371" s="11">
        <f t="shared" si="25"/>
        <v>250014.84837463393</v>
      </c>
      <c r="N371" s="11">
        <f t="shared" si="26"/>
        <v>559974.84837463393</v>
      </c>
      <c r="O371">
        <f t="shared" si="27"/>
        <v>309960</v>
      </c>
      <c r="P371">
        <v>880.90174603174603</v>
      </c>
      <c r="R371" t="str">
        <f t="shared" si="28"/>
        <v>3</v>
      </c>
      <c r="S371">
        <f t="shared" si="29"/>
        <v>880.91940035273365</v>
      </c>
    </row>
    <row r="372" spans="1:19">
      <c r="A372" s="6" t="s">
        <v>10</v>
      </c>
      <c r="B372" s="6" t="s">
        <v>17</v>
      </c>
      <c r="C372" s="6">
        <v>470000</v>
      </c>
      <c r="D372" s="6">
        <v>2720</v>
      </c>
      <c r="E372" s="6">
        <v>2024</v>
      </c>
      <c r="F372" s="6">
        <v>5</v>
      </c>
      <c r="G372" s="6" t="s">
        <v>24</v>
      </c>
      <c r="H372" s="6" t="s">
        <v>19</v>
      </c>
      <c r="I372" s="6" t="s">
        <v>20</v>
      </c>
      <c r="J372" s="6" t="s">
        <v>21</v>
      </c>
      <c r="K372" s="20">
        <f>C372/D372</f>
        <v>172.79411764705881</v>
      </c>
      <c r="L372" s="11">
        <f>PMT(F372/100/12, 300, -(C372 *
(1 - G372/100)))</f>
        <v>2472.8158755787517</v>
      </c>
      <c r="M372" s="11">
        <f t="shared" si="25"/>
        <v>318844.76267362549</v>
      </c>
      <c r="N372" s="11">
        <f t="shared" si="26"/>
        <v>741844.76267362549</v>
      </c>
      <c r="O372">
        <f t="shared" si="27"/>
        <v>423000</v>
      </c>
      <c r="P372">
        <v>1088.6017361702127</v>
      </c>
      <c r="R372" t="str">
        <f t="shared" si="28"/>
        <v>2</v>
      </c>
      <c r="S372">
        <f t="shared" si="29"/>
        <v>1088.6192907801417</v>
      </c>
    </row>
    <row r="373" spans="1:19">
      <c r="A373" s="6" t="s">
        <v>30</v>
      </c>
      <c r="B373" s="6" t="s">
        <v>27</v>
      </c>
      <c r="C373" s="6">
        <v>375000</v>
      </c>
      <c r="D373" s="6">
        <v>2150</v>
      </c>
      <c r="E373" s="6">
        <v>2024</v>
      </c>
      <c r="F373" s="6">
        <v>5.3</v>
      </c>
      <c r="G373" s="6" t="s">
        <v>12</v>
      </c>
      <c r="H373" s="6" t="s">
        <v>13</v>
      </c>
      <c r="I373" s="6" t="s">
        <v>20</v>
      </c>
      <c r="J373" s="6" t="s">
        <v>29</v>
      </c>
      <c r="K373" s="20">
        <f>C373/D373</f>
        <v>174.41860465116278</v>
      </c>
      <c r="L373" s="11">
        <f>PMT(F373/100/12, 300, -(C373 *
(1 - G373/100)))</f>
        <v>1851.7686784875461</v>
      </c>
      <c r="M373" s="11">
        <f t="shared" si="25"/>
        <v>248030.60354626388</v>
      </c>
      <c r="N373" s="11">
        <f t="shared" si="26"/>
        <v>555530.60354626388</v>
      </c>
      <c r="O373">
        <f t="shared" si="27"/>
        <v>307500</v>
      </c>
      <c r="P373">
        <v>860.90171999999995</v>
      </c>
      <c r="R373" t="str">
        <f t="shared" si="28"/>
        <v>3</v>
      </c>
      <c r="S373">
        <f t="shared" si="29"/>
        <v>860.91911111111108</v>
      </c>
    </row>
    <row r="374" spans="1:19">
      <c r="A374" s="6" t="s">
        <v>10</v>
      </c>
      <c r="B374" s="6" t="s">
        <v>17</v>
      </c>
      <c r="C374" s="6">
        <v>470000</v>
      </c>
      <c r="D374" s="6">
        <v>2680</v>
      </c>
      <c r="E374" s="6">
        <v>2024</v>
      </c>
      <c r="F374" s="6">
        <v>5</v>
      </c>
      <c r="G374" s="6" t="s">
        <v>18</v>
      </c>
      <c r="H374" s="6" t="s">
        <v>19</v>
      </c>
      <c r="I374" s="6" t="s">
        <v>20</v>
      </c>
      <c r="J374" s="6" t="s">
        <v>21</v>
      </c>
      <c r="K374" s="20">
        <f>C374/D374</f>
        <v>175.37313432835822</v>
      </c>
      <c r="L374" s="11">
        <f>PMT(F374/100/12, 300, -(C374 *
(1 - G374/100)))</f>
        <v>2417.8644116770015</v>
      </c>
      <c r="M374" s="11">
        <f t="shared" si="25"/>
        <v>311759.32350310043</v>
      </c>
      <c r="N374" s="11">
        <f t="shared" si="26"/>
        <v>725359.32350310043</v>
      </c>
      <c r="O374">
        <f t="shared" si="27"/>
        <v>413600</v>
      </c>
      <c r="P374">
        <v>1072.6017106382978</v>
      </c>
      <c r="R374" t="str">
        <f t="shared" si="28"/>
        <v>2</v>
      </c>
      <c r="S374">
        <f t="shared" si="29"/>
        <v>1072.6190070921984</v>
      </c>
    </row>
    <row r="375" spans="1:19">
      <c r="A375" s="6" t="s">
        <v>33</v>
      </c>
      <c r="B375" s="6" t="s">
        <v>27</v>
      </c>
      <c r="C375" s="6">
        <v>430000</v>
      </c>
      <c r="D375" s="6">
        <v>2450</v>
      </c>
      <c r="E375" s="6">
        <v>2024</v>
      </c>
      <c r="F375" s="6">
        <v>5.2</v>
      </c>
      <c r="G375" s="6" t="s">
        <v>28</v>
      </c>
      <c r="H375" s="6" t="s">
        <v>13</v>
      </c>
      <c r="I375" s="6" t="s">
        <v>20</v>
      </c>
      <c r="J375" s="6" t="s">
        <v>29</v>
      </c>
      <c r="K375" s="20">
        <f>C375/D375</f>
        <v>175.51020408163265</v>
      </c>
      <c r="L375" s="11">
        <f>PMT(F375/100/12, 300, -(C375 *
(1 - G375/100)))</f>
        <v>2179.4820500494329</v>
      </c>
      <c r="M375" s="11">
        <f t="shared" si="25"/>
        <v>288344.61501482979</v>
      </c>
      <c r="N375" s="11">
        <f t="shared" si="26"/>
        <v>653844.61501482979</v>
      </c>
      <c r="O375">
        <f t="shared" si="27"/>
        <v>365500</v>
      </c>
      <c r="P375">
        <v>980.90170930232557</v>
      </c>
      <c r="R375" t="str">
        <f t="shared" si="28"/>
        <v>3</v>
      </c>
      <c r="S375">
        <f t="shared" si="29"/>
        <v>980.91899224806195</v>
      </c>
    </row>
    <row r="376" spans="1:19">
      <c r="A376" s="6" t="s">
        <v>33</v>
      </c>
      <c r="B376" s="6" t="s">
        <v>27</v>
      </c>
      <c r="C376" s="6">
        <v>432000</v>
      </c>
      <c r="D376" s="6">
        <v>2460</v>
      </c>
      <c r="E376" s="6">
        <v>2024</v>
      </c>
      <c r="F376" s="6">
        <v>5.2</v>
      </c>
      <c r="G376" s="6" t="s">
        <v>28</v>
      </c>
      <c r="H376" s="6" t="s">
        <v>13</v>
      </c>
      <c r="I376" s="6" t="s">
        <v>20</v>
      </c>
      <c r="J376" s="6" t="s">
        <v>29</v>
      </c>
      <c r="K376" s="20">
        <f>C376/D376</f>
        <v>175.60975609756099</v>
      </c>
      <c r="L376" s="11">
        <f>PMT(F376/100/12, 300, -(C376 *
(1 - G376/100)))</f>
        <v>2189.6191758636164</v>
      </c>
      <c r="M376" s="11">
        <f t="shared" si="25"/>
        <v>289685.7527590848</v>
      </c>
      <c r="N376" s="11">
        <f t="shared" si="26"/>
        <v>656885.7527590848</v>
      </c>
      <c r="O376">
        <f t="shared" si="27"/>
        <v>367200</v>
      </c>
      <c r="P376">
        <v>984.90170833333332</v>
      </c>
      <c r="R376" t="str">
        <f t="shared" si="28"/>
        <v>3</v>
      </c>
      <c r="S376">
        <f t="shared" si="29"/>
        <v>984.91898148148141</v>
      </c>
    </row>
    <row r="377" spans="1:19">
      <c r="A377" s="6" t="s">
        <v>33</v>
      </c>
      <c r="B377" s="6" t="s">
        <v>27</v>
      </c>
      <c r="C377" s="6">
        <v>425000</v>
      </c>
      <c r="D377" s="6">
        <v>2400</v>
      </c>
      <c r="E377" s="6">
        <v>2024</v>
      </c>
      <c r="F377" s="6">
        <v>5.2</v>
      </c>
      <c r="G377" s="6" t="s">
        <v>28</v>
      </c>
      <c r="H377" s="6" t="s">
        <v>13</v>
      </c>
      <c r="I377" s="6" t="s">
        <v>20</v>
      </c>
      <c r="J377" s="6" t="s">
        <v>29</v>
      </c>
      <c r="K377" s="20">
        <f>C377/D377</f>
        <v>177.08333333333334</v>
      </c>
      <c r="L377" s="11">
        <f>PMT(F377/100/12, 300, -(C377 *
(1 - G377/100)))</f>
        <v>2154.1392355139747</v>
      </c>
      <c r="M377" s="11">
        <f t="shared" si="25"/>
        <v>284991.77065419231</v>
      </c>
      <c r="N377" s="11">
        <f t="shared" si="26"/>
        <v>646241.77065419231</v>
      </c>
      <c r="O377">
        <f t="shared" si="27"/>
        <v>361250</v>
      </c>
      <c r="P377">
        <v>960.90169411764703</v>
      </c>
      <c r="R377" t="str">
        <f t="shared" si="28"/>
        <v>3</v>
      </c>
      <c r="S377">
        <f t="shared" si="29"/>
        <v>960.91882352941172</v>
      </c>
    </row>
    <row r="378" spans="1:19">
      <c r="A378" s="4" t="s">
        <v>30</v>
      </c>
      <c r="B378" s="4" t="s">
        <v>17</v>
      </c>
      <c r="C378" s="4">
        <v>400000</v>
      </c>
      <c r="D378" s="4">
        <v>2250</v>
      </c>
      <c r="E378" s="4">
        <v>2024</v>
      </c>
      <c r="F378" s="4">
        <v>5.4</v>
      </c>
      <c r="G378" s="4" t="s">
        <v>31</v>
      </c>
      <c r="H378" s="4" t="s">
        <v>25</v>
      </c>
      <c r="I378" s="4" t="s">
        <v>20</v>
      </c>
      <c r="J378" s="4" t="s">
        <v>21</v>
      </c>
      <c r="K378" s="20">
        <f>C378/D378</f>
        <v>177.77777777777777</v>
      </c>
      <c r="L378" s="11">
        <f>PMT(F378/100/12, 300, -(C378 *
(1 - G378/100)))</f>
        <v>2237.9180960621916</v>
      </c>
      <c r="M378" s="11">
        <f t="shared" si="25"/>
        <v>303375.42881865759</v>
      </c>
      <c r="N378" s="11">
        <f t="shared" si="26"/>
        <v>671375.42881865753</v>
      </c>
      <c r="O378">
        <f t="shared" si="27"/>
        <v>368000</v>
      </c>
      <c r="P378">
        <v>900.30168749999996</v>
      </c>
      <c r="R378" t="str">
        <f t="shared" si="28"/>
        <v>1</v>
      </c>
      <c r="S378">
        <f t="shared" si="29"/>
        <v>900.31874999999991</v>
      </c>
    </row>
    <row r="379" spans="1:19">
      <c r="A379" s="6" t="s">
        <v>33</v>
      </c>
      <c r="B379" s="6" t="s">
        <v>27</v>
      </c>
      <c r="C379" s="6">
        <v>420000</v>
      </c>
      <c r="D379" s="6">
        <v>2350</v>
      </c>
      <c r="E379" s="6">
        <v>2024</v>
      </c>
      <c r="F379" s="6">
        <v>5.2</v>
      </c>
      <c r="G379" s="6" t="s">
        <v>28</v>
      </c>
      <c r="H379" s="6" t="s">
        <v>13</v>
      </c>
      <c r="I379" s="6" t="s">
        <v>20</v>
      </c>
      <c r="J379" s="6" t="s">
        <v>29</v>
      </c>
      <c r="K379" s="20">
        <f>C379/D379</f>
        <v>178.72340425531914</v>
      </c>
      <c r="L379" s="11">
        <f>PMT(F379/100/12, 300, -(C379 *
(1 - G379/100)))</f>
        <v>2128.7964209785159</v>
      </c>
      <c r="M379" s="11">
        <f t="shared" si="25"/>
        <v>281638.9262935546</v>
      </c>
      <c r="N379" s="11">
        <f t="shared" si="26"/>
        <v>638638.9262935546</v>
      </c>
      <c r="O379">
        <f t="shared" si="27"/>
        <v>357000</v>
      </c>
      <c r="P379">
        <v>940.90167857142853</v>
      </c>
      <c r="R379" t="str">
        <f t="shared" si="28"/>
        <v>3</v>
      </c>
      <c r="S379">
        <f t="shared" si="29"/>
        <v>940.91865079365073</v>
      </c>
    </row>
    <row r="380" spans="1:19">
      <c r="A380" s="6" t="s">
        <v>35</v>
      </c>
      <c r="B380" s="6" t="s">
        <v>17</v>
      </c>
      <c r="C380" s="6">
        <v>394000</v>
      </c>
      <c r="D380" s="6">
        <v>2200</v>
      </c>
      <c r="E380" s="6">
        <v>2023</v>
      </c>
      <c r="F380" s="6">
        <v>6.4</v>
      </c>
      <c r="G380" s="7">
        <v>5</v>
      </c>
      <c r="H380" s="6" t="s">
        <v>25</v>
      </c>
      <c r="I380" s="6" t="s">
        <v>20</v>
      </c>
      <c r="J380" s="6" t="s">
        <v>21</v>
      </c>
      <c r="K380" s="20">
        <f>C380/D380</f>
        <v>179.09090909090909</v>
      </c>
      <c r="L380" s="11">
        <f>PMT(F380/100/12, 300, -(C380 *
(1 - G380/100)))</f>
        <v>2503.9617344327653</v>
      </c>
      <c r="M380" s="11">
        <f t="shared" si="25"/>
        <v>376888.52032982971</v>
      </c>
      <c r="N380" s="11">
        <f t="shared" si="26"/>
        <v>751188.52032982977</v>
      </c>
      <c r="O380">
        <f t="shared" si="27"/>
        <v>374300</v>
      </c>
      <c r="P380">
        <v>880.30167512690355</v>
      </c>
      <c r="R380" t="str">
        <f t="shared" si="28"/>
        <v>1</v>
      </c>
      <c r="S380">
        <f t="shared" si="29"/>
        <v>880.3186125211505</v>
      </c>
    </row>
    <row r="381" spans="1:19">
      <c r="A381" s="4" t="s">
        <v>33</v>
      </c>
      <c r="B381" s="4" t="s">
        <v>27</v>
      </c>
      <c r="C381" s="4">
        <v>415000</v>
      </c>
      <c r="D381" s="4">
        <v>2300</v>
      </c>
      <c r="E381" s="4">
        <v>2024</v>
      </c>
      <c r="F381" s="4">
        <v>5.2</v>
      </c>
      <c r="G381" s="4" t="s">
        <v>28</v>
      </c>
      <c r="H381" s="4" t="s">
        <v>13</v>
      </c>
      <c r="I381" s="4" t="s">
        <v>20</v>
      </c>
      <c r="J381" s="4" t="s">
        <v>29</v>
      </c>
      <c r="K381" s="20">
        <f>C381/D381</f>
        <v>180.43478260869566</v>
      </c>
      <c r="L381" s="11">
        <f>PMT(F381/100/12, 300, -(C381 *
(1 - G381/100)))</f>
        <v>2103.4536064430577</v>
      </c>
      <c r="M381" s="11">
        <f t="shared" si="25"/>
        <v>278286.08193291718</v>
      </c>
      <c r="N381" s="11">
        <f t="shared" si="26"/>
        <v>631036.08193291724</v>
      </c>
      <c r="O381">
        <f t="shared" si="27"/>
        <v>352750</v>
      </c>
      <c r="P381">
        <v>920.90166265060236</v>
      </c>
      <c r="R381" t="str">
        <f t="shared" si="28"/>
        <v>3</v>
      </c>
      <c r="S381">
        <f t="shared" si="29"/>
        <v>920.91847389558234</v>
      </c>
    </row>
    <row r="382" spans="1:19">
      <c r="A382" s="4" t="s">
        <v>33</v>
      </c>
      <c r="B382" s="4" t="s">
        <v>23</v>
      </c>
      <c r="C382" s="4">
        <v>318000</v>
      </c>
      <c r="D382" s="4">
        <v>1760</v>
      </c>
      <c r="E382" s="4">
        <v>2023</v>
      </c>
      <c r="F382" s="4">
        <v>6.4</v>
      </c>
      <c r="G382" s="4" t="s">
        <v>34</v>
      </c>
      <c r="H382" s="4" t="s">
        <v>19</v>
      </c>
      <c r="I382" s="4" t="s">
        <v>20</v>
      </c>
      <c r="J382" s="4" t="s">
        <v>21</v>
      </c>
      <c r="K382" s="20">
        <f>C382/D382</f>
        <v>180.68181818181819</v>
      </c>
      <c r="L382" s="11">
        <f>PMT(F382/100/12, 300, -(C382 *
(1 - G382/100)))</f>
        <v>1680.5911486086011</v>
      </c>
      <c r="M382" s="11">
        <f t="shared" si="25"/>
        <v>252957.34458258038</v>
      </c>
      <c r="N382" s="11">
        <f t="shared" si="26"/>
        <v>504177.34458258038</v>
      </c>
      <c r="O382">
        <f t="shared" si="27"/>
        <v>251220</v>
      </c>
      <c r="P382">
        <v>704.60166037735848</v>
      </c>
      <c r="R382" t="str">
        <f t="shared" si="28"/>
        <v>2</v>
      </c>
      <c r="S382">
        <f t="shared" si="29"/>
        <v>704.61844863731653</v>
      </c>
    </row>
    <row r="383" spans="1:19">
      <c r="A383" s="4" t="s">
        <v>33</v>
      </c>
      <c r="B383" s="4" t="s">
        <v>23</v>
      </c>
      <c r="C383" s="4">
        <v>318000</v>
      </c>
      <c r="D383" s="4">
        <v>1760</v>
      </c>
      <c r="E383" s="4">
        <v>2023</v>
      </c>
      <c r="F383" s="4">
        <v>6.4</v>
      </c>
      <c r="G383" s="8">
        <v>10</v>
      </c>
      <c r="H383" s="4" t="s">
        <v>19</v>
      </c>
      <c r="I383" s="4" t="s">
        <v>20</v>
      </c>
      <c r="J383" s="4" t="s">
        <v>21</v>
      </c>
      <c r="K383" s="20">
        <f>C383/D383</f>
        <v>180.68181818181819</v>
      </c>
      <c r="L383" s="11">
        <f>PMT(F383/100/12, 300, -(C383 *
(1 - G383/100)))</f>
        <v>1914.5975110730897</v>
      </c>
      <c r="M383" s="11">
        <f t="shared" si="25"/>
        <v>288179.25332192698</v>
      </c>
      <c r="N383" s="11">
        <f t="shared" si="26"/>
        <v>574379.25332192704</v>
      </c>
      <c r="O383">
        <f t="shared" si="27"/>
        <v>286200</v>
      </c>
      <c r="P383">
        <v>704.60166037735848</v>
      </c>
      <c r="R383" t="str">
        <f t="shared" si="28"/>
        <v>2</v>
      </c>
      <c r="S383">
        <f t="shared" si="29"/>
        <v>704.61844863731653</v>
      </c>
    </row>
    <row r="384" spans="1:19">
      <c r="A384" s="4" t="s">
        <v>16</v>
      </c>
      <c r="B384" s="4" t="s">
        <v>27</v>
      </c>
      <c r="C384" s="4">
        <v>510000</v>
      </c>
      <c r="D384" s="4">
        <v>2800</v>
      </c>
      <c r="E384" s="4">
        <v>2024</v>
      </c>
      <c r="F384" s="4">
        <v>5.3</v>
      </c>
      <c r="G384" s="4" t="s">
        <v>28</v>
      </c>
      <c r="H384" s="4" t="s">
        <v>13</v>
      </c>
      <c r="I384" s="4" t="s">
        <v>20</v>
      </c>
      <c r="J384" s="4" t="s">
        <v>29</v>
      </c>
      <c r="K384" s="20">
        <f>C384/D384</f>
        <v>182.14285714285714</v>
      </c>
      <c r="L384" s="11">
        <f>PMT(F384/100/12, 300, -(C384 *
(1 - G384/100)))</f>
        <v>2610.5421857702481</v>
      </c>
      <c r="M384" s="11">
        <f t="shared" si="25"/>
        <v>349662.65573107434</v>
      </c>
      <c r="N384" s="11">
        <f t="shared" si="26"/>
        <v>783162.65573107428</v>
      </c>
      <c r="O384">
        <f t="shared" si="27"/>
        <v>433500</v>
      </c>
      <c r="P384">
        <v>1120.9016470588235</v>
      </c>
      <c r="R384" t="str">
        <f t="shared" si="28"/>
        <v>3</v>
      </c>
      <c r="S384">
        <f t="shared" si="29"/>
        <v>1120.9183006535948</v>
      </c>
    </row>
    <row r="385" spans="1:19">
      <c r="A385" s="4" t="s">
        <v>16</v>
      </c>
      <c r="B385" s="4" t="s">
        <v>27</v>
      </c>
      <c r="C385" s="4">
        <v>512000</v>
      </c>
      <c r="D385" s="4">
        <v>2810</v>
      </c>
      <c r="E385" s="4">
        <v>2024</v>
      </c>
      <c r="F385" s="4">
        <v>5.3</v>
      </c>
      <c r="G385" s="4" t="s">
        <v>28</v>
      </c>
      <c r="H385" s="4" t="s">
        <v>13</v>
      </c>
      <c r="I385" s="4" t="s">
        <v>20</v>
      </c>
      <c r="J385" s="4" t="s">
        <v>29</v>
      </c>
      <c r="K385" s="20">
        <f>C385/D385</f>
        <v>182.20640569395019</v>
      </c>
      <c r="L385" s="11">
        <f>PMT(F385/100/12, 300, -(C385 *
(1 - G385/100)))</f>
        <v>2620.7796061066019</v>
      </c>
      <c r="M385" s="11">
        <f t="shared" si="25"/>
        <v>351033.88183198049</v>
      </c>
      <c r="N385" s="11">
        <f t="shared" si="26"/>
        <v>786233.88183198054</v>
      </c>
      <c r="O385">
        <f t="shared" si="27"/>
        <v>435200</v>
      </c>
      <c r="P385">
        <v>1124.9016464843751</v>
      </c>
      <c r="R385" t="str">
        <f t="shared" si="28"/>
        <v>3</v>
      </c>
      <c r="S385">
        <f t="shared" si="29"/>
        <v>1124.9182942708335</v>
      </c>
    </row>
    <row r="386" spans="1:19">
      <c r="A386" s="6" t="s">
        <v>30</v>
      </c>
      <c r="B386" s="6" t="s">
        <v>27</v>
      </c>
      <c r="C386" s="6">
        <v>365000</v>
      </c>
      <c r="D386" s="6">
        <v>2000</v>
      </c>
      <c r="E386" s="6">
        <v>2024</v>
      </c>
      <c r="F386" s="6">
        <v>5.3</v>
      </c>
      <c r="G386" s="6" t="s">
        <v>12</v>
      </c>
      <c r="H386" s="6" t="s">
        <v>13</v>
      </c>
      <c r="I386" s="6" t="s">
        <v>20</v>
      </c>
      <c r="J386" s="6" t="s">
        <v>29</v>
      </c>
      <c r="K386" s="20">
        <f>C386/D386</f>
        <v>182.5</v>
      </c>
      <c r="L386" s="11">
        <f>PMT(F386/100/12, 300, -(C386 *
(1 - G386/100)))</f>
        <v>1802.3881803945449</v>
      </c>
      <c r="M386" s="11">
        <f t="shared" si="25"/>
        <v>241416.45411836344</v>
      </c>
      <c r="N386" s="11">
        <f t="shared" si="26"/>
        <v>540716.45411836344</v>
      </c>
      <c r="O386">
        <f t="shared" si="27"/>
        <v>299300</v>
      </c>
      <c r="P386">
        <v>800.90164383561637</v>
      </c>
      <c r="R386" t="str">
        <f t="shared" si="28"/>
        <v>3</v>
      </c>
      <c r="S386">
        <f t="shared" si="29"/>
        <v>800.91826484018259</v>
      </c>
    </row>
    <row r="387" spans="1:19">
      <c r="A387" s="6" t="s">
        <v>10</v>
      </c>
      <c r="B387" s="6" t="s">
        <v>17</v>
      </c>
      <c r="C387" s="6">
        <v>490000</v>
      </c>
      <c r="D387" s="6">
        <v>2680</v>
      </c>
      <c r="E387" s="6">
        <v>2024</v>
      </c>
      <c r="F387" s="6">
        <v>5</v>
      </c>
      <c r="G387" s="7">
        <v>12</v>
      </c>
      <c r="H387" s="6" t="s">
        <v>19</v>
      </c>
      <c r="I387" s="6" t="s">
        <v>20</v>
      </c>
      <c r="J387" s="6" t="s">
        <v>21</v>
      </c>
      <c r="K387" s="20">
        <f>C387/D387</f>
        <v>182.83582089552237</v>
      </c>
      <c r="L387" s="11">
        <f>PMT(F387/100/12, 300, -(C387 *
(1 - G387/100)))</f>
        <v>2520.7522589824061</v>
      </c>
      <c r="M387" s="11">
        <f t="shared" ref="M387:M450" si="30">-CUMIPMT(F387/1200,300,O387,1,300,0)</f>
        <v>325025.67769472179</v>
      </c>
      <c r="N387" s="11">
        <f t="shared" ref="N387:N450" si="31">O387+M387</f>
        <v>756225.67769472185</v>
      </c>
      <c r="O387">
        <f t="shared" ref="O387:O450" si="32">C387*(1-G387/100)</f>
        <v>431200</v>
      </c>
      <c r="P387">
        <v>1072.6016408163264</v>
      </c>
      <c r="R387" t="str">
        <f t="shared" ref="R387:R450" si="33">IF(H387="A","4",IF(H387="B","3",IF(H387="C","2",IF(H387="D","1",0))))</f>
        <v>2</v>
      </c>
      <c r="S387">
        <f t="shared" ref="S387:S450" si="34">D387*0.4 +R387*0.3 +(1/(K387*0.3))</f>
        <v>1072.6182312925168</v>
      </c>
    </row>
    <row r="388" spans="1:19">
      <c r="A388" s="4" t="s">
        <v>33</v>
      </c>
      <c r="B388" s="4" t="s">
        <v>27</v>
      </c>
      <c r="C388" s="4">
        <v>412000</v>
      </c>
      <c r="D388" s="4">
        <v>2250</v>
      </c>
      <c r="E388" s="4">
        <v>2024</v>
      </c>
      <c r="F388" s="4">
        <v>5.2</v>
      </c>
      <c r="G388" s="4" t="s">
        <v>28</v>
      </c>
      <c r="H388" s="4" t="s">
        <v>13</v>
      </c>
      <c r="I388" s="4" t="s">
        <v>20</v>
      </c>
      <c r="J388" s="4" t="s">
        <v>29</v>
      </c>
      <c r="K388" s="20">
        <f>C388/D388</f>
        <v>183.11111111111111</v>
      </c>
      <c r="L388" s="11">
        <f>PMT(F388/100/12, 300, -(C388 *
(1 - G388/100)))</f>
        <v>2088.2479177217824</v>
      </c>
      <c r="M388" s="11">
        <f t="shared" si="30"/>
        <v>276274.37531653454</v>
      </c>
      <c r="N388" s="11">
        <f t="shared" si="31"/>
        <v>626474.37531653454</v>
      </c>
      <c r="O388">
        <f t="shared" si="32"/>
        <v>350200</v>
      </c>
      <c r="P388">
        <v>900.90163834951454</v>
      </c>
      <c r="R388" t="str">
        <f t="shared" si="33"/>
        <v>3</v>
      </c>
      <c r="S388">
        <f t="shared" si="34"/>
        <v>900.91820388349515</v>
      </c>
    </row>
    <row r="389" spans="1:19">
      <c r="A389" s="4" t="s">
        <v>16</v>
      </c>
      <c r="B389" s="4" t="s">
        <v>27</v>
      </c>
      <c r="C389" s="4">
        <v>505000</v>
      </c>
      <c r="D389" s="4">
        <v>2750</v>
      </c>
      <c r="E389" s="4">
        <v>2024</v>
      </c>
      <c r="F389" s="4">
        <v>5.3</v>
      </c>
      <c r="G389" s="4" t="s">
        <v>28</v>
      </c>
      <c r="H389" s="4" t="s">
        <v>13</v>
      </c>
      <c r="I389" s="4" t="s">
        <v>20</v>
      </c>
      <c r="J389" s="4" t="s">
        <v>29</v>
      </c>
      <c r="K389" s="20">
        <f>C389/D389</f>
        <v>183.63636363636363</v>
      </c>
      <c r="L389" s="11">
        <f>PMT(F389/100/12, 300, -(C389 *
(1 - G389/100)))</f>
        <v>2584.9486349293634</v>
      </c>
      <c r="M389" s="11">
        <f t="shared" si="30"/>
        <v>346234.59047880897</v>
      </c>
      <c r="N389" s="11">
        <f t="shared" si="31"/>
        <v>775484.59047880897</v>
      </c>
      <c r="O389">
        <f t="shared" si="32"/>
        <v>429250</v>
      </c>
      <c r="P389">
        <v>1100.9016336633665</v>
      </c>
      <c r="R389" t="str">
        <f t="shared" si="33"/>
        <v>3</v>
      </c>
      <c r="S389">
        <f t="shared" si="34"/>
        <v>1100.9181518151815</v>
      </c>
    </row>
    <row r="390" spans="1:19">
      <c r="A390" s="6" t="s">
        <v>30</v>
      </c>
      <c r="B390" s="6" t="s">
        <v>27</v>
      </c>
      <c r="C390" s="6">
        <v>360000</v>
      </c>
      <c r="D390" s="6">
        <v>1950</v>
      </c>
      <c r="E390" s="6">
        <v>2024</v>
      </c>
      <c r="F390" s="6">
        <v>5.3</v>
      </c>
      <c r="G390" s="6" t="s">
        <v>12</v>
      </c>
      <c r="H390" s="6" t="s">
        <v>13</v>
      </c>
      <c r="I390" s="6" t="s">
        <v>20</v>
      </c>
      <c r="J390" s="6" t="s">
        <v>29</v>
      </c>
      <c r="K390" s="20">
        <f>C390/D390</f>
        <v>184.61538461538461</v>
      </c>
      <c r="L390" s="11">
        <f>PMT(F390/100/12, 300, -(C390 *
(1 - G390/100)))</f>
        <v>1777.6979313480442</v>
      </c>
      <c r="M390" s="11">
        <f t="shared" si="30"/>
        <v>238109.37940441328</v>
      </c>
      <c r="N390" s="11">
        <f t="shared" si="31"/>
        <v>533309.37940441328</v>
      </c>
      <c r="O390">
        <f t="shared" si="32"/>
        <v>295200</v>
      </c>
      <c r="P390">
        <v>780.90162499999997</v>
      </c>
      <c r="R390" t="str">
        <f t="shared" si="33"/>
        <v>3</v>
      </c>
      <c r="S390">
        <f t="shared" si="34"/>
        <v>780.9180555555555</v>
      </c>
    </row>
    <row r="391" spans="1:19">
      <c r="A391" s="6" t="s">
        <v>10</v>
      </c>
      <c r="B391" s="6" t="s">
        <v>17</v>
      </c>
      <c r="C391" s="6">
        <v>495000</v>
      </c>
      <c r="D391" s="6">
        <v>2680</v>
      </c>
      <c r="E391" s="6">
        <v>2024</v>
      </c>
      <c r="F391" s="6">
        <v>5</v>
      </c>
      <c r="G391" s="7">
        <v>12</v>
      </c>
      <c r="H391" s="6" t="s">
        <v>19</v>
      </c>
      <c r="I391" s="6" t="s">
        <v>20</v>
      </c>
      <c r="J391" s="6" t="s">
        <v>21</v>
      </c>
      <c r="K391" s="20">
        <f>C391/D391</f>
        <v>184.70149253731344</v>
      </c>
      <c r="L391" s="11">
        <f>PMT(F391/100/12, 300, -(C391 *
(1 - G391/100)))</f>
        <v>2546.4742208087569</v>
      </c>
      <c r="M391" s="11">
        <f t="shared" si="30"/>
        <v>328342.26624262705</v>
      </c>
      <c r="N391" s="11">
        <f t="shared" si="31"/>
        <v>763942.26624262705</v>
      </c>
      <c r="O391">
        <f t="shared" si="32"/>
        <v>435600</v>
      </c>
      <c r="P391">
        <v>1072.6016242424241</v>
      </c>
      <c r="R391" t="str">
        <f t="shared" si="33"/>
        <v>2</v>
      </c>
      <c r="S391">
        <f t="shared" si="34"/>
        <v>1072.6180471380471</v>
      </c>
    </row>
    <row r="392" spans="1:19">
      <c r="A392" s="4" t="s">
        <v>16</v>
      </c>
      <c r="B392" s="4" t="s">
        <v>27</v>
      </c>
      <c r="C392" s="4">
        <v>500000</v>
      </c>
      <c r="D392" s="4">
        <v>2700</v>
      </c>
      <c r="E392" s="4">
        <v>2024</v>
      </c>
      <c r="F392" s="4">
        <v>5.3</v>
      </c>
      <c r="G392" s="4" t="s">
        <v>28</v>
      </c>
      <c r="H392" s="4" t="s">
        <v>13</v>
      </c>
      <c r="I392" s="4" t="s">
        <v>20</v>
      </c>
      <c r="J392" s="4" t="s">
        <v>29</v>
      </c>
      <c r="K392" s="20">
        <f>C392/D392</f>
        <v>185.18518518518519</v>
      </c>
      <c r="L392" s="11">
        <f>PMT(F392/100/12, 300, -(C392 *
(1 - G392/100)))</f>
        <v>2559.3550840884786</v>
      </c>
      <c r="M392" s="11">
        <f t="shared" si="30"/>
        <v>342806.52522654348</v>
      </c>
      <c r="N392" s="11">
        <f t="shared" si="31"/>
        <v>767806.52522654342</v>
      </c>
      <c r="O392">
        <f t="shared" si="32"/>
        <v>425000</v>
      </c>
      <c r="P392">
        <v>1080.9016200000001</v>
      </c>
      <c r="R392" t="str">
        <f t="shared" si="33"/>
        <v>3</v>
      </c>
      <c r="S392">
        <f t="shared" si="34"/>
        <v>1080.9180000000001</v>
      </c>
    </row>
    <row r="393" spans="1:19">
      <c r="A393" s="6" t="s">
        <v>16</v>
      </c>
      <c r="B393" s="6" t="s">
        <v>27</v>
      </c>
      <c r="C393" s="6">
        <v>482000</v>
      </c>
      <c r="D393" s="6">
        <v>2600</v>
      </c>
      <c r="E393" s="6">
        <v>2024</v>
      </c>
      <c r="F393" s="6">
        <v>5.3</v>
      </c>
      <c r="G393" s="6" t="s">
        <v>28</v>
      </c>
      <c r="H393" s="6" t="s">
        <v>13</v>
      </c>
      <c r="I393" s="6" t="s">
        <v>20</v>
      </c>
      <c r="J393" s="6" t="s">
        <v>29</v>
      </c>
      <c r="K393" s="20">
        <f>C393/D393</f>
        <v>185.38461538461539</v>
      </c>
      <c r="L393" s="11">
        <f>PMT(F393/100/12, 300, -(C393 *
(1 - G393/100)))</f>
        <v>2467.2183010612935</v>
      </c>
      <c r="M393" s="11">
        <f t="shared" si="30"/>
        <v>330465.49031838792</v>
      </c>
      <c r="N393" s="11">
        <f t="shared" si="31"/>
        <v>740165.49031838798</v>
      </c>
      <c r="O393">
        <f t="shared" si="32"/>
        <v>409700</v>
      </c>
      <c r="P393">
        <v>1040.9016182572616</v>
      </c>
      <c r="R393" t="str">
        <f t="shared" si="33"/>
        <v>3</v>
      </c>
      <c r="S393">
        <f t="shared" si="34"/>
        <v>1040.9179806362381</v>
      </c>
    </row>
    <row r="394" spans="1:19">
      <c r="A394" s="4" t="s">
        <v>33</v>
      </c>
      <c r="B394" s="4" t="s">
        <v>27</v>
      </c>
      <c r="C394" s="4">
        <v>410000</v>
      </c>
      <c r="D394" s="4">
        <v>2200</v>
      </c>
      <c r="E394" s="4">
        <v>2024</v>
      </c>
      <c r="F394" s="4">
        <v>5.2</v>
      </c>
      <c r="G394" s="4" t="s">
        <v>28</v>
      </c>
      <c r="H394" s="4" t="s">
        <v>13</v>
      </c>
      <c r="I394" s="4" t="s">
        <v>20</v>
      </c>
      <c r="J394" s="4" t="s">
        <v>29</v>
      </c>
      <c r="K394" s="20">
        <f>C394/D394</f>
        <v>186.36363636363637</v>
      </c>
      <c r="L394" s="11">
        <f>PMT(F394/100/12, 300, -(C394 *
(1 - G394/100)))</f>
        <v>2078.1107919075989</v>
      </c>
      <c r="M394" s="11">
        <f t="shared" si="30"/>
        <v>274933.23757227953</v>
      </c>
      <c r="N394" s="11">
        <f t="shared" si="31"/>
        <v>623433.23757227953</v>
      </c>
      <c r="O394">
        <f t="shared" si="32"/>
        <v>348500</v>
      </c>
      <c r="P394">
        <v>880.90160975609751</v>
      </c>
      <c r="R394" t="str">
        <f t="shared" si="33"/>
        <v>3</v>
      </c>
      <c r="S394">
        <f t="shared" si="34"/>
        <v>880.91788617886175</v>
      </c>
    </row>
    <row r="395" spans="1:19">
      <c r="A395" s="4" t="s">
        <v>30</v>
      </c>
      <c r="B395" s="4" t="s">
        <v>17</v>
      </c>
      <c r="C395" s="4">
        <v>420000</v>
      </c>
      <c r="D395" s="4">
        <v>2250</v>
      </c>
      <c r="E395" s="4">
        <v>2024</v>
      </c>
      <c r="F395" s="4">
        <v>5.4</v>
      </c>
      <c r="G395" s="4" t="s">
        <v>31</v>
      </c>
      <c r="H395" s="4" t="s">
        <v>25</v>
      </c>
      <c r="I395" s="4" t="s">
        <v>20</v>
      </c>
      <c r="J395" s="4" t="s">
        <v>21</v>
      </c>
      <c r="K395" s="20">
        <f>C395/D395</f>
        <v>186.66666666666666</v>
      </c>
      <c r="L395" s="11">
        <f>PMT(F395/100/12, 300, -(C395 *
(1 - G395/100)))</f>
        <v>2349.8140008653008</v>
      </c>
      <c r="M395" s="11">
        <f t="shared" si="30"/>
        <v>318544.20025959035</v>
      </c>
      <c r="N395" s="11">
        <f t="shared" si="31"/>
        <v>704944.20025959029</v>
      </c>
      <c r="O395">
        <f t="shared" si="32"/>
        <v>386400</v>
      </c>
      <c r="P395">
        <v>900.30160714285705</v>
      </c>
      <c r="R395" t="str">
        <f t="shared" si="33"/>
        <v>1</v>
      </c>
      <c r="S395">
        <f t="shared" si="34"/>
        <v>900.31785714285706</v>
      </c>
    </row>
    <row r="396" spans="1:19">
      <c r="A396" s="6" t="s">
        <v>30</v>
      </c>
      <c r="B396" s="6" t="s">
        <v>27</v>
      </c>
      <c r="C396" s="6">
        <v>355000</v>
      </c>
      <c r="D396" s="6">
        <v>1900</v>
      </c>
      <c r="E396" s="6">
        <v>2024</v>
      </c>
      <c r="F396" s="6">
        <v>5.3</v>
      </c>
      <c r="G396" s="6" t="s">
        <v>12</v>
      </c>
      <c r="H396" s="6" t="s">
        <v>13</v>
      </c>
      <c r="I396" s="6" t="s">
        <v>20</v>
      </c>
      <c r="J396" s="6" t="s">
        <v>29</v>
      </c>
      <c r="K396" s="20">
        <f>C396/D396</f>
        <v>186.84210526315789</v>
      </c>
      <c r="L396" s="11">
        <f>PMT(F396/100/12, 300, -(C396 *
(1 - G396/100)))</f>
        <v>1753.0076823015438</v>
      </c>
      <c r="M396" s="11">
        <f t="shared" si="30"/>
        <v>234802.30469046306</v>
      </c>
      <c r="N396" s="11">
        <f t="shared" si="31"/>
        <v>525902.304690463</v>
      </c>
      <c r="O396">
        <f t="shared" si="32"/>
        <v>291100</v>
      </c>
      <c r="P396">
        <v>760.90160563380277</v>
      </c>
      <c r="R396" t="str">
        <f t="shared" si="33"/>
        <v>3</v>
      </c>
      <c r="S396">
        <f t="shared" si="34"/>
        <v>760.91784037558682</v>
      </c>
    </row>
    <row r="397" spans="1:19">
      <c r="A397" s="6" t="s">
        <v>16</v>
      </c>
      <c r="B397" s="6" t="s">
        <v>27</v>
      </c>
      <c r="C397" s="6">
        <v>480000</v>
      </c>
      <c r="D397" s="6">
        <v>2550</v>
      </c>
      <c r="E397" s="6">
        <v>2024</v>
      </c>
      <c r="F397" s="6">
        <v>5.3</v>
      </c>
      <c r="G397" s="6" t="s">
        <v>28</v>
      </c>
      <c r="H397" s="6" t="s">
        <v>13</v>
      </c>
      <c r="I397" s="6" t="s">
        <v>20</v>
      </c>
      <c r="J397" s="6" t="s">
        <v>29</v>
      </c>
      <c r="K397" s="20">
        <f>C397/D397</f>
        <v>188.23529411764707</v>
      </c>
      <c r="L397" s="11">
        <f>PMT(F397/100/12, 300, -(C397 *
(1 - G397/100)))</f>
        <v>2456.9808807249387</v>
      </c>
      <c r="M397" s="11">
        <f t="shared" si="30"/>
        <v>329094.2642174816</v>
      </c>
      <c r="N397" s="11">
        <f t="shared" si="31"/>
        <v>737094.2642174816</v>
      </c>
      <c r="O397">
        <f t="shared" si="32"/>
        <v>408000</v>
      </c>
      <c r="P397">
        <v>1020.90159375</v>
      </c>
      <c r="R397" t="str">
        <f t="shared" si="33"/>
        <v>3</v>
      </c>
      <c r="S397">
        <f t="shared" si="34"/>
        <v>1020.9177083333333</v>
      </c>
    </row>
    <row r="398" spans="1:19">
      <c r="A398" s="6" t="s">
        <v>30</v>
      </c>
      <c r="B398" s="6" t="s">
        <v>27</v>
      </c>
      <c r="C398" s="6">
        <v>350000</v>
      </c>
      <c r="D398" s="6">
        <v>1850</v>
      </c>
      <c r="E398" s="6">
        <v>2024</v>
      </c>
      <c r="F398" s="6">
        <v>5.3</v>
      </c>
      <c r="G398" s="6" t="s">
        <v>12</v>
      </c>
      <c r="H398" s="6" t="s">
        <v>25</v>
      </c>
      <c r="I398" s="6" t="s">
        <v>20</v>
      </c>
      <c r="J398" s="6" t="s">
        <v>29</v>
      </c>
      <c r="K398" s="20">
        <f>C398/D398</f>
        <v>189.18918918918919</v>
      </c>
      <c r="L398" s="11">
        <f>PMT(F398/100/12, 300, -(C398 *
(1 - G398/100)))</f>
        <v>1728.3174332550429</v>
      </c>
      <c r="M398" s="11">
        <f t="shared" si="30"/>
        <v>231495.22997651284</v>
      </c>
      <c r="N398" s="11">
        <f t="shared" si="31"/>
        <v>518495.22997651284</v>
      </c>
      <c r="O398">
        <f t="shared" si="32"/>
        <v>287000</v>
      </c>
      <c r="P398">
        <v>740.30158571428569</v>
      </c>
      <c r="R398" t="str">
        <f t="shared" si="33"/>
        <v>1</v>
      </c>
      <c r="S398">
        <f t="shared" si="34"/>
        <v>740.31761904761902</v>
      </c>
    </row>
    <row r="399" spans="1:19">
      <c r="A399" s="4" t="s">
        <v>33</v>
      </c>
      <c r="B399" s="4" t="s">
        <v>27</v>
      </c>
      <c r="C399" s="4">
        <v>408000</v>
      </c>
      <c r="D399" s="4">
        <v>2150</v>
      </c>
      <c r="E399" s="4">
        <v>2024</v>
      </c>
      <c r="F399" s="4">
        <v>5.2</v>
      </c>
      <c r="G399" s="4" t="s">
        <v>28</v>
      </c>
      <c r="H399" s="4" t="s">
        <v>13</v>
      </c>
      <c r="I399" s="4" t="s">
        <v>20</v>
      </c>
      <c r="J399" s="4" t="s">
        <v>29</v>
      </c>
      <c r="K399" s="20">
        <f>C399/D399</f>
        <v>189.76744186046511</v>
      </c>
      <c r="L399" s="11">
        <f>PMT(F399/100/12, 300, -(C399 *
(1 - G399/100)))</f>
        <v>2067.9736660934154</v>
      </c>
      <c r="M399" s="11">
        <f t="shared" si="30"/>
        <v>273592.09982802451</v>
      </c>
      <c r="N399" s="11">
        <f t="shared" si="31"/>
        <v>620392.09982802451</v>
      </c>
      <c r="O399">
        <f t="shared" si="32"/>
        <v>346800</v>
      </c>
      <c r="P399">
        <v>860.90158088235296</v>
      </c>
      <c r="R399" t="str">
        <f t="shared" si="33"/>
        <v>3</v>
      </c>
      <c r="S399">
        <f t="shared" si="34"/>
        <v>860.91756535947707</v>
      </c>
    </row>
    <row r="400" spans="1:19">
      <c r="A400" s="6" t="s">
        <v>16</v>
      </c>
      <c r="B400" s="6" t="s">
        <v>27</v>
      </c>
      <c r="C400" s="6">
        <v>478000</v>
      </c>
      <c r="D400" s="6">
        <v>2500</v>
      </c>
      <c r="E400" s="6">
        <v>2024</v>
      </c>
      <c r="F400" s="6">
        <v>5.3</v>
      </c>
      <c r="G400" s="6" t="s">
        <v>28</v>
      </c>
      <c r="H400" s="6" t="s">
        <v>13</v>
      </c>
      <c r="I400" s="6" t="s">
        <v>20</v>
      </c>
      <c r="J400" s="6" t="s">
        <v>29</v>
      </c>
      <c r="K400" s="20">
        <f>C400/D400</f>
        <v>191.2</v>
      </c>
      <c r="L400" s="11">
        <f>PMT(F400/100/12, 300, -(C400 *
(1 - G400/100)))</f>
        <v>2446.7434603885854</v>
      </c>
      <c r="M400" s="11">
        <f t="shared" si="30"/>
        <v>327723.03811657557</v>
      </c>
      <c r="N400" s="11">
        <f t="shared" si="31"/>
        <v>734023.03811657557</v>
      </c>
      <c r="O400">
        <f t="shared" si="32"/>
        <v>406300</v>
      </c>
      <c r="P400">
        <v>1000.9015690376568</v>
      </c>
      <c r="R400" t="str">
        <f t="shared" si="33"/>
        <v>3</v>
      </c>
      <c r="S400">
        <f t="shared" si="34"/>
        <v>1000.9174337517434</v>
      </c>
    </row>
    <row r="401" spans="1:19">
      <c r="A401" s="6" t="s">
        <v>30</v>
      </c>
      <c r="B401" s="6" t="s">
        <v>27</v>
      </c>
      <c r="C401" s="6">
        <v>345000</v>
      </c>
      <c r="D401" s="6">
        <v>1800</v>
      </c>
      <c r="E401" s="6">
        <v>2024</v>
      </c>
      <c r="F401" s="6">
        <v>5.3</v>
      </c>
      <c r="G401" s="6">
        <v>18</v>
      </c>
      <c r="H401" s="6" t="s">
        <v>13</v>
      </c>
      <c r="I401" s="6" t="s">
        <v>20</v>
      </c>
      <c r="J401" s="6" t="s">
        <v>29</v>
      </c>
      <c r="K401" s="20">
        <f>C401/D401</f>
        <v>191.66666666666666</v>
      </c>
      <c r="L401" s="11">
        <f>PMT(F401/100/12, 300, -(C401 *
(1 - G401/100)))</f>
        <v>1703.6271842085423</v>
      </c>
      <c r="M401" s="11">
        <f t="shared" si="30"/>
        <v>228188.15526256268</v>
      </c>
      <c r="N401" s="11">
        <f t="shared" si="31"/>
        <v>511088.15526256268</v>
      </c>
      <c r="O401">
        <f t="shared" si="32"/>
        <v>282900</v>
      </c>
      <c r="P401">
        <v>720.90156521739129</v>
      </c>
      <c r="R401" t="str">
        <f t="shared" si="33"/>
        <v>3</v>
      </c>
      <c r="S401">
        <f t="shared" si="34"/>
        <v>720.9173913043478</v>
      </c>
    </row>
    <row r="402" spans="1:19">
      <c r="A402" s="4" t="s">
        <v>33</v>
      </c>
      <c r="B402" s="4" t="s">
        <v>27</v>
      </c>
      <c r="C402" s="4">
        <v>405000</v>
      </c>
      <c r="D402" s="4">
        <v>2100</v>
      </c>
      <c r="E402" s="4">
        <v>2024</v>
      </c>
      <c r="F402" s="4">
        <v>5.2</v>
      </c>
      <c r="G402" s="4" t="s">
        <v>28</v>
      </c>
      <c r="H402" s="4" t="s">
        <v>13</v>
      </c>
      <c r="I402" s="4" t="s">
        <v>20</v>
      </c>
      <c r="J402" s="4" t="s">
        <v>29</v>
      </c>
      <c r="K402" s="20">
        <f>C402/D402</f>
        <v>192.85714285714286</v>
      </c>
      <c r="L402" s="11">
        <f>PMT(F402/100/12, 300, -(C402 *
(1 - G402/100)))</f>
        <v>2052.7679773721406</v>
      </c>
      <c r="M402" s="11">
        <f t="shared" si="30"/>
        <v>271580.39321164205</v>
      </c>
      <c r="N402" s="11">
        <f t="shared" si="31"/>
        <v>615830.39321164205</v>
      </c>
      <c r="O402">
        <f t="shared" si="32"/>
        <v>344250</v>
      </c>
      <c r="P402">
        <v>840.90155555555555</v>
      </c>
      <c r="R402" t="str">
        <f t="shared" si="33"/>
        <v>3</v>
      </c>
      <c r="S402">
        <f t="shared" si="34"/>
        <v>840.91728395061727</v>
      </c>
    </row>
    <row r="403" spans="1:19">
      <c r="A403" s="6" t="s">
        <v>16</v>
      </c>
      <c r="B403" s="6" t="s">
        <v>27</v>
      </c>
      <c r="C403" s="6">
        <v>475000</v>
      </c>
      <c r="D403" s="6">
        <v>2450</v>
      </c>
      <c r="E403" s="6">
        <v>2024</v>
      </c>
      <c r="F403" s="6">
        <v>5.3</v>
      </c>
      <c r="G403" s="6" t="s">
        <v>28</v>
      </c>
      <c r="H403" s="6" t="s">
        <v>13</v>
      </c>
      <c r="I403" s="6" t="s">
        <v>20</v>
      </c>
      <c r="J403" s="6" t="s">
        <v>29</v>
      </c>
      <c r="K403" s="20">
        <f>C403/D403</f>
        <v>193.87755102040816</v>
      </c>
      <c r="L403" s="11">
        <f>PMT(F403/100/12, 300, -(C403 *
(1 - G403/100)))</f>
        <v>2431.387329884054</v>
      </c>
      <c r="M403" s="11">
        <f t="shared" si="30"/>
        <v>325666.19896521617</v>
      </c>
      <c r="N403" s="11">
        <f t="shared" si="31"/>
        <v>729416.19896521617</v>
      </c>
      <c r="O403">
        <f t="shared" si="32"/>
        <v>403750</v>
      </c>
      <c r="P403">
        <v>980.90154736842101</v>
      </c>
      <c r="R403" t="str">
        <f t="shared" si="33"/>
        <v>3</v>
      </c>
      <c r="S403">
        <f t="shared" si="34"/>
        <v>980.91719298245607</v>
      </c>
    </row>
    <row r="404" spans="1:19">
      <c r="A404" s="6" t="s">
        <v>30</v>
      </c>
      <c r="B404" s="6" t="s">
        <v>27</v>
      </c>
      <c r="C404" s="6">
        <v>360000</v>
      </c>
      <c r="D404" s="6">
        <v>1850</v>
      </c>
      <c r="E404" s="6">
        <v>2024</v>
      </c>
      <c r="F404" s="6">
        <v>5.4</v>
      </c>
      <c r="G404" s="6" t="s">
        <v>39</v>
      </c>
      <c r="H404" s="6" t="s">
        <v>19</v>
      </c>
      <c r="I404" s="6" t="s">
        <v>20</v>
      </c>
      <c r="J404" s="6" t="s">
        <v>29</v>
      </c>
      <c r="K404" s="20">
        <f>C404/D404</f>
        <v>194.59459459459458</v>
      </c>
      <c r="L404" s="11">
        <f>PMT(F404/100/12, 300, -(C404 *
(1 - G404/100)))</f>
        <v>1882.7702242958003</v>
      </c>
      <c r="M404" s="11">
        <f t="shared" si="30"/>
        <v>255231.06728874013</v>
      </c>
      <c r="N404" s="11">
        <f t="shared" si="31"/>
        <v>564831.06728874007</v>
      </c>
      <c r="O404">
        <f t="shared" si="32"/>
        <v>309600</v>
      </c>
      <c r="P404">
        <v>740.60154166666666</v>
      </c>
      <c r="R404" t="str">
        <f t="shared" si="33"/>
        <v>2</v>
      </c>
      <c r="S404">
        <f t="shared" si="34"/>
        <v>740.61712962962963</v>
      </c>
    </row>
    <row r="405" spans="1:19">
      <c r="A405" s="6" t="s">
        <v>32</v>
      </c>
      <c r="B405" s="6" t="s">
        <v>27</v>
      </c>
      <c r="C405" s="6">
        <v>370000</v>
      </c>
      <c r="D405" s="6">
        <v>1900</v>
      </c>
      <c r="E405" s="6">
        <v>2023</v>
      </c>
      <c r="F405" s="6">
        <v>6.1</v>
      </c>
      <c r="G405" s="6" t="s">
        <v>12</v>
      </c>
      <c r="H405" s="6" t="s">
        <v>13</v>
      </c>
      <c r="I405" s="6" t="s">
        <v>20</v>
      </c>
      <c r="J405" s="6" t="s">
        <v>29</v>
      </c>
      <c r="K405" s="20">
        <f>C405/D405</f>
        <v>194.73684210526315</v>
      </c>
      <c r="L405" s="11">
        <f>PMT(F405/100/12, 300, -(C405 *
(1 - G405/100)))</f>
        <v>1973.3985860139599</v>
      </c>
      <c r="M405" s="11">
        <f t="shared" si="30"/>
        <v>288619.57580418792</v>
      </c>
      <c r="N405" s="11">
        <f t="shared" si="31"/>
        <v>592019.57580418792</v>
      </c>
      <c r="O405">
        <f t="shared" si="32"/>
        <v>303400</v>
      </c>
      <c r="P405">
        <v>760.90154054054051</v>
      </c>
      <c r="R405" t="str">
        <f t="shared" si="33"/>
        <v>3</v>
      </c>
      <c r="S405">
        <f t="shared" si="34"/>
        <v>760.91711711711707</v>
      </c>
    </row>
    <row r="406" spans="1:19">
      <c r="A406" s="6" t="s">
        <v>32</v>
      </c>
      <c r="B406" s="6" t="s">
        <v>27</v>
      </c>
      <c r="C406" s="6">
        <v>355000</v>
      </c>
      <c r="D406" s="6">
        <v>1780</v>
      </c>
      <c r="E406" s="6">
        <v>2023</v>
      </c>
      <c r="F406" s="6">
        <v>6.1</v>
      </c>
      <c r="G406" s="6" t="s">
        <v>12</v>
      </c>
      <c r="H406" s="6" t="s">
        <v>13</v>
      </c>
      <c r="I406" s="6" t="s">
        <v>20</v>
      </c>
      <c r="J406" s="6" t="s">
        <v>29</v>
      </c>
      <c r="K406" s="20">
        <f>C406/D406</f>
        <v>199.43820224719101</v>
      </c>
      <c r="L406" s="11">
        <f>PMT(F406/100/12, 300, -(C406 *
(1 - G406/100)))</f>
        <v>1893.3959406350152</v>
      </c>
      <c r="M406" s="11">
        <f t="shared" si="30"/>
        <v>276918.7821905046</v>
      </c>
      <c r="N406" s="11">
        <f t="shared" si="31"/>
        <v>568018.7821905046</v>
      </c>
      <c r="O406">
        <f t="shared" si="32"/>
        <v>291100</v>
      </c>
      <c r="P406">
        <v>712.90150422535214</v>
      </c>
      <c r="R406" t="str">
        <f t="shared" si="33"/>
        <v>3</v>
      </c>
      <c r="S406">
        <f t="shared" si="34"/>
        <v>712.91671361502347</v>
      </c>
    </row>
    <row r="407" spans="1:19">
      <c r="A407" s="6" t="s">
        <v>30</v>
      </c>
      <c r="B407" s="6" t="s">
        <v>27</v>
      </c>
      <c r="C407" s="6">
        <v>340000</v>
      </c>
      <c r="D407" s="6">
        <v>1700</v>
      </c>
      <c r="E407" s="6">
        <v>2023</v>
      </c>
      <c r="F407" s="6">
        <v>6.1</v>
      </c>
      <c r="G407" s="6" t="s">
        <v>39</v>
      </c>
      <c r="H407" s="6" t="s">
        <v>19</v>
      </c>
      <c r="I407" s="6" t="s">
        <v>20</v>
      </c>
      <c r="J407" s="6" t="s">
        <v>29</v>
      </c>
      <c r="K407" s="20">
        <f>C407/D407</f>
        <v>200</v>
      </c>
      <c r="L407" s="11">
        <f>PMT(F407/100/12, 300, -(C407 *
(1 - G407/100)))</f>
        <v>1901.8515047807573</v>
      </c>
      <c r="M407" s="11">
        <f t="shared" si="30"/>
        <v>278155.45143422717</v>
      </c>
      <c r="N407" s="11">
        <f t="shared" si="31"/>
        <v>570555.45143422717</v>
      </c>
      <c r="O407">
        <f t="shared" si="32"/>
        <v>292400</v>
      </c>
      <c r="P407">
        <v>680.60149999999999</v>
      </c>
      <c r="R407" t="str">
        <f t="shared" si="33"/>
        <v>2</v>
      </c>
      <c r="S407">
        <f t="shared" si="34"/>
        <v>680.61666666666667</v>
      </c>
    </row>
    <row r="408" spans="1:19">
      <c r="A408" s="4" t="s">
        <v>16</v>
      </c>
      <c r="B408" s="4" t="s">
        <v>27</v>
      </c>
      <c r="C408" s="4">
        <v>470000</v>
      </c>
      <c r="D408" s="4">
        <v>2350</v>
      </c>
      <c r="E408" s="4">
        <v>2023</v>
      </c>
      <c r="F408" s="4">
        <v>6</v>
      </c>
      <c r="G408" s="4" t="s">
        <v>28</v>
      </c>
      <c r="H408" s="4" t="s">
        <v>13</v>
      </c>
      <c r="I408" s="4" t="s">
        <v>20</v>
      </c>
      <c r="J408" s="4" t="s">
        <v>29</v>
      </c>
      <c r="K408" s="20">
        <f>C408/D408</f>
        <v>200</v>
      </c>
      <c r="L408" s="11">
        <f>PMT(F408/100/12, 300, -(C408 *
(1 - G408/100)))</f>
        <v>2573.9840989346067</v>
      </c>
      <c r="M408" s="11">
        <f t="shared" si="30"/>
        <v>372695.22968038201</v>
      </c>
      <c r="N408" s="11">
        <f t="shared" si="31"/>
        <v>772195.22968038195</v>
      </c>
      <c r="O408">
        <f t="shared" si="32"/>
        <v>399500</v>
      </c>
      <c r="P408">
        <v>940.90149999999994</v>
      </c>
      <c r="R408" t="str">
        <f t="shared" si="33"/>
        <v>3</v>
      </c>
      <c r="S408">
        <f t="shared" si="34"/>
        <v>940.91666666666663</v>
      </c>
    </row>
    <row r="409" spans="1:19">
      <c r="A409" s="6" t="s">
        <v>33</v>
      </c>
      <c r="B409" s="6" t="s">
        <v>27</v>
      </c>
      <c r="C409" s="6">
        <v>420000</v>
      </c>
      <c r="D409" s="6">
        <v>2100</v>
      </c>
      <c r="E409" s="6">
        <v>2024</v>
      </c>
      <c r="F409" s="6">
        <v>5.2</v>
      </c>
      <c r="G409" s="6" t="s">
        <v>28</v>
      </c>
      <c r="H409" s="6" t="s">
        <v>13</v>
      </c>
      <c r="I409" s="6" t="s">
        <v>20</v>
      </c>
      <c r="J409" s="6" t="s">
        <v>29</v>
      </c>
      <c r="K409" s="20">
        <f>C409/D409</f>
        <v>200</v>
      </c>
      <c r="L409" s="11">
        <f>PMT(F409/100/12, 300, -(C409 *
(1 - G409/100)))</f>
        <v>2128.7964209785159</v>
      </c>
      <c r="M409" s="11">
        <f t="shared" si="30"/>
        <v>281638.9262935546</v>
      </c>
      <c r="N409" s="11">
        <f t="shared" si="31"/>
        <v>638638.9262935546</v>
      </c>
      <c r="O409">
        <f t="shared" si="32"/>
        <v>357000</v>
      </c>
      <c r="P409">
        <v>840.90149999999994</v>
      </c>
      <c r="R409" t="str">
        <f t="shared" si="33"/>
        <v>3</v>
      </c>
      <c r="S409">
        <f t="shared" si="34"/>
        <v>840.91666666666663</v>
      </c>
    </row>
    <row r="410" spans="1:19">
      <c r="A410" s="6" t="s">
        <v>16</v>
      </c>
      <c r="B410" s="6" t="s">
        <v>27</v>
      </c>
      <c r="C410" s="6">
        <v>480000</v>
      </c>
      <c r="D410" s="6">
        <v>2400</v>
      </c>
      <c r="E410" s="6">
        <v>2024</v>
      </c>
      <c r="F410" s="6">
        <v>5.3</v>
      </c>
      <c r="G410" s="6" t="s">
        <v>28</v>
      </c>
      <c r="H410" s="6" t="s">
        <v>13</v>
      </c>
      <c r="I410" s="6" t="s">
        <v>20</v>
      </c>
      <c r="J410" s="6" t="s">
        <v>29</v>
      </c>
      <c r="K410" s="20">
        <f>C410/D410</f>
        <v>200</v>
      </c>
      <c r="L410" s="11">
        <f>PMT(F410/100/12, 300, -(C410 *
(1 - G410/100)))</f>
        <v>2456.9808807249387</v>
      </c>
      <c r="M410" s="11">
        <f t="shared" si="30"/>
        <v>329094.2642174816</v>
      </c>
      <c r="N410" s="11">
        <f t="shared" si="31"/>
        <v>737094.2642174816</v>
      </c>
      <c r="O410">
        <f t="shared" si="32"/>
        <v>408000</v>
      </c>
      <c r="P410">
        <v>960.90149999999994</v>
      </c>
      <c r="R410" t="str">
        <f t="shared" si="33"/>
        <v>3</v>
      </c>
      <c r="S410">
        <f t="shared" si="34"/>
        <v>960.91666666666663</v>
      </c>
    </row>
    <row r="411" spans="1:19">
      <c r="A411" s="4" t="s">
        <v>33</v>
      </c>
      <c r="B411" s="4" t="s">
        <v>27</v>
      </c>
      <c r="C411" s="4">
        <v>430000</v>
      </c>
      <c r="D411" s="4">
        <v>2150</v>
      </c>
      <c r="E411" s="4">
        <v>2024</v>
      </c>
      <c r="F411" s="4">
        <v>5.2</v>
      </c>
      <c r="G411" s="4" t="s">
        <v>28</v>
      </c>
      <c r="H411" s="4" t="s">
        <v>13</v>
      </c>
      <c r="I411" s="4" t="s">
        <v>20</v>
      </c>
      <c r="J411" s="4" t="s">
        <v>29</v>
      </c>
      <c r="K411" s="20">
        <f>C411/D411</f>
        <v>200</v>
      </c>
      <c r="L411" s="11">
        <f>PMT(F411/100/12, 300, -(C411 *
(1 - G411/100)))</f>
        <v>2179.4820500494329</v>
      </c>
      <c r="M411" s="11">
        <f t="shared" si="30"/>
        <v>288344.61501482979</v>
      </c>
      <c r="N411" s="11">
        <f t="shared" si="31"/>
        <v>653844.61501482979</v>
      </c>
      <c r="O411">
        <f t="shared" si="32"/>
        <v>365500</v>
      </c>
      <c r="P411">
        <v>860.90149999999994</v>
      </c>
      <c r="R411" t="str">
        <f t="shared" si="33"/>
        <v>3</v>
      </c>
      <c r="S411">
        <f t="shared" si="34"/>
        <v>860.91666666666663</v>
      </c>
    </row>
    <row r="412" spans="1:19">
      <c r="A412" s="4" t="s">
        <v>16</v>
      </c>
      <c r="B412" s="4" t="s">
        <v>27</v>
      </c>
      <c r="C412" s="4">
        <v>490000</v>
      </c>
      <c r="D412" s="4">
        <v>2450</v>
      </c>
      <c r="E412" s="4">
        <v>2024</v>
      </c>
      <c r="F412" s="4">
        <v>5.3</v>
      </c>
      <c r="G412" s="4" t="s">
        <v>28</v>
      </c>
      <c r="H412" s="4" t="s">
        <v>13</v>
      </c>
      <c r="I412" s="4" t="s">
        <v>20</v>
      </c>
      <c r="J412" s="4" t="s">
        <v>29</v>
      </c>
      <c r="K412" s="20">
        <f>C412/D412</f>
        <v>200</v>
      </c>
      <c r="L412" s="11">
        <f>PMT(F412/100/12, 300, -(C412 *
(1 - G412/100)))</f>
        <v>2508.1679824067091</v>
      </c>
      <c r="M412" s="11">
        <f t="shared" si="30"/>
        <v>335950.39472201263</v>
      </c>
      <c r="N412" s="11">
        <f t="shared" si="31"/>
        <v>752450.39472201257</v>
      </c>
      <c r="O412">
        <f t="shared" si="32"/>
        <v>416500</v>
      </c>
      <c r="P412">
        <v>980.90149999999994</v>
      </c>
      <c r="R412" t="str">
        <f t="shared" si="33"/>
        <v>3</v>
      </c>
      <c r="S412">
        <f t="shared" si="34"/>
        <v>980.91666666666663</v>
      </c>
    </row>
    <row r="413" spans="1:19">
      <c r="A413" s="6" t="s">
        <v>33</v>
      </c>
      <c r="B413" s="6" t="s">
        <v>11</v>
      </c>
      <c r="C413" s="6">
        <v>290000</v>
      </c>
      <c r="D413" s="6">
        <v>1450</v>
      </c>
      <c r="E413" s="6">
        <v>2024</v>
      </c>
      <c r="F413" s="6">
        <v>5.0999999999999996</v>
      </c>
      <c r="G413" s="7">
        <v>20</v>
      </c>
      <c r="H413" s="6" t="s">
        <v>13</v>
      </c>
      <c r="I413" s="6" t="s">
        <v>14</v>
      </c>
      <c r="J413" s="6" t="s">
        <v>15</v>
      </c>
      <c r="K413" s="20">
        <f>C413/D413</f>
        <v>200</v>
      </c>
      <c r="L413" s="11">
        <f>PMT(F413/100/12, 300, -(C413 *
(1 - G413/100)))</f>
        <v>1369.8000863848163</v>
      </c>
      <c r="M413" s="11">
        <f t="shared" si="30"/>
        <v>178940.02591544486</v>
      </c>
      <c r="N413" s="11">
        <f t="shared" si="31"/>
        <v>410940.02591544483</v>
      </c>
      <c r="O413">
        <f t="shared" si="32"/>
        <v>232000</v>
      </c>
      <c r="P413">
        <v>580.90149999999994</v>
      </c>
      <c r="R413" t="str">
        <f t="shared" si="33"/>
        <v>3</v>
      </c>
      <c r="S413">
        <f t="shared" si="34"/>
        <v>580.91666666666663</v>
      </c>
    </row>
    <row r="414" spans="1:19">
      <c r="A414" s="4" t="s">
        <v>16</v>
      </c>
      <c r="B414" s="4" t="s">
        <v>27</v>
      </c>
      <c r="C414" s="4">
        <v>460000</v>
      </c>
      <c r="D414" s="4">
        <v>2280</v>
      </c>
      <c r="E414" s="4">
        <v>2024</v>
      </c>
      <c r="F414" s="4">
        <v>5.3</v>
      </c>
      <c r="G414" s="4" t="s">
        <v>28</v>
      </c>
      <c r="H414" s="4" t="s">
        <v>13</v>
      </c>
      <c r="I414" s="4" t="s">
        <v>20</v>
      </c>
      <c r="J414" s="4" t="s">
        <v>29</v>
      </c>
      <c r="K414" s="20">
        <f>C414/D414</f>
        <v>201.75438596491227</v>
      </c>
      <c r="L414" s="11">
        <f>PMT(F414/100/12, 300, -(C414 *
(1 - G414/100)))</f>
        <v>2354.6066773613998</v>
      </c>
      <c r="M414" s="11">
        <f t="shared" si="30"/>
        <v>315382.00320841989</v>
      </c>
      <c r="N414" s="11">
        <f t="shared" si="31"/>
        <v>706382.00320841989</v>
      </c>
      <c r="O414">
        <f t="shared" si="32"/>
        <v>391000</v>
      </c>
      <c r="P414">
        <v>912.90148695652169</v>
      </c>
      <c r="R414" t="str">
        <f t="shared" si="33"/>
        <v>3</v>
      </c>
      <c r="S414">
        <f t="shared" si="34"/>
        <v>912.91652173913042</v>
      </c>
    </row>
    <row r="415" spans="1:19">
      <c r="A415" s="4" t="s">
        <v>16</v>
      </c>
      <c r="B415" s="4" t="s">
        <v>27</v>
      </c>
      <c r="C415" s="4">
        <v>440000</v>
      </c>
      <c r="D415" s="4">
        <v>2180</v>
      </c>
      <c r="E415" s="4">
        <v>2023</v>
      </c>
      <c r="F415" s="4">
        <v>6</v>
      </c>
      <c r="G415" s="4" t="s">
        <v>28</v>
      </c>
      <c r="H415" s="4" t="s">
        <v>13</v>
      </c>
      <c r="I415" s="4" t="s">
        <v>20</v>
      </c>
      <c r="J415" s="4" t="s">
        <v>29</v>
      </c>
      <c r="K415" s="20">
        <f>C415/D415</f>
        <v>201.83486238532109</v>
      </c>
      <c r="L415" s="11">
        <f>PMT(F415/100/12, 300, -(C415 *
(1 - G415/100)))</f>
        <v>2409.6872415558018</v>
      </c>
      <c r="M415" s="11">
        <f t="shared" si="30"/>
        <v>348906.17246674059</v>
      </c>
      <c r="N415" s="11">
        <f t="shared" si="31"/>
        <v>722906.17246674059</v>
      </c>
      <c r="O415">
        <f t="shared" si="32"/>
        <v>374000</v>
      </c>
      <c r="P415">
        <v>872.90148636363631</v>
      </c>
      <c r="R415" t="str">
        <f t="shared" si="33"/>
        <v>3</v>
      </c>
      <c r="S415">
        <f t="shared" si="34"/>
        <v>872.91651515151511</v>
      </c>
    </row>
    <row r="416" spans="1:19">
      <c r="A416" s="4" t="s">
        <v>33</v>
      </c>
      <c r="B416" s="4" t="s">
        <v>27</v>
      </c>
      <c r="C416" s="4">
        <v>400000</v>
      </c>
      <c r="D416" s="4">
        <v>1980</v>
      </c>
      <c r="E416" s="4">
        <v>2024</v>
      </c>
      <c r="F416" s="4">
        <v>5.2</v>
      </c>
      <c r="G416" s="4" t="s">
        <v>28</v>
      </c>
      <c r="H416" s="4" t="s">
        <v>13</v>
      </c>
      <c r="I416" s="4" t="s">
        <v>20</v>
      </c>
      <c r="J416" s="4" t="s">
        <v>29</v>
      </c>
      <c r="K416" s="20">
        <f>C416/D416</f>
        <v>202.02020202020202</v>
      </c>
      <c r="L416" s="11">
        <f>PMT(F416/100/12, 300, -(C416 *
(1 - G416/100)))</f>
        <v>2027.4251628366819</v>
      </c>
      <c r="M416" s="11">
        <f t="shared" si="30"/>
        <v>268227.54885100445</v>
      </c>
      <c r="N416" s="11">
        <f t="shared" si="31"/>
        <v>608227.54885100445</v>
      </c>
      <c r="O416">
        <f t="shared" si="32"/>
        <v>340000</v>
      </c>
      <c r="P416">
        <v>792.90148499999998</v>
      </c>
      <c r="R416" t="str">
        <f t="shared" si="33"/>
        <v>3</v>
      </c>
      <c r="S416">
        <f t="shared" si="34"/>
        <v>792.91649999999993</v>
      </c>
    </row>
    <row r="417" spans="1:19">
      <c r="A417" s="6" t="s">
        <v>37</v>
      </c>
      <c r="B417" s="6" t="s">
        <v>27</v>
      </c>
      <c r="C417" s="6">
        <v>465000</v>
      </c>
      <c r="D417" s="6">
        <v>2300</v>
      </c>
      <c r="E417" s="6">
        <v>2024</v>
      </c>
      <c r="F417" s="6">
        <v>5.2</v>
      </c>
      <c r="G417" s="6" t="s">
        <v>28</v>
      </c>
      <c r="H417" s="6" t="s">
        <v>13</v>
      </c>
      <c r="I417" s="6" t="s">
        <v>20</v>
      </c>
      <c r="J417" s="6" t="s">
        <v>29</v>
      </c>
      <c r="K417" s="20">
        <f>C417/D417</f>
        <v>202.17391304347825</v>
      </c>
      <c r="L417" s="11">
        <f>PMT(F417/100/12, 300, -(C417 *
(1 - G417/100)))</f>
        <v>2356.8817517976427</v>
      </c>
      <c r="M417" s="11">
        <f t="shared" si="30"/>
        <v>311814.52553929272</v>
      </c>
      <c r="N417" s="11">
        <f t="shared" si="31"/>
        <v>707064.52553929272</v>
      </c>
      <c r="O417">
        <f t="shared" si="32"/>
        <v>395250</v>
      </c>
      <c r="P417">
        <v>920.9014838709677</v>
      </c>
      <c r="R417" t="str">
        <f t="shared" si="33"/>
        <v>3</v>
      </c>
      <c r="S417">
        <f t="shared" si="34"/>
        <v>920.91648745519706</v>
      </c>
    </row>
    <row r="418" spans="1:19">
      <c r="A418" s="6" t="s">
        <v>16</v>
      </c>
      <c r="B418" s="6" t="s">
        <v>27</v>
      </c>
      <c r="C418" s="6">
        <v>465000</v>
      </c>
      <c r="D418" s="6">
        <v>2300</v>
      </c>
      <c r="E418" s="6">
        <v>2024</v>
      </c>
      <c r="F418" s="6">
        <v>5.3</v>
      </c>
      <c r="G418" s="6" t="s">
        <v>28</v>
      </c>
      <c r="H418" s="6" t="s">
        <v>13</v>
      </c>
      <c r="I418" s="6" t="s">
        <v>20</v>
      </c>
      <c r="J418" s="6" t="s">
        <v>29</v>
      </c>
      <c r="K418" s="20">
        <f>C418/D418</f>
        <v>202.17391304347825</v>
      </c>
      <c r="L418" s="11">
        <f>PMT(F418/100/12, 300, -(C418 *
(1 - G418/100)))</f>
        <v>2380.2002282022845</v>
      </c>
      <c r="M418" s="11">
        <f t="shared" si="30"/>
        <v>318810.06846068532</v>
      </c>
      <c r="N418" s="11">
        <f t="shared" si="31"/>
        <v>714060.06846068532</v>
      </c>
      <c r="O418">
        <f t="shared" si="32"/>
        <v>395250</v>
      </c>
      <c r="P418">
        <v>920.9014838709677</v>
      </c>
      <c r="R418" t="str">
        <f t="shared" si="33"/>
        <v>3</v>
      </c>
      <c r="S418">
        <f t="shared" si="34"/>
        <v>920.91648745519706</v>
      </c>
    </row>
    <row r="419" spans="1:19">
      <c r="A419" s="6" t="s">
        <v>16</v>
      </c>
      <c r="B419" s="6" t="s">
        <v>27</v>
      </c>
      <c r="C419" s="6">
        <v>455000</v>
      </c>
      <c r="D419" s="6">
        <v>2250</v>
      </c>
      <c r="E419" s="6">
        <v>2023</v>
      </c>
      <c r="F419" s="6">
        <v>6</v>
      </c>
      <c r="G419" s="6" t="s">
        <v>28</v>
      </c>
      <c r="H419" s="6" t="s">
        <v>13</v>
      </c>
      <c r="I419" s="6" t="s">
        <v>20</v>
      </c>
      <c r="J419" s="6" t="s">
        <v>29</v>
      </c>
      <c r="K419" s="20">
        <f>C419/D419</f>
        <v>202.22222222222223</v>
      </c>
      <c r="L419" s="11">
        <f>PMT(F419/100/12, 300, -(C419 *
(1 - G419/100)))</f>
        <v>2491.8356702452043</v>
      </c>
      <c r="M419" s="11">
        <f t="shared" si="30"/>
        <v>360800.70107356133</v>
      </c>
      <c r="N419" s="11">
        <f t="shared" si="31"/>
        <v>747550.70107356133</v>
      </c>
      <c r="O419">
        <f t="shared" si="32"/>
        <v>386750</v>
      </c>
      <c r="P419">
        <v>900.90148351648349</v>
      </c>
      <c r="R419" t="str">
        <f t="shared" si="33"/>
        <v>3</v>
      </c>
      <c r="S419">
        <f t="shared" si="34"/>
        <v>900.91648351648348</v>
      </c>
    </row>
    <row r="420" spans="1:19">
      <c r="A420" s="6" t="s">
        <v>32</v>
      </c>
      <c r="B420" s="6" t="s">
        <v>27</v>
      </c>
      <c r="C420" s="6">
        <v>338000</v>
      </c>
      <c r="D420" s="6">
        <v>1670</v>
      </c>
      <c r="E420" s="6">
        <v>2024</v>
      </c>
      <c r="F420" s="6">
        <v>5.3</v>
      </c>
      <c r="G420" s="6" t="s">
        <v>12</v>
      </c>
      <c r="H420" s="6" t="s">
        <v>13</v>
      </c>
      <c r="I420" s="6" t="s">
        <v>20</v>
      </c>
      <c r="J420" s="6" t="s">
        <v>29</v>
      </c>
      <c r="K420" s="20">
        <f>C420/D420</f>
        <v>202.39520958083833</v>
      </c>
      <c r="L420" s="11">
        <f>PMT(F420/100/12, 300, -(C420 *
(1 - G420/100)))</f>
        <v>1669.0608355434415</v>
      </c>
      <c r="M420" s="11">
        <f t="shared" si="30"/>
        <v>223558.25066303246</v>
      </c>
      <c r="N420" s="11">
        <f t="shared" si="31"/>
        <v>500718.25066303246</v>
      </c>
      <c r="O420">
        <f t="shared" si="32"/>
        <v>277160</v>
      </c>
      <c r="P420">
        <v>668.90148224852067</v>
      </c>
      <c r="R420" t="str">
        <f t="shared" si="33"/>
        <v>3</v>
      </c>
      <c r="S420">
        <f t="shared" si="34"/>
        <v>668.91646942800787</v>
      </c>
    </row>
    <row r="421" spans="1:19">
      <c r="A421" s="6" t="s">
        <v>33</v>
      </c>
      <c r="B421" s="6" t="s">
        <v>27</v>
      </c>
      <c r="C421" s="6">
        <v>405000</v>
      </c>
      <c r="D421" s="6">
        <v>2000</v>
      </c>
      <c r="E421" s="6">
        <v>2023</v>
      </c>
      <c r="F421" s="6">
        <v>6.1</v>
      </c>
      <c r="G421" s="6" t="s">
        <v>28</v>
      </c>
      <c r="H421" s="6" t="s">
        <v>13</v>
      </c>
      <c r="I421" s="6" t="s">
        <v>20</v>
      </c>
      <c r="J421" s="6" t="s">
        <v>29</v>
      </c>
      <c r="K421" s="20">
        <f>C421/D421</f>
        <v>202.5</v>
      </c>
      <c r="L421" s="11">
        <f>PMT(F421/100/12, 300, -(C421 *
(1 - G421/100)))</f>
        <v>2239.0984285936242</v>
      </c>
      <c r="M421" s="11">
        <f t="shared" si="30"/>
        <v>327479.52857808722</v>
      </c>
      <c r="N421" s="11">
        <f t="shared" si="31"/>
        <v>671729.52857808722</v>
      </c>
      <c r="O421">
        <f t="shared" si="32"/>
        <v>344250</v>
      </c>
      <c r="P421">
        <v>800.90148148148148</v>
      </c>
      <c r="R421" t="str">
        <f t="shared" si="33"/>
        <v>3</v>
      </c>
      <c r="S421">
        <f t="shared" si="34"/>
        <v>800.91646090534982</v>
      </c>
    </row>
    <row r="422" spans="1:19">
      <c r="A422" s="6" t="s">
        <v>33</v>
      </c>
      <c r="B422" s="6" t="s">
        <v>27</v>
      </c>
      <c r="C422" s="6">
        <v>395000</v>
      </c>
      <c r="D422" s="6">
        <v>1950</v>
      </c>
      <c r="E422" s="6">
        <v>2024</v>
      </c>
      <c r="F422" s="6">
        <v>5.2</v>
      </c>
      <c r="G422" s="6" t="s">
        <v>28</v>
      </c>
      <c r="H422" s="6" t="s">
        <v>13</v>
      </c>
      <c r="I422" s="6" t="s">
        <v>20</v>
      </c>
      <c r="J422" s="6" t="s">
        <v>29</v>
      </c>
      <c r="K422" s="20">
        <f>C422/D422</f>
        <v>202.56410256410257</v>
      </c>
      <c r="L422" s="11">
        <f>PMT(F422/100/12, 300, -(C422 *
(1 - G422/100)))</f>
        <v>2002.0823483012234</v>
      </c>
      <c r="M422" s="11">
        <f t="shared" si="30"/>
        <v>264874.70449036692</v>
      </c>
      <c r="N422" s="11">
        <f t="shared" si="31"/>
        <v>600624.70449036686</v>
      </c>
      <c r="O422">
        <f t="shared" si="32"/>
        <v>335750</v>
      </c>
      <c r="P422">
        <v>780.90148101265822</v>
      </c>
      <c r="R422" t="str">
        <f t="shared" si="33"/>
        <v>3</v>
      </c>
      <c r="S422">
        <f t="shared" si="34"/>
        <v>780.91645569620255</v>
      </c>
    </row>
    <row r="423" spans="1:19">
      <c r="A423" s="6" t="s">
        <v>32</v>
      </c>
      <c r="B423" s="6" t="s">
        <v>27</v>
      </c>
      <c r="C423" s="6">
        <v>345000</v>
      </c>
      <c r="D423" s="6">
        <v>1700</v>
      </c>
      <c r="E423" s="6">
        <v>2024</v>
      </c>
      <c r="F423" s="6">
        <v>5.3</v>
      </c>
      <c r="G423" s="6" t="s">
        <v>12</v>
      </c>
      <c r="H423" s="6" t="s">
        <v>13</v>
      </c>
      <c r="I423" s="6" t="s">
        <v>20</v>
      </c>
      <c r="J423" s="6" t="s">
        <v>29</v>
      </c>
      <c r="K423" s="20">
        <f>C423/D423</f>
        <v>202.94117647058823</v>
      </c>
      <c r="L423" s="11">
        <f>PMT(F423/100/12, 300, -(C423 *
(1 - G423/100)))</f>
        <v>1703.6271842085423</v>
      </c>
      <c r="M423" s="11">
        <f t="shared" si="30"/>
        <v>228188.15526256268</v>
      </c>
      <c r="N423" s="11">
        <f t="shared" si="31"/>
        <v>511088.15526256268</v>
      </c>
      <c r="O423">
        <f t="shared" si="32"/>
        <v>282900</v>
      </c>
      <c r="P423">
        <v>680.90147826086957</v>
      </c>
      <c r="R423" t="str">
        <f t="shared" si="33"/>
        <v>3</v>
      </c>
      <c r="S423">
        <f t="shared" si="34"/>
        <v>680.91642512077294</v>
      </c>
    </row>
    <row r="424" spans="1:19">
      <c r="A424" s="6" t="s">
        <v>30</v>
      </c>
      <c r="B424" s="6" t="s">
        <v>27</v>
      </c>
      <c r="C424" s="6">
        <v>330000</v>
      </c>
      <c r="D424" s="6">
        <v>1620</v>
      </c>
      <c r="E424" s="6">
        <v>2024</v>
      </c>
      <c r="F424" s="6">
        <v>5.4</v>
      </c>
      <c r="G424" s="6" t="s">
        <v>39</v>
      </c>
      <c r="H424" s="6" t="s">
        <v>19</v>
      </c>
      <c r="I424" s="6" t="s">
        <v>20</v>
      </c>
      <c r="J424" s="6" t="s">
        <v>29</v>
      </c>
      <c r="K424" s="20">
        <f>C424/D424</f>
        <v>203.7037037037037</v>
      </c>
      <c r="L424" s="11">
        <f>PMT(F424/100/12, 300, -(C424 *
(1 - G424/100)))</f>
        <v>1725.8727056044836</v>
      </c>
      <c r="M424" s="11">
        <f t="shared" si="30"/>
        <v>233961.81168134516</v>
      </c>
      <c r="N424" s="11">
        <f t="shared" si="31"/>
        <v>517761.81168134516</v>
      </c>
      <c r="O424">
        <f t="shared" si="32"/>
        <v>283800</v>
      </c>
      <c r="P424">
        <v>648.60147272727272</v>
      </c>
      <c r="R424" t="str">
        <f t="shared" si="33"/>
        <v>2</v>
      </c>
      <c r="S424">
        <f t="shared" si="34"/>
        <v>648.61636363636364</v>
      </c>
    </row>
    <row r="425" spans="1:19">
      <c r="A425" s="6" t="s">
        <v>16</v>
      </c>
      <c r="B425" s="6" t="s">
        <v>27</v>
      </c>
      <c r="C425" s="6">
        <v>438000</v>
      </c>
      <c r="D425" s="6">
        <v>2150</v>
      </c>
      <c r="E425" s="6">
        <v>2024</v>
      </c>
      <c r="F425" s="6">
        <v>5.3</v>
      </c>
      <c r="G425" s="6" t="s">
        <v>28</v>
      </c>
      <c r="H425" s="6" t="s">
        <v>13</v>
      </c>
      <c r="I425" s="6" t="s">
        <v>20</v>
      </c>
      <c r="J425" s="6" t="s">
        <v>29</v>
      </c>
      <c r="K425" s="20">
        <f>C425/D425</f>
        <v>203.72093023255815</v>
      </c>
      <c r="L425" s="11">
        <f>PMT(F425/100/12, 300, -(C425 *
(1 - G425/100)))</f>
        <v>2241.995053661507</v>
      </c>
      <c r="M425" s="11">
        <f t="shared" si="30"/>
        <v>300298.51609845203</v>
      </c>
      <c r="N425" s="11">
        <f t="shared" si="31"/>
        <v>672598.51609845203</v>
      </c>
      <c r="O425">
        <f t="shared" si="32"/>
        <v>372300</v>
      </c>
      <c r="P425">
        <v>860.90147260273966</v>
      </c>
      <c r="R425" t="str">
        <f t="shared" si="33"/>
        <v>3</v>
      </c>
      <c r="S425">
        <f t="shared" si="34"/>
        <v>860.91636225266359</v>
      </c>
    </row>
    <row r="426" spans="1:19">
      <c r="A426" s="4" t="s">
        <v>16</v>
      </c>
      <c r="B426" s="4" t="s">
        <v>27</v>
      </c>
      <c r="C426" s="4">
        <v>432000</v>
      </c>
      <c r="D426" s="4">
        <v>2120</v>
      </c>
      <c r="E426" s="4">
        <v>2023</v>
      </c>
      <c r="F426" s="4">
        <v>6.1</v>
      </c>
      <c r="G426" s="4" t="s">
        <v>28</v>
      </c>
      <c r="H426" s="4" t="s">
        <v>13</v>
      </c>
      <c r="I426" s="4" t="s">
        <v>20</v>
      </c>
      <c r="J426" s="4" t="s">
        <v>29</v>
      </c>
      <c r="K426" s="20">
        <f>C426/D426</f>
        <v>203.77358490566039</v>
      </c>
      <c r="L426" s="11">
        <f>PMT(F426/100/12, 300, -(C426 *
(1 - G426/100)))</f>
        <v>2388.3716571665327</v>
      </c>
      <c r="M426" s="11">
        <f t="shared" si="30"/>
        <v>349311.49714995979</v>
      </c>
      <c r="N426" s="11">
        <f t="shared" si="31"/>
        <v>716511.49714995979</v>
      </c>
      <c r="O426">
        <f t="shared" si="32"/>
        <v>367200</v>
      </c>
      <c r="P426">
        <v>848.9014722222222</v>
      </c>
      <c r="R426" t="str">
        <f t="shared" si="33"/>
        <v>3</v>
      </c>
      <c r="S426">
        <f t="shared" si="34"/>
        <v>848.91635802469136</v>
      </c>
    </row>
    <row r="427" spans="1:19">
      <c r="A427" s="6" t="s">
        <v>30</v>
      </c>
      <c r="B427" s="6" t="s">
        <v>27</v>
      </c>
      <c r="C427" s="6">
        <v>322000</v>
      </c>
      <c r="D427" s="6">
        <v>1580</v>
      </c>
      <c r="E427" s="6">
        <v>2024</v>
      </c>
      <c r="F427" s="6">
        <v>5.4</v>
      </c>
      <c r="G427" s="6" t="s">
        <v>39</v>
      </c>
      <c r="H427" s="6" t="s">
        <v>19</v>
      </c>
      <c r="I427" s="6" t="s">
        <v>20</v>
      </c>
      <c r="J427" s="6" t="s">
        <v>29</v>
      </c>
      <c r="K427" s="20">
        <f>C427/D427</f>
        <v>203.79746835443038</v>
      </c>
      <c r="L427" s="11">
        <f>PMT(F427/100/12, 300, -(C427 *
(1 - G427/100)))</f>
        <v>1684.0333672867991</v>
      </c>
      <c r="M427" s="11">
        <f t="shared" si="30"/>
        <v>228290.01018603978</v>
      </c>
      <c r="N427" s="11">
        <f t="shared" si="31"/>
        <v>505210.01018603978</v>
      </c>
      <c r="O427">
        <f t="shared" si="32"/>
        <v>276920</v>
      </c>
      <c r="P427">
        <v>632.60147204968951</v>
      </c>
      <c r="R427" t="str">
        <f t="shared" si="33"/>
        <v>2</v>
      </c>
      <c r="S427">
        <f t="shared" si="34"/>
        <v>632.61635610766052</v>
      </c>
    </row>
    <row r="428" spans="1:19">
      <c r="A428" s="4" t="s">
        <v>37</v>
      </c>
      <c r="B428" s="4" t="s">
        <v>27</v>
      </c>
      <c r="C428" s="4">
        <v>470000</v>
      </c>
      <c r="D428" s="4">
        <v>2300</v>
      </c>
      <c r="E428" s="4">
        <v>2024</v>
      </c>
      <c r="F428" s="4">
        <v>5.2</v>
      </c>
      <c r="G428" s="4" t="s">
        <v>28</v>
      </c>
      <c r="H428" s="4" t="s">
        <v>13</v>
      </c>
      <c r="I428" s="4" t="s">
        <v>20</v>
      </c>
      <c r="J428" s="4" t="s">
        <v>29</v>
      </c>
      <c r="K428" s="20">
        <f>C428/D428</f>
        <v>204.34782608695653</v>
      </c>
      <c r="L428" s="11">
        <f>PMT(F428/100/12, 300, -(C428 *
(1 - G428/100)))</f>
        <v>2382.2245663331014</v>
      </c>
      <c r="M428" s="11">
        <f t="shared" si="30"/>
        <v>315167.36989993032</v>
      </c>
      <c r="N428" s="11">
        <f t="shared" si="31"/>
        <v>714667.36989993032</v>
      </c>
      <c r="O428">
        <f t="shared" si="32"/>
        <v>399500</v>
      </c>
      <c r="P428">
        <v>920.90146808510633</v>
      </c>
      <c r="R428" t="str">
        <f t="shared" si="33"/>
        <v>3</v>
      </c>
      <c r="S428">
        <f t="shared" si="34"/>
        <v>920.91631205673752</v>
      </c>
    </row>
    <row r="429" spans="1:19">
      <c r="A429" s="6" t="s">
        <v>16</v>
      </c>
      <c r="B429" s="6" t="s">
        <v>27</v>
      </c>
      <c r="C429" s="6">
        <v>460000</v>
      </c>
      <c r="D429" s="6">
        <v>2250</v>
      </c>
      <c r="E429" s="6">
        <v>2024</v>
      </c>
      <c r="F429" s="6">
        <v>5.3</v>
      </c>
      <c r="G429" s="6" t="s">
        <v>28</v>
      </c>
      <c r="H429" s="6" t="s">
        <v>13</v>
      </c>
      <c r="I429" s="6" t="s">
        <v>20</v>
      </c>
      <c r="J429" s="6" t="s">
        <v>29</v>
      </c>
      <c r="K429" s="20">
        <f>C429/D429</f>
        <v>204.44444444444446</v>
      </c>
      <c r="L429" s="11">
        <f>PMT(F429/100/12, 300, -(C429 *
(1 - G429/100)))</f>
        <v>2354.6066773613998</v>
      </c>
      <c r="M429" s="11">
        <f t="shared" si="30"/>
        <v>315382.00320841989</v>
      </c>
      <c r="N429" s="11">
        <f t="shared" si="31"/>
        <v>706382.00320841989</v>
      </c>
      <c r="O429">
        <f t="shared" si="32"/>
        <v>391000</v>
      </c>
      <c r="P429">
        <v>900.90146739130432</v>
      </c>
      <c r="R429" t="str">
        <f t="shared" si="33"/>
        <v>3</v>
      </c>
      <c r="S429">
        <f t="shared" si="34"/>
        <v>900.9163043478261</v>
      </c>
    </row>
    <row r="430" spans="1:19">
      <c r="A430" s="4" t="s">
        <v>16</v>
      </c>
      <c r="B430" s="4" t="s">
        <v>27</v>
      </c>
      <c r="C430" s="4">
        <v>450000</v>
      </c>
      <c r="D430" s="4">
        <v>2200</v>
      </c>
      <c r="E430" s="4">
        <v>2024</v>
      </c>
      <c r="F430" s="4">
        <v>5.3</v>
      </c>
      <c r="G430" s="4" t="s">
        <v>28</v>
      </c>
      <c r="H430" s="4" t="s">
        <v>13</v>
      </c>
      <c r="I430" s="4" t="s">
        <v>20</v>
      </c>
      <c r="J430" s="4" t="s">
        <v>29</v>
      </c>
      <c r="K430" s="20">
        <f>C430/D430</f>
        <v>204.54545454545453</v>
      </c>
      <c r="L430" s="11">
        <f>PMT(F430/100/12, 300, -(C430 *
(1 - G430/100)))</f>
        <v>2303.4195756796303</v>
      </c>
      <c r="M430" s="11">
        <f t="shared" si="30"/>
        <v>308525.87270388898</v>
      </c>
      <c r="N430" s="11">
        <f t="shared" si="31"/>
        <v>691025.87270388892</v>
      </c>
      <c r="O430">
        <f t="shared" si="32"/>
        <v>382500</v>
      </c>
      <c r="P430">
        <v>880.90146666666669</v>
      </c>
      <c r="R430" t="str">
        <f t="shared" si="33"/>
        <v>3</v>
      </c>
      <c r="S430">
        <f t="shared" si="34"/>
        <v>880.91629629629631</v>
      </c>
    </row>
    <row r="431" spans="1:19">
      <c r="A431" s="4" t="s">
        <v>33</v>
      </c>
      <c r="B431" s="4" t="s">
        <v>27</v>
      </c>
      <c r="C431" s="4">
        <v>385000</v>
      </c>
      <c r="D431" s="4">
        <v>1880</v>
      </c>
      <c r="E431" s="4">
        <v>2023</v>
      </c>
      <c r="F431" s="4">
        <v>6.1</v>
      </c>
      <c r="G431" s="4" t="s">
        <v>28</v>
      </c>
      <c r="H431" s="4" t="s">
        <v>13</v>
      </c>
      <c r="I431" s="4" t="s">
        <v>20</v>
      </c>
      <c r="J431" s="4" t="s">
        <v>29</v>
      </c>
      <c r="K431" s="20">
        <f>C431/D431</f>
        <v>204.78723404255319</v>
      </c>
      <c r="L431" s="11">
        <f>PMT(F431/100/12, 300, -(C431 *
(1 - G431/100)))</f>
        <v>2128.5256666877663</v>
      </c>
      <c r="M431" s="11">
        <f t="shared" si="30"/>
        <v>311307.70000632992</v>
      </c>
      <c r="N431" s="11">
        <f t="shared" si="31"/>
        <v>638557.70000632992</v>
      </c>
      <c r="O431">
        <f t="shared" si="32"/>
        <v>327250</v>
      </c>
      <c r="P431">
        <v>752.90146493506495</v>
      </c>
      <c r="R431" t="str">
        <f t="shared" si="33"/>
        <v>3</v>
      </c>
      <c r="S431">
        <f t="shared" si="34"/>
        <v>752.91627705627707</v>
      </c>
    </row>
    <row r="432" spans="1:19">
      <c r="A432" s="6" t="s">
        <v>33</v>
      </c>
      <c r="B432" s="6" t="s">
        <v>27</v>
      </c>
      <c r="C432" s="6">
        <v>390000</v>
      </c>
      <c r="D432" s="6">
        <v>1900</v>
      </c>
      <c r="E432" s="6">
        <v>2024</v>
      </c>
      <c r="F432" s="6">
        <v>5.2</v>
      </c>
      <c r="G432" s="6" t="s">
        <v>28</v>
      </c>
      <c r="H432" s="6" t="s">
        <v>13</v>
      </c>
      <c r="I432" s="6" t="s">
        <v>20</v>
      </c>
      <c r="J432" s="6" t="s">
        <v>29</v>
      </c>
      <c r="K432" s="20">
        <f>C432/D432</f>
        <v>205.26315789473685</v>
      </c>
      <c r="L432" s="11">
        <f>PMT(F432/100/12, 300, -(C432 *
(1 - G432/100)))</f>
        <v>1976.7395337657649</v>
      </c>
      <c r="M432" s="11">
        <f t="shared" si="30"/>
        <v>261521.86012972938</v>
      </c>
      <c r="N432" s="11">
        <f t="shared" si="31"/>
        <v>593021.86012972938</v>
      </c>
      <c r="O432">
        <f t="shared" si="32"/>
        <v>331500</v>
      </c>
      <c r="P432">
        <v>760.90146153846149</v>
      </c>
      <c r="R432" t="str">
        <f t="shared" si="33"/>
        <v>3</v>
      </c>
      <c r="S432">
        <f t="shared" si="34"/>
        <v>760.91623931623928</v>
      </c>
    </row>
    <row r="433" spans="1:19">
      <c r="A433" s="6" t="s">
        <v>33</v>
      </c>
      <c r="B433" s="6" t="s">
        <v>27</v>
      </c>
      <c r="C433" s="6">
        <v>380000</v>
      </c>
      <c r="D433" s="6">
        <v>1850</v>
      </c>
      <c r="E433" s="6">
        <v>2024</v>
      </c>
      <c r="F433" s="6">
        <v>5.2</v>
      </c>
      <c r="G433" s="6" t="s">
        <v>28</v>
      </c>
      <c r="H433" s="6" t="s">
        <v>13</v>
      </c>
      <c r="I433" s="6" t="s">
        <v>20</v>
      </c>
      <c r="J433" s="6" t="s">
        <v>29</v>
      </c>
      <c r="K433" s="20">
        <f>C433/D433</f>
        <v>205.40540540540542</v>
      </c>
      <c r="L433" s="11">
        <f>PMT(F433/100/12, 300, -(C433 *
(1 - G433/100)))</f>
        <v>1926.0539046948477</v>
      </c>
      <c r="M433" s="11">
        <f t="shared" si="30"/>
        <v>254816.17140845419</v>
      </c>
      <c r="N433" s="11">
        <f t="shared" si="31"/>
        <v>577816.17140845419</v>
      </c>
      <c r="O433">
        <f t="shared" si="32"/>
        <v>323000</v>
      </c>
      <c r="P433">
        <v>740.90146052631576</v>
      </c>
      <c r="R433" t="str">
        <f t="shared" si="33"/>
        <v>3</v>
      </c>
      <c r="S433">
        <f t="shared" si="34"/>
        <v>740.91622807017541</v>
      </c>
    </row>
    <row r="434" spans="1:19">
      <c r="A434" s="4" t="s">
        <v>37</v>
      </c>
      <c r="B434" s="4" t="s">
        <v>27</v>
      </c>
      <c r="C434" s="4">
        <v>455000</v>
      </c>
      <c r="D434" s="4">
        <v>2200</v>
      </c>
      <c r="E434" s="4">
        <v>2024</v>
      </c>
      <c r="F434" s="4">
        <v>5.2</v>
      </c>
      <c r="G434" s="4" t="s">
        <v>28</v>
      </c>
      <c r="H434" s="4" t="s">
        <v>13</v>
      </c>
      <c r="I434" s="4" t="s">
        <v>20</v>
      </c>
      <c r="J434" s="4" t="s">
        <v>29</v>
      </c>
      <c r="K434" s="20">
        <f>C434/D434</f>
        <v>206.81818181818181</v>
      </c>
      <c r="L434" s="11">
        <f>PMT(F434/100/12, 300, -(C434 *
(1 - G434/100)))</f>
        <v>2306.1961227267257</v>
      </c>
      <c r="M434" s="11">
        <f t="shared" si="30"/>
        <v>305108.83681801753</v>
      </c>
      <c r="N434" s="11">
        <f t="shared" si="31"/>
        <v>691858.83681801753</v>
      </c>
      <c r="O434">
        <f t="shared" si="32"/>
        <v>386750</v>
      </c>
      <c r="P434">
        <v>880.90145054945049</v>
      </c>
      <c r="R434" t="str">
        <f t="shared" si="33"/>
        <v>3</v>
      </c>
      <c r="S434">
        <f t="shared" si="34"/>
        <v>880.91611721611719</v>
      </c>
    </row>
    <row r="435" spans="1:19">
      <c r="A435" s="6" t="s">
        <v>16</v>
      </c>
      <c r="B435" s="6" t="s">
        <v>27</v>
      </c>
      <c r="C435" s="6">
        <v>455000</v>
      </c>
      <c r="D435" s="6">
        <v>2200</v>
      </c>
      <c r="E435" s="6">
        <v>2024</v>
      </c>
      <c r="F435" s="6">
        <v>5.3</v>
      </c>
      <c r="G435" s="6" t="s">
        <v>28</v>
      </c>
      <c r="H435" s="6" t="s">
        <v>13</v>
      </c>
      <c r="I435" s="6" t="s">
        <v>20</v>
      </c>
      <c r="J435" s="6" t="s">
        <v>29</v>
      </c>
      <c r="K435" s="20">
        <f>C435/D435</f>
        <v>206.81818181818181</v>
      </c>
      <c r="L435" s="11">
        <f>PMT(F435/100/12, 300, -(C435 *
(1 - G435/100)))</f>
        <v>2329.013126520515</v>
      </c>
      <c r="M435" s="11">
        <f t="shared" si="30"/>
        <v>311953.93795615446</v>
      </c>
      <c r="N435" s="11">
        <f t="shared" si="31"/>
        <v>698703.93795615446</v>
      </c>
      <c r="O435">
        <f t="shared" si="32"/>
        <v>386750</v>
      </c>
      <c r="P435">
        <v>880.90145054945049</v>
      </c>
      <c r="R435" t="str">
        <f t="shared" si="33"/>
        <v>3</v>
      </c>
      <c r="S435">
        <f t="shared" si="34"/>
        <v>880.91611721611719</v>
      </c>
    </row>
    <row r="436" spans="1:19">
      <c r="A436" s="4" t="s">
        <v>16</v>
      </c>
      <c r="B436" s="4" t="s">
        <v>27</v>
      </c>
      <c r="C436" s="4">
        <v>440000</v>
      </c>
      <c r="D436" s="4">
        <v>2120</v>
      </c>
      <c r="E436" s="4">
        <v>2023</v>
      </c>
      <c r="F436" s="4">
        <v>6.1</v>
      </c>
      <c r="G436" s="4" t="s">
        <v>28</v>
      </c>
      <c r="H436" s="4" t="s">
        <v>13</v>
      </c>
      <c r="I436" s="4" t="s">
        <v>20</v>
      </c>
      <c r="J436" s="4" t="s">
        <v>29</v>
      </c>
      <c r="K436" s="20">
        <f>C436/D436</f>
        <v>207.54716981132074</v>
      </c>
      <c r="L436" s="11">
        <f>PMT(F436/100/12, 300, -(C436 *
(1 - G436/100)))</f>
        <v>2432.6007619288757</v>
      </c>
      <c r="M436" s="11">
        <f t="shared" si="30"/>
        <v>355780.22857866273</v>
      </c>
      <c r="N436" s="11">
        <f t="shared" si="31"/>
        <v>729780.22857866273</v>
      </c>
      <c r="O436">
        <f t="shared" si="32"/>
        <v>374000</v>
      </c>
      <c r="P436">
        <v>848.90144545454541</v>
      </c>
      <c r="R436" t="str">
        <f t="shared" si="33"/>
        <v>3</v>
      </c>
      <c r="S436">
        <f t="shared" si="34"/>
        <v>848.91606060606057</v>
      </c>
    </row>
    <row r="437" spans="1:19">
      <c r="A437" s="4" t="s">
        <v>16</v>
      </c>
      <c r="B437" s="4" t="s">
        <v>27</v>
      </c>
      <c r="C437" s="4">
        <v>430000</v>
      </c>
      <c r="D437" s="4">
        <v>2070</v>
      </c>
      <c r="E437" s="4">
        <v>2024</v>
      </c>
      <c r="F437" s="4">
        <v>5.3</v>
      </c>
      <c r="G437" s="4" t="s">
        <v>28</v>
      </c>
      <c r="H437" s="4" t="s">
        <v>13</v>
      </c>
      <c r="I437" s="4" t="s">
        <v>20</v>
      </c>
      <c r="J437" s="4" t="s">
        <v>29</v>
      </c>
      <c r="K437" s="20">
        <f>C437/D437</f>
        <v>207.72946859903382</v>
      </c>
      <c r="L437" s="11">
        <f>PMT(F437/100/12, 300, -(C437 *
(1 - G437/100)))</f>
        <v>2201.0453723160913</v>
      </c>
      <c r="M437" s="11">
        <f t="shared" si="30"/>
        <v>294813.61169482738</v>
      </c>
      <c r="N437" s="11">
        <f t="shared" si="31"/>
        <v>660313.61169482744</v>
      </c>
      <c r="O437">
        <f t="shared" si="32"/>
        <v>365500</v>
      </c>
      <c r="P437">
        <v>828.90144418604643</v>
      </c>
      <c r="R437" t="str">
        <f t="shared" si="33"/>
        <v>3</v>
      </c>
      <c r="S437">
        <f t="shared" si="34"/>
        <v>828.91604651162788</v>
      </c>
    </row>
    <row r="438" spans="1:19">
      <c r="A438" s="6" t="s">
        <v>33</v>
      </c>
      <c r="B438" s="6" t="s">
        <v>27</v>
      </c>
      <c r="C438" s="6">
        <v>374000</v>
      </c>
      <c r="D438" s="6">
        <v>1800</v>
      </c>
      <c r="E438" s="6">
        <v>2024</v>
      </c>
      <c r="F438" s="6">
        <v>5.2</v>
      </c>
      <c r="G438" s="6" t="s">
        <v>28</v>
      </c>
      <c r="H438" s="6" t="s">
        <v>13</v>
      </c>
      <c r="I438" s="6" t="s">
        <v>20</v>
      </c>
      <c r="J438" s="6" t="s">
        <v>29</v>
      </c>
      <c r="K438" s="20">
        <f>C438/D438</f>
        <v>207.77777777777777</v>
      </c>
      <c r="L438" s="11">
        <f>PMT(F438/100/12, 300, -(C438 *
(1 - G438/100)))</f>
        <v>1895.6425272522977</v>
      </c>
      <c r="M438" s="11">
        <f t="shared" si="30"/>
        <v>250792.75817568914</v>
      </c>
      <c r="N438" s="11">
        <f t="shared" si="31"/>
        <v>568692.75817568914</v>
      </c>
      <c r="O438">
        <f t="shared" si="32"/>
        <v>317900</v>
      </c>
      <c r="P438">
        <v>720.90144385026736</v>
      </c>
      <c r="R438" t="str">
        <f t="shared" si="33"/>
        <v>3</v>
      </c>
      <c r="S438">
        <f t="shared" si="34"/>
        <v>720.91604278074863</v>
      </c>
    </row>
    <row r="439" spans="1:19">
      <c r="A439" s="4" t="s">
        <v>33</v>
      </c>
      <c r="B439" s="4" t="s">
        <v>27</v>
      </c>
      <c r="C439" s="4">
        <v>385000</v>
      </c>
      <c r="D439" s="4">
        <v>1850</v>
      </c>
      <c r="E439" s="4">
        <v>2024</v>
      </c>
      <c r="F439" s="4">
        <v>5.2</v>
      </c>
      <c r="G439" s="4" t="s">
        <v>28</v>
      </c>
      <c r="H439" s="4" t="s">
        <v>13</v>
      </c>
      <c r="I439" s="4" t="s">
        <v>20</v>
      </c>
      <c r="J439" s="4" t="s">
        <v>29</v>
      </c>
      <c r="K439" s="20">
        <f>C439/D439</f>
        <v>208.1081081081081</v>
      </c>
      <c r="L439" s="11">
        <f>PMT(F439/100/12, 300, -(C439 *
(1 - G439/100)))</f>
        <v>1951.3967192303064</v>
      </c>
      <c r="M439" s="11">
        <f t="shared" si="30"/>
        <v>258169.01576909178</v>
      </c>
      <c r="N439" s="11">
        <f t="shared" si="31"/>
        <v>585419.01576909178</v>
      </c>
      <c r="O439">
        <f t="shared" si="32"/>
        <v>327250</v>
      </c>
      <c r="P439">
        <v>740.90144155844155</v>
      </c>
      <c r="R439" t="str">
        <f t="shared" si="33"/>
        <v>3</v>
      </c>
      <c r="S439">
        <f t="shared" si="34"/>
        <v>740.91601731601725</v>
      </c>
    </row>
    <row r="440" spans="1:19">
      <c r="A440" s="4" t="s">
        <v>16</v>
      </c>
      <c r="B440" s="4" t="s">
        <v>27</v>
      </c>
      <c r="C440" s="4">
        <v>455000</v>
      </c>
      <c r="D440" s="4">
        <v>2180</v>
      </c>
      <c r="E440" s="4">
        <v>2023</v>
      </c>
      <c r="F440" s="4">
        <v>6</v>
      </c>
      <c r="G440" s="4" t="s">
        <v>28</v>
      </c>
      <c r="H440" s="4" t="s">
        <v>13</v>
      </c>
      <c r="I440" s="4" t="s">
        <v>20</v>
      </c>
      <c r="J440" s="4" t="s">
        <v>29</v>
      </c>
      <c r="K440" s="20">
        <f>C440/D440</f>
        <v>208.71559633027522</v>
      </c>
      <c r="L440" s="11">
        <f>PMT(F440/100/12, 300, -(C440 *
(1 - G440/100)))</f>
        <v>2491.8356702452043</v>
      </c>
      <c r="M440" s="11">
        <f t="shared" si="30"/>
        <v>360800.70107356133</v>
      </c>
      <c r="N440" s="11">
        <f t="shared" si="31"/>
        <v>747550.70107356133</v>
      </c>
      <c r="O440">
        <f t="shared" si="32"/>
        <v>386750</v>
      </c>
      <c r="P440">
        <v>872.90143736263735</v>
      </c>
      <c r="R440" t="str">
        <f t="shared" si="33"/>
        <v>3</v>
      </c>
      <c r="S440">
        <f t="shared" si="34"/>
        <v>872.91597069597071</v>
      </c>
    </row>
    <row r="441" spans="1:19">
      <c r="A441" s="4" t="s">
        <v>16</v>
      </c>
      <c r="B441" s="4" t="s">
        <v>27</v>
      </c>
      <c r="C441" s="4">
        <v>428000</v>
      </c>
      <c r="D441" s="4">
        <v>2050</v>
      </c>
      <c r="E441" s="4">
        <v>2024</v>
      </c>
      <c r="F441" s="4">
        <v>5.3</v>
      </c>
      <c r="G441" s="4" t="s">
        <v>28</v>
      </c>
      <c r="H441" s="4" t="s">
        <v>13</v>
      </c>
      <c r="I441" s="4" t="s">
        <v>20</v>
      </c>
      <c r="J441" s="4" t="s">
        <v>29</v>
      </c>
      <c r="K441" s="20">
        <f>C441/D441</f>
        <v>208.78048780487805</v>
      </c>
      <c r="L441" s="11">
        <f>PMT(F441/100/12, 300, -(C441 *
(1 - G441/100)))</f>
        <v>2190.8079519797375</v>
      </c>
      <c r="M441" s="11">
        <f t="shared" si="30"/>
        <v>293442.38559392124</v>
      </c>
      <c r="N441" s="11">
        <f t="shared" si="31"/>
        <v>657242.38559392118</v>
      </c>
      <c r="O441">
        <f t="shared" si="32"/>
        <v>363800</v>
      </c>
      <c r="P441">
        <v>820.90143691588787</v>
      </c>
      <c r="R441" t="str">
        <f t="shared" si="33"/>
        <v>3</v>
      </c>
      <c r="S441">
        <f t="shared" si="34"/>
        <v>820.91596573208722</v>
      </c>
    </row>
    <row r="442" spans="1:19">
      <c r="A442" s="6" t="s">
        <v>32</v>
      </c>
      <c r="B442" s="6" t="s">
        <v>27</v>
      </c>
      <c r="C442" s="6">
        <v>355000</v>
      </c>
      <c r="D442" s="6">
        <v>1700</v>
      </c>
      <c r="E442" s="6">
        <v>2024</v>
      </c>
      <c r="F442" s="6">
        <v>5.3</v>
      </c>
      <c r="G442" s="6" t="s">
        <v>12</v>
      </c>
      <c r="H442" s="6" t="s">
        <v>13</v>
      </c>
      <c r="I442" s="6" t="s">
        <v>20</v>
      </c>
      <c r="J442" s="6" t="s">
        <v>29</v>
      </c>
      <c r="K442" s="20">
        <f>C442/D442</f>
        <v>208.8235294117647</v>
      </c>
      <c r="L442" s="11">
        <f>PMT(F442/100/12, 300, -(C442 *
(1 - G442/100)))</f>
        <v>1753.0076823015438</v>
      </c>
      <c r="M442" s="11">
        <f t="shared" si="30"/>
        <v>234802.30469046306</v>
      </c>
      <c r="N442" s="11">
        <f t="shared" si="31"/>
        <v>525902.304690463</v>
      </c>
      <c r="O442">
        <f t="shared" si="32"/>
        <v>291100</v>
      </c>
      <c r="P442">
        <v>680.90143661971831</v>
      </c>
      <c r="R442" t="str">
        <f t="shared" si="33"/>
        <v>3</v>
      </c>
      <c r="S442">
        <f t="shared" si="34"/>
        <v>680.91596244131449</v>
      </c>
    </row>
    <row r="443" spans="1:19">
      <c r="A443" s="6" t="s">
        <v>33</v>
      </c>
      <c r="B443" s="6" t="s">
        <v>27</v>
      </c>
      <c r="C443" s="6">
        <v>372000</v>
      </c>
      <c r="D443" s="6">
        <v>1780</v>
      </c>
      <c r="E443" s="6">
        <v>2024</v>
      </c>
      <c r="F443" s="6">
        <v>5.3</v>
      </c>
      <c r="G443" s="6" t="s">
        <v>28</v>
      </c>
      <c r="H443" s="6" t="s">
        <v>13</v>
      </c>
      <c r="I443" s="6" t="s">
        <v>20</v>
      </c>
      <c r="J443" s="6" t="s">
        <v>29</v>
      </c>
      <c r="K443" s="20">
        <f>C443/D443</f>
        <v>208.98876404494382</v>
      </c>
      <c r="L443" s="11">
        <f>PMT(F443/100/12, 300, -(C443 *
(1 - G443/100)))</f>
        <v>1904.1601825618277</v>
      </c>
      <c r="M443" s="11">
        <f t="shared" si="30"/>
        <v>255048.05476854835</v>
      </c>
      <c r="N443" s="11">
        <f t="shared" si="31"/>
        <v>571248.05476854835</v>
      </c>
      <c r="O443">
        <f t="shared" si="32"/>
        <v>316200</v>
      </c>
      <c r="P443">
        <v>712.90143548387096</v>
      </c>
      <c r="R443" t="str">
        <f t="shared" si="33"/>
        <v>3</v>
      </c>
      <c r="S443">
        <f t="shared" si="34"/>
        <v>712.91594982078846</v>
      </c>
    </row>
    <row r="444" spans="1:19">
      <c r="A444" s="6" t="s">
        <v>26</v>
      </c>
      <c r="B444" s="6" t="s">
        <v>11</v>
      </c>
      <c r="C444" s="6">
        <v>462000</v>
      </c>
      <c r="D444" s="6">
        <v>2210</v>
      </c>
      <c r="E444" s="6">
        <v>2024</v>
      </c>
      <c r="F444" s="6">
        <v>5.4</v>
      </c>
      <c r="G444" s="6" t="s">
        <v>41</v>
      </c>
      <c r="H444" s="6" t="s">
        <v>13</v>
      </c>
      <c r="I444" s="6" t="s">
        <v>14</v>
      </c>
      <c r="J444" s="6" t="s">
        <v>29</v>
      </c>
      <c r="K444" s="20">
        <f>C444/D444</f>
        <v>209.0497737556561</v>
      </c>
      <c r="L444" s="11">
        <f>PMT(F444/100/12, 300, -(C444 *
(1 - G444/100)))</f>
        <v>2247.6481747407229</v>
      </c>
      <c r="M444" s="11">
        <f t="shared" si="30"/>
        <v>304694.45242221688</v>
      </c>
      <c r="N444" s="11">
        <f t="shared" si="31"/>
        <v>674294.45242221688</v>
      </c>
      <c r="O444">
        <f t="shared" si="32"/>
        <v>369600</v>
      </c>
      <c r="P444">
        <v>884.90143506493507</v>
      </c>
      <c r="R444" t="str">
        <f t="shared" si="33"/>
        <v>3</v>
      </c>
      <c r="S444">
        <f t="shared" si="34"/>
        <v>884.91594516594512</v>
      </c>
    </row>
    <row r="445" spans="1:19">
      <c r="A445" s="6" t="s">
        <v>26</v>
      </c>
      <c r="B445" s="6" t="s">
        <v>11</v>
      </c>
      <c r="C445" s="6">
        <v>460000</v>
      </c>
      <c r="D445" s="6">
        <v>2200</v>
      </c>
      <c r="E445" s="6">
        <v>2024</v>
      </c>
      <c r="F445" s="6">
        <v>5.4</v>
      </c>
      <c r="G445" s="6" t="s">
        <v>41</v>
      </c>
      <c r="H445" s="6" t="s">
        <v>13</v>
      </c>
      <c r="I445" s="6" t="s">
        <v>14</v>
      </c>
      <c r="J445" s="6" t="s">
        <v>29</v>
      </c>
      <c r="K445" s="20">
        <f>C445/D445</f>
        <v>209.09090909090909</v>
      </c>
      <c r="L445" s="11">
        <f>PMT(F445/100/12, 300, -(C445 *
(1 - G445/100)))</f>
        <v>2237.9180960621916</v>
      </c>
      <c r="M445" s="11">
        <f t="shared" si="30"/>
        <v>303375.42881865759</v>
      </c>
      <c r="N445" s="11">
        <f t="shared" si="31"/>
        <v>671375.42881865753</v>
      </c>
      <c r="O445">
        <f t="shared" si="32"/>
        <v>368000</v>
      </c>
      <c r="P445">
        <v>880.9014347826087</v>
      </c>
      <c r="R445" t="str">
        <f t="shared" si="33"/>
        <v>3</v>
      </c>
      <c r="S445">
        <f t="shared" si="34"/>
        <v>880.91594202898546</v>
      </c>
    </row>
    <row r="446" spans="1:19">
      <c r="A446" s="6" t="s">
        <v>37</v>
      </c>
      <c r="B446" s="6" t="s">
        <v>27</v>
      </c>
      <c r="C446" s="6">
        <v>435000</v>
      </c>
      <c r="D446" s="6">
        <v>2080</v>
      </c>
      <c r="E446" s="6">
        <v>2024</v>
      </c>
      <c r="F446" s="6">
        <v>5.2</v>
      </c>
      <c r="G446" s="6" t="s">
        <v>28</v>
      </c>
      <c r="H446" s="6" t="s">
        <v>13</v>
      </c>
      <c r="I446" s="6" t="s">
        <v>20</v>
      </c>
      <c r="J446" s="6" t="s">
        <v>29</v>
      </c>
      <c r="K446" s="20">
        <f>C446/D446</f>
        <v>209.13461538461539</v>
      </c>
      <c r="L446" s="11">
        <f>PMT(F446/100/12, 300, -(C446 *
(1 - G446/100)))</f>
        <v>2204.8248645848917</v>
      </c>
      <c r="M446" s="11">
        <f t="shared" si="30"/>
        <v>291697.45937546744</v>
      </c>
      <c r="N446" s="11">
        <f t="shared" si="31"/>
        <v>661447.45937546738</v>
      </c>
      <c r="O446">
        <f t="shared" si="32"/>
        <v>369750</v>
      </c>
      <c r="P446">
        <v>832.90143448275865</v>
      </c>
      <c r="R446" t="str">
        <f t="shared" si="33"/>
        <v>3</v>
      </c>
      <c r="S446">
        <f t="shared" si="34"/>
        <v>832.91593869731798</v>
      </c>
    </row>
    <row r="447" spans="1:19">
      <c r="A447" s="6" t="s">
        <v>16</v>
      </c>
      <c r="B447" s="6" t="s">
        <v>27</v>
      </c>
      <c r="C447" s="6">
        <v>450000</v>
      </c>
      <c r="D447" s="6">
        <v>2150</v>
      </c>
      <c r="E447" s="6">
        <v>2024</v>
      </c>
      <c r="F447" s="6">
        <v>5.3</v>
      </c>
      <c r="G447" s="6" t="s">
        <v>28</v>
      </c>
      <c r="H447" s="6" t="s">
        <v>13</v>
      </c>
      <c r="I447" s="6" t="s">
        <v>20</v>
      </c>
      <c r="J447" s="6" t="s">
        <v>29</v>
      </c>
      <c r="K447" s="20">
        <f>C447/D447</f>
        <v>209.30232558139534</v>
      </c>
      <c r="L447" s="11">
        <f>PMT(F447/100/12, 300, -(C447 *
(1 - G447/100)))</f>
        <v>2303.4195756796303</v>
      </c>
      <c r="M447" s="11">
        <f t="shared" si="30"/>
        <v>308525.87270388898</v>
      </c>
      <c r="N447" s="11">
        <f t="shared" si="31"/>
        <v>691025.87270388892</v>
      </c>
      <c r="O447">
        <f t="shared" si="32"/>
        <v>382500</v>
      </c>
      <c r="P447">
        <v>860.90143333333333</v>
      </c>
      <c r="R447" t="str">
        <f t="shared" si="33"/>
        <v>3</v>
      </c>
      <c r="S447">
        <f t="shared" si="34"/>
        <v>860.91592592592588</v>
      </c>
    </row>
    <row r="448" spans="1:19">
      <c r="A448" s="6" t="s">
        <v>16</v>
      </c>
      <c r="B448" s="6" t="s">
        <v>27</v>
      </c>
      <c r="C448" s="6">
        <v>450000</v>
      </c>
      <c r="D448" s="6">
        <v>2150</v>
      </c>
      <c r="E448" s="6">
        <v>2024</v>
      </c>
      <c r="F448" s="6">
        <v>5.3</v>
      </c>
      <c r="G448" s="6" t="s">
        <v>28</v>
      </c>
      <c r="H448" s="6" t="s">
        <v>25</v>
      </c>
      <c r="I448" s="6" t="s">
        <v>20</v>
      </c>
      <c r="J448" s="6" t="s">
        <v>29</v>
      </c>
      <c r="K448" s="20">
        <f>C448/D448</f>
        <v>209.30232558139534</v>
      </c>
      <c r="L448" s="11">
        <f>PMT(F448/100/12, 300, -(C448 *
(1 - G448/100)))</f>
        <v>2303.4195756796303</v>
      </c>
      <c r="M448" s="11">
        <f t="shared" si="30"/>
        <v>308525.87270388898</v>
      </c>
      <c r="N448" s="11">
        <f t="shared" si="31"/>
        <v>691025.87270388892</v>
      </c>
      <c r="O448">
        <f t="shared" si="32"/>
        <v>382500</v>
      </c>
      <c r="P448">
        <v>860.30143333333331</v>
      </c>
      <c r="R448" t="str">
        <f t="shared" si="33"/>
        <v>1</v>
      </c>
      <c r="S448">
        <f t="shared" si="34"/>
        <v>860.31592592592585</v>
      </c>
    </row>
    <row r="449" spans="1:19">
      <c r="A449" s="4" t="s">
        <v>37</v>
      </c>
      <c r="B449" s="4" t="s">
        <v>27</v>
      </c>
      <c r="C449" s="4">
        <v>440000</v>
      </c>
      <c r="D449" s="4">
        <v>2100</v>
      </c>
      <c r="E449" s="4">
        <v>2024</v>
      </c>
      <c r="F449" s="4">
        <v>5.2</v>
      </c>
      <c r="G449" s="4" t="s">
        <v>28</v>
      </c>
      <c r="H449" s="4" t="s">
        <v>13</v>
      </c>
      <c r="I449" s="4" t="s">
        <v>20</v>
      </c>
      <c r="J449" s="4" t="s">
        <v>29</v>
      </c>
      <c r="K449" s="20">
        <f>C449/D449</f>
        <v>209.52380952380952</v>
      </c>
      <c r="L449" s="11">
        <f>PMT(F449/100/12, 300, -(C449 *
(1 - G449/100)))</f>
        <v>2230.1676791203499</v>
      </c>
      <c r="M449" s="11">
        <f t="shared" si="30"/>
        <v>295050.30373610486</v>
      </c>
      <c r="N449" s="11">
        <f t="shared" si="31"/>
        <v>669050.30373610486</v>
      </c>
      <c r="O449">
        <f t="shared" si="32"/>
        <v>374000</v>
      </c>
      <c r="P449">
        <v>840.90143181818178</v>
      </c>
      <c r="R449" t="str">
        <f t="shared" si="33"/>
        <v>3</v>
      </c>
      <c r="S449">
        <f t="shared" si="34"/>
        <v>840.91590909090905</v>
      </c>
    </row>
    <row r="450" spans="1:19">
      <c r="A450" s="6" t="s">
        <v>37</v>
      </c>
      <c r="B450" s="6" t="s">
        <v>27</v>
      </c>
      <c r="C450" s="6">
        <v>415000</v>
      </c>
      <c r="D450" s="6">
        <v>1980</v>
      </c>
      <c r="E450" s="6">
        <v>2023</v>
      </c>
      <c r="F450" s="6">
        <v>6.1</v>
      </c>
      <c r="G450" s="6" t="s">
        <v>28</v>
      </c>
      <c r="H450" s="6" t="s">
        <v>13</v>
      </c>
      <c r="I450" s="6" t="s">
        <v>20</v>
      </c>
      <c r="J450" s="6" t="s">
        <v>29</v>
      </c>
      <c r="K450" s="20">
        <f>C450/D450</f>
        <v>209.59595959595958</v>
      </c>
      <c r="L450" s="11">
        <f>PMT(F450/100/12, 300, -(C450 *
(1 - G450/100)))</f>
        <v>2294.3848095465532</v>
      </c>
      <c r="M450" s="11">
        <f t="shared" si="30"/>
        <v>335565.44286396599</v>
      </c>
      <c r="N450" s="11">
        <f t="shared" si="31"/>
        <v>688315.44286396599</v>
      </c>
      <c r="O450">
        <f t="shared" si="32"/>
        <v>352750</v>
      </c>
      <c r="P450">
        <v>792.90143132530113</v>
      </c>
      <c r="R450" t="str">
        <f t="shared" si="33"/>
        <v>3</v>
      </c>
      <c r="S450">
        <f t="shared" si="34"/>
        <v>792.91590361445776</v>
      </c>
    </row>
    <row r="451" spans="1:19">
      <c r="A451" s="4" t="s">
        <v>37</v>
      </c>
      <c r="B451" s="4" t="s">
        <v>27</v>
      </c>
      <c r="C451" s="4">
        <v>430000</v>
      </c>
      <c r="D451" s="4">
        <v>2050</v>
      </c>
      <c r="E451" s="4">
        <v>2024</v>
      </c>
      <c r="F451" s="4">
        <v>5.2</v>
      </c>
      <c r="G451" s="4" t="s">
        <v>28</v>
      </c>
      <c r="H451" s="4" t="s">
        <v>13</v>
      </c>
      <c r="I451" s="4" t="s">
        <v>20</v>
      </c>
      <c r="J451" s="4" t="s">
        <v>29</v>
      </c>
      <c r="K451" s="20">
        <f>C451/D451</f>
        <v>209.7560975609756</v>
      </c>
      <c r="L451" s="11">
        <f>PMT(F451/100/12, 300, -(C451 *
(1 - G451/100)))</f>
        <v>2179.4820500494329</v>
      </c>
      <c r="M451" s="11">
        <f t="shared" ref="M451:M514" si="35">-CUMIPMT(F451/1200,300,O451,1,300,0)</f>
        <v>288344.61501482979</v>
      </c>
      <c r="N451" s="11">
        <f t="shared" ref="N451:N514" si="36">O451+M451</f>
        <v>653844.61501482979</v>
      </c>
      <c r="O451">
        <f t="shared" ref="O451:O514" si="37">C451*(1-G451/100)</f>
        <v>365500</v>
      </c>
      <c r="P451">
        <v>820.90143023255814</v>
      </c>
      <c r="R451" t="str">
        <f t="shared" ref="R451:R514" si="38">IF(H451="A","4",IF(H451="B","3",IF(H451="C","2",IF(H451="D","1",0))))</f>
        <v>3</v>
      </c>
      <c r="S451">
        <f t="shared" ref="S451:S514" si="39">D451*0.4 +R451*0.3 +(1/(K451*0.3))</f>
        <v>820.91589147286822</v>
      </c>
    </row>
    <row r="452" spans="1:19">
      <c r="A452" s="4" t="s">
        <v>37</v>
      </c>
      <c r="B452" s="4" t="s">
        <v>27</v>
      </c>
      <c r="C452" s="4">
        <v>420000</v>
      </c>
      <c r="D452" s="4">
        <v>2000</v>
      </c>
      <c r="E452" s="4">
        <v>2024</v>
      </c>
      <c r="F452" s="4">
        <v>5.2</v>
      </c>
      <c r="G452" s="4" t="s">
        <v>28</v>
      </c>
      <c r="H452" s="4" t="s">
        <v>13</v>
      </c>
      <c r="I452" s="4" t="s">
        <v>20</v>
      </c>
      <c r="J452" s="4" t="s">
        <v>29</v>
      </c>
      <c r="K452" s="20">
        <f>C452/D452</f>
        <v>210</v>
      </c>
      <c r="L452" s="11">
        <f>PMT(F452/100/12, 300, -(C452 *
(1 - G452/100)))</f>
        <v>2128.7964209785159</v>
      </c>
      <c r="M452" s="11">
        <f t="shared" si="35"/>
        <v>281638.9262935546</v>
      </c>
      <c r="N452" s="11">
        <f t="shared" si="36"/>
        <v>638638.9262935546</v>
      </c>
      <c r="O452">
        <f t="shared" si="37"/>
        <v>357000</v>
      </c>
      <c r="P452">
        <v>800.9014285714286</v>
      </c>
      <c r="R452" t="str">
        <f t="shared" si="38"/>
        <v>3</v>
      </c>
      <c r="S452">
        <f t="shared" si="39"/>
        <v>800.91587301587299</v>
      </c>
    </row>
    <row r="453" spans="1:19">
      <c r="A453" s="4" t="s">
        <v>37</v>
      </c>
      <c r="B453" s="4" t="s">
        <v>27</v>
      </c>
      <c r="C453" s="4">
        <v>410000</v>
      </c>
      <c r="D453" s="4">
        <v>1950</v>
      </c>
      <c r="E453" s="4">
        <v>2024</v>
      </c>
      <c r="F453" s="4">
        <v>5.2</v>
      </c>
      <c r="G453" s="4" t="s">
        <v>28</v>
      </c>
      <c r="H453" s="4" t="s">
        <v>13</v>
      </c>
      <c r="I453" s="4" t="s">
        <v>20</v>
      </c>
      <c r="J453" s="4" t="s">
        <v>29</v>
      </c>
      <c r="K453" s="20">
        <f>C453/D453</f>
        <v>210.25641025641025</v>
      </c>
      <c r="L453" s="11">
        <f>PMT(F453/100/12, 300, -(C453 *
(1 - G453/100)))</f>
        <v>2078.1107919075989</v>
      </c>
      <c r="M453" s="11">
        <f t="shared" si="35"/>
        <v>274933.23757227953</v>
      </c>
      <c r="N453" s="11">
        <f t="shared" si="36"/>
        <v>623433.23757227953</v>
      </c>
      <c r="O453">
        <f t="shared" si="37"/>
        <v>348500</v>
      </c>
      <c r="P453">
        <v>780.9014268292683</v>
      </c>
      <c r="R453" t="str">
        <f t="shared" si="38"/>
        <v>3</v>
      </c>
      <c r="S453">
        <f t="shared" si="39"/>
        <v>780.91585365853655</v>
      </c>
    </row>
    <row r="454" spans="1:19">
      <c r="A454" s="6" t="s">
        <v>33</v>
      </c>
      <c r="B454" s="6" t="s">
        <v>27</v>
      </c>
      <c r="C454" s="6">
        <v>390000</v>
      </c>
      <c r="D454" s="6">
        <v>1850</v>
      </c>
      <c r="E454" s="6">
        <v>2024</v>
      </c>
      <c r="F454" s="6">
        <v>5.2</v>
      </c>
      <c r="G454" s="6" t="s">
        <v>28</v>
      </c>
      <c r="H454" s="6" t="s">
        <v>13</v>
      </c>
      <c r="I454" s="6" t="s">
        <v>20</v>
      </c>
      <c r="J454" s="6" t="s">
        <v>29</v>
      </c>
      <c r="K454" s="20">
        <f>C454/D454</f>
        <v>210.81081081081081</v>
      </c>
      <c r="L454" s="11">
        <f>PMT(F454/100/12, 300, -(C454 *
(1 - G454/100)))</f>
        <v>1976.7395337657649</v>
      </c>
      <c r="M454" s="11">
        <f t="shared" si="35"/>
        <v>261521.86012972938</v>
      </c>
      <c r="N454" s="11">
        <f t="shared" si="36"/>
        <v>593021.86012972938</v>
      </c>
      <c r="O454">
        <f t="shared" si="37"/>
        <v>331500</v>
      </c>
      <c r="P454">
        <v>740.90142307692304</v>
      </c>
      <c r="R454" t="str">
        <f t="shared" si="38"/>
        <v>3</v>
      </c>
      <c r="S454">
        <f t="shared" si="39"/>
        <v>740.91581196581194</v>
      </c>
    </row>
    <row r="455" spans="1:19">
      <c r="A455" s="6" t="s">
        <v>26</v>
      </c>
      <c r="B455" s="6" t="s">
        <v>11</v>
      </c>
      <c r="C455" s="6">
        <v>455000</v>
      </c>
      <c r="D455" s="6">
        <v>2150</v>
      </c>
      <c r="E455" s="6">
        <v>2024</v>
      </c>
      <c r="F455" s="6">
        <v>5.4</v>
      </c>
      <c r="G455" s="6" t="s">
        <v>41</v>
      </c>
      <c r="H455" s="6" t="s">
        <v>13</v>
      </c>
      <c r="I455" s="6" t="s">
        <v>14</v>
      </c>
      <c r="J455" s="6" t="s">
        <v>29</v>
      </c>
      <c r="K455" s="20">
        <f>C455/D455</f>
        <v>211.62790697674419</v>
      </c>
      <c r="L455" s="11">
        <f>PMT(F455/100/12, 300, -(C455 *
(1 - G455/100)))</f>
        <v>2213.5928993658636</v>
      </c>
      <c r="M455" s="11">
        <f t="shared" si="35"/>
        <v>300077.86980975908</v>
      </c>
      <c r="N455" s="11">
        <f t="shared" si="36"/>
        <v>664077.86980975908</v>
      </c>
      <c r="O455">
        <f t="shared" si="37"/>
        <v>364000</v>
      </c>
      <c r="P455">
        <v>860.90141758241759</v>
      </c>
      <c r="R455" t="str">
        <f t="shared" si="38"/>
        <v>3</v>
      </c>
      <c r="S455">
        <f t="shared" si="39"/>
        <v>860.91575091575089</v>
      </c>
    </row>
    <row r="456" spans="1:19">
      <c r="A456" s="4" t="s">
        <v>37</v>
      </c>
      <c r="B456" s="4" t="s">
        <v>27</v>
      </c>
      <c r="C456" s="4">
        <v>400000</v>
      </c>
      <c r="D456" s="4">
        <v>1890</v>
      </c>
      <c r="E456" s="4">
        <v>2024</v>
      </c>
      <c r="F456" s="4">
        <v>5.3</v>
      </c>
      <c r="G456" s="4" t="s">
        <v>28</v>
      </c>
      <c r="H456" s="4" t="s">
        <v>13</v>
      </c>
      <c r="I456" s="4" t="s">
        <v>20</v>
      </c>
      <c r="J456" s="4" t="s">
        <v>29</v>
      </c>
      <c r="K456" s="20">
        <f>C456/D456</f>
        <v>211.64021164021165</v>
      </c>
      <c r="L456" s="11">
        <f>PMT(F456/100/12, 300, -(C456 *
(1 - G456/100)))</f>
        <v>2047.4840672707828</v>
      </c>
      <c r="M456" s="11">
        <f t="shared" si="35"/>
        <v>274245.22018123488</v>
      </c>
      <c r="N456" s="11">
        <f t="shared" si="36"/>
        <v>614245.22018123488</v>
      </c>
      <c r="O456">
        <f t="shared" si="37"/>
        <v>340000</v>
      </c>
      <c r="P456">
        <v>756.90141749999998</v>
      </c>
      <c r="R456" t="str">
        <f t="shared" si="38"/>
        <v>3</v>
      </c>
      <c r="S456">
        <f t="shared" si="39"/>
        <v>756.91575</v>
      </c>
    </row>
    <row r="457" spans="1:19">
      <c r="A457" s="6" t="s">
        <v>16</v>
      </c>
      <c r="B457" s="6" t="s">
        <v>27</v>
      </c>
      <c r="C457" s="6">
        <v>445000</v>
      </c>
      <c r="D457" s="6">
        <v>2100</v>
      </c>
      <c r="E457" s="6">
        <v>2024</v>
      </c>
      <c r="F457" s="6">
        <v>5.3</v>
      </c>
      <c r="G457" s="6" t="s">
        <v>28</v>
      </c>
      <c r="H457" s="6" t="s">
        <v>13</v>
      </c>
      <c r="I457" s="6" t="s">
        <v>20</v>
      </c>
      <c r="J457" s="6" t="s">
        <v>29</v>
      </c>
      <c r="K457" s="20">
        <f>C457/D457</f>
        <v>211.9047619047619</v>
      </c>
      <c r="L457" s="11">
        <f>PMT(F457/100/12, 300, -(C457 *
(1 - G457/100)))</f>
        <v>2277.8260248387455</v>
      </c>
      <c r="M457" s="11">
        <f t="shared" si="35"/>
        <v>305097.80745162355</v>
      </c>
      <c r="N457" s="11">
        <f t="shared" si="36"/>
        <v>683347.80745162349</v>
      </c>
      <c r="O457">
        <f t="shared" si="37"/>
        <v>378250</v>
      </c>
      <c r="P457">
        <v>840.90141573033702</v>
      </c>
      <c r="R457" t="str">
        <f t="shared" si="38"/>
        <v>3</v>
      </c>
      <c r="S457">
        <f t="shared" si="39"/>
        <v>840.91573033707868</v>
      </c>
    </row>
    <row r="458" spans="1:19">
      <c r="A458" s="4" t="s">
        <v>37</v>
      </c>
      <c r="B458" s="4" t="s">
        <v>27</v>
      </c>
      <c r="C458" s="4">
        <v>405000</v>
      </c>
      <c r="D458" s="4">
        <v>1910</v>
      </c>
      <c r="E458" s="4">
        <v>2024</v>
      </c>
      <c r="F458" s="4">
        <v>5.3</v>
      </c>
      <c r="G458" s="4" t="s">
        <v>28</v>
      </c>
      <c r="H458" s="4" t="s">
        <v>13</v>
      </c>
      <c r="I458" s="4" t="s">
        <v>20</v>
      </c>
      <c r="J458" s="4" t="s">
        <v>29</v>
      </c>
      <c r="K458" s="20">
        <f>C458/D458</f>
        <v>212.04188481675394</v>
      </c>
      <c r="L458" s="11">
        <f>PMT(F458/100/12, 300, -(C458 *
(1 - G458/100)))</f>
        <v>2073.0776181116676</v>
      </c>
      <c r="M458" s="11">
        <f t="shared" si="35"/>
        <v>277673.28543350031</v>
      </c>
      <c r="N458" s="11">
        <f t="shared" si="36"/>
        <v>621923.28543350031</v>
      </c>
      <c r="O458">
        <f t="shared" si="37"/>
        <v>344250</v>
      </c>
      <c r="P458">
        <v>764.90141481481476</v>
      </c>
      <c r="R458" t="str">
        <f t="shared" si="38"/>
        <v>3</v>
      </c>
      <c r="S458">
        <f t="shared" si="39"/>
        <v>764.91572016460907</v>
      </c>
    </row>
    <row r="459" spans="1:19">
      <c r="A459" s="4" t="s">
        <v>26</v>
      </c>
      <c r="B459" s="4" t="s">
        <v>11</v>
      </c>
      <c r="C459" s="4">
        <v>435000</v>
      </c>
      <c r="D459" s="4">
        <v>2050</v>
      </c>
      <c r="E459" s="4">
        <v>2024</v>
      </c>
      <c r="F459" s="4">
        <v>5.4</v>
      </c>
      <c r="G459" s="4" t="s">
        <v>41</v>
      </c>
      <c r="H459" s="4" t="s">
        <v>13</v>
      </c>
      <c r="I459" s="4" t="s">
        <v>14</v>
      </c>
      <c r="J459" s="4" t="s">
        <v>29</v>
      </c>
      <c r="K459" s="20">
        <f>C459/D459</f>
        <v>212.19512195121951</v>
      </c>
      <c r="L459" s="11">
        <f>PMT(F459/100/12, 300, -(C459 *
(1 - G459/100)))</f>
        <v>2116.2921125805506</v>
      </c>
      <c r="M459" s="11">
        <f t="shared" si="35"/>
        <v>286887.63377416524</v>
      </c>
      <c r="N459" s="11">
        <f t="shared" si="36"/>
        <v>634887.6337741653</v>
      </c>
      <c r="O459">
        <f t="shared" si="37"/>
        <v>348000</v>
      </c>
      <c r="P459">
        <v>820.90141379310342</v>
      </c>
      <c r="R459" t="str">
        <f t="shared" si="38"/>
        <v>3</v>
      </c>
      <c r="S459">
        <f t="shared" si="39"/>
        <v>820.9157088122605</v>
      </c>
    </row>
    <row r="460" spans="1:19">
      <c r="A460" s="4" t="s">
        <v>33</v>
      </c>
      <c r="B460" s="4" t="s">
        <v>27</v>
      </c>
      <c r="C460" s="4">
        <v>368000</v>
      </c>
      <c r="D460" s="4">
        <v>1730</v>
      </c>
      <c r="E460" s="4">
        <v>2023</v>
      </c>
      <c r="F460" s="4">
        <v>6.1</v>
      </c>
      <c r="G460" s="4" t="s">
        <v>28</v>
      </c>
      <c r="H460" s="4" t="s">
        <v>13</v>
      </c>
      <c r="I460" s="4" t="s">
        <v>20</v>
      </c>
      <c r="J460" s="4" t="s">
        <v>29</v>
      </c>
      <c r="K460" s="20">
        <f>C460/D460</f>
        <v>212.71676300578034</v>
      </c>
      <c r="L460" s="11">
        <f>PMT(F460/100/12, 300, -(C460 *
(1 - G460/100)))</f>
        <v>2034.538819067787</v>
      </c>
      <c r="M460" s="11">
        <f t="shared" si="35"/>
        <v>297561.64572033612</v>
      </c>
      <c r="N460" s="11">
        <f t="shared" si="36"/>
        <v>610361.64572033612</v>
      </c>
      <c r="O460">
        <f t="shared" si="37"/>
        <v>312800</v>
      </c>
      <c r="P460">
        <v>692.90141032608699</v>
      </c>
      <c r="R460" t="str">
        <f t="shared" si="38"/>
        <v>3</v>
      </c>
      <c r="S460">
        <f t="shared" si="39"/>
        <v>692.91567028985503</v>
      </c>
    </row>
    <row r="461" spans="1:19">
      <c r="A461" s="4" t="s">
        <v>33</v>
      </c>
      <c r="B461" s="4" t="s">
        <v>27</v>
      </c>
      <c r="C461" s="4">
        <v>400000</v>
      </c>
      <c r="D461" s="4">
        <v>1880</v>
      </c>
      <c r="E461" s="4">
        <v>2023</v>
      </c>
      <c r="F461" s="4">
        <v>6.1</v>
      </c>
      <c r="G461" s="4" t="s">
        <v>28</v>
      </c>
      <c r="H461" s="4" t="s">
        <v>13</v>
      </c>
      <c r="I461" s="4" t="s">
        <v>20</v>
      </c>
      <c r="J461" s="4" t="s">
        <v>29</v>
      </c>
      <c r="K461" s="20">
        <f>C461/D461</f>
        <v>212.7659574468085</v>
      </c>
      <c r="L461" s="11">
        <f>PMT(F461/100/12, 300, -(C461 *
(1 - G461/100)))</f>
        <v>2211.4552381171598</v>
      </c>
      <c r="M461" s="11">
        <f t="shared" si="35"/>
        <v>323436.57143514795</v>
      </c>
      <c r="N461" s="11">
        <f t="shared" si="36"/>
        <v>663436.5714351479</v>
      </c>
      <c r="O461">
        <f t="shared" si="37"/>
        <v>340000</v>
      </c>
      <c r="P461">
        <v>752.90140999999994</v>
      </c>
      <c r="R461" t="str">
        <f t="shared" si="38"/>
        <v>3</v>
      </c>
      <c r="S461">
        <f t="shared" si="39"/>
        <v>752.91566666666665</v>
      </c>
    </row>
    <row r="462" spans="1:19">
      <c r="A462" s="6" t="s">
        <v>37</v>
      </c>
      <c r="B462" s="6" t="s">
        <v>11</v>
      </c>
      <c r="C462" s="6">
        <v>330000</v>
      </c>
      <c r="D462" s="6">
        <v>1550</v>
      </c>
      <c r="E462" s="6">
        <v>2024</v>
      </c>
      <c r="F462" s="6">
        <v>5.0999999999999996</v>
      </c>
      <c r="G462" s="7">
        <v>20</v>
      </c>
      <c r="H462" s="6" t="s">
        <v>13</v>
      </c>
      <c r="I462" s="6" t="s">
        <v>14</v>
      </c>
      <c r="J462" s="6" t="s">
        <v>15</v>
      </c>
      <c r="K462" s="20">
        <f>C462/D462</f>
        <v>212.90322580645162</v>
      </c>
      <c r="L462" s="11">
        <f>PMT(F462/100/12, 300, -(C462 *
(1 - G462/100)))</f>
        <v>1558.7380293344459</v>
      </c>
      <c r="M462" s="11">
        <f t="shared" si="35"/>
        <v>203621.40880033374</v>
      </c>
      <c r="N462" s="11">
        <f t="shared" si="36"/>
        <v>467621.40880033374</v>
      </c>
      <c r="O462">
        <f t="shared" si="37"/>
        <v>264000</v>
      </c>
      <c r="P462">
        <v>620.90140909090906</v>
      </c>
      <c r="R462" t="str">
        <f t="shared" si="38"/>
        <v>3</v>
      </c>
      <c r="S462">
        <f t="shared" si="39"/>
        <v>620.91565656565649</v>
      </c>
    </row>
    <row r="463" spans="1:19">
      <c r="A463" s="6" t="s">
        <v>30</v>
      </c>
      <c r="B463" s="6" t="s">
        <v>27</v>
      </c>
      <c r="C463" s="6">
        <v>345000</v>
      </c>
      <c r="D463" s="6">
        <v>1620</v>
      </c>
      <c r="E463" s="6">
        <v>2024</v>
      </c>
      <c r="F463" s="6">
        <v>5.4</v>
      </c>
      <c r="G463" s="6" t="s">
        <v>39</v>
      </c>
      <c r="H463" s="6" t="s">
        <v>19</v>
      </c>
      <c r="I463" s="6" t="s">
        <v>20</v>
      </c>
      <c r="J463" s="6" t="s">
        <v>29</v>
      </c>
      <c r="K463" s="20">
        <f>C463/D463</f>
        <v>212.96296296296296</v>
      </c>
      <c r="L463" s="11">
        <f>PMT(F463/100/12, 300, -(C463 *
(1 - G463/100)))</f>
        <v>1804.3214649501419</v>
      </c>
      <c r="M463" s="11">
        <f t="shared" si="35"/>
        <v>244596.43948504259</v>
      </c>
      <c r="N463" s="11">
        <f t="shared" si="36"/>
        <v>541296.43948504259</v>
      </c>
      <c r="O463">
        <f t="shared" si="37"/>
        <v>296700</v>
      </c>
      <c r="P463">
        <v>648.60140869565225</v>
      </c>
      <c r="R463" t="str">
        <f t="shared" si="38"/>
        <v>2</v>
      </c>
      <c r="S463">
        <f t="shared" si="39"/>
        <v>648.61565217391308</v>
      </c>
    </row>
    <row r="464" spans="1:19">
      <c r="A464" s="6" t="s">
        <v>33</v>
      </c>
      <c r="B464" s="6" t="s">
        <v>27</v>
      </c>
      <c r="C464" s="6">
        <v>405000</v>
      </c>
      <c r="D464" s="6">
        <v>1900</v>
      </c>
      <c r="E464" s="6">
        <v>2024</v>
      </c>
      <c r="F464" s="6">
        <v>5.2</v>
      </c>
      <c r="G464" s="6" t="s">
        <v>28</v>
      </c>
      <c r="H464" s="6" t="s">
        <v>13</v>
      </c>
      <c r="I464" s="6" t="s">
        <v>20</v>
      </c>
      <c r="J464" s="6" t="s">
        <v>29</v>
      </c>
      <c r="K464" s="20">
        <f>C464/D464</f>
        <v>213.15789473684211</v>
      </c>
      <c r="L464" s="11">
        <f>PMT(F464/100/12, 300, -(C464 *
(1 - G464/100)))</f>
        <v>2052.7679773721406</v>
      </c>
      <c r="M464" s="11">
        <f t="shared" si="35"/>
        <v>271580.39321164205</v>
      </c>
      <c r="N464" s="11">
        <f t="shared" si="36"/>
        <v>615830.39321164205</v>
      </c>
      <c r="O464">
        <f t="shared" si="37"/>
        <v>344250</v>
      </c>
      <c r="P464">
        <v>760.90140740740742</v>
      </c>
      <c r="R464" t="str">
        <f t="shared" si="38"/>
        <v>3</v>
      </c>
      <c r="S464">
        <f t="shared" si="39"/>
        <v>760.91563786008226</v>
      </c>
    </row>
    <row r="465" spans="1:19">
      <c r="A465" s="6" t="s">
        <v>16</v>
      </c>
      <c r="B465" s="6" t="s">
        <v>27</v>
      </c>
      <c r="C465" s="6">
        <v>423000</v>
      </c>
      <c r="D465" s="6">
        <v>1980</v>
      </c>
      <c r="E465" s="6">
        <v>2023</v>
      </c>
      <c r="F465" s="6">
        <v>6</v>
      </c>
      <c r="G465" s="6" t="s">
        <v>18</v>
      </c>
      <c r="H465" s="6" t="s">
        <v>13</v>
      </c>
      <c r="I465" s="6" t="s">
        <v>20</v>
      </c>
      <c r="J465" s="6" t="s">
        <v>29</v>
      </c>
      <c r="K465" s="20">
        <f>C465/D465</f>
        <v>213.63636363636363</v>
      </c>
      <c r="L465" s="11">
        <f>PMT(F465/100/12, 300, -(C465 *
(1 - G465/100)))</f>
        <v>2398.3475368896575</v>
      </c>
      <c r="M465" s="11">
        <f t="shared" si="35"/>
        <v>347264.26106689719</v>
      </c>
      <c r="N465" s="11">
        <f t="shared" si="36"/>
        <v>719504.26106689719</v>
      </c>
      <c r="O465">
        <f t="shared" si="37"/>
        <v>372240</v>
      </c>
      <c r="P465">
        <v>792.90140425531911</v>
      </c>
      <c r="R465" t="str">
        <f t="shared" si="38"/>
        <v>3</v>
      </c>
      <c r="S465">
        <f t="shared" si="39"/>
        <v>792.91560283687943</v>
      </c>
    </row>
    <row r="466" spans="1:19">
      <c r="A466" s="4" t="s">
        <v>33</v>
      </c>
      <c r="B466" s="4" t="s">
        <v>27</v>
      </c>
      <c r="C466" s="4">
        <v>375000</v>
      </c>
      <c r="D466" s="4">
        <v>1750</v>
      </c>
      <c r="E466" s="4">
        <v>2024</v>
      </c>
      <c r="F466" s="4">
        <v>5.2</v>
      </c>
      <c r="G466" s="4" t="s">
        <v>28</v>
      </c>
      <c r="H466" s="4" t="s">
        <v>13</v>
      </c>
      <c r="I466" s="4" t="s">
        <v>20</v>
      </c>
      <c r="J466" s="4" t="s">
        <v>29</v>
      </c>
      <c r="K466" s="20">
        <f>C466/D466</f>
        <v>214.28571428571428</v>
      </c>
      <c r="L466" s="11">
        <f>PMT(F466/100/12, 300, -(C466 *
(1 - G466/100)))</f>
        <v>1900.7110901593892</v>
      </c>
      <c r="M466" s="11">
        <f t="shared" si="35"/>
        <v>251463.32704781677</v>
      </c>
      <c r="N466" s="11">
        <f t="shared" si="36"/>
        <v>570213.32704781671</v>
      </c>
      <c r="O466">
        <f t="shared" si="37"/>
        <v>318750</v>
      </c>
      <c r="P466">
        <v>700.90139999999997</v>
      </c>
      <c r="R466" t="str">
        <f t="shared" si="38"/>
        <v>3</v>
      </c>
      <c r="S466">
        <f t="shared" si="39"/>
        <v>700.91555555555556</v>
      </c>
    </row>
    <row r="467" spans="1:19">
      <c r="A467" s="6" t="s">
        <v>26</v>
      </c>
      <c r="B467" s="6" t="s">
        <v>11</v>
      </c>
      <c r="C467" s="6">
        <v>450000</v>
      </c>
      <c r="D467" s="6">
        <v>2100</v>
      </c>
      <c r="E467" s="6">
        <v>2024</v>
      </c>
      <c r="F467" s="6">
        <v>5.4</v>
      </c>
      <c r="G467" s="6" t="s">
        <v>41</v>
      </c>
      <c r="H467" s="6" t="s">
        <v>13</v>
      </c>
      <c r="I467" s="6" t="s">
        <v>14</v>
      </c>
      <c r="J467" s="6" t="s">
        <v>29</v>
      </c>
      <c r="K467" s="20">
        <f>C467/D467</f>
        <v>214.28571428571428</v>
      </c>
      <c r="L467" s="11">
        <f>PMT(F467/100/12, 300, -(C467 *
(1 - G467/100)))</f>
        <v>2189.2677026695351</v>
      </c>
      <c r="M467" s="11">
        <f t="shared" si="35"/>
        <v>296780.31080086058</v>
      </c>
      <c r="N467" s="11">
        <f t="shared" si="36"/>
        <v>656780.31080086064</v>
      </c>
      <c r="O467">
        <f t="shared" si="37"/>
        <v>360000</v>
      </c>
      <c r="P467">
        <v>840.90139999999997</v>
      </c>
      <c r="R467" t="str">
        <f t="shared" si="38"/>
        <v>3</v>
      </c>
      <c r="S467">
        <f t="shared" si="39"/>
        <v>840.91555555555556</v>
      </c>
    </row>
    <row r="468" spans="1:19">
      <c r="A468" s="4" t="s">
        <v>37</v>
      </c>
      <c r="B468" s="4" t="s">
        <v>27</v>
      </c>
      <c r="C468" s="4">
        <v>420000</v>
      </c>
      <c r="D468" s="4">
        <v>1950</v>
      </c>
      <c r="E468" s="4">
        <v>2024</v>
      </c>
      <c r="F468" s="4">
        <v>5.2</v>
      </c>
      <c r="G468" s="4" t="s">
        <v>28</v>
      </c>
      <c r="H468" s="4" t="s">
        <v>13</v>
      </c>
      <c r="I468" s="4" t="s">
        <v>20</v>
      </c>
      <c r="J468" s="4" t="s">
        <v>29</v>
      </c>
      <c r="K468" s="20">
        <f>C468/D468</f>
        <v>215.38461538461539</v>
      </c>
      <c r="L468" s="11">
        <f>PMT(F468/100/12, 300, -(C468 *
(1 - G468/100)))</f>
        <v>2128.7964209785159</v>
      </c>
      <c r="M468" s="11">
        <f t="shared" si="35"/>
        <v>281638.9262935546</v>
      </c>
      <c r="N468" s="11">
        <f t="shared" si="36"/>
        <v>638638.9262935546</v>
      </c>
      <c r="O468">
        <f t="shared" si="37"/>
        <v>357000</v>
      </c>
      <c r="P468">
        <v>780.90139285714281</v>
      </c>
      <c r="R468" t="str">
        <f t="shared" si="38"/>
        <v>3</v>
      </c>
      <c r="S468">
        <f t="shared" si="39"/>
        <v>780.91547619047617</v>
      </c>
    </row>
    <row r="469" spans="1:19">
      <c r="A469" s="4" t="s">
        <v>26</v>
      </c>
      <c r="B469" s="4" t="s">
        <v>11</v>
      </c>
      <c r="C469" s="4">
        <v>432000</v>
      </c>
      <c r="D469" s="4">
        <v>2000</v>
      </c>
      <c r="E469" s="4">
        <v>2024</v>
      </c>
      <c r="F469" s="4">
        <v>5.4</v>
      </c>
      <c r="G469" s="4" t="s">
        <v>41</v>
      </c>
      <c r="H469" s="4" t="s">
        <v>13</v>
      </c>
      <c r="I469" s="4" t="s">
        <v>14</v>
      </c>
      <c r="J469" s="4" t="s">
        <v>29</v>
      </c>
      <c r="K469" s="20">
        <f>C469/D469</f>
        <v>216</v>
      </c>
      <c r="L469" s="11">
        <f>PMT(F469/100/12, 300, -(C469 *
(1 - G469/100)))</f>
        <v>2101.6969945627538</v>
      </c>
      <c r="M469" s="11">
        <f t="shared" si="35"/>
        <v>284909.09836882621</v>
      </c>
      <c r="N469" s="11">
        <f t="shared" si="36"/>
        <v>630509.09836882621</v>
      </c>
      <c r="O469">
        <f t="shared" si="37"/>
        <v>345600</v>
      </c>
      <c r="P469">
        <v>800.90138888888885</v>
      </c>
      <c r="R469" t="str">
        <f t="shared" si="38"/>
        <v>3</v>
      </c>
      <c r="S469">
        <f t="shared" si="39"/>
        <v>800.91543209876545</v>
      </c>
    </row>
    <row r="470" spans="1:19">
      <c r="A470" s="6" t="s">
        <v>37</v>
      </c>
      <c r="B470" s="6" t="s">
        <v>27</v>
      </c>
      <c r="C470" s="6">
        <v>430000</v>
      </c>
      <c r="D470" s="6">
        <v>1980</v>
      </c>
      <c r="E470" s="6">
        <v>2023</v>
      </c>
      <c r="F470" s="6">
        <v>6.1</v>
      </c>
      <c r="G470" s="6" t="s">
        <v>28</v>
      </c>
      <c r="H470" s="6" t="s">
        <v>13</v>
      </c>
      <c r="I470" s="6" t="s">
        <v>20</v>
      </c>
      <c r="J470" s="6" t="s">
        <v>29</v>
      </c>
      <c r="K470" s="20">
        <f>C470/D470</f>
        <v>217.17171717171718</v>
      </c>
      <c r="L470" s="11">
        <f>PMT(F470/100/12, 300, -(C470 *
(1 - G470/100)))</f>
        <v>2377.3143809759467</v>
      </c>
      <c r="M470" s="11">
        <f t="shared" si="35"/>
        <v>347694.31429278402</v>
      </c>
      <c r="N470" s="11">
        <f t="shared" si="36"/>
        <v>713194.31429278408</v>
      </c>
      <c r="O470">
        <f t="shared" si="37"/>
        <v>365500</v>
      </c>
      <c r="P470">
        <v>792.90138139534884</v>
      </c>
      <c r="R470" t="str">
        <f t="shared" si="38"/>
        <v>3</v>
      </c>
      <c r="S470">
        <f t="shared" si="39"/>
        <v>792.91534883720931</v>
      </c>
    </row>
    <row r="471" spans="1:19">
      <c r="A471" s="6" t="s">
        <v>37</v>
      </c>
      <c r="B471" s="6" t="s">
        <v>27</v>
      </c>
      <c r="C471" s="6">
        <v>398000</v>
      </c>
      <c r="D471" s="6">
        <v>1830</v>
      </c>
      <c r="E471" s="6">
        <v>2023</v>
      </c>
      <c r="F471" s="6">
        <v>6.1</v>
      </c>
      <c r="G471" s="6" t="s">
        <v>28</v>
      </c>
      <c r="H471" s="6" t="s">
        <v>13</v>
      </c>
      <c r="I471" s="6" t="s">
        <v>20</v>
      </c>
      <c r="J471" s="6" t="s">
        <v>29</v>
      </c>
      <c r="K471" s="20">
        <f>C471/D471</f>
        <v>217.4863387978142</v>
      </c>
      <c r="L471" s="11">
        <f>PMT(F471/100/12, 300, -(C471 *
(1 - G471/100)))</f>
        <v>2200.3979619265738</v>
      </c>
      <c r="M471" s="11">
        <f t="shared" si="35"/>
        <v>321819.38857797207</v>
      </c>
      <c r="N471" s="11">
        <f t="shared" si="36"/>
        <v>660119.38857797207</v>
      </c>
      <c r="O471">
        <f t="shared" si="37"/>
        <v>338300</v>
      </c>
      <c r="P471">
        <v>732.90137939698491</v>
      </c>
      <c r="R471" t="str">
        <f t="shared" si="38"/>
        <v>3</v>
      </c>
      <c r="S471">
        <f t="shared" si="39"/>
        <v>732.91532663316582</v>
      </c>
    </row>
    <row r="472" spans="1:19">
      <c r="A472" s="6" t="s">
        <v>30</v>
      </c>
      <c r="B472" s="6" t="s">
        <v>27</v>
      </c>
      <c r="C472" s="6">
        <v>355000</v>
      </c>
      <c r="D472" s="6">
        <v>1620</v>
      </c>
      <c r="E472" s="6">
        <v>2024</v>
      </c>
      <c r="F472" s="6">
        <v>5.4</v>
      </c>
      <c r="G472" s="7">
        <v>14</v>
      </c>
      <c r="H472" s="6" t="s">
        <v>19</v>
      </c>
      <c r="I472" s="6" t="s">
        <v>20</v>
      </c>
      <c r="J472" s="6" t="s">
        <v>29</v>
      </c>
      <c r="K472" s="20">
        <f>C472/D472</f>
        <v>219.1358024691358</v>
      </c>
      <c r="L472" s="11">
        <f>PMT(F472/100/12, 300, -(C472 *
(1 - G472/100)))</f>
        <v>1856.6206378472473</v>
      </c>
      <c r="M472" s="11">
        <f t="shared" si="35"/>
        <v>251686.19135417423</v>
      </c>
      <c r="N472" s="11">
        <f t="shared" si="36"/>
        <v>556986.19135417417</v>
      </c>
      <c r="O472">
        <f t="shared" si="37"/>
        <v>305300</v>
      </c>
      <c r="P472">
        <v>648.60136901408453</v>
      </c>
      <c r="R472" t="str">
        <f t="shared" si="38"/>
        <v>2</v>
      </c>
      <c r="S472">
        <f t="shared" si="39"/>
        <v>648.61521126760567</v>
      </c>
    </row>
    <row r="473" spans="1:19">
      <c r="A473" s="6" t="s">
        <v>10</v>
      </c>
      <c r="B473" s="6" t="s">
        <v>23</v>
      </c>
      <c r="C473" s="6">
        <v>670000</v>
      </c>
      <c r="D473" s="6">
        <v>3050</v>
      </c>
      <c r="E473" s="6">
        <v>2024</v>
      </c>
      <c r="F473" s="6">
        <v>5.0999999999999996</v>
      </c>
      <c r="G473" s="6" t="s">
        <v>28</v>
      </c>
      <c r="H473" s="6" t="s">
        <v>13</v>
      </c>
      <c r="I473" s="6" t="s">
        <v>20</v>
      </c>
      <c r="J473" s="6" t="s">
        <v>29</v>
      </c>
      <c r="K473" s="20">
        <f>C473/D473</f>
        <v>219.67213114754099</v>
      </c>
      <c r="L473" s="11">
        <f>PMT(F473/100/12, 300, -(C473 *
(1 - G473/100)))</f>
        <v>3362.5049534316927</v>
      </c>
      <c r="M473" s="11">
        <f t="shared" si="35"/>
        <v>439251.48602950783</v>
      </c>
      <c r="N473" s="11">
        <f t="shared" si="36"/>
        <v>1008751.4860295078</v>
      </c>
      <c r="O473">
        <f t="shared" si="37"/>
        <v>569500</v>
      </c>
      <c r="P473">
        <v>1220.9013656716418</v>
      </c>
      <c r="R473" t="str">
        <f t="shared" si="38"/>
        <v>3</v>
      </c>
      <c r="S473">
        <f t="shared" si="39"/>
        <v>1220.9151741293533</v>
      </c>
    </row>
    <row r="474" spans="1:19">
      <c r="A474" s="4" t="s">
        <v>37</v>
      </c>
      <c r="B474" s="4" t="s">
        <v>27</v>
      </c>
      <c r="C474" s="4">
        <v>440000</v>
      </c>
      <c r="D474" s="4">
        <v>2000</v>
      </c>
      <c r="E474" s="4">
        <v>2024</v>
      </c>
      <c r="F474" s="4">
        <v>5.2</v>
      </c>
      <c r="G474" s="4" t="s">
        <v>28</v>
      </c>
      <c r="H474" s="4" t="s">
        <v>13</v>
      </c>
      <c r="I474" s="4" t="s">
        <v>20</v>
      </c>
      <c r="J474" s="4" t="s">
        <v>29</v>
      </c>
      <c r="K474" s="20">
        <f>C474/D474</f>
        <v>220</v>
      </c>
      <c r="L474" s="11">
        <f>PMT(F474/100/12, 300, -(C474 *
(1 - G474/100)))</f>
        <v>2230.1676791203499</v>
      </c>
      <c r="M474" s="11">
        <f t="shared" si="35"/>
        <v>295050.30373610486</v>
      </c>
      <c r="N474" s="11">
        <f t="shared" si="36"/>
        <v>669050.30373610486</v>
      </c>
      <c r="O474">
        <f t="shared" si="37"/>
        <v>374000</v>
      </c>
      <c r="P474">
        <v>800.90136363636361</v>
      </c>
      <c r="R474" t="str">
        <f t="shared" si="38"/>
        <v>3</v>
      </c>
      <c r="S474">
        <f t="shared" si="39"/>
        <v>800.91515151515148</v>
      </c>
    </row>
    <row r="475" spans="1:19">
      <c r="A475" s="6" t="s">
        <v>10</v>
      </c>
      <c r="B475" s="6" t="s">
        <v>23</v>
      </c>
      <c r="C475" s="6">
        <v>660000</v>
      </c>
      <c r="D475" s="6">
        <v>3000</v>
      </c>
      <c r="E475" s="6">
        <v>2024</v>
      </c>
      <c r="F475" s="6">
        <v>5.0999999999999996</v>
      </c>
      <c r="G475" s="6" t="s">
        <v>28</v>
      </c>
      <c r="H475" s="6" t="s">
        <v>13</v>
      </c>
      <c r="I475" s="6" t="s">
        <v>20</v>
      </c>
      <c r="J475" s="6" t="s">
        <v>29</v>
      </c>
      <c r="K475" s="20">
        <f>C475/D475</f>
        <v>220</v>
      </c>
      <c r="L475" s="11">
        <f>PMT(F475/100/12, 300, -(C475 *
(1 - G475/100)))</f>
        <v>3312.3183123356976</v>
      </c>
      <c r="M475" s="11">
        <f t="shared" si="35"/>
        <v>432695.49370070931</v>
      </c>
      <c r="N475" s="11">
        <f t="shared" si="36"/>
        <v>993695.49370070931</v>
      </c>
      <c r="O475">
        <f t="shared" si="37"/>
        <v>561000</v>
      </c>
      <c r="P475">
        <v>1200.9013636363638</v>
      </c>
      <c r="R475" t="str">
        <f t="shared" si="38"/>
        <v>3</v>
      </c>
      <c r="S475">
        <f t="shared" si="39"/>
        <v>1200.9151515151516</v>
      </c>
    </row>
    <row r="476" spans="1:19">
      <c r="A476" s="6" t="s">
        <v>10</v>
      </c>
      <c r="B476" s="6" t="s">
        <v>23</v>
      </c>
      <c r="C476" s="6">
        <v>650000</v>
      </c>
      <c r="D476" s="6">
        <v>2950</v>
      </c>
      <c r="E476" s="6">
        <v>2024</v>
      </c>
      <c r="F476" s="6">
        <v>5.0999999999999996</v>
      </c>
      <c r="G476" s="6" t="s">
        <v>28</v>
      </c>
      <c r="H476" s="6" t="s">
        <v>13</v>
      </c>
      <c r="I476" s="6" t="s">
        <v>20</v>
      </c>
      <c r="J476" s="6" t="s">
        <v>29</v>
      </c>
      <c r="K476" s="20">
        <f>C476/D476</f>
        <v>220.33898305084745</v>
      </c>
      <c r="L476" s="11">
        <f>PMT(F476/100/12, 300, -(C476 *
(1 - G476/100)))</f>
        <v>3262.131671239702</v>
      </c>
      <c r="M476" s="11">
        <f t="shared" si="35"/>
        <v>426139.50137191045</v>
      </c>
      <c r="N476" s="11">
        <f t="shared" si="36"/>
        <v>978639.50137191045</v>
      </c>
      <c r="O476">
        <f t="shared" si="37"/>
        <v>552500</v>
      </c>
      <c r="P476">
        <v>1180.9013615384617</v>
      </c>
      <c r="R476" t="str">
        <f t="shared" si="38"/>
        <v>3</v>
      </c>
      <c r="S476">
        <f t="shared" si="39"/>
        <v>1180.9151282051282</v>
      </c>
    </row>
    <row r="477" spans="1:19">
      <c r="A477" s="4" t="s">
        <v>26</v>
      </c>
      <c r="B477" s="4" t="s">
        <v>11</v>
      </c>
      <c r="C477" s="4">
        <v>430000</v>
      </c>
      <c r="D477" s="4">
        <v>1950</v>
      </c>
      <c r="E477" s="4">
        <v>2024</v>
      </c>
      <c r="F477" s="4">
        <v>5.4</v>
      </c>
      <c r="G477" s="4" t="s">
        <v>41</v>
      </c>
      <c r="H477" s="4" t="s">
        <v>13</v>
      </c>
      <c r="I477" s="4" t="s">
        <v>14</v>
      </c>
      <c r="J477" s="4" t="s">
        <v>29</v>
      </c>
      <c r="K477" s="20">
        <f>C477/D477</f>
        <v>220.51282051282053</v>
      </c>
      <c r="L477" s="11">
        <f>PMT(F477/100/12, 300, -(C477 *
(1 - G477/100)))</f>
        <v>2091.9669158842225</v>
      </c>
      <c r="M477" s="11">
        <f t="shared" si="35"/>
        <v>283590.07476526673</v>
      </c>
      <c r="N477" s="11">
        <f t="shared" si="36"/>
        <v>627590.07476526673</v>
      </c>
      <c r="O477">
        <f t="shared" si="37"/>
        <v>344000</v>
      </c>
      <c r="P477">
        <v>780.90136046511623</v>
      </c>
      <c r="R477" t="str">
        <f t="shared" si="38"/>
        <v>3</v>
      </c>
      <c r="S477">
        <f t="shared" si="39"/>
        <v>780.91511627906971</v>
      </c>
    </row>
    <row r="478" spans="1:19">
      <c r="A478" s="6" t="s">
        <v>10</v>
      </c>
      <c r="B478" s="6" t="s">
        <v>23</v>
      </c>
      <c r="C478" s="6">
        <v>675000</v>
      </c>
      <c r="D478" s="6">
        <v>3060</v>
      </c>
      <c r="E478" s="6">
        <v>2024</v>
      </c>
      <c r="F478" s="6">
        <v>5.0999999999999996</v>
      </c>
      <c r="G478" s="6" t="s">
        <v>28</v>
      </c>
      <c r="H478" s="6" t="s">
        <v>13</v>
      </c>
      <c r="I478" s="6" t="s">
        <v>20</v>
      </c>
      <c r="J478" s="6" t="s">
        <v>29</v>
      </c>
      <c r="K478" s="20">
        <f>C478/D478</f>
        <v>220.58823529411765</v>
      </c>
      <c r="L478" s="11">
        <f>PMT(F478/100/12, 300, -(C478 *
(1 - G478/100)))</f>
        <v>3387.5982739796905</v>
      </c>
      <c r="M478" s="11">
        <f t="shared" si="35"/>
        <v>442529.48219390714</v>
      </c>
      <c r="N478" s="11">
        <f t="shared" si="36"/>
        <v>1016279.4821939071</v>
      </c>
      <c r="O478">
        <f t="shared" si="37"/>
        <v>573750</v>
      </c>
      <c r="P478">
        <v>1224.9013600000001</v>
      </c>
      <c r="R478" t="str">
        <f t="shared" si="38"/>
        <v>3</v>
      </c>
      <c r="S478">
        <f t="shared" si="39"/>
        <v>1224.9151111111112</v>
      </c>
    </row>
    <row r="479" spans="1:19">
      <c r="A479" s="4" t="s">
        <v>26</v>
      </c>
      <c r="B479" s="4" t="s">
        <v>11</v>
      </c>
      <c r="C479" s="4">
        <v>428000</v>
      </c>
      <c r="D479" s="4">
        <v>1900</v>
      </c>
      <c r="E479" s="4">
        <v>2024</v>
      </c>
      <c r="F479" s="4">
        <v>5.4</v>
      </c>
      <c r="G479" s="4" t="s">
        <v>41</v>
      </c>
      <c r="H479" s="4" t="s">
        <v>13</v>
      </c>
      <c r="I479" s="4" t="s">
        <v>14</v>
      </c>
      <c r="J479" s="4" t="s">
        <v>29</v>
      </c>
      <c r="K479" s="20">
        <f>C479/D479</f>
        <v>225.26315789473685</v>
      </c>
      <c r="L479" s="11">
        <f>PMT(F479/100/12, 300, -(C479 *
(1 - G479/100)))</f>
        <v>2082.2368372056912</v>
      </c>
      <c r="M479" s="11">
        <f t="shared" si="35"/>
        <v>282271.05116170744</v>
      </c>
      <c r="N479" s="11">
        <f t="shared" si="36"/>
        <v>624671.05116170738</v>
      </c>
      <c r="O479">
        <f t="shared" si="37"/>
        <v>342400</v>
      </c>
      <c r="P479">
        <v>760.9013317757009</v>
      </c>
      <c r="R479" t="str">
        <f t="shared" si="38"/>
        <v>3</v>
      </c>
      <c r="S479">
        <f t="shared" si="39"/>
        <v>760.91479750778819</v>
      </c>
    </row>
    <row r="480" spans="1:19">
      <c r="A480" s="6" t="s">
        <v>33</v>
      </c>
      <c r="B480" s="6" t="s">
        <v>11</v>
      </c>
      <c r="C480" s="6">
        <v>330000</v>
      </c>
      <c r="D480" s="6">
        <v>1450</v>
      </c>
      <c r="E480" s="6">
        <v>2024</v>
      </c>
      <c r="F480" s="6">
        <v>5.0999999999999996</v>
      </c>
      <c r="G480" s="7">
        <v>20</v>
      </c>
      <c r="H480" s="6" t="s">
        <v>13</v>
      </c>
      <c r="I480" s="6" t="s">
        <v>14</v>
      </c>
      <c r="J480" s="6" t="s">
        <v>15</v>
      </c>
      <c r="K480" s="20">
        <f>C480/D480</f>
        <v>227.58620689655172</v>
      </c>
      <c r="L480" s="11">
        <f>PMT(F480/100/12, 300, -(C480 *
(1 - G480/100)))</f>
        <v>1558.7380293344459</v>
      </c>
      <c r="M480" s="11">
        <f t="shared" si="35"/>
        <v>203621.40880033374</v>
      </c>
      <c r="N480" s="11">
        <f t="shared" si="36"/>
        <v>467621.40880033374</v>
      </c>
      <c r="O480">
        <f t="shared" si="37"/>
        <v>264000</v>
      </c>
      <c r="P480">
        <v>580.90131818181817</v>
      </c>
      <c r="R480" t="str">
        <f t="shared" si="38"/>
        <v>3</v>
      </c>
      <c r="S480">
        <f t="shared" si="39"/>
        <v>580.91464646464647</v>
      </c>
    </row>
    <row r="481" spans="1:19">
      <c r="A481" s="4" t="s">
        <v>26</v>
      </c>
      <c r="B481" s="4" t="s">
        <v>11</v>
      </c>
      <c r="C481" s="4">
        <v>425000</v>
      </c>
      <c r="D481" s="4">
        <v>1850</v>
      </c>
      <c r="E481" s="4">
        <v>2024</v>
      </c>
      <c r="F481" s="4">
        <v>5.4</v>
      </c>
      <c r="G481" s="4" t="s">
        <v>41</v>
      </c>
      <c r="H481" s="4" t="s">
        <v>13</v>
      </c>
      <c r="I481" s="4" t="s">
        <v>14</v>
      </c>
      <c r="J481" s="4" t="s">
        <v>29</v>
      </c>
      <c r="K481" s="20">
        <f>C481/D481</f>
        <v>229.72972972972974</v>
      </c>
      <c r="L481" s="11">
        <f>PMT(F481/100/12, 300, -(C481 *
(1 - G481/100)))</f>
        <v>2067.6417191878941</v>
      </c>
      <c r="M481" s="11">
        <f t="shared" si="35"/>
        <v>280292.51575636823</v>
      </c>
      <c r="N481" s="11">
        <f t="shared" si="36"/>
        <v>620292.51575636817</v>
      </c>
      <c r="O481">
        <f t="shared" si="37"/>
        <v>340000</v>
      </c>
      <c r="P481">
        <v>740.90130588235297</v>
      </c>
      <c r="R481" t="str">
        <f t="shared" si="38"/>
        <v>3</v>
      </c>
      <c r="S481">
        <f t="shared" si="39"/>
        <v>740.91450980392153</v>
      </c>
    </row>
    <row r="482" spans="1:19">
      <c r="A482" s="4" t="s">
        <v>10</v>
      </c>
      <c r="B482" s="4" t="s">
        <v>23</v>
      </c>
      <c r="C482" s="4">
        <v>640000</v>
      </c>
      <c r="D482" s="4">
        <v>2750</v>
      </c>
      <c r="E482" s="4">
        <v>2024</v>
      </c>
      <c r="F482" s="4">
        <v>5.0999999999999996</v>
      </c>
      <c r="G482" s="4" t="s">
        <v>28</v>
      </c>
      <c r="H482" s="4" t="s">
        <v>13</v>
      </c>
      <c r="I482" s="4" t="s">
        <v>20</v>
      </c>
      <c r="J482" s="4" t="s">
        <v>29</v>
      </c>
      <c r="K482" s="20">
        <f>C482/D482</f>
        <v>232.72727272727272</v>
      </c>
      <c r="L482" s="11">
        <f>PMT(F482/100/12, 300, -(C482 *
(1 - G482/100)))</f>
        <v>3211.9450301437064</v>
      </c>
      <c r="M482" s="11">
        <f t="shared" si="35"/>
        <v>419583.50904311193</v>
      </c>
      <c r="N482" s="11">
        <f t="shared" si="36"/>
        <v>963583.50904311193</v>
      </c>
      <c r="O482">
        <f t="shared" si="37"/>
        <v>544000</v>
      </c>
      <c r="P482">
        <v>1100.9012890625002</v>
      </c>
      <c r="R482" t="str">
        <f t="shared" si="38"/>
        <v>3</v>
      </c>
      <c r="S482">
        <f t="shared" si="39"/>
        <v>1100.9143229166668</v>
      </c>
    </row>
    <row r="483" spans="1:19">
      <c r="A483" s="4" t="s">
        <v>10</v>
      </c>
      <c r="B483" s="4" t="s">
        <v>23</v>
      </c>
      <c r="C483" s="4">
        <v>620000</v>
      </c>
      <c r="D483" s="4">
        <v>2650</v>
      </c>
      <c r="E483" s="4">
        <v>2024</v>
      </c>
      <c r="F483" s="4">
        <v>5.0999999999999996</v>
      </c>
      <c r="G483" s="4" t="s">
        <v>28</v>
      </c>
      <c r="H483" s="4" t="s">
        <v>13</v>
      </c>
      <c r="I483" s="4" t="s">
        <v>20</v>
      </c>
      <c r="J483" s="4" t="s">
        <v>29</v>
      </c>
      <c r="K483" s="20">
        <f>C483/D483</f>
        <v>233.96226415094338</v>
      </c>
      <c r="L483" s="11">
        <f>PMT(F483/100/12, 300, -(C483 *
(1 - G483/100)))</f>
        <v>3111.5717479517161</v>
      </c>
      <c r="M483" s="11">
        <f t="shared" si="35"/>
        <v>406471.52438551467</v>
      </c>
      <c r="N483" s="11">
        <f t="shared" si="36"/>
        <v>933471.52438551467</v>
      </c>
      <c r="O483">
        <f t="shared" si="37"/>
        <v>527000</v>
      </c>
      <c r="P483">
        <v>1060.9012822580646</v>
      </c>
      <c r="R483" t="str">
        <f t="shared" si="38"/>
        <v>3</v>
      </c>
      <c r="S483">
        <f t="shared" si="39"/>
        <v>1060.9142473118281</v>
      </c>
    </row>
    <row r="484" spans="1:19">
      <c r="A484" s="6" t="s">
        <v>10</v>
      </c>
      <c r="B484" s="6" t="s">
        <v>23</v>
      </c>
      <c r="C484" s="6">
        <v>610000</v>
      </c>
      <c r="D484" s="6">
        <v>2600</v>
      </c>
      <c r="E484" s="6">
        <v>2024</v>
      </c>
      <c r="F484" s="6">
        <v>5.0999999999999996</v>
      </c>
      <c r="G484" s="6" t="s">
        <v>28</v>
      </c>
      <c r="H484" s="6" t="s">
        <v>13</v>
      </c>
      <c r="I484" s="6" t="s">
        <v>20</v>
      </c>
      <c r="J484" s="6" t="s">
        <v>29</v>
      </c>
      <c r="K484" s="20">
        <f>C484/D484</f>
        <v>234.61538461538461</v>
      </c>
      <c r="L484" s="11">
        <f>PMT(F484/100/12, 300, -(C484 *
(1 - G484/100)))</f>
        <v>3061.3851068557206</v>
      </c>
      <c r="M484" s="11">
        <f t="shared" si="35"/>
        <v>399915.5320567161</v>
      </c>
      <c r="N484" s="11">
        <f t="shared" si="36"/>
        <v>918415.53205671604</v>
      </c>
      <c r="O484">
        <f t="shared" si="37"/>
        <v>518500</v>
      </c>
      <c r="P484">
        <v>1040.9012786885246</v>
      </c>
      <c r="R484" t="str">
        <f t="shared" si="38"/>
        <v>3</v>
      </c>
      <c r="S484">
        <f t="shared" si="39"/>
        <v>1040.9142076502733</v>
      </c>
    </row>
    <row r="485" spans="1:19">
      <c r="A485" s="4" t="s">
        <v>10</v>
      </c>
      <c r="B485" s="4" t="s">
        <v>23</v>
      </c>
      <c r="C485" s="4">
        <v>635000</v>
      </c>
      <c r="D485" s="4">
        <v>2700</v>
      </c>
      <c r="E485" s="4">
        <v>2024</v>
      </c>
      <c r="F485" s="4">
        <v>5.0999999999999996</v>
      </c>
      <c r="G485" s="4" t="s">
        <v>28</v>
      </c>
      <c r="H485" s="4" t="s">
        <v>13</v>
      </c>
      <c r="I485" s="4" t="s">
        <v>20</v>
      </c>
      <c r="J485" s="4" t="s">
        <v>29</v>
      </c>
      <c r="K485" s="20">
        <f>C485/D485</f>
        <v>235.18518518518519</v>
      </c>
      <c r="L485" s="11">
        <f>PMT(F485/100/12, 300, -(C485 *
(1 - G485/100)))</f>
        <v>3186.8517095957091</v>
      </c>
      <c r="M485" s="11">
        <f t="shared" si="35"/>
        <v>416305.51287871273</v>
      </c>
      <c r="N485" s="11">
        <f t="shared" si="36"/>
        <v>956055.51287871273</v>
      </c>
      <c r="O485">
        <f t="shared" si="37"/>
        <v>539750</v>
      </c>
      <c r="P485">
        <v>1080.9012755905512</v>
      </c>
      <c r="R485" t="str">
        <f t="shared" si="38"/>
        <v>3</v>
      </c>
      <c r="S485">
        <f t="shared" si="39"/>
        <v>1080.9141732283465</v>
      </c>
    </row>
    <row r="486" spans="1:19">
      <c r="A486" s="4" t="s">
        <v>10</v>
      </c>
      <c r="B486" s="4" t="s">
        <v>23</v>
      </c>
      <c r="C486" s="4">
        <v>600000</v>
      </c>
      <c r="D486" s="4">
        <v>2550</v>
      </c>
      <c r="E486" s="4">
        <v>2023</v>
      </c>
      <c r="F486" s="4">
        <v>6.1</v>
      </c>
      <c r="G486" s="4" t="s">
        <v>28</v>
      </c>
      <c r="H486" s="4" t="s">
        <v>13</v>
      </c>
      <c r="I486" s="4" t="s">
        <v>20</v>
      </c>
      <c r="J486" s="4" t="s">
        <v>29</v>
      </c>
      <c r="K486" s="20">
        <f>C486/D486</f>
        <v>235.29411764705881</v>
      </c>
      <c r="L486" s="11">
        <f>PMT(F486/100/12, 300, -(C486 *
(1 - G486/100)))</f>
        <v>3317.1828571757396</v>
      </c>
      <c r="M486" s="11">
        <f t="shared" si="35"/>
        <v>485154.8571527219</v>
      </c>
      <c r="N486" s="11">
        <f t="shared" si="36"/>
        <v>995154.85715272184</v>
      </c>
      <c r="O486">
        <f t="shared" si="37"/>
        <v>510000</v>
      </c>
      <c r="P486">
        <v>1020.9012749999999</v>
      </c>
      <c r="R486" t="str">
        <f t="shared" si="38"/>
        <v>3</v>
      </c>
      <c r="S486">
        <f t="shared" si="39"/>
        <v>1020.9141666666667</v>
      </c>
    </row>
    <row r="487" spans="1:19">
      <c r="A487" s="4" t="s">
        <v>10</v>
      </c>
      <c r="B487" s="4" t="s">
        <v>23</v>
      </c>
      <c r="C487" s="4">
        <v>630000</v>
      </c>
      <c r="D487" s="4">
        <v>2650</v>
      </c>
      <c r="E487" s="4">
        <v>2024</v>
      </c>
      <c r="F487" s="4">
        <v>5.0999999999999996</v>
      </c>
      <c r="G487" s="4" t="s">
        <v>28</v>
      </c>
      <c r="H487" s="4" t="s">
        <v>13</v>
      </c>
      <c r="I487" s="4" t="s">
        <v>20</v>
      </c>
      <c r="J487" s="4" t="s">
        <v>29</v>
      </c>
      <c r="K487" s="20">
        <f>C487/D487</f>
        <v>237.73584905660377</v>
      </c>
      <c r="L487" s="11">
        <f>PMT(F487/100/12, 300, -(C487 *
(1 - G487/100)))</f>
        <v>3161.7583890477113</v>
      </c>
      <c r="M487" s="11">
        <f t="shared" si="35"/>
        <v>413027.51671431342</v>
      </c>
      <c r="N487" s="11">
        <f t="shared" si="36"/>
        <v>948527.51671431342</v>
      </c>
      <c r="O487">
        <f t="shared" si="37"/>
        <v>535500</v>
      </c>
      <c r="P487">
        <v>1060.9012619047619</v>
      </c>
      <c r="R487" t="str">
        <f t="shared" si="38"/>
        <v>3</v>
      </c>
      <c r="S487">
        <f t="shared" si="39"/>
        <v>1060.9140211640213</v>
      </c>
    </row>
    <row r="488" spans="1:19">
      <c r="A488" s="4" t="s">
        <v>10</v>
      </c>
      <c r="B488" s="4" t="s">
        <v>23</v>
      </c>
      <c r="C488" s="4">
        <v>585000</v>
      </c>
      <c r="D488" s="4">
        <v>2460</v>
      </c>
      <c r="E488" s="4">
        <v>2023</v>
      </c>
      <c r="F488" s="4">
        <v>6.1</v>
      </c>
      <c r="G488" s="4" t="s">
        <v>28</v>
      </c>
      <c r="H488" s="4" t="s">
        <v>13</v>
      </c>
      <c r="I488" s="4" t="s">
        <v>20</v>
      </c>
      <c r="J488" s="4" t="s">
        <v>29</v>
      </c>
      <c r="K488" s="20">
        <f>C488/D488</f>
        <v>237.80487804878049</v>
      </c>
      <c r="L488" s="11">
        <f>PMT(F488/100/12, 300, -(C488 *
(1 - G488/100)))</f>
        <v>3234.2532857463461</v>
      </c>
      <c r="M488" s="11">
        <f t="shared" si="35"/>
        <v>473025.98572390387</v>
      </c>
      <c r="N488" s="11">
        <f t="shared" si="36"/>
        <v>970275.98572390387</v>
      </c>
      <c r="O488">
        <f t="shared" si="37"/>
        <v>497250</v>
      </c>
      <c r="P488">
        <v>984.90126153846154</v>
      </c>
      <c r="R488" t="str">
        <f t="shared" si="38"/>
        <v>3</v>
      </c>
      <c r="S488">
        <f t="shared" si="39"/>
        <v>984.91401709401703</v>
      </c>
    </row>
    <row r="489" spans="1:19">
      <c r="A489" s="6" t="s">
        <v>10</v>
      </c>
      <c r="B489" s="6" t="s">
        <v>23</v>
      </c>
      <c r="C489" s="6">
        <v>580000</v>
      </c>
      <c r="D489" s="6">
        <v>2430</v>
      </c>
      <c r="E489" s="6">
        <v>2024</v>
      </c>
      <c r="F489" s="6">
        <v>5.0999999999999996</v>
      </c>
      <c r="G489" s="6" t="s">
        <v>28</v>
      </c>
      <c r="H489" s="6" t="s">
        <v>13</v>
      </c>
      <c r="I489" s="6" t="s">
        <v>20</v>
      </c>
      <c r="J489" s="6" t="s">
        <v>29</v>
      </c>
      <c r="K489" s="20">
        <f>C489/D489</f>
        <v>238.68312757201647</v>
      </c>
      <c r="L489" s="11">
        <f>PMT(F489/100/12, 300, -(C489 *
(1 - G489/100)))</f>
        <v>2910.8251835677343</v>
      </c>
      <c r="M489" s="11">
        <f t="shared" si="35"/>
        <v>380247.5550703202</v>
      </c>
      <c r="N489" s="11">
        <f t="shared" si="36"/>
        <v>873247.55507032014</v>
      </c>
      <c r="O489">
        <f t="shared" si="37"/>
        <v>493000</v>
      </c>
      <c r="P489">
        <v>972.90125689655167</v>
      </c>
      <c r="R489" t="str">
        <f t="shared" si="38"/>
        <v>3</v>
      </c>
      <c r="S489">
        <f t="shared" si="39"/>
        <v>972.91396551724131</v>
      </c>
    </row>
    <row r="490" spans="1:19">
      <c r="A490" s="4" t="s">
        <v>10</v>
      </c>
      <c r="B490" s="4" t="s">
        <v>23</v>
      </c>
      <c r="C490" s="4">
        <v>575000</v>
      </c>
      <c r="D490" s="4">
        <v>2400</v>
      </c>
      <c r="E490" s="4">
        <v>2023</v>
      </c>
      <c r="F490" s="4">
        <v>6</v>
      </c>
      <c r="G490" s="4" t="s">
        <v>28</v>
      </c>
      <c r="H490" s="4" t="s">
        <v>13</v>
      </c>
      <c r="I490" s="4" t="s">
        <v>20</v>
      </c>
      <c r="J490" s="4" t="s">
        <v>29</v>
      </c>
      <c r="K490" s="20">
        <f>C490/D490</f>
        <v>239.58333333333334</v>
      </c>
      <c r="L490" s="11">
        <f>PMT(F490/100/12, 300, -(C490 *
(1 - G490/100)))</f>
        <v>3149.0230997604231</v>
      </c>
      <c r="M490" s="11">
        <f t="shared" si="35"/>
        <v>455956.92992812698</v>
      </c>
      <c r="N490" s="11">
        <f t="shared" si="36"/>
        <v>944706.92992812698</v>
      </c>
      <c r="O490">
        <f t="shared" si="37"/>
        <v>488750</v>
      </c>
      <c r="P490">
        <v>960.90125217391301</v>
      </c>
      <c r="R490" t="str">
        <f t="shared" si="38"/>
        <v>3</v>
      </c>
      <c r="S490">
        <f t="shared" si="39"/>
        <v>960.91391304347826</v>
      </c>
    </row>
    <row r="491" spans="1:19">
      <c r="A491" s="4" t="s">
        <v>10</v>
      </c>
      <c r="B491" s="4" t="s">
        <v>23</v>
      </c>
      <c r="C491" s="4">
        <v>625000</v>
      </c>
      <c r="D491" s="4">
        <v>2600</v>
      </c>
      <c r="E491" s="4">
        <v>2024</v>
      </c>
      <c r="F491" s="4">
        <v>5.0999999999999996</v>
      </c>
      <c r="G491" s="4" t="s">
        <v>28</v>
      </c>
      <c r="H491" s="4" t="s">
        <v>13</v>
      </c>
      <c r="I491" s="4" t="s">
        <v>20</v>
      </c>
      <c r="J491" s="4" t="s">
        <v>29</v>
      </c>
      <c r="K491" s="20">
        <f>C491/D491</f>
        <v>240.38461538461539</v>
      </c>
      <c r="L491" s="11">
        <f>PMT(F491/100/12, 300, -(C491 *
(1 - G491/100)))</f>
        <v>3136.6650684997135</v>
      </c>
      <c r="M491" s="11">
        <f t="shared" si="35"/>
        <v>409749.52054991398</v>
      </c>
      <c r="N491" s="11">
        <f t="shared" si="36"/>
        <v>940999.52054991398</v>
      </c>
      <c r="O491">
        <f t="shared" si="37"/>
        <v>531250</v>
      </c>
      <c r="P491">
        <v>1040.9012480000001</v>
      </c>
      <c r="R491" t="str">
        <f t="shared" si="38"/>
        <v>3</v>
      </c>
      <c r="S491">
        <f t="shared" si="39"/>
        <v>1040.9138666666668</v>
      </c>
    </row>
    <row r="492" spans="1:19">
      <c r="A492" s="4" t="s">
        <v>10</v>
      </c>
      <c r="B492" s="4" t="s">
        <v>23</v>
      </c>
      <c r="C492" s="4">
        <v>570000</v>
      </c>
      <c r="D492" s="4">
        <v>2350</v>
      </c>
      <c r="E492" s="4">
        <v>2024</v>
      </c>
      <c r="F492" s="4">
        <v>5.0999999999999996</v>
      </c>
      <c r="G492" s="4" t="s">
        <v>28</v>
      </c>
      <c r="H492" s="4" t="s">
        <v>13</v>
      </c>
      <c r="I492" s="4" t="s">
        <v>20</v>
      </c>
      <c r="J492" s="4" t="s">
        <v>29</v>
      </c>
      <c r="K492" s="20">
        <f>C492/D492</f>
        <v>242.55319148936169</v>
      </c>
      <c r="L492" s="11">
        <f>PMT(F492/100/12, 300, -(C492 *
(1 - G492/100)))</f>
        <v>2860.6385424717387</v>
      </c>
      <c r="M492" s="11">
        <f t="shared" si="35"/>
        <v>373691.56274152157</v>
      </c>
      <c r="N492" s="11">
        <f t="shared" si="36"/>
        <v>858191.56274152151</v>
      </c>
      <c r="O492">
        <f t="shared" si="37"/>
        <v>484500</v>
      </c>
      <c r="P492">
        <v>940.90123684210528</v>
      </c>
      <c r="R492" t="str">
        <f t="shared" si="38"/>
        <v>3</v>
      </c>
      <c r="S492">
        <f t="shared" si="39"/>
        <v>940.91374269005848</v>
      </c>
    </row>
    <row r="493" spans="1:19">
      <c r="A493" s="4" t="s">
        <v>10</v>
      </c>
      <c r="B493" s="4" t="s">
        <v>23</v>
      </c>
      <c r="C493" s="4">
        <v>560000</v>
      </c>
      <c r="D493" s="4">
        <v>2300</v>
      </c>
      <c r="E493" s="4">
        <v>2024</v>
      </c>
      <c r="F493" s="4">
        <v>5.0999999999999996</v>
      </c>
      <c r="G493" s="4" t="s">
        <v>28</v>
      </c>
      <c r="H493" s="4" t="s">
        <v>13</v>
      </c>
      <c r="I493" s="4" t="s">
        <v>20</v>
      </c>
      <c r="J493" s="4" t="s">
        <v>29</v>
      </c>
      <c r="K493" s="20">
        <f>C493/D493</f>
        <v>243.47826086956522</v>
      </c>
      <c r="L493" s="11">
        <f>PMT(F493/100/12, 300, -(C493 *
(1 - G493/100)))</f>
        <v>2810.4519013757431</v>
      </c>
      <c r="M493" s="11">
        <f t="shared" si="35"/>
        <v>367135.57041272288</v>
      </c>
      <c r="N493" s="11">
        <f t="shared" si="36"/>
        <v>843135.57041272288</v>
      </c>
      <c r="O493">
        <f t="shared" si="37"/>
        <v>476000</v>
      </c>
      <c r="P493">
        <v>920.90123214285711</v>
      </c>
      <c r="R493" t="str">
        <f t="shared" si="38"/>
        <v>3</v>
      </c>
      <c r="S493">
        <f t="shared" si="39"/>
        <v>920.91369047619048</v>
      </c>
    </row>
    <row r="494" spans="1:19">
      <c r="A494" s="6" t="s">
        <v>10</v>
      </c>
      <c r="B494" s="6" t="s">
        <v>23</v>
      </c>
      <c r="C494" s="6">
        <v>565000</v>
      </c>
      <c r="D494" s="6">
        <v>2320</v>
      </c>
      <c r="E494" s="6">
        <v>2023</v>
      </c>
      <c r="F494" s="6">
        <v>6.1</v>
      </c>
      <c r="G494" s="6" t="s">
        <v>28</v>
      </c>
      <c r="H494" s="6" t="s">
        <v>13</v>
      </c>
      <c r="I494" s="6" t="s">
        <v>20</v>
      </c>
      <c r="J494" s="6" t="s">
        <v>29</v>
      </c>
      <c r="K494" s="20">
        <f>C494/D494</f>
        <v>243.5344827586207</v>
      </c>
      <c r="L494" s="11">
        <f>PMT(F494/100/12, 300, -(C494 *
(1 - G494/100)))</f>
        <v>3123.6805238404881</v>
      </c>
      <c r="M494" s="11">
        <f t="shared" si="35"/>
        <v>456854.15715214645</v>
      </c>
      <c r="N494" s="11">
        <f t="shared" si="36"/>
        <v>937104.15715214645</v>
      </c>
      <c r="O494">
        <f t="shared" si="37"/>
        <v>480250</v>
      </c>
      <c r="P494">
        <v>928.90123185840707</v>
      </c>
      <c r="R494" t="str">
        <f t="shared" si="38"/>
        <v>3</v>
      </c>
      <c r="S494">
        <f t="shared" si="39"/>
        <v>928.91368731563421</v>
      </c>
    </row>
    <row r="495" spans="1:19">
      <c r="A495" s="4" t="s">
        <v>26</v>
      </c>
      <c r="B495" s="4" t="s">
        <v>11</v>
      </c>
      <c r="C495" s="4">
        <v>415000</v>
      </c>
      <c r="D495" s="4">
        <v>1700</v>
      </c>
      <c r="E495" s="4">
        <v>2024</v>
      </c>
      <c r="F495" s="4">
        <v>5.4</v>
      </c>
      <c r="G495" s="4" t="s">
        <v>41</v>
      </c>
      <c r="H495" s="4" t="s">
        <v>13</v>
      </c>
      <c r="I495" s="4" t="s">
        <v>14</v>
      </c>
      <c r="J495" s="4" t="s">
        <v>29</v>
      </c>
      <c r="K495" s="20">
        <f>C495/D495</f>
        <v>244.11764705882354</v>
      </c>
      <c r="L495" s="11">
        <f>PMT(F495/100/12, 300, -(C495 *
(1 - G495/100)))</f>
        <v>2018.9913257952378</v>
      </c>
      <c r="M495" s="11">
        <f t="shared" si="35"/>
        <v>273697.39773857145</v>
      </c>
      <c r="N495" s="11">
        <f t="shared" si="36"/>
        <v>605697.39773857151</v>
      </c>
      <c r="O495">
        <f t="shared" si="37"/>
        <v>332000</v>
      </c>
      <c r="P495">
        <v>680.90122891566261</v>
      </c>
      <c r="R495" t="str">
        <f t="shared" si="38"/>
        <v>3</v>
      </c>
      <c r="S495">
        <f t="shared" si="39"/>
        <v>680.91365461847386</v>
      </c>
    </row>
    <row r="496" spans="1:19">
      <c r="A496" s="4" t="s">
        <v>10</v>
      </c>
      <c r="B496" s="4" t="s">
        <v>23</v>
      </c>
      <c r="C496" s="4">
        <v>605000</v>
      </c>
      <c r="D496" s="4">
        <v>2450</v>
      </c>
      <c r="E496" s="4">
        <v>2024</v>
      </c>
      <c r="F496" s="4">
        <v>5.0999999999999996</v>
      </c>
      <c r="G496" s="4" t="s">
        <v>28</v>
      </c>
      <c r="H496" s="4" t="s">
        <v>13</v>
      </c>
      <c r="I496" s="4" t="s">
        <v>20</v>
      </c>
      <c r="J496" s="4" t="s">
        <v>29</v>
      </c>
      <c r="K496" s="20">
        <f>C496/D496</f>
        <v>246.9387755102041</v>
      </c>
      <c r="L496" s="11">
        <f>PMT(F496/100/12, 300, -(C496 *
(1 - G496/100)))</f>
        <v>3036.2917863077228</v>
      </c>
      <c r="M496" s="11">
        <f t="shared" si="35"/>
        <v>396637.53589231684</v>
      </c>
      <c r="N496" s="11">
        <f t="shared" si="36"/>
        <v>910887.53589231684</v>
      </c>
      <c r="O496">
        <f t="shared" si="37"/>
        <v>514250</v>
      </c>
      <c r="P496">
        <v>980.90121487603301</v>
      </c>
      <c r="R496" t="str">
        <f t="shared" si="38"/>
        <v>3</v>
      </c>
      <c r="S496">
        <f t="shared" si="39"/>
        <v>980.91349862258949</v>
      </c>
    </row>
    <row r="497" spans="1:19">
      <c r="A497" s="6" t="s">
        <v>10</v>
      </c>
      <c r="B497" s="6" t="s">
        <v>23</v>
      </c>
      <c r="C497" s="6">
        <v>575000</v>
      </c>
      <c r="D497" s="6">
        <v>2320</v>
      </c>
      <c r="E497" s="6">
        <v>2023</v>
      </c>
      <c r="F497" s="6">
        <v>6.1</v>
      </c>
      <c r="G497" s="6" t="s">
        <v>28</v>
      </c>
      <c r="H497" s="6" t="s">
        <v>13</v>
      </c>
      <c r="I497" s="6" t="s">
        <v>20</v>
      </c>
      <c r="J497" s="6" t="s">
        <v>29</v>
      </c>
      <c r="K497" s="20">
        <f>C497/D497</f>
        <v>247.84482758620689</v>
      </c>
      <c r="L497" s="11">
        <f>PMT(F497/100/12, 300, -(C497 *
(1 - G497/100)))</f>
        <v>3178.9669047934176</v>
      </c>
      <c r="M497" s="11">
        <f t="shared" si="35"/>
        <v>464940.07143802533</v>
      </c>
      <c r="N497" s="11">
        <f t="shared" si="36"/>
        <v>953690.07143802533</v>
      </c>
      <c r="O497">
        <f t="shared" si="37"/>
        <v>488750</v>
      </c>
      <c r="P497">
        <v>928.90121043478257</v>
      </c>
      <c r="R497" t="str">
        <f t="shared" si="38"/>
        <v>3</v>
      </c>
      <c r="S497">
        <f t="shared" si="39"/>
        <v>928.91344927536227</v>
      </c>
    </row>
    <row r="498" spans="1:19">
      <c r="A498" s="4" t="s">
        <v>10</v>
      </c>
      <c r="B498" s="4" t="s">
        <v>23</v>
      </c>
      <c r="C498" s="4">
        <v>595000</v>
      </c>
      <c r="D498" s="4">
        <v>2400</v>
      </c>
      <c r="E498" s="4">
        <v>2024</v>
      </c>
      <c r="F498" s="4">
        <v>5.0999999999999996</v>
      </c>
      <c r="G498" s="4" t="s">
        <v>28</v>
      </c>
      <c r="H498" s="4" t="s">
        <v>13</v>
      </c>
      <c r="I498" s="4" t="s">
        <v>20</v>
      </c>
      <c r="J498" s="4" t="s">
        <v>29</v>
      </c>
      <c r="K498" s="20">
        <f>C498/D498</f>
        <v>247.91666666666666</v>
      </c>
      <c r="L498" s="11">
        <f>PMT(F498/100/12, 300, -(C498 *
(1 - G498/100)))</f>
        <v>2986.1051452117272</v>
      </c>
      <c r="M498" s="11">
        <f t="shared" si="35"/>
        <v>390081.54356351821</v>
      </c>
      <c r="N498" s="11">
        <f t="shared" si="36"/>
        <v>895831.54356351821</v>
      </c>
      <c r="O498">
        <f t="shared" si="37"/>
        <v>505750</v>
      </c>
      <c r="P498">
        <v>960.90121008403355</v>
      </c>
      <c r="R498" t="str">
        <f t="shared" si="38"/>
        <v>3</v>
      </c>
      <c r="S498">
        <f t="shared" si="39"/>
        <v>960.91344537815121</v>
      </c>
    </row>
    <row r="499" spans="1:19">
      <c r="A499" s="6" t="s">
        <v>16</v>
      </c>
      <c r="B499" s="6" t="s">
        <v>17</v>
      </c>
      <c r="C499" s="6">
        <v>298000</v>
      </c>
      <c r="D499" s="6">
        <v>1200</v>
      </c>
      <c r="E499" s="6">
        <v>2024</v>
      </c>
      <c r="F499" s="6">
        <v>5.4</v>
      </c>
      <c r="G499" s="6" t="s">
        <v>18</v>
      </c>
      <c r="H499" s="6" t="s">
        <v>19</v>
      </c>
      <c r="I499" s="6" t="s">
        <v>20</v>
      </c>
      <c r="J499" s="6" t="s">
        <v>21</v>
      </c>
      <c r="K499" s="20">
        <f>C499/D499</f>
        <v>248.33333333333334</v>
      </c>
      <c r="L499" s="11">
        <f>PMT(F499/100/12, 300, -(C499 *
(1 - G499/100)))</f>
        <v>1594.7598954112746</v>
      </c>
      <c r="M499" s="11">
        <f t="shared" si="35"/>
        <v>216187.96862338245</v>
      </c>
      <c r="N499" s="11">
        <f t="shared" si="36"/>
        <v>478427.96862338245</v>
      </c>
      <c r="O499">
        <f t="shared" si="37"/>
        <v>262240</v>
      </c>
      <c r="P499">
        <v>480.60120805369132</v>
      </c>
      <c r="R499" t="str">
        <f t="shared" si="38"/>
        <v>2</v>
      </c>
      <c r="S499">
        <f t="shared" si="39"/>
        <v>480.61342281879195</v>
      </c>
    </row>
    <row r="500" spans="1:19">
      <c r="A500" s="4" t="s">
        <v>26</v>
      </c>
      <c r="B500" s="4" t="s">
        <v>11</v>
      </c>
      <c r="C500" s="4">
        <v>410000</v>
      </c>
      <c r="D500" s="4">
        <v>1650</v>
      </c>
      <c r="E500" s="4">
        <v>2024</v>
      </c>
      <c r="F500" s="4">
        <v>5.4</v>
      </c>
      <c r="G500" s="4" t="s">
        <v>41</v>
      </c>
      <c r="H500" s="4" t="s">
        <v>13</v>
      </c>
      <c r="I500" s="4" t="s">
        <v>14</v>
      </c>
      <c r="J500" s="4" t="s">
        <v>29</v>
      </c>
      <c r="K500" s="20">
        <f>C500/D500</f>
        <v>248.4848484848485</v>
      </c>
      <c r="L500" s="11">
        <f>PMT(F500/100/12, 300, -(C500 *
(1 - G500/100)))</f>
        <v>1994.6661290989098</v>
      </c>
      <c r="M500" s="11">
        <f t="shared" si="35"/>
        <v>270399.83872967301</v>
      </c>
      <c r="N500" s="11">
        <f t="shared" si="36"/>
        <v>598399.83872967307</v>
      </c>
      <c r="O500">
        <f t="shared" si="37"/>
        <v>328000</v>
      </c>
      <c r="P500">
        <v>660.90120731707316</v>
      </c>
      <c r="R500" t="str">
        <f t="shared" si="38"/>
        <v>3</v>
      </c>
      <c r="S500">
        <f t="shared" si="39"/>
        <v>660.91341463414631</v>
      </c>
    </row>
    <row r="501" spans="1:19">
      <c r="A501" s="4" t="s">
        <v>10</v>
      </c>
      <c r="B501" s="4" t="s">
        <v>23</v>
      </c>
      <c r="C501" s="4">
        <v>585000</v>
      </c>
      <c r="D501" s="4">
        <v>2350</v>
      </c>
      <c r="E501" s="4">
        <v>2024</v>
      </c>
      <c r="F501" s="4">
        <v>5.0999999999999996</v>
      </c>
      <c r="G501" s="4" t="s">
        <v>28</v>
      </c>
      <c r="H501" s="4" t="s">
        <v>13</v>
      </c>
      <c r="I501" s="4" t="s">
        <v>20</v>
      </c>
      <c r="J501" s="4" t="s">
        <v>29</v>
      </c>
      <c r="K501" s="20">
        <f>C501/D501</f>
        <v>248.93617021276594</v>
      </c>
      <c r="L501" s="11">
        <f>PMT(F501/100/12, 300, -(C501 *
(1 - G501/100)))</f>
        <v>2935.918504115732</v>
      </c>
      <c r="M501" s="11">
        <f t="shared" si="35"/>
        <v>383525.55123471946</v>
      </c>
      <c r="N501" s="11">
        <f t="shared" si="36"/>
        <v>880775.55123471946</v>
      </c>
      <c r="O501">
        <f t="shared" si="37"/>
        <v>497250</v>
      </c>
      <c r="P501">
        <v>940.90120512820511</v>
      </c>
      <c r="R501" t="str">
        <f t="shared" si="38"/>
        <v>3</v>
      </c>
      <c r="S501">
        <f t="shared" si="39"/>
        <v>940.91339031339032</v>
      </c>
    </row>
    <row r="502" spans="1:19">
      <c r="A502" s="4" t="s">
        <v>16</v>
      </c>
      <c r="B502" s="4" t="s">
        <v>11</v>
      </c>
      <c r="C502" s="4">
        <v>685000</v>
      </c>
      <c r="D502" s="4">
        <v>2750</v>
      </c>
      <c r="E502" s="4">
        <v>2024</v>
      </c>
      <c r="F502" s="4">
        <v>5.3</v>
      </c>
      <c r="G502" s="4" t="s">
        <v>38</v>
      </c>
      <c r="H502" s="4" t="s">
        <v>43</v>
      </c>
      <c r="I502" s="4" t="s">
        <v>14</v>
      </c>
      <c r="J502" s="4" t="s">
        <v>15</v>
      </c>
      <c r="K502" s="20">
        <f>C502/D502</f>
        <v>249.09090909090909</v>
      </c>
      <c r="L502" s="11">
        <f>PMT(F502/100/12, 300, -(C502 *
(1 - G502/100)))</f>
        <v>3217.5609915964096</v>
      </c>
      <c r="M502" s="11">
        <f t="shared" si="35"/>
        <v>430968.29747892288</v>
      </c>
      <c r="N502" s="11">
        <f t="shared" si="36"/>
        <v>965268.29747892288</v>
      </c>
      <c r="O502">
        <f t="shared" si="37"/>
        <v>534300</v>
      </c>
      <c r="P502">
        <v>1101.2012043795621</v>
      </c>
      <c r="R502" t="str">
        <f t="shared" si="38"/>
        <v>4</v>
      </c>
      <c r="S502">
        <f t="shared" si="39"/>
        <v>1101.2133819951339</v>
      </c>
    </row>
    <row r="503" spans="1:19">
      <c r="A503" s="4" t="s">
        <v>10</v>
      </c>
      <c r="B503" s="4" t="s">
        <v>23</v>
      </c>
      <c r="C503" s="4">
        <v>556000</v>
      </c>
      <c r="D503" s="4">
        <v>2230</v>
      </c>
      <c r="E503" s="4">
        <v>2024</v>
      </c>
      <c r="F503" s="4">
        <v>5.2</v>
      </c>
      <c r="G503" s="4" t="s">
        <v>28</v>
      </c>
      <c r="H503" s="4" t="s">
        <v>13</v>
      </c>
      <c r="I503" s="4" t="s">
        <v>20</v>
      </c>
      <c r="J503" s="4" t="s">
        <v>29</v>
      </c>
      <c r="K503" s="20">
        <f>C503/D503</f>
        <v>249.32735426008969</v>
      </c>
      <c r="L503" s="11">
        <f>PMT(F503/100/12, 300, -(C503 *
(1 - G503/100)))</f>
        <v>2818.1209763429879</v>
      </c>
      <c r="M503" s="11">
        <f t="shared" si="35"/>
        <v>372836.29290289618</v>
      </c>
      <c r="N503" s="11">
        <f t="shared" si="36"/>
        <v>845436.29290289618</v>
      </c>
      <c r="O503">
        <f t="shared" si="37"/>
        <v>472600</v>
      </c>
      <c r="P503">
        <v>892.90120323741007</v>
      </c>
      <c r="R503" t="str">
        <f t="shared" si="38"/>
        <v>3</v>
      </c>
      <c r="S503">
        <f t="shared" si="39"/>
        <v>892.91336930455634</v>
      </c>
    </row>
    <row r="504" spans="1:19">
      <c r="A504" s="4" t="s">
        <v>35</v>
      </c>
      <c r="B504" s="4" t="s">
        <v>23</v>
      </c>
      <c r="C504" s="4">
        <v>225000</v>
      </c>
      <c r="D504" s="4">
        <v>900</v>
      </c>
      <c r="E504" s="4">
        <v>2024</v>
      </c>
      <c r="F504" s="4">
        <v>5.4</v>
      </c>
      <c r="G504" s="4" t="s">
        <v>42</v>
      </c>
      <c r="H504" s="4" t="s">
        <v>25</v>
      </c>
      <c r="I504" s="4" t="s">
        <v>20</v>
      </c>
      <c r="J504" s="4" t="s">
        <v>21</v>
      </c>
      <c r="K504" s="20">
        <f>C504/D504</f>
        <v>250</v>
      </c>
      <c r="L504" s="11">
        <f>PMT(F504/100/12, 300, -(C504 *
(1 - G504/100)))</f>
        <v>1286.194775318352</v>
      </c>
      <c r="M504" s="11">
        <f t="shared" si="35"/>
        <v>174358.43259550561</v>
      </c>
      <c r="N504" s="11">
        <f t="shared" si="36"/>
        <v>385858.43259550561</v>
      </c>
      <c r="O504">
        <f t="shared" si="37"/>
        <v>211500</v>
      </c>
      <c r="P504">
        <v>360.30119999999999</v>
      </c>
      <c r="R504" t="str">
        <f t="shared" si="38"/>
        <v>1</v>
      </c>
      <c r="S504">
        <f t="shared" si="39"/>
        <v>360.31333333333333</v>
      </c>
    </row>
    <row r="505" spans="1:19">
      <c r="A505" s="4" t="s">
        <v>16</v>
      </c>
      <c r="B505" s="4" t="s">
        <v>11</v>
      </c>
      <c r="C505" s="4">
        <v>690000</v>
      </c>
      <c r="D505" s="4">
        <v>2760</v>
      </c>
      <c r="E505" s="4">
        <v>2024</v>
      </c>
      <c r="F505" s="4">
        <v>5.3</v>
      </c>
      <c r="G505" s="4" t="s">
        <v>38</v>
      </c>
      <c r="H505" s="4" t="s">
        <v>43</v>
      </c>
      <c r="I505" s="4" t="s">
        <v>14</v>
      </c>
      <c r="J505" s="4" t="s">
        <v>15</v>
      </c>
      <c r="K505" s="20">
        <f>C505/D505</f>
        <v>250</v>
      </c>
      <c r="L505" s="11">
        <f>PMT(F505/100/12, 300, -(C505 *
(1 - G505/100)))</f>
        <v>3241.0468382503977</v>
      </c>
      <c r="M505" s="11">
        <f t="shared" si="35"/>
        <v>434114.05147511931</v>
      </c>
      <c r="N505" s="11">
        <f t="shared" si="36"/>
        <v>972314.05147511931</v>
      </c>
      <c r="O505">
        <f t="shared" si="37"/>
        <v>538200</v>
      </c>
      <c r="P505">
        <v>1105.2012</v>
      </c>
      <c r="R505" t="str">
        <f t="shared" si="38"/>
        <v>4</v>
      </c>
      <c r="S505">
        <f t="shared" si="39"/>
        <v>1105.2133333333334</v>
      </c>
    </row>
    <row r="506" spans="1:19">
      <c r="A506" s="6" t="s">
        <v>10</v>
      </c>
      <c r="B506" s="6" t="s">
        <v>23</v>
      </c>
      <c r="C506" s="6">
        <v>552000</v>
      </c>
      <c r="D506" s="6">
        <v>2200</v>
      </c>
      <c r="E506" s="6">
        <v>2023</v>
      </c>
      <c r="F506" s="6">
        <v>6</v>
      </c>
      <c r="G506" s="6" t="s">
        <v>28</v>
      </c>
      <c r="H506" s="6" t="s">
        <v>13</v>
      </c>
      <c r="I506" s="6" t="s">
        <v>20</v>
      </c>
      <c r="J506" s="6" t="s">
        <v>29</v>
      </c>
      <c r="K506" s="20">
        <f>C506/D506</f>
        <v>250.90909090909091</v>
      </c>
      <c r="L506" s="11">
        <f>PMT(F506/100/12, 300, -(C506 *
(1 - G506/100)))</f>
        <v>3023.062175770006</v>
      </c>
      <c r="M506" s="11">
        <f t="shared" si="35"/>
        <v>437718.6527310019</v>
      </c>
      <c r="N506" s="11">
        <f t="shared" si="36"/>
        <v>906918.65273100184</v>
      </c>
      <c r="O506">
        <f t="shared" si="37"/>
        <v>469200</v>
      </c>
      <c r="P506">
        <v>880.9011956521739</v>
      </c>
      <c r="R506" t="str">
        <f t="shared" si="38"/>
        <v>3</v>
      </c>
      <c r="S506">
        <f t="shared" si="39"/>
        <v>880.91328502415456</v>
      </c>
    </row>
    <row r="507" spans="1:19">
      <c r="A507" s="4" t="s">
        <v>10</v>
      </c>
      <c r="B507" s="4" t="s">
        <v>23</v>
      </c>
      <c r="C507" s="4">
        <v>565000</v>
      </c>
      <c r="D507" s="4">
        <v>2250</v>
      </c>
      <c r="E507" s="4">
        <v>2024</v>
      </c>
      <c r="F507" s="4">
        <v>5.0999999999999996</v>
      </c>
      <c r="G507" s="4" t="s">
        <v>28</v>
      </c>
      <c r="H507" s="4" t="s">
        <v>13</v>
      </c>
      <c r="I507" s="4" t="s">
        <v>20</v>
      </c>
      <c r="J507" s="4" t="s">
        <v>29</v>
      </c>
      <c r="K507" s="20">
        <f>C507/D507</f>
        <v>251.11111111111111</v>
      </c>
      <c r="L507" s="11">
        <f>PMT(F507/100/12, 300, -(C507 *
(1 - G507/100)))</f>
        <v>2835.5452219237409</v>
      </c>
      <c r="M507" s="11">
        <f t="shared" si="35"/>
        <v>370413.56657712231</v>
      </c>
      <c r="N507" s="11">
        <f t="shared" si="36"/>
        <v>850663.56657712231</v>
      </c>
      <c r="O507">
        <f t="shared" si="37"/>
        <v>480250</v>
      </c>
      <c r="P507">
        <v>900.90119469026547</v>
      </c>
      <c r="R507" t="str">
        <f t="shared" si="38"/>
        <v>3</v>
      </c>
      <c r="S507">
        <f t="shared" si="39"/>
        <v>900.91327433628317</v>
      </c>
    </row>
    <row r="508" spans="1:19">
      <c r="A508" s="4" t="s">
        <v>10</v>
      </c>
      <c r="B508" s="4" t="s">
        <v>23</v>
      </c>
      <c r="C508" s="4">
        <v>548000</v>
      </c>
      <c r="D508" s="4">
        <v>2180</v>
      </c>
      <c r="E508" s="4">
        <v>2024</v>
      </c>
      <c r="F508" s="4">
        <v>5</v>
      </c>
      <c r="G508" s="4" t="s">
        <v>28</v>
      </c>
      <c r="H508" s="4" t="s">
        <v>13</v>
      </c>
      <c r="I508" s="4" t="s">
        <v>20</v>
      </c>
      <c r="J508" s="4" t="s">
        <v>29</v>
      </c>
      <c r="K508" s="20">
        <f>C508/D508</f>
        <v>251.37614678899084</v>
      </c>
      <c r="L508" s="11">
        <f>PMT(F508/100/12, 300, -(C508 *
(1 - G508/100)))</f>
        <v>2723.0204133441666</v>
      </c>
      <c r="M508" s="11">
        <f t="shared" si="35"/>
        <v>351106.12400325004</v>
      </c>
      <c r="N508" s="11">
        <f t="shared" si="36"/>
        <v>816906.12400325004</v>
      </c>
      <c r="O508">
        <f t="shared" si="37"/>
        <v>465800</v>
      </c>
      <c r="P508">
        <v>872.90119343065692</v>
      </c>
      <c r="R508" t="str">
        <f t="shared" si="38"/>
        <v>3</v>
      </c>
      <c r="S508">
        <f t="shared" si="39"/>
        <v>872.91326034063263</v>
      </c>
    </row>
    <row r="509" spans="1:19">
      <c r="A509" s="4" t="s">
        <v>16</v>
      </c>
      <c r="B509" s="4" t="s">
        <v>11</v>
      </c>
      <c r="C509" s="4">
        <v>680000</v>
      </c>
      <c r="D509" s="4">
        <v>2700</v>
      </c>
      <c r="E509" s="4">
        <v>2024</v>
      </c>
      <c r="F509" s="4">
        <v>5.3</v>
      </c>
      <c r="G509" s="4" t="s">
        <v>38</v>
      </c>
      <c r="H509" s="4" t="s">
        <v>43</v>
      </c>
      <c r="I509" s="4" t="s">
        <v>14</v>
      </c>
      <c r="J509" s="4" t="s">
        <v>15</v>
      </c>
      <c r="K509" s="20">
        <f>C509/D509</f>
        <v>251.85185185185185</v>
      </c>
      <c r="L509" s="11">
        <f>PMT(F509/100/12, 300, -(C509 *
(1 - G509/100)))</f>
        <v>3194.075144942421</v>
      </c>
      <c r="M509" s="11">
        <f t="shared" si="35"/>
        <v>427822.54348272632</v>
      </c>
      <c r="N509" s="11">
        <f t="shared" si="36"/>
        <v>958222.54348272632</v>
      </c>
      <c r="O509">
        <f t="shared" si="37"/>
        <v>530400</v>
      </c>
      <c r="P509">
        <v>1081.2011911764707</v>
      </c>
      <c r="R509" t="str">
        <f t="shared" si="38"/>
        <v>4</v>
      </c>
      <c r="S509">
        <f t="shared" si="39"/>
        <v>1081.2132352941178</v>
      </c>
    </row>
    <row r="510" spans="1:19">
      <c r="A510" s="4" t="s">
        <v>10</v>
      </c>
      <c r="B510" s="4" t="s">
        <v>23</v>
      </c>
      <c r="C510" s="4">
        <v>580000</v>
      </c>
      <c r="D510" s="4">
        <v>2300</v>
      </c>
      <c r="E510" s="4">
        <v>2024</v>
      </c>
      <c r="F510" s="4">
        <v>5.0999999999999996</v>
      </c>
      <c r="G510" s="4" t="s">
        <v>28</v>
      </c>
      <c r="H510" s="4" t="s">
        <v>13</v>
      </c>
      <c r="I510" s="4" t="s">
        <v>20</v>
      </c>
      <c r="J510" s="4" t="s">
        <v>29</v>
      </c>
      <c r="K510" s="20">
        <f>C510/D510</f>
        <v>252.17391304347825</v>
      </c>
      <c r="L510" s="11">
        <f>PMT(F510/100/12, 300, -(C510 *
(1 - G510/100)))</f>
        <v>2910.8251835677343</v>
      </c>
      <c r="M510" s="11">
        <f t="shared" si="35"/>
        <v>380247.5550703202</v>
      </c>
      <c r="N510" s="11">
        <f t="shared" si="36"/>
        <v>873247.55507032014</v>
      </c>
      <c r="O510">
        <f t="shared" si="37"/>
        <v>493000</v>
      </c>
      <c r="P510">
        <v>920.9011896551724</v>
      </c>
      <c r="R510" t="str">
        <f t="shared" si="38"/>
        <v>3</v>
      </c>
      <c r="S510">
        <f t="shared" si="39"/>
        <v>920.91321839080456</v>
      </c>
    </row>
    <row r="511" spans="1:19">
      <c r="A511" s="4" t="s">
        <v>26</v>
      </c>
      <c r="B511" s="4" t="s">
        <v>11</v>
      </c>
      <c r="C511" s="4">
        <v>405000</v>
      </c>
      <c r="D511" s="4">
        <v>1600</v>
      </c>
      <c r="E511" s="4">
        <v>2024</v>
      </c>
      <c r="F511" s="4">
        <v>5.4</v>
      </c>
      <c r="G511" s="4" t="s">
        <v>41</v>
      </c>
      <c r="H511" s="4" t="s">
        <v>13</v>
      </c>
      <c r="I511" s="4" t="s">
        <v>14</v>
      </c>
      <c r="J511" s="4" t="s">
        <v>29</v>
      </c>
      <c r="K511" s="20">
        <f>C511/D511</f>
        <v>253.125</v>
      </c>
      <c r="L511" s="11">
        <f>PMT(F511/100/12, 300, -(C511 *
(1 - G511/100)))</f>
        <v>1970.3409324025815</v>
      </c>
      <c r="M511" s="11">
        <f t="shared" si="35"/>
        <v>267102.27972077456</v>
      </c>
      <c r="N511" s="11">
        <f t="shared" si="36"/>
        <v>591102.27972077462</v>
      </c>
      <c r="O511">
        <f t="shared" si="37"/>
        <v>324000</v>
      </c>
      <c r="P511">
        <v>640.90118518518511</v>
      </c>
      <c r="R511" t="str">
        <f t="shared" si="38"/>
        <v>3</v>
      </c>
      <c r="S511">
        <f t="shared" si="39"/>
        <v>640.91316872427979</v>
      </c>
    </row>
    <row r="512" spans="1:19">
      <c r="A512" s="4" t="s">
        <v>16</v>
      </c>
      <c r="B512" s="4" t="s">
        <v>11</v>
      </c>
      <c r="C512" s="4">
        <v>675000</v>
      </c>
      <c r="D512" s="4">
        <v>2650</v>
      </c>
      <c r="E512" s="4">
        <v>2024</v>
      </c>
      <c r="F512" s="4">
        <v>5.3</v>
      </c>
      <c r="G512" s="4" t="s">
        <v>38</v>
      </c>
      <c r="H512" s="4" t="s">
        <v>43</v>
      </c>
      <c r="I512" s="4" t="s">
        <v>14</v>
      </c>
      <c r="J512" s="4" t="s">
        <v>15</v>
      </c>
      <c r="K512" s="20">
        <f>C512/D512</f>
        <v>254.71698113207546</v>
      </c>
      <c r="L512" s="11">
        <f>PMT(F512/100/12, 300, -(C512 *
(1 - G512/100)))</f>
        <v>3170.5892982884329</v>
      </c>
      <c r="M512" s="11">
        <f t="shared" si="35"/>
        <v>424676.78948652989</v>
      </c>
      <c r="N512" s="11">
        <f t="shared" si="36"/>
        <v>951176.78948652989</v>
      </c>
      <c r="O512">
        <f t="shared" si="37"/>
        <v>526500</v>
      </c>
      <c r="P512">
        <v>1061.2011777777777</v>
      </c>
      <c r="R512" t="str">
        <f t="shared" si="38"/>
        <v>4</v>
      </c>
      <c r="S512">
        <f t="shared" si="39"/>
        <v>1061.2130864197532</v>
      </c>
    </row>
    <row r="513" spans="1:19">
      <c r="A513" s="4" t="s">
        <v>35</v>
      </c>
      <c r="B513" s="4" t="s">
        <v>17</v>
      </c>
      <c r="C513" s="4">
        <v>190000</v>
      </c>
      <c r="D513" s="4">
        <v>740</v>
      </c>
      <c r="E513" s="4">
        <v>2024</v>
      </c>
      <c r="F513" s="4">
        <v>5.4</v>
      </c>
      <c r="G513" s="4" t="s">
        <v>31</v>
      </c>
      <c r="H513" s="4" t="s">
        <v>25</v>
      </c>
      <c r="I513" s="4" t="s">
        <v>20</v>
      </c>
      <c r="J513" s="4" t="s">
        <v>21</v>
      </c>
      <c r="K513" s="20">
        <f>C513/D513</f>
        <v>256.75675675675677</v>
      </c>
      <c r="L513" s="11">
        <f>PMT(F513/100/12, 300, -(C513 *
(1 - G513/100)))</f>
        <v>1063.0110956295409</v>
      </c>
      <c r="M513" s="11">
        <f t="shared" si="35"/>
        <v>144103.3286888623</v>
      </c>
      <c r="N513" s="11">
        <f t="shared" si="36"/>
        <v>318903.32868886227</v>
      </c>
      <c r="O513">
        <f t="shared" si="37"/>
        <v>174800</v>
      </c>
      <c r="P513">
        <v>296.30116842105264</v>
      </c>
      <c r="R513" t="str">
        <f t="shared" si="38"/>
        <v>1</v>
      </c>
      <c r="S513">
        <f t="shared" si="39"/>
        <v>296.31298245614039</v>
      </c>
    </row>
    <row r="514" spans="1:19">
      <c r="A514" s="4" t="s">
        <v>26</v>
      </c>
      <c r="B514" s="4" t="s">
        <v>11</v>
      </c>
      <c r="C514" s="4">
        <v>400000</v>
      </c>
      <c r="D514" s="4">
        <v>1550</v>
      </c>
      <c r="E514" s="4">
        <v>2024</v>
      </c>
      <c r="F514" s="4">
        <v>5.4</v>
      </c>
      <c r="G514" s="4" t="s">
        <v>41</v>
      </c>
      <c r="H514" s="4" t="s">
        <v>25</v>
      </c>
      <c r="I514" s="4" t="s">
        <v>14</v>
      </c>
      <c r="J514" s="4" t="s">
        <v>29</v>
      </c>
      <c r="K514" s="20">
        <f>C514/D514</f>
        <v>258.06451612903226</v>
      </c>
      <c r="L514" s="11">
        <f>PMT(F514/100/12, 300, -(C514 *
(1 - G514/100)))</f>
        <v>1946.0157357062535</v>
      </c>
      <c r="M514" s="11">
        <f t="shared" si="35"/>
        <v>263804.72071187611</v>
      </c>
      <c r="N514" s="11">
        <f t="shared" si="36"/>
        <v>583804.72071187617</v>
      </c>
      <c r="O514">
        <f t="shared" si="37"/>
        <v>320000</v>
      </c>
      <c r="P514">
        <v>620.30116249999992</v>
      </c>
      <c r="R514" t="str">
        <f t="shared" si="38"/>
        <v>1</v>
      </c>
      <c r="S514">
        <f t="shared" si="39"/>
        <v>620.31291666666664</v>
      </c>
    </row>
    <row r="515" spans="1:19">
      <c r="A515" s="4" t="s">
        <v>26</v>
      </c>
      <c r="B515" s="4" t="s">
        <v>11</v>
      </c>
      <c r="C515" s="4">
        <v>440000</v>
      </c>
      <c r="D515" s="4">
        <v>1700</v>
      </c>
      <c r="E515" s="4">
        <v>2023</v>
      </c>
      <c r="F515" s="4">
        <v>6.2</v>
      </c>
      <c r="G515" s="4" t="s">
        <v>41</v>
      </c>
      <c r="H515" s="4" t="s">
        <v>13</v>
      </c>
      <c r="I515" s="4" t="s">
        <v>14</v>
      </c>
      <c r="J515" s="4" t="s">
        <v>15</v>
      </c>
      <c r="K515" s="20">
        <f>C515/D515</f>
        <v>258.8235294117647</v>
      </c>
      <c r="L515" s="11">
        <f>PMT(F515/100/12, 300, -(C515 *
(1 - G515/100)))</f>
        <v>2311.1689784351502</v>
      </c>
      <c r="M515" s="11">
        <f t="shared" ref="M515:M578" si="40">-CUMIPMT(F515/1200,300,O515,1,300,0)</f>
        <v>341350.6935305451</v>
      </c>
      <c r="N515" s="11">
        <f t="shared" ref="N515:N578" si="41">O515+M515</f>
        <v>693350.6935305451</v>
      </c>
      <c r="O515">
        <f t="shared" ref="O515:O578" si="42">C515*(1-G515/100)</f>
        <v>352000</v>
      </c>
      <c r="P515">
        <v>680.90115909090912</v>
      </c>
      <c r="R515" t="str">
        <f t="shared" ref="R515:R578" si="43">IF(H515="A","4",IF(H515="B","3",IF(H515="C","2",IF(H515="D","1",0))))</f>
        <v>3</v>
      </c>
      <c r="S515">
        <f t="shared" ref="S515:S578" si="44">D515*0.4 +R515*0.3 +(1/(K515*0.3))</f>
        <v>680.91287878787875</v>
      </c>
    </row>
    <row r="516" spans="1:19">
      <c r="A516" s="6" t="s">
        <v>26</v>
      </c>
      <c r="B516" s="6" t="s">
        <v>11</v>
      </c>
      <c r="C516" s="6">
        <v>430000</v>
      </c>
      <c r="D516" s="6">
        <v>1650</v>
      </c>
      <c r="E516" s="6">
        <v>2023</v>
      </c>
      <c r="F516" s="6">
        <v>6.2</v>
      </c>
      <c r="G516" s="6" t="s">
        <v>41</v>
      </c>
      <c r="H516" s="6" t="s">
        <v>13</v>
      </c>
      <c r="I516" s="6" t="s">
        <v>14</v>
      </c>
      <c r="J516" s="6" t="s">
        <v>15</v>
      </c>
      <c r="K516" s="20">
        <f>C516/D516</f>
        <v>260.60606060606062</v>
      </c>
      <c r="L516" s="11">
        <f>PMT(F516/100/12, 300, -(C516 *
(1 - G516/100)))</f>
        <v>2258.6424107434423</v>
      </c>
      <c r="M516" s="11">
        <f t="shared" si="40"/>
        <v>333592.72322303272</v>
      </c>
      <c r="N516" s="11">
        <f t="shared" si="41"/>
        <v>677592.72322303266</v>
      </c>
      <c r="O516">
        <f t="shared" si="42"/>
        <v>344000</v>
      </c>
      <c r="P516">
        <v>660.90115116279071</v>
      </c>
      <c r="R516" t="str">
        <f t="shared" si="43"/>
        <v>3</v>
      </c>
      <c r="S516">
        <f t="shared" si="44"/>
        <v>660.91279069767438</v>
      </c>
    </row>
    <row r="517" spans="1:19">
      <c r="A517" s="4" t="s">
        <v>32</v>
      </c>
      <c r="B517" s="4" t="s">
        <v>11</v>
      </c>
      <c r="C517" s="4">
        <v>550000</v>
      </c>
      <c r="D517" s="4">
        <v>2100</v>
      </c>
      <c r="E517" s="4">
        <v>2024</v>
      </c>
      <c r="F517" s="4">
        <v>5.2</v>
      </c>
      <c r="G517" s="4" t="s">
        <v>41</v>
      </c>
      <c r="H517" s="4" t="s">
        <v>13</v>
      </c>
      <c r="I517" s="4" t="s">
        <v>14</v>
      </c>
      <c r="J517" s="4" t="s">
        <v>15</v>
      </c>
      <c r="K517" s="20">
        <f>C517/D517</f>
        <v>261.90476190476193</v>
      </c>
      <c r="L517" s="11">
        <f>PMT(F517/100/12, 300, -(C517 *
(1 - G517/100)))</f>
        <v>2623.726681318059</v>
      </c>
      <c r="M517" s="11">
        <f t="shared" si="40"/>
        <v>347118.00439541752</v>
      </c>
      <c r="N517" s="11">
        <f t="shared" si="41"/>
        <v>787118.00439541752</v>
      </c>
      <c r="O517">
        <f t="shared" si="42"/>
        <v>440000</v>
      </c>
      <c r="P517">
        <v>840.90114545454549</v>
      </c>
      <c r="R517" t="str">
        <f t="shared" si="43"/>
        <v>3</v>
      </c>
      <c r="S517">
        <f t="shared" si="44"/>
        <v>840.91272727272724</v>
      </c>
    </row>
    <row r="518" spans="1:19">
      <c r="A518" s="4" t="s">
        <v>32</v>
      </c>
      <c r="B518" s="4" t="s">
        <v>11</v>
      </c>
      <c r="C518" s="4">
        <v>552000</v>
      </c>
      <c r="D518" s="4">
        <v>2105</v>
      </c>
      <c r="E518" s="4">
        <v>2024</v>
      </c>
      <c r="F518" s="4">
        <v>5.2</v>
      </c>
      <c r="G518" s="4" t="s">
        <v>41</v>
      </c>
      <c r="H518" s="4" t="s">
        <v>13</v>
      </c>
      <c r="I518" s="4" t="s">
        <v>14</v>
      </c>
      <c r="J518" s="4" t="s">
        <v>15</v>
      </c>
      <c r="K518" s="20">
        <f>C518/D518</f>
        <v>262.23277909738715</v>
      </c>
      <c r="L518" s="11">
        <f>PMT(F518/100/12, 300, -(C518 *
(1 - G518/100)))</f>
        <v>2633.2675056137609</v>
      </c>
      <c r="M518" s="11">
        <f t="shared" si="40"/>
        <v>348380.25168412819</v>
      </c>
      <c r="N518" s="11">
        <f t="shared" si="41"/>
        <v>789980.25168412819</v>
      </c>
      <c r="O518">
        <f t="shared" si="42"/>
        <v>441600</v>
      </c>
      <c r="P518">
        <v>842.90114402173913</v>
      </c>
      <c r="R518" t="str">
        <f t="shared" si="43"/>
        <v>3</v>
      </c>
      <c r="S518">
        <f t="shared" si="44"/>
        <v>842.91271135265697</v>
      </c>
    </row>
    <row r="519" spans="1:19">
      <c r="A519" s="6" t="s">
        <v>22</v>
      </c>
      <c r="B519" s="6" t="s">
        <v>11</v>
      </c>
      <c r="C519" s="6">
        <v>420000</v>
      </c>
      <c r="D519" s="6">
        <v>1600</v>
      </c>
      <c r="E519" s="6">
        <v>2024</v>
      </c>
      <c r="F519" s="6">
        <v>5.3</v>
      </c>
      <c r="G519" s="6" t="s">
        <v>12</v>
      </c>
      <c r="H519" s="6" t="s">
        <v>19</v>
      </c>
      <c r="I519" s="6" t="s">
        <v>14</v>
      </c>
      <c r="J519" s="6" t="s">
        <v>15</v>
      </c>
      <c r="K519" s="20">
        <f>C519/D519</f>
        <v>262.5</v>
      </c>
      <c r="L519" s="11">
        <f>PMT(F519/100/12, 300, -(C519 *
(1 - G519/100)))</f>
        <v>2073.9809199060514</v>
      </c>
      <c r="M519" s="11">
        <f t="shared" si="40"/>
        <v>277794.27597181546</v>
      </c>
      <c r="N519" s="11">
        <f t="shared" si="41"/>
        <v>622194.27597181546</v>
      </c>
      <c r="O519">
        <f t="shared" si="42"/>
        <v>344400</v>
      </c>
      <c r="P519">
        <v>640.60114285714292</v>
      </c>
      <c r="R519" t="str">
        <f t="shared" si="43"/>
        <v>2</v>
      </c>
      <c r="S519">
        <f t="shared" si="44"/>
        <v>640.61269841269848</v>
      </c>
    </row>
    <row r="520" spans="1:19">
      <c r="A520" s="6" t="s">
        <v>26</v>
      </c>
      <c r="B520" s="6" t="s">
        <v>11</v>
      </c>
      <c r="C520" s="6">
        <v>420000</v>
      </c>
      <c r="D520" s="6">
        <v>1600</v>
      </c>
      <c r="E520" s="6">
        <v>2023</v>
      </c>
      <c r="F520" s="6">
        <v>6.2</v>
      </c>
      <c r="G520" s="6" t="s">
        <v>41</v>
      </c>
      <c r="H520" s="6" t="s">
        <v>13</v>
      </c>
      <c r="I520" s="6" t="s">
        <v>14</v>
      </c>
      <c r="J520" s="6" t="s">
        <v>29</v>
      </c>
      <c r="K520" s="20">
        <f>C520/D520</f>
        <v>262.5</v>
      </c>
      <c r="L520" s="11">
        <f>PMT(F520/100/12, 300, -(C520 *
(1 - G520/100)))</f>
        <v>2206.1158430517344</v>
      </c>
      <c r="M520" s="11">
        <f t="shared" si="40"/>
        <v>325834.75291552034</v>
      </c>
      <c r="N520" s="11">
        <f t="shared" si="41"/>
        <v>661834.75291552034</v>
      </c>
      <c r="O520">
        <f t="shared" si="42"/>
        <v>336000</v>
      </c>
      <c r="P520">
        <v>640.90114285714287</v>
      </c>
      <c r="R520" t="str">
        <f t="shared" si="43"/>
        <v>3</v>
      </c>
      <c r="S520">
        <f t="shared" si="44"/>
        <v>640.91269841269843</v>
      </c>
    </row>
    <row r="521" spans="1:19">
      <c r="A521" s="4" t="s">
        <v>26</v>
      </c>
      <c r="B521" s="4" t="s">
        <v>11</v>
      </c>
      <c r="C521" s="4">
        <v>395000</v>
      </c>
      <c r="D521" s="4">
        <v>1500</v>
      </c>
      <c r="E521" s="4">
        <v>2024</v>
      </c>
      <c r="F521" s="4">
        <v>5.4</v>
      </c>
      <c r="G521" s="4" t="s">
        <v>41</v>
      </c>
      <c r="H521" s="4" t="s">
        <v>13</v>
      </c>
      <c r="I521" s="4" t="s">
        <v>14</v>
      </c>
      <c r="J521" s="4" t="s">
        <v>29</v>
      </c>
      <c r="K521" s="20">
        <f>C521/D521</f>
        <v>263.33333333333331</v>
      </c>
      <c r="L521" s="11">
        <f>PMT(F521/100/12, 300, -(C521 *
(1 - G521/100)))</f>
        <v>1921.6905390099253</v>
      </c>
      <c r="M521" s="11">
        <f t="shared" si="40"/>
        <v>260507.16170297767</v>
      </c>
      <c r="N521" s="11">
        <f t="shared" si="41"/>
        <v>576507.16170297773</v>
      </c>
      <c r="O521">
        <f t="shared" si="42"/>
        <v>316000</v>
      </c>
      <c r="P521">
        <v>600.90113924050627</v>
      </c>
      <c r="R521" t="str">
        <f t="shared" si="43"/>
        <v>3</v>
      </c>
      <c r="S521">
        <f t="shared" si="44"/>
        <v>600.91265822784806</v>
      </c>
    </row>
    <row r="522" spans="1:19">
      <c r="A522" s="4" t="s">
        <v>32</v>
      </c>
      <c r="B522" s="4" t="s">
        <v>11</v>
      </c>
      <c r="C522" s="4">
        <v>545000</v>
      </c>
      <c r="D522" s="4">
        <v>2050</v>
      </c>
      <c r="E522" s="4">
        <v>2024</v>
      </c>
      <c r="F522" s="4">
        <v>5.2</v>
      </c>
      <c r="G522" s="4" t="s">
        <v>41</v>
      </c>
      <c r="H522" s="4" t="s">
        <v>13</v>
      </c>
      <c r="I522" s="4" t="s">
        <v>14</v>
      </c>
      <c r="J522" s="4" t="s">
        <v>15</v>
      </c>
      <c r="K522" s="20">
        <f>C522/D522</f>
        <v>265.85365853658539</v>
      </c>
      <c r="L522" s="11">
        <f>PMT(F522/100/12, 300, -(C522 *
(1 - G522/100)))</f>
        <v>2599.8746205788038</v>
      </c>
      <c r="M522" s="11">
        <f t="shared" si="40"/>
        <v>343962.38617364102</v>
      </c>
      <c r="N522" s="11">
        <f t="shared" si="41"/>
        <v>779962.38617364108</v>
      </c>
      <c r="O522">
        <f t="shared" si="42"/>
        <v>436000</v>
      </c>
      <c r="P522">
        <v>820.90112844036696</v>
      </c>
      <c r="R522" t="str">
        <f t="shared" si="43"/>
        <v>3</v>
      </c>
      <c r="S522">
        <f t="shared" si="44"/>
        <v>820.91253822629972</v>
      </c>
    </row>
    <row r="523" spans="1:19">
      <c r="A523" s="4" t="s">
        <v>26</v>
      </c>
      <c r="B523" s="4" t="s">
        <v>11</v>
      </c>
      <c r="C523" s="4">
        <v>405000</v>
      </c>
      <c r="D523" s="4">
        <v>1520</v>
      </c>
      <c r="E523" s="4">
        <v>2023</v>
      </c>
      <c r="F523" s="4">
        <v>6.2</v>
      </c>
      <c r="G523" s="4" t="s">
        <v>41</v>
      </c>
      <c r="H523" s="4" t="s">
        <v>13</v>
      </c>
      <c r="I523" s="4" t="s">
        <v>14</v>
      </c>
      <c r="J523" s="4" t="s">
        <v>15</v>
      </c>
      <c r="K523" s="20">
        <f>C523/D523</f>
        <v>266.44736842105266</v>
      </c>
      <c r="L523" s="11">
        <f>PMT(F523/100/12, 300, -(C523 *
(1 - G523/100)))</f>
        <v>2127.3259915141725</v>
      </c>
      <c r="M523" s="11">
        <f t="shared" si="40"/>
        <v>314197.79745425179</v>
      </c>
      <c r="N523" s="11">
        <f t="shared" si="41"/>
        <v>638197.79745425179</v>
      </c>
      <c r="O523">
        <f t="shared" si="42"/>
        <v>324000</v>
      </c>
      <c r="P523">
        <v>608.90112592592595</v>
      </c>
      <c r="R523" t="str">
        <f t="shared" si="43"/>
        <v>3</v>
      </c>
      <c r="S523">
        <f t="shared" si="44"/>
        <v>608.91251028806585</v>
      </c>
    </row>
    <row r="524" spans="1:19">
      <c r="A524" s="6" t="s">
        <v>26</v>
      </c>
      <c r="B524" s="6" t="s">
        <v>11</v>
      </c>
      <c r="C524" s="6">
        <v>400000</v>
      </c>
      <c r="D524" s="6">
        <v>1500</v>
      </c>
      <c r="E524" s="6">
        <v>2024</v>
      </c>
      <c r="F524" s="6">
        <v>5.4</v>
      </c>
      <c r="G524" s="6" t="s">
        <v>41</v>
      </c>
      <c r="H524" s="6" t="s">
        <v>13</v>
      </c>
      <c r="I524" s="6" t="s">
        <v>14</v>
      </c>
      <c r="J524" s="6" t="s">
        <v>15</v>
      </c>
      <c r="K524" s="20">
        <f>C524/D524</f>
        <v>266.66666666666669</v>
      </c>
      <c r="L524" s="11">
        <f>PMT(F524/100/12, 300, -(C524 *
(1 - G524/100)))</f>
        <v>1946.0157357062535</v>
      </c>
      <c r="M524" s="11">
        <f t="shared" si="40"/>
        <v>263804.72071187611</v>
      </c>
      <c r="N524" s="11">
        <f t="shared" si="41"/>
        <v>583804.72071187617</v>
      </c>
      <c r="O524">
        <f t="shared" si="42"/>
        <v>320000</v>
      </c>
      <c r="P524">
        <v>600.90112499999998</v>
      </c>
      <c r="R524" t="str">
        <f t="shared" si="43"/>
        <v>3</v>
      </c>
      <c r="S524">
        <f t="shared" si="44"/>
        <v>600.91250000000002</v>
      </c>
    </row>
    <row r="525" spans="1:19">
      <c r="A525" s="6" t="s">
        <v>26</v>
      </c>
      <c r="B525" s="6" t="s">
        <v>11</v>
      </c>
      <c r="C525" s="6">
        <v>395000</v>
      </c>
      <c r="D525" s="6">
        <v>1480</v>
      </c>
      <c r="E525" s="6">
        <v>2023</v>
      </c>
      <c r="F525" s="6">
        <v>6.2</v>
      </c>
      <c r="G525" s="6" t="s">
        <v>41</v>
      </c>
      <c r="H525" s="6" t="s">
        <v>13</v>
      </c>
      <c r="I525" s="6" t="s">
        <v>14</v>
      </c>
      <c r="J525" s="6" t="s">
        <v>29</v>
      </c>
      <c r="K525" s="20">
        <f>C525/D525</f>
        <v>266.89189189189187</v>
      </c>
      <c r="L525" s="11">
        <f>PMT(F525/100/12, 300, -(C525 *
(1 - G525/100)))</f>
        <v>2074.7994238224646</v>
      </c>
      <c r="M525" s="11">
        <f t="shared" si="40"/>
        <v>306439.82714673935</v>
      </c>
      <c r="N525" s="11">
        <f t="shared" si="41"/>
        <v>622439.82714673935</v>
      </c>
      <c r="O525">
        <f t="shared" si="42"/>
        <v>316000</v>
      </c>
      <c r="P525">
        <v>592.90112405063292</v>
      </c>
      <c r="R525" t="str">
        <f t="shared" si="43"/>
        <v>3</v>
      </c>
      <c r="S525">
        <f t="shared" si="44"/>
        <v>592.91248945147674</v>
      </c>
    </row>
    <row r="526" spans="1:19">
      <c r="A526" s="4" t="s">
        <v>26</v>
      </c>
      <c r="B526" s="4" t="s">
        <v>11</v>
      </c>
      <c r="C526" s="4">
        <v>390000</v>
      </c>
      <c r="D526" s="4">
        <v>1450</v>
      </c>
      <c r="E526" s="4">
        <v>2024</v>
      </c>
      <c r="F526" s="4">
        <v>5.4</v>
      </c>
      <c r="G526" s="4" t="s">
        <v>41</v>
      </c>
      <c r="H526" s="4" t="s">
        <v>13</v>
      </c>
      <c r="I526" s="4" t="s">
        <v>14</v>
      </c>
      <c r="J526" s="4" t="s">
        <v>15</v>
      </c>
      <c r="K526" s="20">
        <f>C526/D526</f>
        <v>268.9655172413793</v>
      </c>
      <c r="L526" s="11">
        <f>PMT(F526/100/12, 300, -(C526 *
(1 - G526/100)))</f>
        <v>1897.3653423135972</v>
      </c>
      <c r="M526" s="11">
        <f t="shared" si="40"/>
        <v>257209.60269407916</v>
      </c>
      <c r="N526" s="11">
        <f t="shared" si="41"/>
        <v>569209.60269407916</v>
      </c>
      <c r="O526">
        <f t="shared" si="42"/>
        <v>312000</v>
      </c>
      <c r="P526">
        <v>580.90111538461531</v>
      </c>
      <c r="R526" t="str">
        <f t="shared" si="43"/>
        <v>3</v>
      </c>
      <c r="S526">
        <f t="shared" si="44"/>
        <v>580.91239316239319</v>
      </c>
    </row>
    <row r="527" spans="1:19">
      <c r="A527" s="6" t="s">
        <v>22</v>
      </c>
      <c r="B527" s="6" t="s">
        <v>11</v>
      </c>
      <c r="C527" s="6">
        <v>405000</v>
      </c>
      <c r="D527" s="6">
        <v>1500</v>
      </c>
      <c r="E527" s="6">
        <v>2023</v>
      </c>
      <c r="F527" s="6">
        <v>6.3</v>
      </c>
      <c r="G527" s="6" t="s">
        <v>12</v>
      </c>
      <c r="H527" s="6" t="s">
        <v>19</v>
      </c>
      <c r="I527" s="6" t="s">
        <v>14</v>
      </c>
      <c r="J527" s="6" t="s">
        <v>15</v>
      </c>
      <c r="K527" s="20">
        <f>C527/D527</f>
        <v>270</v>
      </c>
      <c r="L527" s="11">
        <f>PMT(F527/100/12, 300, -(C527 *
(1 - G527/100)))</f>
        <v>2201.0374270942407</v>
      </c>
      <c r="M527" s="11">
        <f t="shared" si="40"/>
        <v>328211.22812827211</v>
      </c>
      <c r="N527" s="11">
        <f t="shared" si="41"/>
        <v>660311.22812827211</v>
      </c>
      <c r="O527">
        <f t="shared" si="42"/>
        <v>332100</v>
      </c>
      <c r="P527">
        <v>600.60111111111109</v>
      </c>
      <c r="R527" t="str">
        <f t="shared" si="43"/>
        <v>2</v>
      </c>
      <c r="S527">
        <f t="shared" si="44"/>
        <v>600.61234567901238</v>
      </c>
    </row>
    <row r="528" spans="1:19">
      <c r="A528" s="4" t="s">
        <v>32</v>
      </c>
      <c r="B528" s="4" t="s">
        <v>11</v>
      </c>
      <c r="C528" s="4">
        <v>540000</v>
      </c>
      <c r="D528" s="4">
        <v>2000</v>
      </c>
      <c r="E528" s="4">
        <v>2024</v>
      </c>
      <c r="F528" s="4">
        <v>5.2</v>
      </c>
      <c r="G528" s="4" t="s">
        <v>41</v>
      </c>
      <c r="H528" s="4" t="s">
        <v>13</v>
      </c>
      <c r="I528" s="4" t="s">
        <v>14</v>
      </c>
      <c r="J528" s="4" t="s">
        <v>15</v>
      </c>
      <c r="K528" s="20">
        <f>C528/D528</f>
        <v>270</v>
      </c>
      <c r="L528" s="11">
        <f>PMT(F528/100/12, 300, -(C528 *
(1 - G528/100)))</f>
        <v>2576.0225598395486</v>
      </c>
      <c r="M528" s="11">
        <f t="shared" si="40"/>
        <v>340806.76795186452</v>
      </c>
      <c r="N528" s="11">
        <f t="shared" si="41"/>
        <v>772806.76795186452</v>
      </c>
      <c r="O528">
        <f t="shared" si="42"/>
        <v>432000</v>
      </c>
      <c r="P528">
        <v>800.90111111111105</v>
      </c>
      <c r="R528" t="str">
        <f t="shared" si="43"/>
        <v>3</v>
      </c>
      <c r="S528">
        <f t="shared" si="44"/>
        <v>800.91234567901233</v>
      </c>
    </row>
    <row r="529" spans="1:19">
      <c r="A529" s="4" t="s">
        <v>35</v>
      </c>
      <c r="B529" s="4" t="s">
        <v>17</v>
      </c>
      <c r="C529" s="4">
        <v>200000</v>
      </c>
      <c r="D529" s="4">
        <v>740</v>
      </c>
      <c r="E529" s="4">
        <v>2024</v>
      </c>
      <c r="F529" s="4">
        <v>5.4</v>
      </c>
      <c r="G529" s="4" t="s">
        <v>31</v>
      </c>
      <c r="H529" s="4" t="s">
        <v>25</v>
      </c>
      <c r="I529" s="4" t="s">
        <v>20</v>
      </c>
      <c r="J529" s="4" t="s">
        <v>21</v>
      </c>
      <c r="K529" s="20">
        <f>C529/D529</f>
        <v>270.27027027027026</v>
      </c>
      <c r="L529" s="11">
        <f>PMT(F529/100/12, 300, -(C529 *
(1 - G529/100)))</f>
        <v>1118.9590480310958</v>
      </c>
      <c r="M529" s="11">
        <f t="shared" si="40"/>
        <v>151687.71440932879</v>
      </c>
      <c r="N529" s="11">
        <f t="shared" si="41"/>
        <v>335687.71440932876</v>
      </c>
      <c r="O529">
        <f t="shared" si="42"/>
        <v>184000</v>
      </c>
      <c r="P529">
        <v>296.30110999999999</v>
      </c>
      <c r="R529" t="str">
        <f t="shared" si="43"/>
        <v>1</v>
      </c>
      <c r="S529">
        <f t="shared" si="44"/>
        <v>296.31233333333336</v>
      </c>
    </row>
    <row r="530" spans="1:19">
      <c r="A530" s="6" t="s">
        <v>26</v>
      </c>
      <c r="B530" s="6" t="s">
        <v>11</v>
      </c>
      <c r="C530" s="6">
        <v>385000</v>
      </c>
      <c r="D530" s="6">
        <v>1420</v>
      </c>
      <c r="E530" s="6">
        <v>2023</v>
      </c>
      <c r="F530" s="6">
        <v>6.2</v>
      </c>
      <c r="G530" s="6" t="s">
        <v>41</v>
      </c>
      <c r="H530" s="6" t="s">
        <v>13</v>
      </c>
      <c r="I530" s="6" t="s">
        <v>14</v>
      </c>
      <c r="J530" s="6" t="s">
        <v>15</v>
      </c>
      <c r="K530" s="20">
        <f>C530/D530</f>
        <v>271.12676056338029</v>
      </c>
      <c r="L530" s="11">
        <f>PMT(F530/100/12, 300, -(C530 *
(1 - G530/100)))</f>
        <v>2022.2728561307565</v>
      </c>
      <c r="M530" s="11">
        <f t="shared" si="40"/>
        <v>298681.85683922691</v>
      </c>
      <c r="N530" s="11">
        <f t="shared" si="41"/>
        <v>606681.85683922691</v>
      </c>
      <c r="O530">
        <f t="shared" si="42"/>
        <v>308000</v>
      </c>
      <c r="P530">
        <v>568.90110649350652</v>
      </c>
      <c r="R530" t="str">
        <f t="shared" si="43"/>
        <v>3</v>
      </c>
      <c r="S530">
        <f t="shared" si="44"/>
        <v>568.91229437229435</v>
      </c>
    </row>
    <row r="531" spans="1:19">
      <c r="A531" s="6" t="s">
        <v>26</v>
      </c>
      <c r="B531" s="6" t="s">
        <v>11</v>
      </c>
      <c r="C531" s="6">
        <v>380000</v>
      </c>
      <c r="D531" s="6">
        <v>1400</v>
      </c>
      <c r="E531" s="6">
        <v>2024</v>
      </c>
      <c r="F531" s="6">
        <v>5.4</v>
      </c>
      <c r="G531" s="6" t="s">
        <v>41</v>
      </c>
      <c r="H531" s="6" t="s">
        <v>13</v>
      </c>
      <c r="I531" s="6" t="s">
        <v>14</v>
      </c>
      <c r="J531" s="6" t="s">
        <v>29</v>
      </c>
      <c r="K531" s="20">
        <f>C531/D531</f>
        <v>271.42857142857144</v>
      </c>
      <c r="L531" s="11">
        <f>PMT(F531/100/12, 300, -(C531 *
(1 - G531/100)))</f>
        <v>1848.7149489209407</v>
      </c>
      <c r="M531" s="11">
        <f t="shared" si="40"/>
        <v>250614.48467628227</v>
      </c>
      <c r="N531" s="11">
        <f t="shared" si="41"/>
        <v>554614.48467628227</v>
      </c>
      <c r="O531">
        <f t="shared" si="42"/>
        <v>304000</v>
      </c>
      <c r="P531">
        <v>560.90110526315789</v>
      </c>
      <c r="R531" t="str">
        <f t="shared" si="43"/>
        <v>3</v>
      </c>
      <c r="S531">
        <f t="shared" si="44"/>
        <v>560.91228070175441</v>
      </c>
    </row>
    <row r="532" spans="1:19">
      <c r="A532" s="6" t="s">
        <v>32</v>
      </c>
      <c r="B532" s="6" t="s">
        <v>11</v>
      </c>
      <c r="C532" s="6">
        <v>530000</v>
      </c>
      <c r="D532" s="6">
        <v>1950</v>
      </c>
      <c r="E532" s="6">
        <v>2024</v>
      </c>
      <c r="F532" s="6">
        <v>5.2</v>
      </c>
      <c r="G532" s="6" t="s">
        <v>41</v>
      </c>
      <c r="H532" s="6" t="s">
        <v>13</v>
      </c>
      <c r="I532" s="6" t="s">
        <v>14</v>
      </c>
      <c r="J532" s="6" t="s">
        <v>15</v>
      </c>
      <c r="K532" s="20">
        <f>C532/D532</f>
        <v>271.79487179487177</v>
      </c>
      <c r="L532" s="11">
        <f>PMT(F532/100/12, 300, -(C532 *
(1 - G532/100)))</f>
        <v>2528.3184383610383</v>
      </c>
      <c r="M532" s="11">
        <f t="shared" si="40"/>
        <v>334495.53150831145</v>
      </c>
      <c r="N532" s="11">
        <f t="shared" si="41"/>
        <v>758495.5315083114</v>
      </c>
      <c r="O532">
        <f t="shared" si="42"/>
        <v>424000</v>
      </c>
      <c r="P532">
        <v>780.90110377358485</v>
      </c>
      <c r="R532" t="str">
        <f t="shared" si="43"/>
        <v>3</v>
      </c>
      <c r="S532">
        <f t="shared" si="44"/>
        <v>780.91226415094343</v>
      </c>
    </row>
    <row r="533" spans="1:19">
      <c r="A533" s="6" t="s">
        <v>22</v>
      </c>
      <c r="B533" s="6" t="s">
        <v>11</v>
      </c>
      <c r="C533" s="6">
        <v>398000</v>
      </c>
      <c r="D533" s="6">
        <v>1460</v>
      </c>
      <c r="E533" s="6">
        <v>2024</v>
      </c>
      <c r="F533" s="6">
        <v>5.3</v>
      </c>
      <c r="G533" s="6" t="s">
        <v>12</v>
      </c>
      <c r="H533" s="6" t="s">
        <v>19</v>
      </c>
      <c r="I533" s="6" t="s">
        <v>14</v>
      </c>
      <c r="J533" s="6" t="s">
        <v>15</v>
      </c>
      <c r="K533" s="20">
        <f>C533/D533</f>
        <v>272.60273972602738</v>
      </c>
      <c r="L533" s="11">
        <f>PMT(F533/100/12, 300, -(C533 *
(1 - G533/100)))</f>
        <v>1965.3438241014489</v>
      </c>
      <c r="M533" s="11">
        <f t="shared" si="40"/>
        <v>263243.1472304347</v>
      </c>
      <c r="N533" s="11">
        <f t="shared" si="41"/>
        <v>589603.1472304347</v>
      </c>
      <c r="O533">
        <f t="shared" si="42"/>
        <v>326360</v>
      </c>
      <c r="P533">
        <v>584.60110050251262</v>
      </c>
      <c r="R533" t="str">
        <f t="shared" si="43"/>
        <v>2</v>
      </c>
      <c r="S533">
        <f t="shared" si="44"/>
        <v>584.61222780569517</v>
      </c>
    </row>
    <row r="534" spans="1:19">
      <c r="A534" s="4" t="s">
        <v>26</v>
      </c>
      <c r="B534" s="4" t="s">
        <v>11</v>
      </c>
      <c r="C534" s="4">
        <v>374000</v>
      </c>
      <c r="D534" s="4">
        <v>1360</v>
      </c>
      <c r="E534" s="4">
        <v>2024</v>
      </c>
      <c r="F534" s="4">
        <v>5.4</v>
      </c>
      <c r="G534" s="4" t="s">
        <v>41</v>
      </c>
      <c r="H534" s="4" t="s">
        <v>13</v>
      </c>
      <c r="I534" s="4" t="s">
        <v>14</v>
      </c>
      <c r="J534" s="4" t="s">
        <v>15</v>
      </c>
      <c r="K534" s="20">
        <f>C534/D534</f>
        <v>275</v>
      </c>
      <c r="L534" s="11">
        <f>PMT(F534/100/12, 300, -(C534 *
(1 - G534/100)))</f>
        <v>1819.5247128853471</v>
      </c>
      <c r="M534" s="11">
        <f t="shared" si="40"/>
        <v>246657.41386560415</v>
      </c>
      <c r="N534" s="11">
        <f t="shared" si="41"/>
        <v>545857.41386560421</v>
      </c>
      <c r="O534">
        <f t="shared" si="42"/>
        <v>299200</v>
      </c>
      <c r="P534">
        <v>544.90109090909084</v>
      </c>
      <c r="R534" t="str">
        <f t="shared" si="43"/>
        <v>3</v>
      </c>
      <c r="S534">
        <f t="shared" si="44"/>
        <v>544.91212121212118</v>
      </c>
    </row>
    <row r="535" spans="1:19">
      <c r="A535" s="6" t="s">
        <v>32</v>
      </c>
      <c r="B535" s="6" t="s">
        <v>11</v>
      </c>
      <c r="C535" s="6">
        <v>525000</v>
      </c>
      <c r="D535" s="6">
        <v>1900</v>
      </c>
      <c r="E535" s="6">
        <v>2024</v>
      </c>
      <c r="F535" s="6">
        <v>5.2</v>
      </c>
      <c r="G535" s="6" t="s">
        <v>41</v>
      </c>
      <c r="H535" s="6" t="s">
        <v>13</v>
      </c>
      <c r="I535" s="6" t="s">
        <v>14</v>
      </c>
      <c r="J535" s="6" t="s">
        <v>15</v>
      </c>
      <c r="K535" s="20">
        <f>C535/D535</f>
        <v>276.31578947368422</v>
      </c>
      <c r="L535" s="11">
        <f>PMT(F535/100/12, 300, -(C535 *
(1 - G535/100)))</f>
        <v>2504.4663776217835</v>
      </c>
      <c r="M535" s="11">
        <f t="shared" si="40"/>
        <v>331339.91328653501</v>
      </c>
      <c r="N535" s="11">
        <f t="shared" si="41"/>
        <v>751339.91328653507</v>
      </c>
      <c r="O535">
        <f t="shared" si="42"/>
        <v>420000</v>
      </c>
      <c r="P535">
        <v>760.90108571428573</v>
      </c>
      <c r="R535" t="str">
        <f t="shared" si="43"/>
        <v>3</v>
      </c>
      <c r="S535">
        <f t="shared" si="44"/>
        <v>760.91206349206345</v>
      </c>
    </row>
    <row r="536" spans="1:19">
      <c r="A536" s="6" t="s">
        <v>35</v>
      </c>
      <c r="B536" s="6" t="s">
        <v>11</v>
      </c>
      <c r="C536" s="6">
        <v>310000</v>
      </c>
      <c r="D536" s="6">
        <v>1120</v>
      </c>
      <c r="E536" s="6">
        <v>2023</v>
      </c>
      <c r="F536" s="6">
        <v>6.6</v>
      </c>
      <c r="G536" s="7">
        <v>25</v>
      </c>
      <c r="H536" s="6" t="s">
        <v>13</v>
      </c>
      <c r="I536" s="6" t="s">
        <v>14</v>
      </c>
      <c r="J536" s="6" t="s">
        <v>15</v>
      </c>
      <c r="K536" s="20">
        <f>C536/D536</f>
        <v>276.78571428571428</v>
      </c>
      <c r="L536" s="11">
        <f>PMT(F536/100/12, 300, -(C536 *
(1 - G536/100)))</f>
        <v>1584.4156562735443</v>
      </c>
      <c r="M536" s="11">
        <f t="shared" si="40"/>
        <v>242824.6968820632</v>
      </c>
      <c r="N536" s="11">
        <f t="shared" si="41"/>
        <v>475324.69688206317</v>
      </c>
      <c r="O536">
        <f t="shared" si="42"/>
        <v>232500</v>
      </c>
      <c r="P536">
        <v>448.90108387096774</v>
      </c>
      <c r="R536" t="str">
        <f t="shared" si="43"/>
        <v>3</v>
      </c>
      <c r="S536">
        <f t="shared" si="44"/>
        <v>448.91204301075265</v>
      </c>
    </row>
    <row r="537" spans="1:19">
      <c r="A537" s="6" t="s">
        <v>33</v>
      </c>
      <c r="B537" s="6" t="s">
        <v>11</v>
      </c>
      <c r="C537" s="6">
        <v>410000</v>
      </c>
      <c r="D537" s="6">
        <v>1480</v>
      </c>
      <c r="E537" s="6">
        <v>2024</v>
      </c>
      <c r="F537" s="6">
        <v>5.0999999999999996</v>
      </c>
      <c r="G537" s="7">
        <v>20</v>
      </c>
      <c r="H537" s="6" t="s">
        <v>13</v>
      </c>
      <c r="I537" s="6" t="s">
        <v>14</v>
      </c>
      <c r="J537" s="6" t="s">
        <v>15</v>
      </c>
      <c r="K537" s="20">
        <f>C537/D537</f>
        <v>277.02702702702703</v>
      </c>
      <c r="L537" s="11">
        <f>PMT(F537/100/12, 300, -(C537 *
(1 - G537/100)))</f>
        <v>1936.6139152337055</v>
      </c>
      <c r="M537" s="11">
        <f t="shared" si="40"/>
        <v>252984.17457011162</v>
      </c>
      <c r="N537" s="11">
        <f t="shared" si="41"/>
        <v>580984.17457011156</v>
      </c>
      <c r="O537">
        <f t="shared" si="42"/>
        <v>328000</v>
      </c>
      <c r="P537">
        <v>592.90108292682919</v>
      </c>
      <c r="R537" t="str">
        <f t="shared" si="43"/>
        <v>3</v>
      </c>
      <c r="S537">
        <f t="shared" si="44"/>
        <v>592.91203252032517</v>
      </c>
    </row>
    <row r="538" spans="1:19">
      <c r="A538" s="6" t="s">
        <v>22</v>
      </c>
      <c r="B538" s="6" t="s">
        <v>11</v>
      </c>
      <c r="C538" s="6">
        <v>405000</v>
      </c>
      <c r="D538" s="6">
        <v>1460</v>
      </c>
      <c r="E538" s="6">
        <v>2024</v>
      </c>
      <c r="F538" s="6">
        <v>5.3</v>
      </c>
      <c r="G538" s="6" t="s">
        <v>12</v>
      </c>
      <c r="H538" s="6" t="s">
        <v>19</v>
      </c>
      <c r="I538" s="6" t="s">
        <v>14</v>
      </c>
      <c r="J538" s="6" t="s">
        <v>15</v>
      </c>
      <c r="K538" s="20">
        <f>C538/D538</f>
        <v>277.39726027397262</v>
      </c>
      <c r="L538" s="11">
        <f>PMT(F538/100/12, 300, -(C538 *
(1 - G538/100)))</f>
        <v>1999.9101727665497</v>
      </c>
      <c r="M538" s="11">
        <f t="shared" si="40"/>
        <v>267873.05182996497</v>
      </c>
      <c r="N538" s="11">
        <f t="shared" si="41"/>
        <v>599973.05182996497</v>
      </c>
      <c r="O538">
        <f t="shared" si="42"/>
        <v>332100</v>
      </c>
      <c r="P538">
        <v>584.60108148148151</v>
      </c>
      <c r="R538" t="str">
        <f t="shared" si="43"/>
        <v>2</v>
      </c>
      <c r="S538">
        <f t="shared" si="44"/>
        <v>584.61201646090535</v>
      </c>
    </row>
    <row r="539" spans="1:19">
      <c r="A539" s="6" t="s">
        <v>22</v>
      </c>
      <c r="B539" s="6" t="s">
        <v>11</v>
      </c>
      <c r="C539" s="6">
        <v>392000</v>
      </c>
      <c r="D539" s="6">
        <v>1410</v>
      </c>
      <c r="E539" s="6">
        <v>2023</v>
      </c>
      <c r="F539" s="6">
        <v>6.4</v>
      </c>
      <c r="G539" s="6" t="s">
        <v>12</v>
      </c>
      <c r="H539" s="6" t="s">
        <v>19</v>
      </c>
      <c r="I539" s="6" t="s">
        <v>14</v>
      </c>
      <c r="J539" s="6" t="s">
        <v>15</v>
      </c>
      <c r="K539" s="20">
        <f>C539/D539</f>
        <v>278.01418439716315</v>
      </c>
      <c r="L539" s="11">
        <f>PMT(F539/100/12, 300, -(C539 *
(1 - G539/100)))</f>
        <v>2150.3432004169599</v>
      </c>
      <c r="M539" s="11">
        <f t="shared" si="40"/>
        <v>323662.96012508811</v>
      </c>
      <c r="N539" s="11">
        <f t="shared" si="41"/>
        <v>645102.96012508811</v>
      </c>
      <c r="O539">
        <f t="shared" si="42"/>
        <v>321440</v>
      </c>
      <c r="P539">
        <v>564.60107908163263</v>
      </c>
      <c r="R539" t="str">
        <f t="shared" si="43"/>
        <v>2</v>
      </c>
      <c r="S539">
        <f t="shared" si="44"/>
        <v>564.61198979591836</v>
      </c>
    </row>
    <row r="540" spans="1:19">
      <c r="A540" s="6" t="s">
        <v>26</v>
      </c>
      <c r="B540" s="6" t="s">
        <v>11</v>
      </c>
      <c r="C540" s="6">
        <v>370000</v>
      </c>
      <c r="D540" s="6">
        <v>1330</v>
      </c>
      <c r="E540" s="6">
        <v>2023</v>
      </c>
      <c r="F540" s="6">
        <v>6.5</v>
      </c>
      <c r="G540" s="6" t="s">
        <v>41</v>
      </c>
      <c r="H540" s="6" t="s">
        <v>13</v>
      </c>
      <c r="I540" s="6" t="s">
        <v>14</v>
      </c>
      <c r="J540" s="6" t="s">
        <v>29</v>
      </c>
      <c r="K540" s="20">
        <f>C540/D540</f>
        <v>278.19548872180451</v>
      </c>
      <c r="L540" s="11">
        <f>PMT(F540/100/12, 300, -(C540 *
(1 - G540/100)))</f>
        <v>1998.6131975890132</v>
      </c>
      <c r="M540" s="11">
        <f t="shared" si="40"/>
        <v>303583.95927670406</v>
      </c>
      <c r="N540" s="11">
        <f t="shared" si="41"/>
        <v>599583.95927670412</v>
      </c>
      <c r="O540">
        <f t="shared" si="42"/>
        <v>296000</v>
      </c>
      <c r="P540">
        <v>532.90107837837832</v>
      </c>
      <c r="R540" t="str">
        <f t="shared" si="43"/>
        <v>3</v>
      </c>
      <c r="S540">
        <f t="shared" si="44"/>
        <v>532.91198198198197</v>
      </c>
    </row>
    <row r="541" spans="1:19">
      <c r="A541" s="4" t="s">
        <v>26</v>
      </c>
      <c r="B541" s="4" t="s">
        <v>11</v>
      </c>
      <c r="C541" s="4">
        <v>405000</v>
      </c>
      <c r="D541" s="4">
        <v>1450</v>
      </c>
      <c r="E541" s="4">
        <v>2024</v>
      </c>
      <c r="F541" s="4">
        <v>5.4</v>
      </c>
      <c r="G541" s="4" t="s">
        <v>41</v>
      </c>
      <c r="H541" s="4" t="s">
        <v>13</v>
      </c>
      <c r="I541" s="4" t="s">
        <v>14</v>
      </c>
      <c r="J541" s="4" t="s">
        <v>15</v>
      </c>
      <c r="K541" s="20">
        <f>C541/D541</f>
        <v>279.31034482758622</v>
      </c>
      <c r="L541" s="11">
        <f>PMT(F541/100/12, 300, -(C541 *
(1 - G541/100)))</f>
        <v>1970.3409324025815</v>
      </c>
      <c r="M541" s="11">
        <f t="shared" si="40"/>
        <v>267102.27972077456</v>
      </c>
      <c r="N541" s="11">
        <f t="shared" si="41"/>
        <v>591102.27972077462</v>
      </c>
      <c r="O541">
        <f t="shared" si="42"/>
        <v>324000</v>
      </c>
      <c r="P541">
        <v>580.90107407407402</v>
      </c>
      <c r="R541" t="str">
        <f t="shared" si="43"/>
        <v>3</v>
      </c>
      <c r="S541">
        <f t="shared" si="44"/>
        <v>580.91193415637861</v>
      </c>
    </row>
    <row r="542" spans="1:19">
      <c r="A542" s="6" t="s">
        <v>35</v>
      </c>
      <c r="B542" s="6" t="s">
        <v>11</v>
      </c>
      <c r="C542" s="6">
        <v>365000</v>
      </c>
      <c r="D542" s="6">
        <v>1300</v>
      </c>
      <c r="E542" s="6">
        <v>2024</v>
      </c>
      <c r="F542" s="6">
        <v>5.4</v>
      </c>
      <c r="G542" s="6" t="s">
        <v>44</v>
      </c>
      <c r="H542" s="6" t="s">
        <v>13</v>
      </c>
      <c r="I542" s="6" t="s">
        <v>14</v>
      </c>
      <c r="J542" s="6" t="s">
        <v>15</v>
      </c>
      <c r="K542" s="20">
        <f>C542/D542</f>
        <v>280.76923076923077</v>
      </c>
      <c r="L542" s="11">
        <f>PMT(F542/100/12, 300, -(C542 *
(1 - G542/100)))</f>
        <v>1664.7556489049591</v>
      </c>
      <c r="M542" s="11">
        <f t="shared" si="40"/>
        <v>225676.69467148773</v>
      </c>
      <c r="N542" s="11">
        <f t="shared" si="41"/>
        <v>499426.69467148773</v>
      </c>
      <c r="O542">
        <f t="shared" si="42"/>
        <v>273750</v>
      </c>
      <c r="P542">
        <v>520.90106849315066</v>
      </c>
      <c r="R542" t="str">
        <f t="shared" si="43"/>
        <v>3</v>
      </c>
      <c r="S542">
        <f t="shared" si="44"/>
        <v>520.91187214611875</v>
      </c>
    </row>
    <row r="543" spans="1:19">
      <c r="A543" s="6" t="s">
        <v>22</v>
      </c>
      <c r="B543" s="6" t="s">
        <v>11</v>
      </c>
      <c r="C543" s="6">
        <v>410000</v>
      </c>
      <c r="D543" s="6">
        <v>1460</v>
      </c>
      <c r="E543" s="6">
        <v>2024</v>
      </c>
      <c r="F543" s="6">
        <v>5.3</v>
      </c>
      <c r="G543" s="7">
        <v>18</v>
      </c>
      <c r="H543" s="6" t="s">
        <v>19</v>
      </c>
      <c r="I543" s="6" t="s">
        <v>14</v>
      </c>
      <c r="J543" s="6" t="s">
        <v>15</v>
      </c>
      <c r="K543" s="20">
        <f>C543/D543</f>
        <v>280.82191780821915</v>
      </c>
      <c r="L543" s="11">
        <f>PMT(F543/100/12, 300, -(C543 *
(1 - G543/100)))</f>
        <v>2024.6004218130504</v>
      </c>
      <c r="M543" s="11">
        <f t="shared" si="40"/>
        <v>271180.12654391507</v>
      </c>
      <c r="N543" s="11">
        <f t="shared" si="41"/>
        <v>607380.12654391513</v>
      </c>
      <c r="O543">
        <f t="shared" si="42"/>
        <v>336200</v>
      </c>
      <c r="P543">
        <v>584.60106829268295</v>
      </c>
      <c r="R543" t="str">
        <f t="shared" si="43"/>
        <v>2</v>
      </c>
      <c r="S543">
        <f t="shared" si="44"/>
        <v>584.6118699186992</v>
      </c>
    </row>
    <row r="544" spans="1:19">
      <c r="A544" s="6" t="s">
        <v>26</v>
      </c>
      <c r="B544" s="6" t="s">
        <v>11</v>
      </c>
      <c r="C544" s="6">
        <v>368000</v>
      </c>
      <c r="D544" s="6">
        <v>1310</v>
      </c>
      <c r="E544" s="6">
        <v>2024</v>
      </c>
      <c r="F544" s="6">
        <v>5.3</v>
      </c>
      <c r="G544" s="6" t="s">
        <v>12</v>
      </c>
      <c r="H544" s="6" t="s">
        <v>13</v>
      </c>
      <c r="I544" s="6" t="s">
        <v>14</v>
      </c>
      <c r="J544" s="6" t="s">
        <v>15</v>
      </c>
      <c r="K544" s="20">
        <f>C544/D544</f>
        <v>280.91603053435114</v>
      </c>
      <c r="L544" s="11">
        <f>PMT(F544/100/12, 300, -(C544 *
(1 - G544/100)))</f>
        <v>1817.2023298224453</v>
      </c>
      <c r="M544" s="11">
        <f t="shared" si="40"/>
        <v>243400.69894673361</v>
      </c>
      <c r="N544" s="11">
        <f t="shared" si="41"/>
        <v>545160.69894673361</v>
      </c>
      <c r="O544">
        <f t="shared" si="42"/>
        <v>301760</v>
      </c>
      <c r="P544">
        <v>524.90106793478253</v>
      </c>
      <c r="R544" t="str">
        <f t="shared" si="43"/>
        <v>3</v>
      </c>
      <c r="S544">
        <f t="shared" si="44"/>
        <v>524.91186594202895</v>
      </c>
    </row>
    <row r="545" spans="1:19">
      <c r="A545" s="6" t="s">
        <v>32</v>
      </c>
      <c r="B545" s="6" t="s">
        <v>11</v>
      </c>
      <c r="C545" s="6">
        <v>520000</v>
      </c>
      <c r="D545" s="6">
        <v>1850</v>
      </c>
      <c r="E545" s="6">
        <v>2024</v>
      </c>
      <c r="F545" s="6">
        <v>5.2</v>
      </c>
      <c r="G545" s="6" t="s">
        <v>41</v>
      </c>
      <c r="H545" s="6" t="s">
        <v>13</v>
      </c>
      <c r="I545" s="6" t="s">
        <v>14</v>
      </c>
      <c r="J545" s="6" t="s">
        <v>15</v>
      </c>
      <c r="K545" s="20">
        <f>C545/D545</f>
        <v>281.08108108108109</v>
      </c>
      <c r="L545" s="11">
        <f>PMT(F545/100/12, 300, -(C545 *
(1 - G545/100)))</f>
        <v>2480.6143168825283</v>
      </c>
      <c r="M545" s="11">
        <f t="shared" si="40"/>
        <v>328184.29506475839</v>
      </c>
      <c r="N545" s="11">
        <f t="shared" si="41"/>
        <v>744184.29506475839</v>
      </c>
      <c r="O545">
        <f t="shared" si="42"/>
        <v>416000</v>
      </c>
      <c r="P545">
        <v>740.9010673076923</v>
      </c>
      <c r="R545" t="str">
        <f t="shared" si="43"/>
        <v>3</v>
      </c>
      <c r="S545">
        <f t="shared" si="44"/>
        <v>740.91185897435901</v>
      </c>
    </row>
    <row r="546" spans="1:19">
      <c r="A546" s="6" t="s">
        <v>26</v>
      </c>
      <c r="B546" s="6" t="s">
        <v>11</v>
      </c>
      <c r="C546" s="6">
        <v>400000</v>
      </c>
      <c r="D546" s="6">
        <v>1420</v>
      </c>
      <c r="E546" s="6">
        <v>2023</v>
      </c>
      <c r="F546" s="6">
        <v>6.2</v>
      </c>
      <c r="G546" s="6" t="s">
        <v>41</v>
      </c>
      <c r="H546" s="6" t="s">
        <v>13</v>
      </c>
      <c r="I546" s="6" t="s">
        <v>14</v>
      </c>
      <c r="J546" s="6" t="s">
        <v>15</v>
      </c>
      <c r="K546" s="20">
        <f>C546/D546</f>
        <v>281.6901408450704</v>
      </c>
      <c r="L546" s="11">
        <f>PMT(F546/100/12, 300, -(C546 *
(1 - G546/100)))</f>
        <v>2101.0627076683186</v>
      </c>
      <c r="M546" s="11">
        <f t="shared" si="40"/>
        <v>310318.81230049557</v>
      </c>
      <c r="N546" s="11">
        <f t="shared" si="41"/>
        <v>630318.81230049557</v>
      </c>
      <c r="O546">
        <f t="shared" si="42"/>
        <v>320000</v>
      </c>
      <c r="P546">
        <v>568.90106500000002</v>
      </c>
      <c r="R546" t="str">
        <f t="shared" si="43"/>
        <v>3</v>
      </c>
      <c r="S546">
        <f t="shared" si="44"/>
        <v>568.91183333333333</v>
      </c>
    </row>
    <row r="547" spans="1:19">
      <c r="A547" s="6" t="s">
        <v>26</v>
      </c>
      <c r="B547" s="6" t="s">
        <v>11</v>
      </c>
      <c r="C547" s="6">
        <v>395000</v>
      </c>
      <c r="D547" s="6">
        <v>1400</v>
      </c>
      <c r="E547" s="6">
        <v>2024</v>
      </c>
      <c r="F547" s="6">
        <v>5.4</v>
      </c>
      <c r="G547" s="6" t="s">
        <v>41</v>
      </c>
      <c r="H547" s="6" t="s">
        <v>13</v>
      </c>
      <c r="I547" s="6" t="s">
        <v>14</v>
      </c>
      <c r="J547" s="6" t="s">
        <v>29</v>
      </c>
      <c r="K547" s="20">
        <f>C547/D547</f>
        <v>282.14285714285717</v>
      </c>
      <c r="L547" s="11">
        <f>PMT(F547/100/12, 300, -(C547 *
(1 - G547/100)))</f>
        <v>1921.6905390099253</v>
      </c>
      <c r="M547" s="11">
        <f t="shared" si="40"/>
        <v>260507.16170297767</v>
      </c>
      <c r="N547" s="11">
        <f t="shared" si="41"/>
        <v>576507.16170297773</v>
      </c>
      <c r="O547">
        <f t="shared" si="42"/>
        <v>316000</v>
      </c>
      <c r="P547">
        <v>560.90106329113917</v>
      </c>
      <c r="R547" t="str">
        <f t="shared" si="43"/>
        <v>3</v>
      </c>
      <c r="S547">
        <f t="shared" si="44"/>
        <v>560.9118143459915</v>
      </c>
    </row>
    <row r="548" spans="1:19">
      <c r="A548" s="4" t="s">
        <v>33</v>
      </c>
      <c r="B548" s="4" t="s">
        <v>11</v>
      </c>
      <c r="C548" s="4">
        <v>610000</v>
      </c>
      <c r="D548" s="4">
        <v>2150</v>
      </c>
      <c r="E548" s="4">
        <v>2024</v>
      </c>
      <c r="F548" s="4">
        <v>5.0999999999999996</v>
      </c>
      <c r="G548" s="4" t="s">
        <v>41</v>
      </c>
      <c r="H548" s="4" t="s">
        <v>13</v>
      </c>
      <c r="I548" s="4" t="s">
        <v>14</v>
      </c>
      <c r="J548" s="4" t="s">
        <v>15</v>
      </c>
      <c r="K548" s="20">
        <f>C548/D548</f>
        <v>283.72093023255815</v>
      </c>
      <c r="L548" s="11">
        <f>PMT(F548/100/12, 300, -(C548 *
(1 - G548/100)))</f>
        <v>2881.3036299818546</v>
      </c>
      <c r="M548" s="11">
        <f t="shared" si="40"/>
        <v>376391.08899455628</v>
      </c>
      <c r="N548" s="11">
        <f t="shared" si="41"/>
        <v>864391.08899455634</v>
      </c>
      <c r="O548">
        <f t="shared" si="42"/>
        <v>488000</v>
      </c>
      <c r="P548">
        <v>860.90105737704914</v>
      </c>
      <c r="R548" t="str">
        <f t="shared" si="43"/>
        <v>3</v>
      </c>
      <c r="S548">
        <f t="shared" si="44"/>
        <v>860.91174863387971</v>
      </c>
    </row>
    <row r="549" spans="1:19">
      <c r="A549" s="4" t="s">
        <v>26</v>
      </c>
      <c r="B549" s="4" t="s">
        <v>17</v>
      </c>
      <c r="C549" s="4">
        <v>210000</v>
      </c>
      <c r="D549" s="4">
        <v>740</v>
      </c>
      <c r="E549" s="4">
        <v>2023</v>
      </c>
      <c r="F549" s="4">
        <v>6.6</v>
      </c>
      <c r="G549" s="4" t="s">
        <v>36</v>
      </c>
      <c r="H549" s="4" t="s">
        <v>25</v>
      </c>
      <c r="I549" s="4" t="s">
        <v>20</v>
      </c>
      <c r="J549" s="4" t="s">
        <v>21</v>
      </c>
      <c r="K549" s="20">
        <f>C549/D549</f>
        <v>283.7837837837838</v>
      </c>
      <c r="L549" s="11">
        <f>PMT(F549/100/12, 300, -(C549 *
(1 - G549/100)))</f>
        <v>1359.5308534476219</v>
      </c>
      <c r="M549" s="11">
        <f t="shared" si="40"/>
        <v>208359.25603428652</v>
      </c>
      <c r="N549" s="11">
        <f t="shared" si="41"/>
        <v>407859.25603428652</v>
      </c>
      <c r="O549">
        <f t="shared" si="42"/>
        <v>199500</v>
      </c>
      <c r="P549">
        <v>296.30105714285713</v>
      </c>
      <c r="R549" t="str">
        <f t="shared" si="43"/>
        <v>1</v>
      </c>
      <c r="S549">
        <f t="shared" si="44"/>
        <v>296.31174603174605</v>
      </c>
    </row>
    <row r="550" spans="1:19">
      <c r="A550" s="4" t="s">
        <v>33</v>
      </c>
      <c r="B550" s="4" t="s">
        <v>11</v>
      </c>
      <c r="C550" s="4">
        <v>615000</v>
      </c>
      <c r="D550" s="4">
        <v>2160</v>
      </c>
      <c r="E550" s="4">
        <v>2024</v>
      </c>
      <c r="F550" s="4">
        <v>5.0999999999999996</v>
      </c>
      <c r="G550" s="4" t="s">
        <v>41</v>
      </c>
      <c r="H550" s="4" t="s">
        <v>13</v>
      </c>
      <c r="I550" s="4" t="s">
        <v>14</v>
      </c>
      <c r="J550" s="4" t="s">
        <v>15</v>
      </c>
      <c r="K550" s="20">
        <f>C550/D550</f>
        <v>284.72222222222223</v>
      </c>
      <c r="L550" s="11">
        <f>PMT(F550/100/12, 300, -(C550 *
(1 - G550/100)))</f>
        <v>2904.9208728505582</v>
      </c>
      <c r="M550" s="11">
        <f t="shared" si="40"/>
        <v>379476.26185516745</v>
      </c>
      <c r="N550" s="11">
        <f t="shared" si="41"/>
        <v>871476.26185516745</v>
      </c>
      <c r="O550">
        <f t="shared" si="42"/>
        <v>492000</v>
      </c>
      <c r="P550">
        <v>864.90105365853651</v>
      </c>
      <c r="R550" t="str">
        <f t="shared" si="43"/>
        <v>3</v>
      </c>
      <c r="S550">
        <f t="shared" si="44"/>
        <v>864.91170731707314</v>
      </c>
    </row>
    <row r="551" spans="1:19">
      <c r="A551" s="4" t="s">
        <v>33</v>
      </c>
      <c r="B551" s="4" t="s">
        <v>11</v>
      </c>
      <c r="C551" s="4">
        <v>600000</v>
      </c>
      <c r="D551" s="4">
        <v>2100</v>
      </c>
      <c r="E551" s="4">
        <v>2024</v>
      </c>
      <c r="F551" s="4">
        <v>5.0999999999999996</v>
      </c>
      <c r="G551" s="4" t="s">
        <v>41</v>
      </c>
      <c r="H551" s="4" t="s">
        <v>13</v>
      </c>
      <c r="I551" s="4" t="s">
        <v>14</v>
      </c>
      <c r="J551" s="4" t="s">
        <v>15</v>
      </c>
      <c r="K551" s="20">
        <f>C551/D551</f>
        <v>285.71428571428572</v>
      </c>
      <c r="L551" s="11">
        <f>PMT(F551/100/12, 300, -(C551 *
(1 - G551/100)))</f>
        <v>2834.0691442444472</v>
      </c>
      <c r="M551" s="11">
        <f t="shared" si="40"/>
        <v>370220.74327333405</v>
      </c>
      <c r="N551" s="11">
        <f t="shared" si="41"/>
        <v>850220.74327333411</v>
      </c>
      <c r="O551">
        <f t="shared" si="42"/>
        <v>480000</v>
      </c>
      <c r="P551">
        <v>840.90104999999994</v>
      </c>
      <c r="R551" t="str">
        <f t="shared" si="43"/>
        <v>3</v>
      </c>
      <c r="S551">
        <f t="shared" si="44"/>
        <v>840.91166666666663</v>
      </c>
    </row>
    <row r="552" spans="1:19">
      <c r="A552" s="6" t="s">
        <v>32</v>
      </c>
      <c r="B552" s="6" t="s">
        <v>11</v>
      </c>
      <c r="C552" s="6">
        <v>515000</v>
      </c>
      <c r="D552" s="6">
        <v>1800</v>
      </c>
      <c r="E552" s="6">
        <v>2024</v>
      </c>
      <c r="F552" s="6">
        <v>5.2</v>
      </c>
      <c r="G552" s="6" t="s">
        <v>41</v>
      </c>
      <c r="H552" s="6" t="s">
        <v>13</v>
      </c>
      <c r="I552" s="6" t="s">
        <v>14</v>
      </c>
      <c r="J552" s="6" t="s">
        <v>15</v>
      </c>
      <c r="K552" s="20">
        <f>C552/D552</f>
        <v>286.11111111111109</v>
      </c>
      <c r="L552" s="11">
        <f>PMT(F552/100/12, 300, -(C552 *
(1 - G552/100)))</f>
        <v>2456.7622561432736</v>
      </c>
      <c r="M552" s="11">
        <f t="shared" si="40"/>
        <v>325028.67684298189</v>
      </c>
      <c r="N552" s="11">
        <f t="shared" si="41"/>
        <v>737028.67684298195</v>
      </c>
      <c r="O552">
        <f t="shared" si="42"/>
        <v>412000</v>
      </c>
      <c r="P552">
        <v>720.90104854368928</v>
      </c>
      <c r="R552" t="str">
        <f t="shared" si="43"/>
        <v>3</v>
      </c>
      <c r="S552">
        <f t="shared" si="44"/>
        <v>720.91165048543689</v>
      </c>
    </row>
    <row r="553" spans="1:19">
      <c r="A553" s="6" t="s">
        <v>22</v>
      </c>
      <c r="B553" s="6" t="s">
        <v>11</v>
      </c>
      <c r="C553" s="6">
        <v>420000</v>
      </c>
      <c r="D553" s="6">
        <v>1460</v>
      </c>
      <c r="E553" s="6">
        <v>2024</v>
      </c>
      <c r="F553" s="6">
        <v>5.3</v>
      </c>
      <c r="G553" s="7">
        <v>18</v>
      </c>
      <c r="H553" s="6" t="s">
        <v>19</v>
      </c>
      <c r="I553" s="6" t="s">
        <v>14</v>
      </c>
      <c r="J553" s="6" t="s">
        <v>15</v>
      </c>
      <c r="K553" s="20">
        <f>C553/D553</f>
        <v>287.67123287671234</v>
      </c>
      <c r="L553" s="11">
        <f>PMT(F553/100/12, 300, -(C553 *
(1 - G553/100)))</f>
        <v>2073.9809199060514</v>
      </c>
      <c r="M553" s="11">
        <f t="shared" si="40"/>
        <v>277794.27597181546</v>
      </c>
      <c r="N553" s="11">
        <f t="shared" si="41"/>
        <v>622194.27597181546</v>
      </c>
      <c r="O553">
        <f t="shared" si="42"/>
        <v>344400</v>
      </c>
      <c r="P553">
        <v>584.60104285714283</v>
      </c>
      <c r="R553" t="str">
        <f t="shared" si="43"/>
        <v>2</v>
      </c>
      <c r="S553">
        <f t="shared" si="44"/>
        <v>584.61158730158729</v>
      </c>
    </row>
    <row r="554" spans="1:19">
      <c r="A554" s="4" t="s">
        <v>33</v>
      </c>
      <c r="B554" s="4" t="s">
        <v>11</v>
      </c>
      <c r="C554" s="4">
        <v>590000</v>
      </c>
      <c r="D554" s="4">
        <v>2050</v>
      </c>
      <c r="E554" s="4">
        <v>2024</v>
      </c>
      <c r="F554" s="4">
        <v>5.0999999999999996</v>
      </c>
      <c r="G554" s="4" t="s">
        <v>41</v>
      </c>
      <c r="H554" s="4" t="s">
        <v>13</v>
      </c>
      <c r="I554" s="4" t="s">
        <v>14</v>
      </c>
      <c r="J554" s="4" t="s">
        <v>15</v>
      </c>
      <c r="K554" s="20">
        <f>C554/D554</f>
        <v>287.80487804878049</v>
      </c>
      <c r="L554" s="11">
        <f>PMT(F554/100/12, 300, -(C554 *
(1 - G554/100)))</f>
        <v>2786.8346585070399</v>
      </c>
      <c r="M554" s="11">
        <f t="shared" si="40"/>
        <v>364050.39755211194</v>
      </c>
      <c r="N554" s="11">
        <f t="shared" si="41"/>
        <v>836050.39755211188</v>
      </c>
      <c r="O554">
        <f t="shared" si="42"/>
        <v>472000</v>
      </c>
      <c r="P554">
        <v>820.90104237288131</v>
      </c>
      <c r="R554" t="str">
        <f t="shared" si="43"/>
        <v>3</v>
      </c>
      <c r="S554">
        <f t="shared" si="44"/>
        <v>820.91158192090393</v>
      </c>
    </row>
    <row r="555" spans="1:19">
      <c r="A555" s="4" t="s">
        <v>37</v>
      </c>
      <c r="B555" s="4" t="s">
        <v>11</v>
      </c>
      <c r="C555" s="4">
        <v>650000</v>
      </c>
      <c r="D555" s="4">
        <v>2250</v>
      </c>
      <c r="E555" s="4">
        <v>2024</v>
      </c>
      <c r="F555" s="4">
        <v>5.0999999999999996</v>
      </c>
      <c r="G555" s="4" t="s">
        <v>41</v>
      </c>
      <c r="H555" s="4" t="s">
        <v>13</v>
      </c>
      <c r="I555" s="4" t="s">
        <v>14</v>
      </c>
      <c r="J555" s="4" t="s">
        <v>15</v>
      </c>
      <c r="K555" s="20">
        <f>C555/D555</f>
        <v>288.88888888888891</v>
      </c>
      <c r="L555" s="11">
        <f>PMT(F555/100/12, 300, -(C555 *
(1 - G555/100)))</f>
        <v>3070.2415729314844</v>
      </c>
      <c r="M555" s="11">
        <f t="shared" si="40"/>
        <v>401072.47187944531</v>
      </c>
      <c r="N555" s="11">
        <f t="shared" si="41"/>
        <v>921072.47187944525</v>
      </c>
      <c r="O555">
        <f t="shared" si="42"/>
        <v>520000</v>
      </c>
      <c r="P555">
        <v>900.90103846153841</v>
      </c>
      <c r="R555" t="str">
        <f t="shared" si="43"/>
        <v>3</v>
      </c>
      <c r="S555">
        <f t="shared" si="44"/>
        <v>900.91153846153838</v>
      </c>
    </row>
    <row r="556" spans="1:19">
      <c r="A556" s="4" t="s">
        <v>37</v>
      </c>
      <c r="B556" s="4" t="s">
        <v>11</v>
      </c>
      <c r="C556" s="4">
        <v>655000</v>
      </c>
      <c r="D556" s="4">
        <v>2260</v>
      </c>
      <c r="E556" s="4">
        <v>2024</v>
      </c>
      <c r="F556" s="4">
        <v>5.0999999999999996</v>
      </c>
      <c r="G556" s="4" t="s">
        <v>41</v>
      </c>
      <c r="H556" s="4" t="s">
        <v>13</v>
      </c>
      <c r="I556" s="4" t="s">
        <v>14</v>
      </c>
      <c r="J556" s="4" t="s">
        <v>15</v>
      </c>
      <c r="K556" s="20">
        <f>C556/D556</f>
        <v>289.82300884955754</v>
      </c>
      <c r="L556" s="11">
        <f>PMT(F556/100/12, 300, -(C556 *
(1 - G556/100)))</f>
        <v>3093.8588158001876</v>
      </c>
      <c r="M556" s="11">
        <f t="shared" si="40"/>
        <v>404157.6447400563</v>
      </c>
      <c r="N556" s="11">
        <f t="shared" si="41"/>
        <v>928157.64474005625</v>
      </c>
      <c r="O556">
        <f t="shared" si="42"/>
        <v>524000</v>
      </c>
      <c r="P556">
        <v>904.90103511450377</v>
      </c>
      <c r="R556" t="str">
        <f t="shared" si="43"/>
        <v>3</v>
      </c>
      <c r="S556">
        <f t="shared" si="44"/>
        <v>904.91150127226456</v>
      </c>
    </row>
    <row r="557" spans="1:19">
      <c r="A557" s="4" t="s">
        <v>37</v>
      </c>
      <c r="B557" s="4" t="s">
        <v>11</v>
      </c>
      <c r="C557" s="4">
        <v>640000</v>
      </c>
      <c r="D557" s="4">
        <v>2200</v>
      </c>
      <c r="E557" s="4">
        <v>2024</v>
      </c>
      <c r="F557" s="4">
        <v>5.0999999999999996</v>
      </c>
      <c r="G557" s="4" t="s">
        <v>41</v>
      </c>
      <c r="H557" s="4" t="s">
        <v>13</v>
      </c>
      <c r="I557" s="4" t="s">
        <v>14</v>
      </c>
      <c r="J557" s="4" t="s">
        <v>15</v>
      </c>
      <c r="K557" s="20">
        <f>C557/D557</f>
        <v>290.90909090909093</v>
      </c>
      <c r="L557" s="11">
        <f>PMT(F557/100/12, 300, -(C557 *
(1 - G557/100)))</f>
        <v>3023.007087194077</v>
      </c>
      <c r="M557" s="11">
        <f t="shared" si="40"/>
        <v>394902.12615822308</v>
      </c>
      <c r="N557" s="11">
        <f t="shared" si="41"/>
        <v>906902.12615822302</v>
      </c>
      <c r="O557">
        <f t="shared" si="42"/>
        <v>512000</v>
      </c>
      <c r="P557">
        <v>880.90103124999996</v>
      </c>
      <c r="R557" t="str">
        <f t="shared" si="43"/>
        <v>3</v>
      </c>
      <c r="S557">
        <f t="shared" si="44"/>
        <v>880.91145833333326</v>
      </c>
    </row>
    <row r="558" spans="1:19">
      <c r="A558" s="6" t="s">
        <v>32</v>
      </c>
      <c r="B558" s="6" t="s">
        <v>11</v>
      </c>
      <c r="C558" s="6">
        <v>510000</v>
      </c>
      <c r="D558" s="6">
        <v>1750</v>
      </c>
      <c r="E558" s="6">
        <v>2024</v>
      </c>
      <c r="F558" s="6">
        <v>5.2</v>
      </c>
      <c r="G558" s="6" t="s">
        <v>41</v>
      </c>
      <c r="H558" s="6" t="s">
        <v>13</v>
      </c>
      <c r="I558" s="6" t="s">
        <v>14</v>
      </c>
      <c r="J558" s="6" t="s">
        <v>15</v>
      </c>
      <c r="K558" s="20">
        <f>C558/D558</f>
        <v>291.42857142857144</v>
      </c>
      <c r="L558" s="11">
        <f>PMT(F558/100/12, 300, -(C558 *
(1 - G558/100)))</f>
        <v>2432.9101954040184</v>
      </c>
      <c r="M558" s="11">
        <f t="shared" si="40"/>
        <v>321873.05862120533</v>
      </c>
      <c r="N558" s="11">
        <f t="shared" si="41"/>
        <v>729873.05862120539</v>
      </c>
      <c r="O558">
        <f t="shared" si="42"/>
        <v>408000</v>
      </c>
      <c r="P558">
        <v>700.90102941176474</v>
      </c>
      <c r="R558" t="str">
        <f t="shared" si="43"/>
        <v>3</v>
      </c>
      <c r="S558">
        <f t="shared" si="44"/>
        <v>700.91143790849674</v>
      </c>
    </row>
    <row r="559" spans="1:19">
      <c r="A559" s="4" t="s">
        <v>37</v>
      </c>
      <c r="B559" s="4" t="s">
        <v>11</v>
      </c>
      <c r="C559" s="4">
        <v>630000</v>
      </c>
      <c r="D559" s="4">
        <v>2150</v>
      </c>
      <c r="E559" s="4">
        <v>2024</v>
      </c>
      <c r="F559" s="4">
        <v>5.0999999999999996</v>
      </c>
      <c r="G559" s="4" t="s">
        <v>41</v>
      </c>
      <c r="H559" s="4" t="s">
        <v>13</v>
      </c>
      <c r="I559" s="4" t="s">
        <v>14</v>
      </c>
      <c r="J559" s="4" t="s">
        <v>15</v>
      </c>
      <c r="K559" s="20">
        <f>C559/D559</f>
        <v>293.02325581395348</v>
      </c>
      <c r="L559" s="11">
        <f>PMT(F559/100/12, 300, -(C559 *
(1 - G559/100)))</f>
        <v>2975.7726014566697</v>
      </c>
      <c r="M559" s="11">
        <f t="shared" si="40"/>
        <v>388731.78043700085</v>
      </c>
      <c r="N559" s="11">
        <f t="shared" si="41"/>
        <v>892731.78043700079</v>
      </c>
      <c r="O559">
        <f t="shared" si="42"/>
        <v>504000</v>
      </c>
      <c r="P559">
        <v>860.90102380952374</v>
      </c>
      <c r="R559" t="str">
        <f t="shared" si="43"/>
        <v>3</v>
      </c>
      <c r="S559">
        <f t="shared" si="44"/>
        <v>860.91137566137559</v>
      </c>
    </row>
    <row r="560" spans="1:19">
      <c r="A560" s="4" t="s">
        <v>30</v>
      </c>
      <c r="B560" s="4" t="s">
        <v>17</v>
      </c>
      <c r="C560" s="4">
        <v>218000</v>
      </c>
      <c r="D560" s="4">
        <v>740</v>
      </c>
      <c r="E560" s="4">
        <v>2023</v>
      </c>
      <c r="F560" s="4">
        <v>6.5</v>
      </c>
      <c r="G560" s="4" t="s">
        <v>31</v>
      </c>
      <c r="H560" s="4" t="s">
        <v>25</v>
      </c>
      <c r="I560" s="4" t="s">
        <v>20</v>
      </c>
      <c r="J560" s="4" t="s">
        <v>21</v>
      </c>
      <c r="K560" s="20">
        <f>C560/D560</f>
        <v>294.59459459459458</v>
      </c>
      <c r="L560" s="11">
        <f>PMT(F560/100/12, 300, -(C560 *
(1 - G560/100)))</f>
        <v>1354.1954827988261</v>
      </c>
      <c r="M560" s="11">
        <f t="shared" si="40"/>
        <v>205698.64483964781</v>
      </c>
      <c r="N560" s="11">
        <f t="shared" si="41"/>
        <v>406258.64483964781</v>
      </c>
      <c r="O560">
        <f t="shared" si="42"/>
        <v>200560</v>
      </c>
      <c r="P560">
        <v>296.30101834862387</v>
      </c>
      <c r="R560" t="str">
        <f t="shared" si="43"/>
        <v>1</v>
      </c>
      <c r="S560">
        <f t="shared" si="44"/>
        <v>296.3113149847095</v>
      </c>
    </row>
    <row r="561" spans="1:19">
      <c r="A561" s="6" t="s">
        <v>33</v>
      </c>
      <c r="B561" s="6" t="s">
        <v>11</v>
      </c>
      <c r="C561" s="6">
        <v>575000</v>
      </c>
      <c r="D561" s="6">
        <v>1950</v>
      </c>
      <c r="E561" s="6">
        <v>2024</v>
      </c>
      <c r="F561" s="6">
        <v>5.0999999999999996</v>
      </c>
      <c r="G561" s="6" t="s">
        <v>41</v>
      </c>
      <c r="H561" s="6" t="s">
        <v>13</v>
      </c>
      <c r="I561" s="6" t="s">
        <v>14</v>
      </c>
      <c r="J561" s="6" t="s">
        <v>15</v>
      </c>
      <c r="K561" s="20">
        <f>C561/D561</f>
        <v>294.87179487179486</v>
      </c>
      <c r="L561" s="11">
        <f>PMT(F561/100/12, 300, -(C561 *
(1 - G561/100)))</f>
        <v>2715.9829299009284</v>
      </c>
      <c r="M561" s="11">
        <f t="shared" si="40"/>
        <v>354794.87897027849</v>
      </c>
      <c r="N561" s="11">
        <f t="shared" si="41"/>
        <v>814794.87897027843</v>
      </c>
      <c r="O561">
        <f t="shared" si="42"/>
        <v>460000</v>
      </c>
      <c r="P561">
        <v>780.90101739130432</v>
      </c>
      <c r="R561" t="str">
        <f t="shared" si="43"/>
        <v>3</v>
      </c>
      <c r="S561">
        <f t="shared" si="44"/>
        <v>780.9113043478261</v>
      </c>
    </row>
    <row r="562" spans="1:19">
      <c r="A562" s="6" t="s">
        <v>26</v>
      </c>
      <c r="B562" s="6" t="s">
        <v>11</v>
      </c>
      <c r="C562" s="6">
        <v>415000</v>
      </c>
      <c r="D562" s="6">
        <v>1400</v>
      </c>
      <c r="E562" s="6">
        <v>2024</v>
      </c>
      <c r="F562" s="6">
        <v>5.0999999999999996</v>
      </c>
      <c r="G562" s="7">
        <v>20</v>
      </c>
      <c r="H562" s="6" t="s">
        <v>13</v>
      </c>
      <c r="I562" s="6" t="s">
        <v>14</v>
      </c>
      <c r="J562" s="6" t="s">
        <v>29</v>
      </c>
      <c r="K562" s="20">
        <f>C562/D562</f>
        <v>296.42857142857144</v>
      </c>
      <c r="L562" s="11">
        <f>PMT(F562/100/12, 300, -(C562 *
(1 - G562/100)))</f>
        <v>1960.2311581024092</v>
      </c>
      <c r="M562" s="11">
        <f t="shared" si="40"/>
        <v>256069.34743072273</v>
      </c>
      <c r="N562" s="11">
        <f t="shared" si="41"/>
        <v>588069.34743072279</v>
      </c>
      <c r="O562">
        <f t="shared" si="42"/>
        <v>332000</v>
      </c>
      <c r="P562">
        <v>560.9010120481928</v>
      </c>
      <c r="R562" t="str">
        <f t="shared" si="43"/>
        <v>3</v>
      </c>
      <c r="S562">
        <f t="shared" si="44"/>
        <v>560.91124497991962</v>
      </c>
    </row>
    <row r="563" spans="1:19">
      <c r="A563" s="6" t="s">
        <v>35</v>
      </c>
      <c r="B563" s="6" t="s">
        <v>11</v>
      </c>
      <c r="C563" s="6">
        <v>350000</v>
      </c>
      <c r="D563" s="6">
        <v>1180</v>
      </c>
      <c r="E563" s="6">
        <v>2024</v>
      </c>
      <c r="F563" s="6">
        <v>5.4</v>
      </c>
      <c r="G563" s="6" t="s">
        <v>44</v>
      </c>
      <c r="H563" s="6" t="s">
        <v>13</v>
      </c>
      <c r="I563" s="6" t="s">
        <v>14</v>
      </c>
      <c r="J563" s="6" t="s">
        <v>15</v>
      </c>
      <c r="K563" s="20">
        <f>C563/D563</f>
        <v>296.61016949152543</v>
      </c>
      <c r="L563" s="11">
        <f>PMT(F563/100/12, 300, -(C563 *
(1 - G563/100)))</f>
        <v>1596.341033196536</v>
      </c>
      <c r="M563" s="11">
        <f t="shared" si="40"/>
        <v>216402.30995896086</v>
      </c>
      <c r="N563" s="11">
        <f t="shared" si="41"/>
        <v>478902.30995896086</v>
      </c>
      <c r="O563">
        <f t="shared" si="42"/>
        <v>262500</v>
      </c>
      <c r="P563">
        <v>472.90101142857139</v>
      </c>
      <c r="R563" t="str">
        <f t="shared" si="43"/>
        <v>3</v>
      </c>
      <c r="S563">
        <f t="shared" si="44"/>
        <v>472.91123809523805</v>
      </c>
    </row>
    <row r="564" spans="1:19">
      <c r="A564" s="4" t="s">
        <v>26</v>
      </c>
      <c r="B564" s="4" t="s">
        <v>17</v>
      </c>
      <c r="C564" s="4">
        <v>220000</v>
      </c>
      <c r="D564" s="4">
        <v>740</v>
      </c>
      <c r="E564" s="4">
        <v>2023</v>
      </c>
      <c r="F564" s="4">
        <v>6.6</v>
      </c>
      <c r="G564" s="4" t="s">
        <v>36</v>
      </c>
      <c r="H564" s="4" t="s">
        <v>25</v>
      </c>
      <c r="I564" s="4" t="s">
        <v>20</v>
      </c>
      <c r="J564" s="4" t="s">
        <v>21</v>
      </c>
      <c r="K564" s="20">
        <f>C564/D564</f>
        <v>297.29729729729729</v>
      </c>
      <c r="L564" s="11">
        <f>PMT(F564/100/12, 300, -(C564 *
(1 - G564/100)))</f>
        <v>1424.2704178975087</v>
      </c>
      <c r="M564" s="11">
        <f t="shared" si="40"/>
        <v>218281.12536925255</v>
      </c>
      <c r="N564" s="11">
        <f t="shared" si="41"/>
        <v>427281.12536925252</v>
      </c>
      <c r="O564">
        <f t="shared" si="42"/>
        <v>209000</v>
      </c>
      <c r="P564">
        <v>296.30100909090908</v>
      </c>
      <c r="R564" t="str">
        <f t="shared" si="43"/>
        <v>1</v>
      </c>
      <c r="S564">
        <f t="shared" si="44"/>
        <v>296.31121212121212</v>
      </c>
    </row>
    <row r="565" spans="1:19">
      <c r="A565" s="6" t="s">
        <v>33</v>
      </c>
      <c r="B565" s="6" t="s">
        <v>11</v>
      </c>
      <c r="C565" s="6">
        <v>570000</v>
      </c>
      <c r="D565" s="6">
        <v>1900</v>
      </c>
      <c r="E565" s="6">
        <v>2024</v>
      </c>
      <c r="F565" s="6">
        <v>5.0999999999999996</v>
      </c>
      <c r="G565" s="6" t="s">
        <v>41</v>
      </c>
      <c r="H565" s="6" t="s">
        <v>13</v>
      </c>
      <c r="I565" s="6" t="s">
        <v>14</v>
      </c>
      <c r="J565" s="6" t="s">
        <v>15</v>
      </c>
      <c r="K565" s="20">
        <f>C565/D565</f>
        <v>300</v>
      </c>
      <c r="L565" s="11">
        <f>PMT(F565/100/12, 300, -(C565 *
(1 - G565/100)))</f>
        <v>2692.3656870322247</v>
      </c>
      <c r="M565" s="11">
        <f t="shared" si="40"/>
        <v>351709.70610966737</v>
      </c>
      <c r="N565" s="11">
        <f t="shared" si="41"/>
        <v>807709.70610966743</v>
      </c>
      <c r="O565">
        <f t="shared" si="42"/>
        <v>456000</v>
      </c>
      <c r="P565">
        <v>760.90099999999995</v>
      </c>
      <c r="R565" t="str">
        <f t="shared" si="43"/>
        <v>3</v>
      </c>
      <c r="S565">
        <f t="shared" si="44"/>
        <v>760.91111111111104</v>
      </c>
    </row>
    <row r="566" spans="1:19">
      <c r="A566" s="6" t="s">
        <v>37</v>
      </c>
      <c r="B566" s="6" t="s">
        <v>11</v>
      </c>
      <c r="C566" s="6">
        <v>615000</v>
      </c>
      <c r="D566" s="6">
        <v>2050</v>
      </c>
      <c r="E566" s="6">
        <v>2024</v>
      </c>
      <c r="F566" s="6">
        <v>5.0999999999999996</v>
      </c>
      <c r="G566" s="6" t="s">
        <v>41</v>
      </c>
      <c r="H566" s="6" t="s">
        <v>13</v>
      </c>
      <c r="I566" s="6" t="s">
        <v>14</v>
      </c>
      <c r="J566" s="6" t="s">
        <v>15</v>
      </c>
      <c r="K566" s="20">
        <f>C566/D566</f>
        <v>300</v>
      </c>
      <c r="L566" s="11">
        <f>PMT(F566/100/12, 300, -(C566 *
(1 - G566/100)))</f>
        <v>2904.9208728505582</v>
      </c>
      <c r="M566" s="11">
        <f t="shared" si="40"/>
        <v>379476.26185516745</v>
      </c>
      <c r="N566" s="11">
        <f t="shared" si="41"/>
        <v>871476.26185516745</v>
      </c>
      <c r="O566">
        <f t="shared" si="42"/>
        <v>492000</v>
      </c>
      <c r="P566">
        <v>820.90099999999995</v>
      </c>
      <c r="R566" t="str">
        <f t="shared" si="43"/>
        <v>3</v>
      </c>
      <c r="S566">
        <f t="shared" si="44"/>
        <v>820.91111111111104</v>
      </c>
    </row>
    <row r="567" spans="1:19">
      <c r="A567" s="4" t="s">
        <v>32</v>
      </c>
      <c r="B567" s="4" t="s">
        <v>11</v>
      </c>
      <c r="C567" s="4">
        <v>500000</v>
      </c>
      <c r="D567" s="4">
        <v>1650</v>
      </c>
      <c r="E567" s="4">
        <v>2023</v>
      </c>
      <c r="F567" s="4">
        <v>6.2</v>
      </c>
      <c r="G567" s="4" t="s">
        <v>41</v>
      </c>
      <c r="H567" s="4" t="s">
        <v>13</v>
      </c>
      <c r="I567" s="4" t="s">
        <v>14</v>
      </c>
      <c r="J567" s="4" t="s">
        <v>15</v>
      </c>
      <c r="K567" s="20">
        <f>C567/D567</f>
        <v>303.030303030303</v>
      </c>
      <c r="L567" s="11">
        <f>PMT(F567/100/12, 300, -(C567 *
(1 - G567/100)))</f>
        <v>2626.328384585398</v>
      </c>
      <c r="M567" s="11">
        <f t="shared" si="40"/>
        <v>387898.5153756194</v>
      </c>
      <c r="N567" s="11">
        <f t="shared" si="41"/>
        <v>787898.5153756194</v>
      </c>
      <c r="O567">
        <f t="shared" si="42"/>
        <v>400000</v>
      </c>
      <c r="P567">
        <v>660.90098999999998</v>
      </c>
      <c r="R567" t="str">
        <f t="shared" si="43"/>
        <v>3</v>
      </c>
      <c r="S567">
        <f t="shared" si="44"/>
        <v>660.91099999999994</v>
      </c>
    </row>
    <row r="568" spans="1:19">
      <c r="A568" s="6" t="s">
        <v>35</v>
      </c>
      <c r="B568" s="6" t="s">
        <v>11</v>
      </c>
      <c r="C568" s="6">
        <v>340000</v>
      </c>
      <c r="D568" s="6">
        <v>1120</v>
      </c>
      <c r="E568" s="6">
        <v>2023</v>
      </c>
      <c r="F568" s="6">
        <v>6.6</v>
      </c>
      <c r="G568" s="6" t="s">
        <v>44</v>
      </c>
      <c r="H568" s="6" t="s">
        <v>13</v>
      </c>
      <c r="I568" s="6" t="s">
        <v>14</v>
      </c>
      <c r="J568" s="6" t="s">
        <v>15</v>
      </c>
      <c r="K568" s="20">
        <f>C568/D568</f>
        <v>303.57142857142856</v>
      </c>
      <c r="L568" s="11">
        <f>PMT(F568/100/12, 300, -(C568 *
(1 - G568/100)))</f>
        <v>1737.7462036548552</v>
      </c>
      <c r="M568" s="11">
        <f t="shared" si="40"/>
        <v>266323.86109645641</v>
      </c>
      <c r="N568" s="11">
        <f t="shared" si="41"/>
        <v>521323.86109645641</v>
      </c>
      <c r="O568">
        <f t="shared" si="42"/>
        <v>255000</v>
      </c>
      <c r="P568">
        <v>448.90098823529411</v>
      </c>
      <c r="R568" t="str">
        <f t="shared" si="43"/>
        <v>3</v>
      </c>
      <c r="S568">
        <f t="shared" si="44"/>
        <v>448.91098039215683</v>
      </c>
    </row>
    <row r="569" spans="1:19">
      <c r="A569" s="6" t="s">
        <v>16</v>
      </c>
      <c r="B569" s="6" t="s">
        <v>11</v>
      </c>
      <c r="C569" s="6">
        <v>670000</v>
      </c>
      <c r="D569" s="6">
        <v>2200</v>
      </c>
      <c r="E569" s="6">
        <v>2024</v>
      </c>
      <c r="F569" s="6">
        <v>5.3</v>
      </c>
      <c r="G569" s="6" t="s">
        <v>38</v>
      </c>
      <c r="H569" s="6" t="s">
        <v>43</v>
      </c>
      <c r="I569" s="6" t="s">
        <v>14</v>
      </c>
      <c r="J569" s="6" t="s">
        <v>15</v>
      </c>
      <c r="K569" s="20">
        <f>C569/D569</f>
        <v>304.54545454545456</v>
      </c>
      <c r="L569" s="11">
        <f>PMT(F569/100/12, 300, -(C569 *
(1 - G569/100)))</f>
        <v>3147.1034516344444</v>
      </c>
      <c r="M569" s="11">
        <f t="shared" si="40"/>
        <v>421531.03549033328</v>
      </c>
      <c r="N569" s="11">
        <f t="shared" si="41"/>
        <v>944131.03549033334</v>
      </c>
      <c r="O569">
        <f t="shared" si="42"/>
        <v>522600</v>
      </c>
      <c r="P569">
        <v>881.20098507462694</v>
      </c>
      <c r="R569" t="str">
        <f t="shared" si="43"/>
        <v>4</v>
      </c>
      <c r="S569">
        <f t="shared" si="44"/>
        <v>881.21094527363186</v>
      </c>
    </row>
    <row r="570" spans="1:19">
      <c r="A570" s="6" t="s">
        <v>37</v>
      </c>
      <c r="B570" s="6" t="s">
        <v>11</v>
      </c>
      <c r="C570" s="6">
        <v>610000</v>
      </c>
      <c r="D570" s="6">
        <v>2000</v>
      </c>
      <c r="E570" s="6">
        <v>2024</v>
      </c>
      <c r="F570" s="6">
        <v>5.0999999999999996</v>
      </c>
      <c r="G570" s="6" t="s">
        <v>41</v>
      </c>
      <c r="H570" s="6" t="s">
        <v>13</v>
      </c>
      <c r="I570" s="6" t="s">
        <v>14</v>
      </c>
      <c r="J570" s="6" t="s">
        <v>15</v>
      </c>
      <c r="K570" s="20">
        <f>C570/D570</f>
        <v>305</v>
      </c>
      <c r="L570" s="11">
        <f>PMT(F570/100/12, 300, -(C570 *
(1 - G570/100)))</f>
        <v>2881.3036299818546</v>
      </c>
      <c r="M570" s="11">
        <f t="shared" si="40"/>
        <v>376391.08899455628</v>
      </c>
      <c r="N570" s="11">
        <f t="shared" si="41"/>
        <v>864391.08899455634</v>
      </c>
      <c r="O570">
        <f t="shared" si="42"/>
        <v>488000</v>
      </c>
      <c r="P570">
        <v>800.90098360655736</v>
      </c>
      <c r="R570" t="str">
        <f t="shared" si="43"/>
        <v>3</v>
      </c>
      <c r="S570">
        <f t="shared" si="44"/>
        <v>800.9109289617486</v>
      </c>
    </row>
    <row r="571" spans="1:19">
      <c r="A571" s="6" t="s">
        <v>33</v>
      </c>
      <c r="B571" s="6" t="s">
        <v>11</v>
      </c>
      <c r="C571" s="6">
        <v>565000</v>
      </c>
      <c r="D571" s="6">
        <v>1850</v>
      </c>
      <c r="E571" s="6">
        <v>2024</v>
      </c>
      <c r="F571" s="6">
        <v>5.0999999999999996</v>
      </c>
      <c r="G571" s="6" t="s">
        <v>41</v>
      </c>
      <c r="H571" s="6" t="s">
        <v>13</v>
      </c>
      <c r="I571" s="6" t="s">
        <v>14</v>
      </c>
      <c r="J571" s="6" t="s">
        <v>15</v>
      </c>
      <c r="K571" s="20">
        <f>C571/D571</f>
        <v>305.40540540540542</v>
      </c>
      <c r="L571" s="11">
        <f>PMT(F571/100/12, 300, -(C571 *
(1 - G571/100)))</f>
        <v>2668.7484441635211</v>
      </c>
      <c r="M571" s="11">
        <f t="shared" si="40"/>
        <v>348624.53324905626</v>
      </c>
      <c r="N571" s="11">
        <f t="shared" si="41"/>
        <v>800624.5332490562</v>
      </c>
      <c r="O571">
        <f t="shared" si="42"/>
        <v>452000</v>
      </c>
      <c r="P571">
        <v>740.90098230088495</v>
      </c>
      <c r="R571" t="str">
        <f t="shared" si="43"/>
        <v>3</v>
      </c>
      <c r="S571">
        <f t="shared" si="44"/>
        <v>740.9109144542773</v>
      </c>
    </row>
    <row r="572" spans="1:19">
      <c r="A572" s="6" t="s">
        <v>35</v>
      </c>
      <c r="B572" s="6" t="s">
        <v>11</v>
      </c>
      <c r="C572" s="6">
        <v>330000</v>
      </c>
      <c r="D572" s="6">
        <v>1080</v>
      </c>
      <c r="E572" s="6">
        <v>2024</v>
      </c>
      <c r="F572" s="6">
        <v>5.4</v>
      </c>
      <c r="G572" s="6" t="s">
        <v>44</v>
      </c>
      <c r="H572" s="6" t="s">
        <v>13</v>
      </c>
      <c r="I572" s="6" t="s">
        <v>14</v>
      </c>
      <c r="J572" s="6" t="s">
        <v>15</v>
      </c>
      <c r="K572" s="20">
        <f>C572/D572</f>
        <v>305.55555555555554</v>
      </c>
      <c r="L572" s="11">
        <f>PMT(F572/100/12, 300, -(C572 *
(1 - G572/100)))</f>
        <v>1505.1215455853053</v>
      </c>
      <c r="M572" s="11">
        <f t="shared" si="40"/>
        <v>204036.46367559163</v>
      </c>
      <c r="N572" s="11">
        <f t="shared" si="41"/>
        <v>451536.46367559163</v>
      </c>
      <c r="O572">
        <f t="shared" si="42"/>
        <v>247500</v>
      </c>
      <c r="P572">
        <v>432.90098181818178</v>
      </c>
      <c r="R572" t="str">
        <f t="shared" si="43"/>
        <v>3</v>
      </c>
      <c r="S572">
        <f t="shared" si="44"/>
        <v>432.91090909090906</v>
      </c>
    </row>
    <row r="573" spans="1:19">
      <c r="A573" s="6" t="s">
        <v>33</v>
      </c>
      <c r="B573" s="6" t="s">
        <v>11</v>
      </c>
      <c r="C573" s="6">
        <v>540000</v>
      </c>
      <c r="D573" s="6">
        <v>1750</v>
      </c>
      <c r="E573" s="6">
        <v>2024</v>
      </c>
      <c r="F573" s="6">
        <v>5.0999999999999996</v>
      </c>
      <c r="G573" s="6" t="s">
        <v>41</v>
      </c>
      <c r="H573" s="6" t="s">
        <v>13</v>
      </c>
      <c r="I573" s="6" t="s">
        <v>14</v>
      </c>
      <c r="J573" s="6" t="s">
        <v>15</v>
      </c>
      <c r="K573" s="20">
        <f>C573/D573</f>
        <v>308.57142857142856</v>
      </c>
      <c r="L573" s="11">
        <f>PMT(F573/100/12, 300, -(C573 *
(1 - G573/100)))</f>
        <v>2550.6622298200023</v>
      </c>
      <c r="M573" s="11">
        <f t="shared" si="40"/>
        <v>333198.66894600063</v>
      </c>
      <c r="N573" s="11">
        <f t="shared" si="41"/>
        <v>765198.66894600063</v>
      </c>
      <c r="O573">
        <f t="shared" si="42"/>
        <v>432000</v>
      </c>
      <c r="P573">
        <v>700.90097222222221</v>
      </c>
      <c r="R573" t="str">
        <f t="shared" si="43"/>
        <v>3</v>
      </c>
      <c r="S573">
        <f t="shared" si="44"/>
        <v>700.91080246913577</v>
      </c>
    </row>
    <row r="574" spans="1:19">
      <c r="A574" s="6" t="s">
        <v>16</v>
      </c>
      <c r="B574" s="6" t="s">
        <v>11</v>
      </c>
      <c r="C574" s="6">
        <v>665000</v>
      </c>
      <c r="D574" s="6">
        <v>2150</v>
      </c>
      <c r="E574" s="6">
        <v>2024</v>
      </c>
      <c r="F574" s="6">
        <v>5.3</v>
      </c>
      <c r="G574" s="6" t="s">
        <v>38</v>
      </c>
      <c r="H574" s="6" t="s">
        <v>43</v>
      </c>
      <c r="I574" s="6" t="s">
        <v>14</v>
      </c>
      <c r="J574" s="6" t="s">
        <v>15</v>
      </c>
      <c r="K574" s="20">
        <f>C574/D574</f>
        <v>309.30232558139534</v>
      </c>
      <c r="L574" s="11">
        <f>PMT(F574/100/12, 300, -(C574 *
(1 - G574/100)))</f>
        <v>3123.6176049804562</v>
      </c>
      <c r="M574" s="11">
        <f t="shared" si="40"/>
        <v>418385.28149413684</v>
      </c>
      <c r="N574" s="11">
        <f t="shared" si="41"/>
        <v>937085.2814941369</v>
      </c>
      <c r="O574">
        <f t="shared" si="42"/>
        <v>518700</v>
      </c>
      <c r="P574">
        <v>861.20096992481206</v>
      </c>
      <c r="R574" t="str">
        <f t="shared" si="43"/>
        <v>4</v>
      </c>
      <c r="S574">
        <f t="shared" si="44"/>
        <v>861.21077694235589</v>
      </c>
    </row>
    <row r="575" spans="1:19">
      <c r="A575" s="6" t="s">
        <v>32</v>
      </c>
      <c r="B575" s="6" t="s">
        <v>11</v>
      </c>
      <c r="C575" s="6">
        <v>495000</v>
      </c>
      <c r="D575" s="6">
        <v>1600</v>
      </c>
      <c r="E575" s="6">
        <v>2023</v>
      </c>
      <c r="F575" s="6">
        <v>6.2</v>
      </c>
      <c r="G575" s="6" t="s">
        <v>41</v>
      </c>
      <c r="H575" s="6" t="s">
        <v>13</v>
      </c>
      <c r="I575" s="6" t="s">
        <v>14</v>
      </c>
      <c r="J575" s="6" t="s">
        <v>15</v>
      </c>
      <c r="K575" s="20">
        <f>C575/D575</f>
        <v>309.375</v>
      </c>
      <c r="L575" s="11">
        <f>PMT(F575/100/12, 300, -(C575 *
(1 - G575/100)))</f>
        <v>2600.0651007395441</v>
      </c>
      <c r="M575" s="11">
        <f t="shared" si="40"/>
        <v>384019.53022186318</v>
      </c>
      <c r="N575" s="11">
        <f t="shared" si="41"/>
        <v>780019.53022186318</v>
      </c>
      <c r="O575">
        <f t="shared" si="42"/>
        <v>396000</v>
      </c>
      <c r="P575">
        <v>640.9009696969697</v>
      </c>
      <c r="R575" t="str">
        <f t="shared" si="43"/>
        <v>3</v>
      </c>
      <c r="S575">
        <f t="shared" si="44"/>
        <v>640.91077441077437</v>
      </c>
    </row>
    <row r="576" spans="1:19">
      <c r="A576" s="6" t="s">
        <v>32</v>
      </c>
      <c r="B576" s="6" t="s">
        <v>11</v>
      </c>
      <c r="C576" s="6">
        <v>495000</v>
      </c>
      <c r="D576" s="6">
        <v>1600</v>
      </c>
      <c r="E576" s="6">
        <v>2024</v>
      </c>
      <c r="F576" s="6">
        <v>5.2</v>
      </c>
      <c r="G576" s="6" t="s">
        <v>41</v>
      </c>
      <c r="H576" s="6" t="s">
        <v>13</v>
      </c>
      <c r="I576" s="6" t="s">
        <v>14</v>
      </c>
      <c r="J576" s="6" t="s">
        <v>15</v>
      </c>
      <c r="K576" s="20">
        <f>C576/D576</f>
        <v>309.375</v>
      </c>
      <c r="L576" s="11">
        <f>PMT(F576/100/12, 300, -(C576 *
(1 - G576/100)))</f>
        <v>2361.3540131862528</v>
      </c>
      <c r="M576" s="11">
        <f t="shared" si="40"/>
        <v>312406.20395587577</v>
      </c>
      <c r="N576" s="11">
        <f t="shared" si="41"/>
        <v>708406.20395587571</v>
      </c>
      <c r="O576">
        <f t="shared" si="42"/>
        <v>396000</v>
      </c>
      <c r="P576">
        <v>640.9009696969697</v>
      </c>
      <c r="R576" t="str">
        <f t="shared" si="43"/>
        <v>3</v>
      </c>
      <c r="S576">
        <f t="shared" si="44"/>
        <v>640.91077441077437</v>
      </c>
    </row>
    <row r="577" spans="1:19">
      <c r="A577" s="6" t="s">
        <v>37</v>
      </c>
      <c r="B577" s="6" t="s">
        <v>11</v>
      </c>
      <c r="C577" s="6">
        <v>605000</v>
      </c>
      <c r="D577" s="6">
        <v>1950</v>
      </c>
      <c r="E577" s="6">
        <v>2024</v>
      </c>
      <c r="F577" s="6">
        <v>5.0999999999999996</v>
      </c>
      <c r="G577" s="6" t="s">
        <v>41</v>
      </c>
      <c r="H577" s="6" t="s">
        <v>13</v>
      </c>
      <c r="I577" s="6" t="s">
        <v>14</v>
      </c>
      <c r="J577" s="6" t="s">
        <v>15</v>
      </c>
      <c r="K577" s="20">
        <f>C577/D577</f>
        <v>310.25641025641028</v>
      </c>
      <c r="L577" s="11">
        <f>PMT(F577/100/12, 300, -(C577 *
(1 - G577/100)))</f>
        <v>2857.6863871131504</v>
      </c>
      <c r="M577" s="11">
        <f t="shared" si="40"/>
        <v>373305.91613394511</v>
      </c>
      <c r="N577" s="11">
        <f t="shared" si="41"/>
        <v>857305.91613394511</v>
      </c>
      <c r="O577">
        <f t="shared" si="42"/>
        <v>484000</v>
      </c>
      <c r="P577">
        <v>780.90096694214878</v>
      </c>
      <c r="R577" t="str">
        <f t="shared" si="43"/>
        <v>3</v>
      </c>
      <c r="S577">
        <f t="shared" si="44"/>
        <v>780.91074380165287</v>
      </c>
    </row>
    <row r="578" spans="1:19">
      <c r="A578" s="4" t="s">
        <v>35</v>
      </c>
      <c r="B578" s="4" t="s">
        <v>23</v>
      </c>
      <c r="C578" s="4">
        <v>230000</v>
      </c>
      <c r="D578" s="4">
        <v>740</v>
      </c>
      <c r="E578" s="4">
        <v>2024</v>
      </c>
      <c r="F578" s="4">
        <v>5.3</v>
      </c>
      <c r="G578" s="4" t="s">
        <v>42</v>
      </c>
      <c r="H578" s="4" t="s">
        <v>25</v>
      </c>
      <c r="I578" s="4" t="s">
        <v>20</v>
      </c>
      <c r="J578" s="4" t="s">
        <v>21</v>
      </c>
      <c r="K578" s="20">
        <f>C578/D578</f>
        <v>310.81081081081084</v>
      </c>
      <c r="L578" s="11">
        <f>PMT(F578/100/12, 300, -(C578 *
(1 - G578/100)))</f>
        <v>1301.9589863057151</v>
      </c>
      <c r="M578" s="11">
        <f t="shared" si="40"/>
        <v>174387.69589171454</v>
      </c>
      <c r="N578" s="11">
        <f t="shared" si="41"/>
        <v>390587.69589171454</v>
      </c>
      <c r="O578">
        <f t="shared" si="42"/>
        <v>216200</v>
      </c>
      <c r="P578">
        <v>296.30096521739131</v>
      </c>
      <c r="R578" t="str">
        <f t="shared" si="43"/>
        <v>1</v>
      </c>
      <c r="S578">
        <f t="shared" si="44"/>
        <v>296.31072463768118</v>
      </c>
    </row>
    <row r="579" spans="1:19">
      <c r="A579" s="4" t="s">
        <v>22</v>
      </c>
      <c r="B579" s="4" t="s">
        <v>17</v>
      </c>
      <c r="C579" s="4">
        <v>230000</v>
      </c>
      <c r="D579" s="4">
        <v>740</v>
      </c>
      <c r="E579" s="4">
        <v>2023</v>
      </c>
      <c r="F579" s="4">
        <v>6.4</v>
      </c>
      <c r="G579" s="4" t="s">
        <v>36</v>
      </c>
      <c r="H579" s="4" t="s">
        <v>25</v>
      </c>
      <c r="I579" s="4" t="s">
        <v>20</v>
      </c>
      <c r="J579" s="4" t="s">
        <v>21</v>
      </c>
      <c r="K579" s="20">
        <f>C579/D579</f>
        <v>310.81081081081084</v>
      </c>
      <c r="L579" s="11">
        <f>PMT(F579/100/12, 300, -(C579 *
(1 - G579/100)))</f>
        <v>1461.7035505571982</v>
      </c>
      <c r="M579" s="11">
        <f t="shared" ref="M579:M642" si="45">-CUMIPMT(F579/1200,300,O579,1,300,0)</f>
        <v>220011.06516715951</v>
      </c>
      <c r="N579" s="11">
        <f t="shared" ref="N579:N642" si="46">O579+M579</f>
        <v>438511.06516715954</v>
      </c>
      <c r="O579">
        <f t="shared" ref="O579:O642" si="47">C579*(1-G579/100)</f>
        <v>218500</v>
      </c>
      <c r="P579">
        <v>296.30096521739131</v>
      </c>
      <c r="R579" t="str">
        <f t="shared" ref="R579:R642" si="48">IF(H579="A","4",IF(H579="B","3",IF(H579="C","2",IF(H579="D","1",0))))</f>
        <v>1</v>
      </c>
      <c r="S579">
        <f t="shared" ref="S579:S642" si="49">D579*0.4 +R579*0.3 +(1/(K579*0.3))</f>
        <v>296.31072463768118</v>
      </c>
    </row>
    <row r="580" spans="1:19">
      <c r="A580" s="6" t="s">
        <v>33</v>
      </c>
      <c r="B580" s="6" t="s">
        <v>11</v>
      </c>
      <c r="C580" s="6">
        <v>560000</v>
      </c>
      <c r="D580" s="6">
        <v>1800</v>
      </c>
      <c r="E580" s="6">
        <v>2024</v>
      </c>
      <c r="F580" s="6">
        <v>5.0999999999999996</v>
      </c>
      <c r="G580" s="6" t="s">
        <v>41</v>
      </c>
      <c r="H580" s="6" t="s">
        <v>13</v>
      </c>
      <c r="I580" s="6" t="s">
        <v>14</v>
      </c>
      <c r="J580" s="6" t="s">
        <v>15</v>
      </c>
      <c r="K580" s="20">
        <f>C580/D580</f>
        <v>311.11111111111109</v>
      </c>
      <c r="L580" s="11">
        <f>PMT(F580/100/12, 300, -(C580 *
(1 - G580/100)))</f>
        <v>2645.1312012948174</v>
      </c>
      <c r="M580" s="11">
        <f t="shared" si="45"/>
        <v>345539.36038844514</v>
      </c>
      <c r="N580" s="11">
        <f t="shared" si="46"/>
        <v>793539.3603884452</v>
      </c>
      <c r="O580">
        <f t="shared" si="47"/>
        <v>448000</v>
      </c>
      <c r="P580">
        <v>720.90096428571428</v>
      </c>
      <c r="R580" t="str">
        <f t="shared" si="48"/>
        <v>3</v>
      </c>
      <c r="S580">
        <f t="shared" si="49"/>
        <v>720.91071428571422</v>
      </c>
    </row>
    <row r="581" spans="1:19">
      <c r="A581" s="6" t="s">
        <v>35</v>
      </c>
      <c r="B581" s="6" t="s">
        <v>11</v>
      </c>
      <c r="C581" s="6">
        <v>350000</v>
      </c>
      <c r="D581" s="6">
        <v>1120</v>
      </c>
      <c r="E581" s="6">
        <v>2023</v>
      </c>
      <c r="F581" s="6">
        <v>6.6</v>
      </c>
      <c r="G581" s="6" t="s">
        <v>44</v>
      </c>
      <c r="H581" s="6" t="s">
        <v>13</v>
      </c>
      <c r="I581" s="6" t="s">
        <v>14</v>
      </c>
      <c r="J581" s="6" t="s">
        <v>15</v>
      </c>
      <c r="K581" s="20">
        <f>C581/D581</f>
        <v>312.5</v>
      </c>
      <c r="L581" s="11">
        <f>PMT(F581/100/12, 300, -(C581 *
(1 - G581/100)))</f>
        <v>1788.856386115292</v>
      </c>
      <c r="M581" s="11">
        <f t="shared" si="45"/>
        <v>274156.91583458742</v>
      </c>
      <c r="N581" s="11">
        <f t="shared" si="46"/>
        <v>536656.91583458742</v>
      </c>
      <c r="O581">
        <f t="shared" si="47"/>
        <v>262500</v>
      </c>
      <c r="P581">
        <v>448.90096</v>
      </c>
      <c r="R581" t="str">
        <f t="shared" si="48"/>
        <v>3</v>
      </c>
      <c r="S581">
        <f t="shared" si="49"/>
        <v>448.91066666666666</v>
      </c>
    </row>
    <row r="582" spans="1:19">
      <c r="A582" s="4" t="s">
        <v>33</v>
      </c>
      <c r="B582" s="4" t="s">
        <v>11</v>
      </c>
      <c r="C582" s="4">
        <v>550000</v>
      </c>
      <c r="D582" s="4">
        <v>1750</v>
      </c>
      <c r="E582" s="4">
        <v>2024</v>
      </c>
      <c r="F582" s="4">
        <v>5.0999999999999996</v>
      </c>
      <c r="G582" s="4" t="s">
        <v>41</v>
      </c>
      <c r="H582" s="4" t="s">
        <v>13</v>
      </c>
      <c r="I582" s="4" t="s">
        <v>14</v>
      </c>
      <c r="J582" s="4" t="s">
        <v>15</v>
      </c>
      <c r="K582" s="20">
        <f>C582/D582</f>
        <v>314.28571428571428</v>
      </c>
      <c r="L582" s="11">
        <f>PMT(F582/100/12, 300, -(C582 *
(1 - G582/100)))</f>
        <v>2597.8967155574096</v>
      </c>
      <c r="M582" s="11">
        <f t="shared" si="45"/>
        <v>339369.01466722286</v>
      </c>
      <c r="N582" s="11">
        <f t="shared" si="46"/>
        <v>779369.01466722286</v>
      </c>
      <c r="O582">
        <f t="shared" si="47"/>
        <v>440000</v>
      </c>
      <c r="P582">
        <v>700.90095454545451</v>
      </c>
      <c r="R582" t="str">
        <f t="shared" si="48"/>
        <v>3</v>
      </c>
      <c r="S582">
        <f t="shared" si="49"/>
        <v>700.91060606060603</v>
      </c>
    </row>
    <row r="583" spans="1:19">
      <c r="A583" s="6" t="s">
        <v>16</v>
      </c>
      <c r="B583" s="6" t="s">
        <v>11</v>
      </c>
      <c r="C583" s="6">
        <v>660000</v>
      </c>
      <c r="D583" s="6">
        <v>2100</v>
      </c>
      <c r="E583" s="6">
        <v>2024</v>
      </c>
      <c r="F583" s="6">
        <v>5.3</v>
      </c>
      <c r="G583" s="6" t="s">
        <v>38</v>
      </c>
      <c r="H583" s="6" t="s">
        <v>43</v>
      </c>
      <c r="I583" s="6" t="s">
        <v>14</v>
      </c>
      <c r="J583" s="6" t="s">
        <v>15</v>
      </c>
      <c r="K583" s="20">
        <f>C583/D583</f>
        <v>314.28571428571428</v>
      </c>
      <c r="L583" s="11">
        <f>PMT(F583/100/12, 300, -(C583 *
(1 - G583/100)))</f>
        <v>3100.1317583264672</v>
      </c>
      <c r="M583" s="11">
        <f t="shared" si="45"/>
        <v>415239.52749794006</v>
      </c>
      <c r="N583" s="11">
        <f t="shared" si="46"/>
        <v>930039.52749794</v>
      </c>
      <c r="O583">
        <f t="shared" si="47"/>
        <v>514800</v>
      </c>
      <c r="P583">
        <v>841.20095454545458</v>
      </c>
      <c r="R583" t="str">
        <f t="shared" si="48"/>
        <v>4</v>
      </c>
      <c r="S583">
        <f t="shared" si="49"/>
        <v>841.2106060606061</v>
      </c>
    </row>
    <row r="584" spans="1:19">
      <c r="A584" s="6" t="s">
        <v>37</v>
      </c>
      <c r="B584" s="6" t="s">
        <v>11</v>
      </c>
      <c r="C584" s="6">
        <v>600000</v>
      </c>
      <c r="D584" s="6">
        <v>1900</v>
      </c>
      <c r="E584" s="6">
        <v>2024</v>
      </c>
      <c r="F584" s="6">
        <v>5.0999999999999996</v>
      </c>
      <c r="G584" s="6" t="s">
        <v>41</v>
      </c>
      <c r="H584" s="6" t="s">
        <v>13</v>
      </c>
      <c r="I584" s="6" t="s">
        <v>14</v>
      </c>
      <c r="J584" s="6" t="s">
        <v>15</v>
      </c>
      <c r="K584" s="20">
        <f>C584/D584</f>
        <v>315.78947368421052</v>
      </c>
      <c r="L584" s="11">
        <f>PMT(F584/100/12, 300, -(C584 *
(1 - G584/100)))</f>
        <v>2834.0691442444472</v>
      </c>
      <c r="M584" s="11">
        <f t="shared" si="45"/>
        <v>370220.74327333405</v>
      </c>
      <c r="N584" s="11">
        <f t="shared" si="46"/>
        <v>850220.74327333411</v>
      </c>
      <c r="O584">
        <f t="shared" si="47"/>
        <v>480000</v>
      </c>
      <c r="P584">
        <v>760.90094999999997</v>
      </c>
      <c r="R584" t="str">
        <f t="shared" si="48"/>
        <v>3</v>
      </c>
      <c r="S584">
        <f t="shared" si="49"/>
        <v>760.91055555555556</v>
      </c>
    </row>
    <row r="585" spans="1:19">
      <c r="A585" s="6" t="s">
        <v>32</v>
      </c>
      <c r="B585" s="6" t="s">
        <v>11</v>
      </c>
      <c r="C585" s="6">
        <v>490000</v>
      </c>
      <c r="D585" s="6">
        <v>1550</v>
      </c>
      <c r="E585" s="6">
        <v>2024</v>
      </c>
      <c r="F585" s="6">
        <v>5.2</v>
      </c>
      <c r="G585" s="6" t="s">
        <v>41</v>
      </c>
      <c r="H585" s="6" t="s">
        <v>13</v>
      </c>
      <c r="I585" s="6" t="s">
        <v>14</v>
      </c>
      <c r="J585" s="6" t="s">
        <v>15</v>
      </c>
      <c r="K585" s="20">
        <f>C585/D585</f>
        <v>316.12903225806451</v>
      </c>
      <c r="L585" s="11">
        <f>PMT(F585/100/12, 300, -(C585 *
(1 - G585/100)))</f>
        <v>2337.5019524469981</v>
      </c>
      <c r="M585" s="11">
        <f t="shared" si="45"/>
        <v>309250.58573409927</v>
      </c>
      <c r="N585" s="11">
        <f t="shared" si="46"/>
        <v>701250.58573409927</v>
      </c>
      <c r="O585">
        <f t="shared" si="47"/>
        <v>392000</v>
      </c>
      <c r="P585">
        <v>620.90094897959182</v>
      </c>
      <c r="R585" t="str">
        <f t="shared" si="48"/>
        <v>3</v>
      </c>
      <c r="S585">
        <f t="shared" si="49"/>
        <v>620.91054421768706</v>
      </c>
    </row>
    <row r="586" spans="1:19">
      <c r="A586" s="6" t="s">
        <v>32</v>
      </c>
      <c r="B586" s="6" t="s">
        <v>11</v>
      </c>
      <c r="C586" s="6">
        <v>445000</v>
      </c>
      <c r="D586" s="6">
        <v>1400</v>
      </c>
      <c r="E586" s="6">
        <v>2023</v>
      </c>
      <c r="F586" s="6">
        <v>6.1</v>
      </c>
      <c r="G586" s="6" t="s">
        <v>41</v>
      </c>
      <c r="H586" s="6" t="s">
        <v>13</v>
      </c>
      <c r="I586" s="6" t="s">
        <v>14</v>
      </c>
      <c r="J586" s="6" t="s">
        <v>15</v>
      </c>
      <c r="K586" s="20">
        <f>C586/D586</f>
        <v>317.85714285714283</v>
      </c>
      <c r="L586" s="11">
        <f>PMT(F586/100/12, 300, -(C586 *
(1 - G586/100)))</f>
        <v>2315.5237199109083</v>
      </c>
      <c r="M586" s="11">
        <f t="shared" si="45"/>
        <v>338657.11597327248</v>
      </c>
      <c r="N586" s="11">
        <f t="shared" si="46"/>
        <v>694657.11597327248</v>
      </c>
      <c r="O586">
        <f t="shared" si="47"/>
        <v>356000</v>
      </c>
      <c r="P586">
        <v>560.90094382022471</v>
      </c>
      <c r="R586" t="str">
        <f t="shared" si="48"/>
        <v>3</v>
      </c>
      <c r="S586">
        <f t="shared" si="49"/>
        <v>560.91048689138574</v>
      </c>
    </row>
    <row r="587" spans="1:19">
      <c r="A587" s="6" t="s">
        <v>16</v>
      </c>
      <c r="B587" s="6" t="s">
        <v>11</v>
      </c>
      <c r="C587" s="6">
        <v>655000</v>
      </c>
      <c r="D587" s="6">
        <v>2050</v>
      </c>
      <c r="E587" s="6">
        <v>2024</v>
      </c>
      <c r="F587" s="6">
        <v>5.3</v>
      </c>
      <c r="G587" s="6" t="s">
        <v>38</v>
      </c>
      <c r="H587" s="6" t="s">
        <v>43</v>
      </c>
      <c r="I587" s="6" t="s">
        <v>14</v>
      </c>
      <c r="J587" s="6" t="s">
        <v>15</v>
      </c>
      <c r="K587" s="20">
        <f>C587/D587</f>
        <v>319.51219512195121</v>
      </c>
      <c r="L587" s="11">
        <f>PMT(F587/100/12, 300, -(C587 *
(1 - G587/100)))</f>
        <v>3076.6459116724791</v>
      </c>
      <c r="M587" s="11">
        <f t="shared" si="45"/>
        <v>412093.77350174362</v>
      </c>
      <c r="N587" s="11">
        <f t="shared" si="46"/>
        <v>922993.77350174356</v>
      </c>
      <c r="O587">
        <f t="shared" si="47"/>
        <v>510900</v>
      </c>
      <c r="P587">
        <v>821.20093893129774</v>
      </c>
      <c r="R587" t="str">
        <f t="shared" si="48"/>
        <v>4</v>
      </c>
      <c r="S587">
        <f t="shared" si="49"/>
        <v>821.21043256997461</v>
      </c>
    </row>
    <row r="588" spans="1:19">
      <c r="A588" s="6" t="s">
        <v>16</v>
      </c>
      <c r="B588" s="6" t="s">
        <v>11</v>
      </c>
      <c r="C588" s="6">
        <v>640000</v>
      </c>
      <c r="D588" s="6">
        <v>2000</v>
      </c>
      <c r="E588" s="6">
        <v>2024</v>
      </c>
      <c r="F588" s="6">
        <v>5.3</v>
      </c>
      <c r="G588" s="6" t="s">
        <v>38</v>
      </c>
      <c r="H588" s="6" t="s">
        <v>43</v>
      </c>
      <c r="I588" s="6" t="s">
        <v>14</v>
      </c>
      <c r="J588" s="6" t="s">
        <v>15</v>
      </c>
      <c r="K588" s="20">
        <f>C588/D588</f>
        <v>320</v>
      </c>
      <c r="L588" s="11">
        <f>PMT(F588/100/12, 300, -(C588 *
(1 - G588/100)))</f>
        <v>3006.1883717105138</v>
      </c>
      <c r="M588" s="11">
        <f t="shared" si="45"/>
        <v>402656.51151315408</v>
      </c>
      <c r="N588" s="11">
        <f t="shared" si="46"/>
        <v>901856.51151315402</v>
      </c>
      <c r="O588">
        <f t="shared" si="47"/>
        <v>499200</v>
      </c>
      <c r="P588">
        <v>801.20093750000001</v>
      </c>
      <c r="R588" t="str">
        <f t="shared" si="48"/>
        <v>4</v>
      </c>
      <c r="S588">
        <f t="shared" si="49"/>
        <v>801.21041666666667</v>
      </c>
    </row>
    <row r="589" spans="1:19">
      <c r="A589" s="6" t="s">
        <v>32</v>
      </c>
      <c r="B589" s="6" t="s">
        <v>11</v>
      </c>
      <c r="C589" s="6">
        <v>480000</v>
      </c>
      <c r="D589" s="6">
        <v>1500</v>
      </c>
      <c r="E589" s="6">
        <v>2024</v>
      </c>
      <c r="F589" s="6">
        <v>5.2</v>
      </c>
      <c r="G589" s="6" t="s">
        <v>41</v>
      </c>
      <c r="H589" s="6" t="s">
        <v>13</v>
      </c>
      <c r="I589" s="6" t="s">
        <v>14</v>
      </c>
      <c r="J589" s="6" t="s">
        <v>15</v>
      </c>
      <c r="K589" s="20">
        <f>C589/D589</f>
        <v>320</v>
      </c>
      <c r="L589" s="11">
        <f>PMT(F589/100/12, 300, -(C589 *
(1 - G589/100)))</f>
        <v>2289.7978309684877</v>
      </c>
      <c r="M589" s="11">
        <f t="shared" si="45"/>
        <v>302939.34929054626</v>
      </c>
      <c r="N589" s="11">
        <f t="shared" si="46"/>
        <v>686939.34929054626</v>
      </c>
      <c r="O589">
        <f t="shared" si="47"/>
        <v>384000</v>
      </c>
      <c r="P589">
        <v>600.90093749999994</v>
      </c>
      <c r="R589" t="str">
        <f t="shared" si="48"/>
        <v>3</v>
      </c>
      <c r="S589">
        <f t="shared" si="49"/>
        <v>600.91041666666661</v>
      </c>
    </row>
    <row r="590" spans="1:19">
      <c r="A590" s="4" t="s">
        <v>32</v>
      </c>
      <c r="B590" s="4" t="s">
        <v>11</v>
      </c>
      <c r="C590" s="4">
        <v>475000</v>
      </c>
      <c r="D590" s="4">
        <v>1480</v>
      </c>
      <c r="E590" s="4">
        <v>2023</v>
      </c>
      <c r="F590" s="4">
        <v>6.2</v>
      </c>
      <c r="G590" s="4" t="s">
        <v>41</v>
      </c>
      <c r="H590" s="4" t="s">
        <v>13</v>
      </c>
      <c r="I590" s="4" t="s">
        <v>14</v>
      </c>
      <c r="J590" s="4" t="s">
        <v>15</v>
      </c>
      <c r="K590" s="20">
        <f>C590/D590</f>
        <v>320.94594594594594</v>
      </c>
      <c r="L590" s="11">
        <f>PMT(F590/100/12, 300, -(C590 *
(1 - G590/100)))</f>
        <v>2495.0119653561283</v>
      </c>
      <c r="M590" s="11">
        <f t="shared" si="45"/>
        <v>368503.58960683853</v>
      </c>
      <c r="N590" s="11">
        <f t="shared" si="46"/>
        <v>748503.58960683853</v>
      </c>
      <c r="O590">
        <f t="shared" si="47"/>
        <v>380000</v>
      </c>
      <c r="P590">
        <v>592.90093473684203</v>
      </c>
      <c r="R590" t="str">
        <f t="shared" si="48"/>
        <v>3</v>
      </c>
      <c r="S590">
        <f t="shared" si="49"/>
        <v>592.91038596491228</v>
      </c>
    </row>
    <row r="591" spans="1:19">
      <c r="A591" s="6" t="s">
        <v>33</v>
      </c>
      <c r="B591" s="6" t="s">
        <v>11</v>
      </c>
      <c r="C591" s="6">
        <v>530000</v>
      </c>
      <c r="D591" s="6">
        <v>1650</v>
      </c>
      <c r="E591" s="6">
        <v>2023</v>
      </c>
      <c r="F591" s="6">
        <v>6</v>
      </c>
      <c r="G591" s="6" t="s">
        <v>41</v>
      </c>
      <c r="H591" s="6" t="s">
        <v>13</v>
      </c>
      <c r="I591" s="6" t="s">
        <v>14</v>
      </c>
      <c r="J591" s="6" t="s">
        <v>15</v>
      </c>
      <c r="K591" s="20">
        <f>C591/D591</f>
        <v>321.21212121212119</v>
      </c>
      <c r="L591" s="11">
        <f>PMT(F591/100/12, 300, -(C591 *
(1 - G591/100)))</f>
        <v>2731.8379422985563</v>
      </c>
      <c r="M591" s="11">
        <f t="shared" si="45"/>
        <v>395551.38268956693</v>
      </c>
      <c r="N591" s="11">
        <f t="shared" si="46"/>
        <v>819551.38268956693</v>
      </c>
      <c r="O591">
        <f t="shared" si="47"/>
        <v>424000</v>
      </c>
      <c r="P591">
        <v>660.90093396226416</v>
      </c>
      <c r="R591" t="str">
        <f t="shared" si="48"/>
        <v>3</v>
      </c>
      <c r="S591">
        <f t="shared" si="49"/>
        <v>660.91037735849056</v>
      </c>
    </row>
    <row r="592" spans="1:19">
      <c r="A592" s="4" t="s">
        <v>16</v>
      </c>
      <c r="B592" s="4" t="s">
        <v>11</v>
      </c>
      <c r="C592" s="4">
        <v>630000</v>
      </c>
      <c r="D592" s="4">
        <v>1950</v>
      </c>
      <c r="E592" s="4">
        <v>2024</v>
      </c>
      <c r="F592" s="4">
        <v>5.3</v>
      </c>
      <c r="G592" s="4" t="s">
        <v>38</v>
      </c>
      <c r="H592" s="4" t="s">
        <v>43</v>
      </c>
      <c r="I592" s="4" t="s">
        <v>14</v>
      </c>
      <c r="J592" s="4" t="s">
        <v>15</v>
      </c>
      <c r="K592" s="20">
        <f>C592/D592</f>
        <v>323.07692307692309</v>
      </c>
      <c r="L592" s="11">
        <f>PMT(F592/100/12, 300, -(C592 *
(1 - G592/100)))</f>
        <v>2959.2166784025371</v>
      </c>
      <c r="M592" s="11">
        <f t="shared" si="45"/>
        <v>396365.00352076109</v>
      </c>
      <c r="N592" s="11">
        <f t="shared" si="46"/>
        <v>887765.00352076115</v>
      </c>
      <c r="O592">
        <f t="shared" si="47"/>
        <v>491400</v>
      </c>
      <c r="P592">
        <v>781.20092857142856</v>
      </c>
      <c r="R592" t="str">
        <f t="shared" si="48"/>
        <v>4</v>
      </c>
      <c r="S592">
        <f t="shared" si="49"/>
        <v>781.21031746031747</v>
      </c>
    </row>
    <row r="593" spans="1:19">
      <c r="A593" s="6" t="s">
        <v>32</v>
      </c>
      <c r="B593" s="6" t="s">
        <v>11</v>
      </c>
      <c r="C593" s="6">
        <v>460000</v>
      </c>
      <c r="D593" s="6">
        <v>1420</v>
      </c>
      <c r="E593" s="6">
        <v>2023</v>
      </c>
      <c r="F593" s="6">
        <v>6.1</v>
      </c>
      <c r="G593" s="6" t="s">
        <v>41</v>
      </c>
      <c r="H593" s="6" t="s">
        <v>13</v>
      </c>
      <c r="I593" s="6" t="s">
        <v>14</v>
      </c>
      <c r="J593" s="6" t="s">
        <v>15</v>
      </c>
      <c r="K593" s="20">
        <f>C593/D593</f>
        <v>323.94366197183098</v>
      </c>
      <c r="L593" s="11">
        <f>PMT(F593/100/12, 300, -(C593 *
(1 - G593/100)))</f>
        <v>2393.5750812562201</v>
      </c>
      <c r="M593" s="11">
        <f t="shared" si="45"/>
        <v>350072.52437686606</v>
      </c>
      <c r="N593" s="11">
        <f t="shared" si="46"/>
        <v>718072.52437686606</v>
      </c>
      <c r="O593">
        <f t="shared" si="47"/>
        <v>368000</v>
      </c>
      <c r="P593">
        <v>568.90092608695647</v>
      </c>
      <c r="R593" t="str">
        <f t="shared" si="48"/>
        <v>3</v>
      </c>
      <c r="S593">
        <f t="shared" si="49"/>
        <v>568.91028985507239</v>
      </c>
    </row>
    <row r="594" spans="1:19">
      <c r="A594" s="6" t="s">
        <v>32</v>
      </c>
      <c r="B594" s="6" t="s">
        <v>11</v>
      </c>
      <c r="C594" s="6">
        <v>470000</v>
      </c>
      <c r="D594" s="6">
        <v>1450</v>
      </c>
      <c r="E594" s="6">
        <v>2024</v>
      </c>
      <c r="F594" s="6">
        <v>5.2</v>
      </c>
      <c r="G594" s="6" t="s">
        <v>41</v>
      </c>
      <c r="H594" s="6" t="s">
        <v>13</v>
      </c>
      <c r="I594" s="6" t="s">
        <v>14</v>
      </c>
      <c r="J594" s="6" t="s">
        <v>15</v>
      </c>
      <c r="K594" s="20">
        <f>C594/D594</f>
        <v>324.13793103448273</v>
      </c>
      <c r="L594" s="11">
        <f>PMT(F594/100/12, 300, -(C594 *
(1 - G594/100)))</f>
        <v>2242.0937094899778</v>
      </c>
      <c r="M594" s="11">
        <f t="shared" si="45"/>
        <v>296628.11284699314</v>
      </c>
      <c r="N594" s="11">
        <f t="shared" si="46"/>
        <v>672628.11284699314</v>
      </c>
      <c r="O594">
        <f t="shared" si="47"/>
        <v>376000</v>
      </c>
      <c r="P594">
        <v>580.90092553191482</v>
      </c>
      <c r="R594" t="str">
        <f t="shared" si="48"/>
        <v>3</v>
      </c>
      <c r="S594">
        <f t="shared" si="49"/>
        <v>580.91028368794321</v>
      </c>
    </row>
    <row r="595" spans="1:19">
      <c r="A595" s="4" t="s">
        <v>30</v>
      </c>
      <c r="B595" s="4" t="s">
        <v>11</v>
      </c>
      <c r="C595" s="4">
        <v>470000</v>
      </c>
      <c r="D595" s="4">
        <v>1450</v>
      </c>
      <c r="E595" s="4">
        <v>2024</v>
      </c>
      <c r="F595" s="4">
        <v>5.3</v>
      </c>
      <c r="G595" s="4" t="s">
        <v>38</v>
      </c>
      <c r="H595" s="4" t="s">
        <v>13</v>
      </c>
      <c r="I595" s="4" t="s">
        <v>14</v>
      </c>
      <c r="J595" s="4" t="s">
        <v>15</v>
      </c>
      <c r="K595" s="20">
        <f>C595/D595</f>
        <v>324.13793103448273</v>
      </c>
      <c r="L595" s="11">
        <f>PMT(F595/100/12, 300, -(C595 *
(1 - G595/100)))</f>
        <v>2207.6695854749087</v>
      </c>
      <c r="M595" s="11">
        <f t="shared" si="45"/>
        <v>295700.87564247259</v>
      </c>
      <c r="N595" s="11">
        <f t="shared" si="46"/>
        <v>662300.87564247265</v>
      </c>
      <c r="O595">
        <f t="shared" si="47"/>
        <v>366600</v>
      </c>
      <c r="P595">
        <v>580.90092553191482</v>
      </c>
      <c r="R595" t="str">
        <f t="shared" si="48"/>
        <v>3</v>
      </c>
      <c r="S595">
        <f t="shared" si="49"/>
        <v>580.91028368794321</v>
      </c>
    </row>
    <row r="596" spans="1:19">
      <c r="A596" s="6" t="s">
        <v>22</v>
      </c>
      <c r="B596" s="6" t="s">
        <v>17</v>
      </c>
      <c r="C596" s="6">
        <v>240000</v>
      </c>
      <c r="D596" s="6">
        <v>740</v>
      </c>
      <c r="E596" s="6">
        <v>2024</v>
      </c>
      <c r="F596" s="6">
        <v>5.4</v>
      </c>
      <c r="G596" s="6" t="s">
        <v>36</v>
      </c>
      <c r="H596" s="6" t="s">
        <v>25</v>
      </c>
      <c r="I596" s="6" t="s">
        <v>20</v>
      </c>
      <c r="J596" s="6" t="s">
        <v>21</v>
      </c>
      <c r="K596" s="20">
        <f>C596/D596</f>
        <v>324.32432432432432</v>
      </c>
      <c r="L596" s="11">
        <f>PMT(F596/100/12, 300, -(C596 *
(1 - G596/100)))</f>
        <v>1386.5362116907056</v>
      </c>
      <c r="M596" s="11">
        <f t="shared" si="45"/>
        <v>187960.8635072117</v>
      </c>
      <c r="N596" s="11">
        <f t="shared" si="46"/>
        <v>415960.86350721167</v>
      </c>
      <c r="O596">
        <f t="shared" si="47"/>
        <v>228000</v>
      </c>
      <c r="P596">
        <v>296.30092500000001</v>
      </c>
      <c r="R596" t="str">
        <f t="shared" si="48"/>
        <v>1</v>
      </c>
      <c r="S596">
        <f t="shared" si="49"/>
        <v>296.3102777777778</v>
      </c>
    </row>
    <row r="597" spans="1:19">
      <c r="A597" s="4" t="s">
        <v>35</v>
      </c>
      <c r="B597" s="4" t="s">
        <v>23</v>
      </c>
      <c r="C597" s="4">
        <v>240000</v>
      </c>
      <c r="D597" s="4">
        <v>740</v>
      </c>
      <c r="E597" s="4">
        <v>2023</v>
      </c>
      <c r="F597" s="4">
        <v>6.6</v>
      </c>
      <c r="G597" s="4" t="s">
        <v>42</v>
      </c>
      <c r="H597" s="4" t="s">
        <v>25</v>
      </c>
      <c r="I597" s="4" t="s">
        <v>20</v>
      </c>
      <c r="J597" s="4" t="s">
        <v>21</v>
      </c>
      <c r="K597" s="20">
        <f>C597/D597</f>
        <v>324.32432432432432</v>
      </c>
      <c r="L597" s="11">
        <f>PMT(F597/100/12, 300, -(C597 *
(1 - G597/100)))</f>
        <v>1537.3942884099422</v>
      </c>
      <c r="M597" s="11">
        <f t="shared" si="45"/>
        <v>235618.28652298258</v>
      </c>
      <c r="N597" s="11">
        <f t="shared" si="46"/>
        <v>461218.28652298258</v>
      </c>
      <c r="O597">
        <f t="shared" si="47"/>
        <v>225600</v>
      </c>
      <c r="P597">
        <v>296.30092500000001</v>
      </c>
      <c r="R597" t="str">
        <f t="shared" si="48"/>
        <v>1</v>
      </c>
      <c r="S597">
        <f t="shared" si="49"/>
        <v>296.3102777777778</v>
      </c>
    </row>
    <row r="598" spans="1:19">
      <c r="A598" s="4" t="s">
        <v>35</v>
      </c>
      <c r="B598" s="4" t="s">
        <v>23</v>
      </c>
      <c r="C598" s="4">
        <v>240000</v>
      </c>
      <c r="D598" s="4">
        <v>740</v>
      </c>
      <c r="E598" s="4">
        <v>2024</v>
      </c>
      <c r="F598" s="4">
        <v>5.3</v>
      </c>
      <c r="G598" s="4" t="s">
        <v>42</v>
      </c>
      <c r="H598" s="4" t="s">
        <v>25</v>
      </c>
      <c r="I598" s="4" t="s">
        <v>20</v>
      </c>
      <c r="J598" s="4" t="s">
        <v>21</v>
      </c>
      <c r="K598" s="20">
        <f>C598/D598</f>
        <v>324.32432432432432</v>
      </c>
      <c r="L598" s="11">
        <f>PMT(F598/100/12, 300, -(C598 *
(1 - G598/100)))</f>
        <v>1358.56589875379</v>
      </c>
      <c r="M598" s="11">
        <f t="shared" si="45"/>
        <v>181969.76962613699</v>
      </c>
      <c r="N598" s="11">
        <f t="shared" si="46"/>
        <v>407569.76962613699</v>
      </c>
      <c r="O598">
        <f t="shared" si="47"/>
        <v>225600</v>
      </c>
      <c r="P598">
        <v>296.30092500000001</v>
      </c>
      <c r="R598" t="str">
        <f t="shared" si="48"/>
        <v>1</v>
      </c>
      <c r="S598">
        <f t="shared" si="49"/>
        <v>296.3102777777778</v>
      </c>
    </row>
    <row r="599" spans="1:19">
      <c r="A599" s="4" t="s">
        <v>22</v>
      </c>
      <c r="B599" s="4" t="s">
        <v>17</v>
      </c>
      <c r="C599" s="4">
        <v>240000</v>
      </c>
      <c r="D599" s="4">
        <v>740</v>
      </c>
      <c r="E599" s="4">
        <v>2023</v>
      </c>
      <c r="F599" s="4">
        <v>6.4</v>
      </c>
      <c r="G599" s="4" t="s">
        <v>36</v>
      </c>
      <c r="H599" s="4" t="s">
        <v>25</v>
      </c>
      <c r="I599" s="4" t="s">
        <v>20</v>
      </c>
      <c r="J599" s="4" t="s">
        <v>21</v>
      </c>
      <c r="K599" s="20">
        <f>C599/D599</f>
        <v>324.32432432432432</v>
      </c>
      <c r="L599" s="11">
        <f>PMT(F599/100/12, 300, -(C599 *
(1 - G599/100)))</f>
        <v>1525.2558788422934</v>
      </c>
      <c r="M599" s="11">
        <f t="shared" si="45"/>
        <v>229576.76365268818</v>
      </c>
      <c r="N599" s="11">
        <f t="shared" si="46"/>
        <v>457576.76365268818</v>
      </c>
      <c r="O599">
        <f t="shared" si="47"/>
        <v>228000</v>
      </c>
      <c r="P599">
        <v>296.30092500000001</v>
      </c>
      <c r="R599" t="str">
        <f t="shared" si="48"/>
        <v>1</v>
      </c>
      <c r="S599">
        <f t="shared" si="49"/>
        <v>296.3102777777778</v>
      </c>
    </row>
    <row r="600" spans="1:19">
      <c r="A600" s="4" t="s">
        <v>32</v>
      </c>
      <c r="B600" s="4" t="s">
        <v>11</v>
      </c>
      <c r="C600" s="4">
        <v>455000</v>
      </c>
      <c r="D600" s="4">
        <v>1400</v>
      </c>
      <c r="E600" s="4">
        <v>2023</v>
      </c>
      <c r="F600" s="4">
        <v>6.2</v>
      </c>
      <c r="G600" s="4" t="s">
        <v>41</v>
      </c>
      <c r="H600" s="4" t="s">
        <v>13</v>
      </c>
      <c r="I600" s="4" t="s">
        <v>14</v>
      </c>
      <c r="J600" s="4" t="s">
        <v>15</v>
      </c>
      <c r="K600" s="20">
        <f>C600/D600</f>
        <v>325</v>
      </c>
      <c r="L600" s="11">
        <f>PMT(F600/100/12, 300, -(C600 *
(1 - G600/100)))</f>
        <v>2389.9588299727125</v>
      </c>
      <c r="M600" s="11">
        <f t="shared" si="45"/>
        <v>352987.64899181371</v>
      </c>
      <c r="N600" s="11">
        <f t="shared" si="46"/>
        <v>716987.64899181365</v>
      </c>
      <c r="O600">
        <f t="shared" si="47"/>
        <v>364000</v>
      </c>
      <c r="P600">
        <v>560.90092307692305</v>
      </c>
      <c r="R600" t="str">
        <f t="shared" si="48"/>
        <v>3</v>
      </c>
      <c r="S600">
        <f t="shared" si="49"/>
        <v>560.91025641025635</v>
      </c>
    </row>
    <row r="601" spans="1:19">
      <c r="A601" s="6" t="s">
        <v>32</v>
      </c>
      <c r="B601" s="6" t="s">
        <v>11</v>
      </c>
      <c r="C601" s="6">
        <v>455000</v>
      </c>
      <c r="D601" s="6">
        <v>1400</v>
      </c>
      <c r="E601" s="6">
        <v>2024</v>
      </c>
      <c r="F601" s="6">
        <v>5.0999999999999996</v>
      </c>
      <c r="G601" s="6" t="s">
        <v>41</v>
      </c>
      <c r="H601" s="6" t="s">
        <v>13</v>
      </c>
      <c r="I601" s="6" t="s">
        <v>14</v>
      </c>
      <c r="J601" s="6" t="s">
        <v>15</v>
      </c>
      <c r="K601" s="20">
        <f>C601/D601</f>
        <v>325</v>
      </c>
      <c r="L601" s="11">
        <f>PMT(F601/100/12, 300, -(C601 *
(1 - G601/100)))</f>
        <v>2149.169101052039</v>
      </c>
      <c r="M601" s="11">
        <f t="shared" si="45"/>
        <v>280750.7303156117</v>
      </c>
      <c r="N601" s="11">
        <f t="shared" si="46"/>
        <v>644750.7303156117</v>
      </c>
      <c r="O601">
        <f t="shared" si="47"/>
        <v>364000</v>
      </c>
      <c r="P601">
        <v>560.90092307692305</v>
      </c>
      <c r="R601" t="str">
        <f t="shared" si="48"/>
        <v>3</v>
      </c>
      <c r="S601">
        <f t="shared" si="49"/>
        <v>560.91025641025635</v>
      </c>
    </row>
    <row r="602" spans="1:19">
      <c r="A602" s="6" t="s">
        <v>16</v>
      </c>
      <c r="B602" s="6" t="s">
        <v>11</v>
      </c>
      <c r="C602" s="6">
        <v>650000</v>
      </c>
      <c r="D602" s="6">
        <v>2000</v>
      </c>
      <c r="E602" s="6">
        <v>2024</v>
      </c>
      <c r="F602" s="6">
        <v>5.3</v>
      </c>
      <c r="G602" s="6" t="s">
        <v>38</v>
      </c>
      <c r="H602" s="6" t="s">
        <v>43</v>
      </c>
      <c r="I602" s="6" t="s">
        <v>14</v>
      </c>
      <c r="J602" s="6" t="s">
        <v>15</v>
      </c>
      <c r="K602" s="20">
        <f>C602/D602</f>
        <v>325</v>
      </c>
      <c r="L602" s="11">
        <f>PMT(F602/100/12, 300, -(C602 *
(1 - G602/100)))</f>
        <v>3053.1600650184905</v>
      </c>
      <c r="M602" s="11">
        <f t="shared" si="45"/>
        <v>408948.01950554707</v>
      </c>
      <c r="N602" s="11">
        <f t="shared" si="46"/>
        <v>915948.01950554713</v>
      </c>
      <c r="O602">
        <f t="shared" si="47"/>
        <v>507000</v>
      </c>
      <c r="P602">
        <v>801.20092307692312</v>
      </c>
      <c r="R602" t="str">
        <f t="shared" si="48"/>
        <v>4</v>
      </c>
      <c r="S602">
        <f t="shared" si="49"/>
        <v>801.21025641025642</v>
      </c>
    </row>
    <row r="603" spans="1:19">
      <c r="A603" s="4" t="s">
        <v>37</v>
      </c>
      <c r="B603" s="4" t="s">
        <v>11</v>
      </c>
      <c r="C603" s="4">
        <v>570000</v>
      </c>
      <c r="D603" s="4">
        <v>1750</v>
      </c>
      <c r="E603" s="4">
        <v>2024</v>
      </c>
      <c r="F603" s="4">
        <v>5.0999999999999996</v>
      </c>
      <c r="G603" s="4" t="s">
        <v>38</v>
      </c>
      <c r="H603" s="4" t="s">
        <v>13</v>
      </c>
      <c r="I603" s="4" t="s">
        <v>14</v>
      </c>
      <c r="J603" s="4" t="s">
        <v>29</v>
      </c>
      <c r="K603" s="20">
        <f>C603/D603</f>
        <v>325.71428571428572</v>
      </c>
      <c r="L603" s="11">
        <f>PMT(F603/100/12, 300, -(C603 *
(1 - G603/100)))</f>
        <v>2625.0565448564194</v>
      </c>
      <c r="M603" s="11">
        <f t="shared" si="45"/>
        <v>342916.96345692576</v>
      </c>
      <c r="N603" s="11">
        <f t="shared" si="46"/>
        <v>787516.9634569257</v>
      </c>
      <c r="O603">
        <f t="shared" si="47"/>
        <v>444600</v>
      </c>
      <c r="P603">
        <v>700.90092105263159</v>
      </c>
      <c r="R603" t="str">
        <f t="shared" si="48"/>
        <v>3</v>
      </c>
      <c r="S603">
        <f t="shared" si="49"/>
        <v>700.9102339181286</v>
      </c>
    </row>
    <row r="604" spans="1:19">
      <c r="A604" s="6" t="s">
        <v>37</v>
      </c>
      <c r="B604" s="6" t="s">
        <v>11</v>
      </c>
      <c r="C604" s="6">
        <v>580000</v>
      </c>
      <c r="D604" s="6">
        <v>1780</v>
      </c>
      <c r="E604" s="6">
        <v>2023</v>
      </c>
      <c r="F604" s="6">
        <v>6.1</v>
      </c>
      <c r="G604" s="6" t="s">
        <v>41</v>
      </c>
      <c r="H604" s="6" t="s">
        <v>13</v>
      </c>
      <c r="I604" s="6" t="s">
        <v>14</v>
      </c>
      <c r="J604" s="6" t="s">
        <v>15</v>
      </c>
      <c r="K604" s="20">
        <f>C604/D604</f>
        <v>325.84269662921349</v>
      </c>
      <c r="L604" s="11">
        <f>PMT(F604/100/12, 300, -(C604 *
(1 - G604/100)))</f>
        <v>3017.9859720187123</v>
      </c>
      <c r="M604" s="11">
        <f t="shared" si="45"/>
        <v>441395.79160561366</v>
      </c>
      <c r="N604" s="11">
        <f t="shared" si="46"/>
        <v>905395.79160561366</v>
      </c>
      <c r="O604">
        <f t="shared" si="47"/>
        <v>464000</v>
      </c>
      <c r="P604">
        <v>712.90092068965509</v>
      </c>
      <c r="R604" t="str">
        <f t="shared" si="48"/>
        <v>3</v>
      </c>
      <c r="S604">
        <f t="shared" si="49"/>
        <v>712.91022988505745</v>
      </c>
    </row>
    <row r="605" spans="1:19">
      <c r="A605" s="6" t="s">
        <v>32</v>
      </c>
      <c r="B605" s="6" t="s">
        <v>11</v>
      </c>
      <c r="C605" s="6">
        <v>450000</v>
      </c>
      <c r="D605" s="6">
        <v>1380</v>
      </c>
      <c r="E605" s="6">
        <v>2024</v>
      </c>
      <c r="F605" s="6">
        <v>5.2</v>
      </c>
      <c r="G605" s="6" t="s">
        <v>41</v>
      </c>
      <c r="H605" s="6" t="s">
        <v>13</v>
      </c>
      <c r="I605" s="6" t="s">
        <v>14</v>
      </c>
      <c r="J605" s="6" t="s">
        <v>15</v>
      </c>
      <c r="K605" s="20">
        <f>C605/D605</f>
        <v>326.08695652173913</v>
      </c>
      <c r="L605" s="11">
        <f>PMT(F605/100/12, 300, -(C605 *
(1 - G605/100)))</f>
        <v>2146.6854665329574</v>
      </c>
      <c r="M605" s="11">
        <f t="shared" si="45"/>
        <v>284005.63995988719</v>
      </c>
      <c r="N605" s="11">
        <f t="shared" si="46"/>
        <v>644005.63995988714</v>
      </c>
      <c r="O605">
        <f t="shared" si="47"/>
        <v>360000</v>
      </c>
      <c r="P605">
        <v>552.90091999999993</v>
      </c>
      <c r="R605" t="str">
        <f t="shared" si="48"/>
        <v>3</v>
      </c>
      <c r="S605">
        <f t="shared" si="49"/>
        <v>552.91022222222216</v>
      </c>
    </row>
    <row r="606" spans="1:19">
      <c r="A606" s="6" t="s">
        <v>16</v>
      </c>
      <c r="B606" s="6" t="s">
        <v>11</v>
      </c>
      <c r="C606" s="6">
        <v>620000</v>
      </c>
      <c r="D606" s="6">
        <v>1900</v>
      </c>
      <c r="E606" s="6">
        <v>2024</v>
      </c>
      <c r="F606" s="6">
        <v>5.3</v>
      </c>
      <c r="G606" s="6" t="s">
        <v>38</v>
      </c>
      <c r="H606" s="6" t="s">
        <v>43</v>
      </c>
      <c r="I606" s="6" t="s">
        <v>14</v>
      </c>
      <c r="J606" s="6" t="s">
        <v>15</v>
      </c>
      <c r="K606" s="20">
        <f>C606/D606</f>
        <v>326.31578947368422</v>
      </c>
      <c r="L606" s="11">
        <f>PMT(F606/100/12, 300, -(C606 *
(1 - G606/100)))</f>
        <v>2912.2449850945604</v>
      </c>
      <c r="M606" s="11">
        <f t="shared" si="45"/>
        <v>390073.4955283681</v>
      </c>
      <c r="N606" s="11">
        <f t="shared" si="46"/>
        <v>873673.49552836805</v>
      </c>
      <c r="O606">
        <f t="shared" si="47"/>
        <v>483600</v>
      </c>
      <c r="P606">
        <v>761.20091935483879</v>
      </c>
      <c r="R606" t="str">
        <f t="shared" si="48"/>
        <v>4</v>
      </c>
      <c r="S606">
        <f t="shared" si="49"/>
        <v>761.21021505376348</v>
      </c>
    </row>
    <row r="607" spans="1:19">
      <c r="A607" s="6" t="s">
        <v>33</v>
      </c>
      <c r="B607" s="6" t="s">
        <v>11</v>
      </c>
      <c r="C607" s="6">
        <v>540000</v>
      </c>
      <c r="D607" s="6">
        <v>1650</v>
      </c>
      <c r="E607" s="6">
        <v>2024</v>
      </c>
      <c r="F607" s="6">
        <v>5.0999999999999996</v>
      </c>
      <c r="G607" s="6" t="s">
        <v>41</v>
      </c>
      <c r="H607" s="6" t="s">
        <v>13</v>
      </c>
      <c r="I607" s="6" t="s">
        <v>14</v>
      </c>
      <c r="J607" s="6" t="s">
        <v>15</v>
      </c>
      <c r="K607" s="20">
        <f>C607/D607</f>
        <v>327.27272727272725</v>
      </c>
      <c r="L607" s="11">
        <f>PMT(F607/100/12, 300, -(C607 *
(1 - G607/100)))</f>
        <v>2550.6622298200023</v>
      </c>
      <c r="M607" s="11">
        <f t="shared" si="45"/>
        <v>333198.66894600063</v>
      </c>
      <c r="N607" s="11">
        <f t="shared" si="46"/>
        <v>765198.66894600063</v>
      </c>
      <c r="O607">
        <f t="shared" si="47"/>
        <v>432000</v>
      </c>
      <c r="P607">
        <v>660.9009166666666</v>
      </c>
      <c r="R607" t="str">
        <f t="shared" si="48"/>
        <v>3</v>
      </c>
      <c r="S607">
        <f t="shared" si="49"/>
        <v>660.91018518518513</v>
      </c>
    </row>
    <row r="608" spans="1:19">
      <c r="A608" s="4" t="s">
        <v>37</v>
      </c>
      <c r="B608" s="4" t="s">
        <v>11</v>
      </c>
      <c r="C608" s="4">
        <v>590000</v>
      </c>
      <c r="D608" s="4">
        <v>1800</v>
      </c>
      <c r="E608" s="4">
        <v>2024</v>
      </c>
      <c r="F608" s="4">
        <v>5.0999999999999996</v>
      </c>
      <c r="G608" s="4" t="s">
        <v>41</v>
      </c>
      <c r="H608" s="4" t="s">
        <v>13</v>
      </c>
      <c r="I608" s="4" t="s">
        <v>14</v>
      </c>
      <c r="J608" s="4" t="s">
        <v>15</v>
      </c>
      <c r="K608" s="20">
        <f>C608/D608</f>
        <v>327.77777777777777</v>
      </c>
      <c r="L608" s="11">
        <f>PMT(F608/100/12, 300, -(C608 *
(1 - G608/100)))</f>
        <v>2786.8346585070399</v>
      </c>
      <c r="M608" s="11">
        <f t="shared" si="45"/>
        <v>364050.39755211194</v>
      </c>
      <c r="N608" s="11">
        <f t="shared" si="46"/>
        <v>836050.39755211188</v>
      </c>
      <c r="O608">
        <f t="shared" si="47"/>
        <v>472000</v>
      </c>
      <c r="P608">
        <v>720.90091525423725</v>
      </c>
      <c r="R608" t="str">
        <f t="shared" si="48"/>
        <v>3</v>
      </c>
      <c r="S608">
        <f t="shared" si="49"/>
        <v>720.91016949152538</v>
      </c>
    </row>
    <row r="609" spans="1:19">
      <c r="A609" s="6" t="s">
        <v>30</v>
      </c>
      <c r="B609" s="6" t="s">
        <v>11</v>
      </c>
      <c r="C609" s="6">
        <v>460000</v>
      </c>
      <c r="D609" s="6">
        <v>1400</v>
      </c>
      <c r="E609" s="6">
        <v>2023</v>
      </c>
      <c r="F609" s="6">
        <v>6.2</v>
      </c>
      <c r="G609" s="6" t="s">
        <v>38</v>
      </c>
      <c r="H609" s="6" t="s">
        <v>13</v>
      </c>
      <c r="I609" s="6" t="s">
        <v>14</v>
      </c>
      <c r="J609" s="6" t="s">
        <v>15</v>
      </c>
      <c r="K609" s="20">
        <f>C609/D609</f>
        <v>328.57142857142856</v>
      </c>
      <c r="L609" s="11">
        <f>PMT(F609/100/12, 300, -(C609 *
(1 - G609/100)))</f>
        <v>2355.8165609731022</v>
      </c>
      <c r="M609" s="11">
        <f t="shared" si="45"/>
        <v>347944.96829193062</v>
      </c>
      <c r="N609" s="11">
        <f t="shared" si="46"/>
        <v>706744.96829193062</v>
      </c>
      <c r="O609">
        <f t="shared" si="47"/>
        <v>358800</v>
      </c>
      <c r="P609">
        <v>560.90091304347823</v>
      </c>
      <c r="R609" t="str">
        <f t="shared" si="48"/>
        <v>3</v>
      </c>
      <c r="S609">
        <f t="shared" si="49"/>
        <v>560.91014492753618</v>
      </c>
    </row>
    <row r="610" spans="1:19">
      <c r="A610" s="4" t="s">
        <v>33</v>
      </c>
      <c r="B610" s="4" t="s">
        <v>11</v>
      </c>
      <c r="C610" s="4">
        <v>520000</v>
      </c>
      <c r="D610" s="4">
        <v>1580</v>
      </c>
      <c r="E610" s="4">
        <v>2024</v>
      </c>
      <c r="F610" s="4">
        <v>5.0999999999999996</v>
      </c>
      <c r="G610" s="4" t="s">
        <v>41</v>
      </c>
      <c r="H610" s="4" t="s">
        <v>13</v>
      </c>
      <c r="I610" s="4" t="s">
        <v>14</v>
      </c>
      <c r="J610" s="4" t="s">
        <v>15</v>
      </c>
      <c r="K610" s="20">
        <f>C610/D610</f>
        <v>329.11392405063293</v>
      </c>
      <c r="L610" s="11">
        <f>PMT(F610/100/12, 300, -(C610 *
(1 - G610/100)))</f>
        <v>2456.1932583451871</v>
      </c>
      <c r="M610" s="11">
        <f t="shared" si="45"/>
        <v>320857.97750355618</v>
      </c>
      <c r="N610" s="11">
        <f t="shared" si="46"/>
        <v>736857.97750355618</v>
      </c>
      <c r="O610">
        <f t="shared" si="47"/>
        <v>416000</v>
      </c>
      <c r="P610">
        <v>632.90091153846151</v>
      </c>
      <c r="R610" t="str">
        <f t="shared" si="48"/>
        <v>3</v>
      </c>
      <c r="S610">
        <f t="shared" si="49"/>
        <v>632.91012820512822</v>
      </c>
    </row>
    <row r="611" spans="1:19">
      <c r="A611" s="6" t="s">
        <v>37</v>
      </c>
      <c r="B611" s="6" t="s">
        <v>11</v>
      </c>
      <c r="C611" s="6">
        <v>560000</v>
      </c>
      <c r="D611" s="6">
        <v>1700</v>
      </c>
      <c r="E611" s="6">
        <v>2024</v>
      </c>
      <c r="F611" s="6">
        <v>5.0999999999999996</v>
      </c>
      <c r="G611" s="6" t="s">
        <v>41</v>
      </c>
      <c r="H611" s="6" t="s">
        <v>13</v>
      </c>
      <c r="I611" s="6" t="s">
        <v>14</v>
      </c>
      <c r="J611" s="6" t="s">
        <v>15</v>
      </c>
      <c r="K611" s="20">
        <f>C611/D611</f>
        <v>329.41176470588238</v>
      </c>
      <c r="L611" s="11">
        <f>PMT(F611/100/12, 300, -(C611 *
(1 - G611/100)))</f>
        <v>2645.1312012948174</v>
      </c>
      <c r="M611" s="11">
        <f t="shared" si="45"/>
        <v>345539.36038844514</v>
      </c>
      <c r="N611" s="11">
        <f t="shared" si="46"/>
        <v>793539.3603884452</v>
      </c>
      <c r="O611">
        <f t="shared" si="47"/>
        <v>448000</v>
      </c>
      <c r="P611">
        <v>680.90091071428571</v>
      </c>
      <c r="R611" t="str">
        <f t="shared" si="48"/>
        <v>3</v>
      </c>
      <c r="S611">
        <f t="shared" si="49"/>
        <v>680.91011904761899</v>
      </c>
    </row>
    <row r="612" spans="1:19">
      <c r="A612" s="6" t="s">
        <v>32</v>
      </c>
      <c r="B612" s="6" t="s">
        <v>11</v>
      </c>
      <c r="C612" s="6">
        <v>435000</v>
      </c>
      <c r="D612" s="6">
        <v>1320</v>
      </c>
      <c r="E612" s="6">
        <v>2024</v>
      </c>
      <c r="F612" s="6">
        <v>5.0999999999999996</v>
      </c>
      <c r="G612" s="7">
        <v>10</v>
      </c>
      <c r="H612" s="6" t="s">
        <v>13</v>
      </c>
      <c r="I612" s="6" t="s">
        <v>14</v>
      </c>
      <c r="J612" s="6" t="s">
        <v>15</v>
      </c>
      <c r="K612" s="20">
        <f>C612/D612</f>
        <v>329.54545454545456</v>
      </c>
      <c r="L612" s="11">
        <f>PMT(F612/100/12, 300, -(C612 *
(1 - G612/100)))</f>
        <v>2311.5376457743773</v>
      </c>
      <c r="M612" s="11">
        <f t="shared" si="45"/>
        <v>301961.29373231315</v>
      </c>
      <c r="N612" s="11">
        <f t="shared" si="46"/>
        <v>693461.29373231321</v>
      </c>
      <c r="O612">
        <f t="shared" si="47"/>
        <v>391500</v>
      </c>
      <c r="P612">
        <v>528.90091034482759</v>
      </c>
      <c r="R612" t="str">
        <f t="shared" si="48"/>
        <v>3</v>
      </c>
      <c r="S612">
        <f t="shared" si="49"/>
        <v>528.91011494252871</v>
      </c>
    </row>
    <row r="613" spans="1:19">
      <c r="A613" s="6" t="s">
        <v>32</v>
      </c>
      <c r="B613" s="6" t="s">
        <v>11</v>
      </c>
      <c r="C613" s="6">
        <v>435000</v>
      </c>
      <c r="D613" s="6">
        <v>1320</v>
      </c>
      <c r="E613" s="6">
        <v>2024</v>
      </c>
      <c r="F613" s="6">
        <v>5.0999999999999996</v>
      </c>
      <c r="G613" s="6" t="s">
        <v>41</v>
      </c>
      <c r="H613" s="6" t="s">
        <v>13</v>
      </c>
      <c r="I613" s="6" t="s">
        <v>14</v>
      </c>
      <c r="J613" s="6" t="s">
        <v>15</v>
      </c>
      <c r="K613" s="20">
        <f>C613/D613</f>
        <v>329.54545454545456</v>
      </c>
      <c r="L613" s="11">
        <f>PMT(F613/100/12, 300, -(C613 *
(1 - G613/100)))</f>
        <v>2054.7001295772243</v>
      </c>
      <c r="M613" s="11">
        <f t="shared" si="45"/>
        <v>268410.03887316718</v>
      </c>
      <c r="N613" s="11">
        <f t="shared" si="46"/>
        <v>616410.03887316724</v>
      </c>
      <c r="O613">
        <f t="shared" si="47"/>
        <v>348000</v>
      </c>
      <c r="P613">
        <v>528.90091034482759</v>
      </c>
      <c r="R613" t="str">
        <f t="shared" si="48"/>
        <v>3</v>
      </c>
      <c r="S613">
        <f t="shared" si="49"/>
        <v>528.91011494252871</v>
      </c>
    </row>
    <row r="614" spans="1:19">
      <c r="A614" s="4" t="s">
        <v>32</v>
      </c>
      <c r="B614" s="4" t="s">
        <v>11</v>
      </c>
      <c r="C614" s="4">
        <v>442000</v>
      </c>
      <c r="D614" s="4">
        <v>1340</v>
      </c>
      <c r="E614" s="4">
        <v>2024</v>
      </c>
      <c r="F614" s="4">
        <v>5.2</v>
      </c>
      <c r="G614" s="4" t="s">
        <v>41</v>
      </c>
      <c r="H614" s="4" t="s">
        <v>13</v>
      </c>
      <c r="I614" s="4" t="s">
        <v>14</v>
      </c>
      <c r="J614" s="4" t="s">
        <v>15</v>
      </c>
      <c r="K614" s="20">
        <f>C614/D614</f>
        <v>329.85074626865674</v>
      </c>
      <c r="L614" s="11">
        <f>PMT(F614/100/12, 300, -(C614 *
(1 - G614/100)))</f>
        <v>2108.5221693501489</v>
      </c>
      <c r="M614" s="11">
        <f t="shared" si="45"/>
        <v>278956.65080504469</v>
      </c>
      <c r="N614" s="11">
        <f t="shared" si="46"/>
        <v>632556.65080504469</v>
      </c>
      <c r="O614">
        <f t="shared" si="47"/>
        <v>353600</v>
      </c>
      <c r="P614">
        <v>536.90090950226238</v>
      </c>
      <c r="R614" t="str">
        <f t="shared" si="48"/>
        <v>3</v>
      </c>
      <c r="S614">
        <f t="shared" si="49"/>
        <v>536.91010558069377</v>
      </c>
    </row>
    <row r="615" spans="1:19">
      <c r="A615" s="4" t="s">
        <v>37</v>
      </c>
      <c r="B615" s="4" t="s">
        <v>11</v>
      </c>
      <c r="C615" s="4">
        <v>555000</v>
      </c>
      <c r="D615" s="4">
        <v>1680</v>
      </c>
      <c r="E615" s="4">
        <v>2024</v>
      </c>
      <c r="F615" s="4">
        <v>5.0999999999999996</v>
      </c>
      <c r="G615" s="4" t="s">
        <v>41</v>
      </c>
      <c r="H615" s="4" t="s">
        <v>13</v>
      </c>
      <c r="I615" s="4" t="s">
        <v>14</v>
      </c>
      <c r="J615" s="4" t="s">
        <v>15</v>
      </c>
      <c r="K615" s="20">
        <f>C615/D615</f>
        <v>330.35714285714283</v>
      </c>
      <c r="L615" s="11">
        <f>PMT(F615/100/12, 300, -(C615 *
(1 - G615/100)))</f>
        <v>2621.5139584261137</v>
      </c>
      <c r="M615" s="11">
        <f t="shared" si="45"/>
        <v>342454.18752783403</v>
      </c>
      <c r="N615" s="11">
        <f t="shared" si="46"/>
        <v>786454.18752783397</v>
      </c>
      <c r="O615">
        <f t="shared" si="47"/>
        <v>444000</v>
      </c>
      <c r="P615">
        <v>672.90090810810807</v>
      </c>
      <c r="R615" t="str">
        <f t="shared" si="48"/>
        <v>3</v>
      </c>
      <c r="S615">
        <f t="shared" si="49"/>
        <v>672.91009009009008</v>
      </c>
    </row>
    <row r="616" spans="1:19">
      <c r="A616" s="6" t="s">
        <v>33</v>
      </c>
      <c r="B616" s="6" t="s">
        <v>11</v>
      </c>
      <c r="C616" s="6">
        <v>530000</v>
      </c>
      <c r="D616" s="6">
        <v>1600</v>
      </c>
      <c r="E616" s="6">
        <v>2024</v>
      </c>
      <c r="F616" s="6">
        <v>5.0999999999999996</v>
      </c>
      <c r="G616" s="6" t="s">
        <v>41</v>
      </c>
      <c r="H616" s="6" t="s">
        <v>13</v>
      </c>
      <c r="I616" s="6" t="s">
        <v>14</v>
      </c>
      <c r="J616" s="6" t="s">
        <v>15</v>
      </c>
      <c r="K616" s="20">
        <f>C616/D616</f>
        <v>331.25</v>
      </c>
      <c r="L616" s="11">
        <f>PMT(F616/100/12, 300, -(C616 *
(1 - G616/100)))</f>
        <v>2503.4277440825945</v>
      </c>
      <c r="M616" s="11">
        <f t="shared" si="45"/>
        <v>327028.32322477829</v>
      </c>
      <c r="N616" s="11">
        <f t="shared" si="46"/>
        <v>751028.32322477829</v>
      </c>
      <c r="O616">
        <f t="shared" si="47"/>
        <v>424000</v>
      </c>
      <c r="P616">
        <v>640.90090566037736</v>
      </c>
      <c r="R616" t="str">
        <f t="shared" si="48"/>
        <v>3</v>
      </c>
      <c r="S616">
        <f t="shared" si="49"/>
        <v>640.91006289308177</v>
      </c>
    </row>
    <row r="617" spans="1:19">
      <c r="A617" s="6" t="s">
        <v>37</v>
      </c>
      <c r="B617" s="6" t="s">
        <v>11</v>
      </c>
      <c r="C617" s="6">
        <v>580000</v>
      </c>
      <c r="D617" s="6">
        <v>1750</v>
      </c>
      <c r="E617" s="6">
        <v>2024</v>
      </c>
      <c r="F617" s="6">
        <v>5.0999999999999996</v>
      </c>
      <c r="G617" s="6" t="s">
        <v>41</v>
      </c>
      <c r="H617" s="6" t="s">
        <v>13</v>
      </c>
      <c r="I617" s="6" t="s">
        <v>14</v>
      </c>
      <c r="J617" s="6" t="s">
        <v>15</v>
      </c>
      <c r="K617" s="20">
        <f>C617/D617</f>
        <v>331.42857142857144</v>
      </c>
      <c r="L617" s="11">
        <f>PMT(F617/100/12, 300, -(C617 *
(1 - G617/100)))</f>
        <v>2739.6001727696325</v>
      </c>
      <c r="M617" s="11">
        <f t="shared" si="45"/>
        <v>357880.05183088972</v>
      </c>
      <c r="N617" s="11">
        <f t="shared" si="46"/>
        <v>821880.05183088966</v>
      </c>
      <c r="O617">
        <f t="shared" si="47"/>
        <v>464000</v>
      </c>
      <c r="P617">
        <v>700.90090517241379</v>
      </c>
      <c r="R617" t="str">
        <f t="shared" si="48"/>
        <v>3</v>
      </c>
      <c r="S617">
        <f t="shared" si="49"/>
        <v>700.91005747126439</v>
      </c>
    </row>
    <row r="618" spans="1:19">
      <c r="A618" s="6" t="s">
        <v>33</v>
      </c>
      <c r="B618" s="6" t="s">
        <v>11</v>
      </c>
      <c r="C618" s="6">
        <v>515000</v>
      </c>
      <c r="D618" s="6">
        <v>1550</v>
      </c>
      <c r="E618" s="6">
        <v>2023</v>
      </c>
      <c r="F618" s="6">
        <v>6</v>
      </c>
      <c r="G618" s="6" t="s">
        <v>41</v>
      </c>
      <c r="H618" s="6" t="s">
        <v>13</v>
      </c>
      <c r="I618" s="6" t="s">
        <v>14</v>
      </c>
      <c r="J618" s="6" t="s">
        <v>15</v>
      </c>
      <c r="K618" s="20">
        <f>C618/D618</f>
        <v>332.25806451612902</v>
      </c>
      <c r="L618" s="11">
        <f>PMT(F618/100/12, 300, -(C618 *
(1 - G618/100)))</f>
        <v>2654.5217741202955</v>
      </c>
      <c r="M618" s="11">
        <f t="shared" si="45"/>
        <v>384356.53223608865</v>
      </c>
      <c r="N618" s="11">
        <f t="shared" si="46"/>
        <v>796356.53223608865</v>
      </c>
      <c r="O618">
        <f t="shared" si="47"/>
        <v>412000</v>
      </c>
      <c r="P618">
        <v>620.90090291262129</v>
      </c>
      <c r="R618" t="str">
        <f t="shared" si="48"/>
        <v>3</v>
      </c>
      <c r="S618">
        <f t="shared" si="49"/>
        <v>620.91003236245956</v>
      </c>
    </row>
    <row r="619" spans="1:19">
      <c r="A619" s="6" t="s">
        <v>37</v>
      </c>
      <c r="B619" s="6" t="s">
        <v>11</v>
      </c>
      <c r="C619" s="6">
        <v>550000</v>
      </c>
      <c r="D619" s="6">
        <v>1650</v>
      </c>
      <c r="E619" s="6">
        <v>2023</v>
      </c>
      <c r="F619" s="6">
        <v>6.1</v>
      </c>
      <c r="G619" s="6" t="s">
        <v>41</v>
      </c>
      <c r="H619" s="6" t="s">
        <v>13</v>
      </c>
      <c r="I619" s="6" t="s">
        <v>14</v>
      </c>
      <c r="J619" s="6" t="s">
        <v>15</v>
      </c>
      <c r="K619" s="20">
        <f>C619/D619</f>
        <v>333.33333333333331</v>
      </c>
      <c r="L619" s="11">
        <f>PMT(F619/100/12, 300, -(C619 *
(1 - G619/100)))</f>
        <v>2861.8832493280888</v>
      </c>
      <c r="M619" s="11">
        <f t="shared" si="45"/>
        <v>418564.97479842661</v>
      </c>
      <c r="N619" s="11">
        <f t="shared" si="46"/>
        <v>858564.97479842661</v>
      </c>
      <c r="O619">
        <f t="shared" si="47"/>
        <v>440000</v>
      </c>
      <c r="P619">
        <v>660.90089999999998</v>
      </c>
      <c r="R619" t="str">
        <f t="shared" si="48"/>
        <v>3</v>
      </c>
      <c r="S619">
        <f t="shared" si="49"/>
        <v>660.91</v>
      </c>
    </row>
    <row r="620" spans="1:19">
      <c r="A620" s="6" t="s">
        <v>30</v>
      </c>
      <c r="B620" s="6" t="s">
        <v>11</v>
      </c>
      <c r="C620" s="6">
        <v>450000</v>
      </c>
      <c r="D620" s="6">
        <v>1350</v>
      </c>
      <c r="E620" s="6">
        <v>2023</v>
      </c>
      <c r="F620" s="6">
        <v>6.2</v>
      </c>
      <c r="G620" s="6" t="s">
        <v>38</v>
      </c>
      <c r="H620" s="6" t="s">
        <v>13</v>
      </c>
      <c r="I620" s="6" t="s">
        <v>14</v>
      </c>
      <c r="J620" s="6" t="s">
        <v>15</v>
      </c>
      <c r="K620" s="20">
        <f>C620/D620</f>
        <v>333.33333333333331</v>
      </c>
      <c r="L620" s="11">
        <f>PMT(F620/100/12, 300, -(C620 *
(1 - G620/100)))</f>
        <v>2304.6031574736871</v>
      </c>
      <c r="M620" s="11">
        <f t="shared" si="45"/>
        <v>340380.94724210619</v>
      </c>
      <c r="N620" s="11">
        <f t="shared" si="46"/>
        <v>691380.94724210619</v>
      </c>
      <c r="O620">
        <f t="shared" si="47"/>
        <v>351000</v>
      </c>
      <c r="P620">
        <v>540.90089999999998</v>
      </c>
      <c r="R620" t="str">
        <f t="shared" si="48"/>
        <v>3</v>
      </c>
      <c r="S620">
        <f t="shared" si="49"/>
        <v>540.91</v>
      </c>
    </row>
    <row r="621" spans="1:19">
      <c r="A621" s="6" t="s">
        <v>32</v>
      </c>
      <c r="B621" s="6" t="s">
        <v>11</v>
      </c>
      <c r="C621" s="6">
        <v>460000</v>
      </c>
      <c r="D621" s="6">
        <v>1380</v>
      </c>
      <c r="E621" s="6">
        <v>2024</v>
      </c>
      <c r="F621" s="6">
        <v>5.2</v>
      </c>
      <c r="G621" s="6" t="s">
        <v>41</v>
      </c>
      <c r="H621" s="6" t="s">
        <v>13</v>
      </c>
      <c r="I621" s="6" t="s">
        <v>14</v>
      </c>
      <c r="J621" s="6" t="s">
        <v>15</v>
      </c>
      <c r="K621" s="20">
        <f>C621/D621</f>
        <v>333.33333333333331</v>
      </c>
      <c r="L621" s="11">
        <f>PMT(F621/100/12, 300, -(C621 *
(1 - G621/100)))</f>
        <v>2194.3895880114674</v>
      </c>
      <c r="M621" s="11">
        <f t="shared" si="45"/>
        <v>290316.87640344008</v>
      </c>
      <c r="N621" s="11">
        <f t="shared" si="46"/>
        <v>658316.87640344002</v>
      </c>
      <c r="O621">
        <f t="shared" si="47"/>
        <v>368000</v>
      </c>
      <c r="P621">
        <v>552.90089999999998</v>
      </c>
      <c r="R621" t="str">
        <f t="shared" si="48"/>
        <v>3</v>
      </c>
      <c r="S621">
        <f t="shared" si="49"/>
        <v>552.91</v>
      </c>
    </row>
    <row r="622" spans="1:19">
      <c r="A622" s="4" t="s">
        <v>33</v>
      </c>
      <c r="B622" s="4" t="s">
        <v>23</v>
      </c>
      <c r="C622" s="4">
        <v>300000</v>
      </c>
      <c r="D622" s="4">
        <v>900</v>
      </c>
      <c r="E622" s="4">
        <v>2024</v>
      </c>
      <c r="F622" s="4">
        <v>5.3</v>
      </c>
      <c r="G622" s="4" t="s">
        <v>24</v>
      </c>
      <c r="H622" s="4" t="s">
        <v>19</v>
      </c>
      <c r="I622" s="4" t="s">
        <v>20</v>
      </c>
      <c r="J622" s="4" t="s">
        <v>21</v>
      </c>
      <c r="K622" s="20">
        <f>C622/D622</f>
        <v>333.33333333333331</v>
      </c>
      <c r="L622" s="11">
        <f>PMT(F622/100/12, 300, -(C622 *
(1 - G622/100)))</f>
        <v>1625.9432298915037</v>
      </c>
      <c r="M622" s="11">
        <f t="shared" si="45"/>
        <v>217782.96896745113</v>
      </c>
      <c r="N622" s="11">
        <f t="shared" si="46"/>
        <v>487782.96896745113</v>
      </c>
      <c r="O622">
        <f t="shared" si="47"/>
        <v>270000</v>
      </c>
      <c r="P622">
        <v>360.60090000000002</v>
      </c>
      <c r="R622" t="str">
        <f t="shared" si="48"/>
        <v>2</v>
      </c>
      <c r="S622">
        <f t="shared" si="49"/>
        <v>360.61</v>
      </c>
    </row>
    <row r="623" spans="1:19">
      <c r="A623" s="6" t="s">
        <v>37</v>
      </c>
      <c r="B623" s="6" t="s">
        <v>11</v>
      </c>
      <c r="C623" s="6">
        <v>570000</v>
      </c>
      <c r="D623" s="6">
        <v>1700</v>
      </c>
      <c r="E623" s="6">
        <v>2024</v>
      </c>
      <c r="F623" s="6">
        <v>5.0999999999999996</v>
      </c>
      <c r="G623" s="6" t="s">
        <v>41</v>
      </c>
      <c r="H623" s="6" t="s">
        <v>13</v>
      </c>
      <c r="I623" s="6" t="s">
        <v>14</v>
      </c>
      <c r="J623" s="6" t="s">
        <v>15</v>
      </c>
      <c r="K623" s="20">
        <f>C623/D623</f>
        <v>335.29411764705884</v>
      </c>
      <c r="L623" s="11">
        <f>PMT(F623/100/12, 300, -(C623 *
(1 - G623/100)))</f>
        <v>2692.3656870322247</v>
      </c>
      <c r="M623" s="11">
        <f t="shared" si="45"/>
        <v>351709.70610966737</v>
      </c>
      <c r="N623" s="11">
        <f t="shared" si="46"/>
        <v>807709.70610966743</v>
      </c>
      <c r="O623">
        <f t="shared" si="47"/>
        <v>456000</v>
      </c>
      <c r="P623">
        <v>680.90089473684213</v>
      </c>
      <c r="R623" t="str">
        <f t="shared" si="48"/>
        <v>3</v>
      </c>
      <c r="S623">
        <f t="shared" si="49"/>
        <v>680.90994152046778</v>
      </c>
    </row>
    <row r="624" spans="1:19">
      <c r="A624" s="6" t="s">
        <v>33</v>
      </c>
      <c r="B624" s="6" t="s">
        <v>11</v>
      </c>
      <c r="C624" s="6">
        <v>520000</v>
      </c>
      <c r="D624" s="6">
        <v>1550</v>
      </c>
      <c r="E624" s="6">
        <v>2024</v>
      </c>
      <c r="F624" s="6">
        <v>5.0999999999999996</v>
      </c>
      <c r="G624" s="6" t="s">
        <v>41</v>
      </c>
      <c r="H624" s="6" t="s">
        <v>13</v>
      </c>
      <c r="I624" s="6" t="s">
        <v>14</v>
      </c>
      <c r="J624" s="6" t="s">
        <v>15</v>
      </c>
      <c r="K624" s="20">
        <f>C624/D624</f>
        <v>335.48387096774195</v>
      </c>
      <c r="L624" s="11">
        <f>PMT(F624/100/12, 300, -(C624 *
(1 - G624/100)))</f>
        <v>2456.1932583451871</v>
      </c>
      <c r="M624" s="11">
        <f t="shared" si="45"/>
        <v>320857.97750355618</v>
      </c>
      <c r="N624" s="11">
        <f t="shared" si="46"/>
        <v>736857.97750355618</v>
      </c>
      <c r="O624">
        <f t="shared" si="47"/>
        <v>416000</v>
      </c>
      <c r="P624">
        <v>620.90089423076915</v>
      </c>
      <c r="R624" t="str">
        <f t="shared" si="48"/>
        <v>3</v>
      </c>
      <c r="S624">
        <f t="shared" si="49"/>
        <v>620.90993589743584</v>
      </c>
    </row>
    <row r="625" spans="1:19">
      <c r="A625" s="6" t="s">
        <v>33</v>
      </c>
      <c r="B625" s="6" t="s">
        <v>11</v>
      </c>
      <c r="C625" s="6">
        <v>510000</v>
      </c>
      <c r="D625" s="6">
        <v>1520</v>
      </c>
      <c r="E625" s="6">
        <v>2024</v>
      </c>
      <c r="F625" s="6">
        <v>5.0999999999999996</v>
      </c>
      <c r="G625" s="6" t="s">
        <v>41</v>
      </c>
      <c r="H625" s="6" t="s">
        <v>13</v>
      </c>
      <c r="I625" s="6" t="s">
        <v>14</v>
      </c>
      <c r="J625" s="6" t="s">
        <v>15</v>
      </c>
      <c r="K625" s="20">
        <f>C625/D625</f>
        <v>335.5263157894737</v>
      </c>
      <c r="L625" s="11">
        <f>PMT(F625/100/12, 300, -(C625 *
(1 - G625/100)))</f>
        <v>2408.9587726077798</v>
      </c>
      <c r="M625" s="11">
        <f t="shared" si="45"/>
        <v>314687.63178233395</v>
      </c>
      <c r="N625" s="11">
        <f t="shared" si="46"/>
        <v>722687.63178233395</v>
      </c>
      <c r="O625">
        <f t="shared" si="47"/>
        <v>408000</v>
      </c>
      <c r="P625">
        <v>608.900894117647</v>
      </c>
      <c r="R625" t="str">
        <f t="shared" si="48"/>
        <v>3</v>
      </c>
      <c r="S625">
        <f t="shared" si="49"/>
        <v>608.90993464052281</v>
      </c>
    </row>
    <row r="626" spans="1:19">
      <c r="A626" s="4" t="s">
        <v>32</v>
      </c>
      <c r="B626" s="4" t="s">
        <v>11</v>
      </c>
      <c r="C626" s="4">
        <v>470000</v>
      </c>
      <c r="D626" s="4">
        <v>1400</v>
      </c>
      <c r="E626" s="4">
        <v>2023</v>
      </c>
      <c r="F626" s="4">
        <v>6.2</v>
      </c>
      <c r="G626" s="4" t="s">
        <v>41</v>
      </c>
      <c r="H626" s="4" t="s">
        <v>13</v>
      </c>
      <c r="I626" s="4" t="s">
        <v>14</v>
      </c>
      <c r="J626" s="4" t="s">
        <v>15</v>
      </c>
      <c r="K626" s="20">
        <f>C626/D626</f>
        <v>335.71428571428572</v>
      </c>
      <c r="L626" s="11">
        <f>PMT(F626/100/12, 300, -(C626 *
(1 - G626/100)))</f>
        <v>2468.7486815102743</v>
      </c>
      <c r="M626" s="11">
        <f t="shared" si="45"/>
        <v>364624.60445308225</v>
      </c>
      <c r="N626" s="11">
        <f t="shared" si="46"/>
        <v>740624.6044530822</v>
      </c>
      <c r="O626">
        <f t="shared" si="47"/>
        <v>376000</v>
      </c>
      <c r="P626">
        <v>560.90089361702121</v>
      </c>
      <c r="R626" t="str">
        <f t="shared" si="48"/>
        <v>3</v>
      </c>
      <c r="S626">
        <f t="shared" si="49"/>
        <v>560.90992907801422</v>
      </c>
    </row>
    <row r="627" spans="1:19">
      <c r="A627" s="6" t="s">
        <v>32</v>
      </c>
      <c r="B627" s="6" t="s">
        <v>11</v>
      </c>
      <c r="C627" s="6">
        <v>470000</v>
      </c>
      <c r="D627" s="6">
        <v>1400</v>
      </c>
      <c r="E627" s="6">
        <v>2024</v>
      </c>
      <c r="F627" s="6">
        <v>5.0999999999999996</v>
      </c>
      <c r="G627" s="7">
        <v>20</v>
      </c>
      <c r="H627" s="6" t="s">
        <v>13</v>
      </c>
      <c r="I627" s="6" t="s">
        <v>14</v>
      </c>
      <c r="J627" s="6" t="s">
        <v>15</v>
      </c>
      <c r="K627" s="20">
        <f>C627/D627</f>
        <v>335.71428571428572</v>
      </c>
      <c r="L627" s="11">
        <f>PMT(F627/100/12, 300, -(C627 *
(1 - G627/100)))</f>
        <v>2220.02082965815</v>
      </c>
      <c r="M627" s="11">
        <f t="shared" si="45"/>
        <v>290006.24889744504</v>
      </c>
      <c r="N627" s="11">
        <f t="shared" si="46"/>
        <v>666006.24889744504</v>
      </c>
      <c r="O627">
        <f t="shared" si="47"/>
        <v>376000</v>
      </c>
      <c r="P627">
        <v>560.90089361702121</v>
      </c>
      <c r="R627" t="str">
        <f t="shared" si="48"/>
        <v>3</v>
      </c>
      <c r="S627">
        <f t="shared" si="49"/>
        <v>560.90992907801422</v>
      </c>
    </row>
    <row r="628" spans="1:19">
      <c r="A628" s="4" t="s">
        <v>37</v>
      </c>
      <c r="B628" s="4" t="s">
        <v>11</v>
      </c>
      <c r="C628" s="4">
        <v>545000</v>
      </c>
      <c r="D628" s="4">
        <v>1620</v>
      </c>
      <c r="E628" s="4">
        <v>2024</v>
      </c>
      <c r="F628" s="4">
        <v>5.2</v>
      </c>
      <c r="G628" s="4" t="s">
        <v>38</v>
      </c>
      <c r="H628" s="4" t="s">
        <v>13</v>
      </c>
      <c r="I628" s="4" t="s">
        <v>14</v>
      </c>
      <c r="J628" s="4" t="s">
        <v>29</v>
      </c>
      <c r="K628" s="20">
        <f>C628/D628</f>
        <v>336.41975308641975</v>
      </c>
      <c r="L628" s="11">
        <f>PMT(F628/100/12, 300, -(C628 *
(1 - G628/100)))</f>
        <v>2534.8777550643335</v>
      </c>
      <c r="M628" s="11">
        <f t="shared" si="45"/>
        <v>335363.32651929994</v>
      </c>
      <c r="N628" s="11">
        <f t="shared" si="46"/>
        <v>760463.3265193</v>
      </c>
      <c r="O628">
        <f t="shared" si="47"/>
        <v>425100</v>
      </c>
      <c r="P628">
        <v>648.90089174311925</v>
      </c>
      <c r="R628" t="str">
        <f t="shared" si="48"/>
        <v>3</v>
      </c>
      <c r="S628">
        <f t="shared" si="49"/>
        <v>648.90990825688073</v>
      </c>
    </row>
    <row r="629" spans="1:19">
      <c r="A629" s="4" t="s">
        <v>33</v>
      </c>
      <c r="B629" s="4" t="s">
        <v>11</v>
      </c>
      <c r="C629" s="4">
        <v>505000</v>
      </c>
      <c r="D629" s="4">
        <v>1500</v>
      </c>
      <c r="E629" s="4">
        <v>2023</v>
      </c>
      <c r="F629" s="4">
        <v>6</v>
      </c>
      <c r="G629" s="4" t="s">
        <v>41</v>
      </c>
      <c r="H629" s="4" t="s">
        <v>13</v>
      </c>
      <c r="I629" s="4" t="s">
        <v>14</v>
      </c>
      <c r="J629" s="4" t="s">
        <v>15</v>
      </c>
      <c r="K629" s="20">
        <f>C629/D629</f>
        <v>336.66666666666669</v>
      </c>
      <c r="L629" s="11">
        <f>PMT(F629/100/12, 300, -(C629 *
(1 - G629/100)))</f>
        <v>2602.9776620014545</v>
      </c>
      <c r="M629" s="11">
        <f t="shared" si="45"/>
        <v>376893.29860043636</v>
      </c>
      <c r="N629" s="11">
        <f t="shared" si="46"/>
        <v>780893.29860043642</v>
      </c>
      <c r="O629">
        <f t="shared" si="47"/>
        <v>404000</v>
      </c>
      <c r="P629">
        <v>600.90089108910888</v>
      </c>
      <c r="R629" t="str">
        <f t="shared" si="48"/>
        <v>3</v>
      </c>
      <c r="S629">
        <f t="shared" si="49"/>
        <v>600.909900990099</v>
      </c>
    </row>
    <row r="630" spans="1:19">
      <c r="A630" s="4" t="s">
        <v>30</v>
      </c>
      <c r="B630" s="4" t="s">
        <v>11</v>
      </c>
      <c r="C630" s="4">
        <v>445000</v>
      </c>
      <c r="D630" s="4">
        <v>1320</v>
      </c>
      <c r="E630" s="4">
        <v>2024</v>
      </c>
      <c r="F630" s="4">
        <v>5.3</v>
      </c>
      <c r="G630" s="4" t="s">
        <v>38</v>
      </c>
      <c r="H630" s="4" t="s">
        <v>13</v>
      </c>
      <c r="I630" s="4" t="s">
        <v>14</v>
      </c>
      <c r="J630" s="4" t="s">
        <v>15</v>
      </c>
      <c r="K630" s="20">
        <f>C630/D630</f>
        <v>337.12121212121212</v>
      </c>
      <c r="L630" s="11">
        <f>PMT(F630/100/12, 300, -(C630 *
(1 - G630/100)))</f>
        <v>2090.2403522049667</v>
      </c>
      <c r="M630" s="11">
        <f t="shared" si="45"/>
        <v>279972.10566149</v>
      </c>
      <c r="N630" s="11">
        <f t="shared" si="46"/>
        <v>627072.10566149</v>
      </c>
      <c r="O630">
        <f t="shared" si="47"/>
        <v>347100</v>
      </c>
      <c r="P630">
        <v>528.90088988764046</v>
      </c>
      <c r="R630" t="str">
        <f t="shared" si="48"/>
        <v>3</v>
      </c>
      <c r="S630">
        <f t="shared" si="49"/>
        <v>528.90988764044937</v>
      </c>
    </row>
    <row r="631" spans="1:19">
      <c r="A631" s="6" t="s">
        <v>37</v>
      </c>
      <c r="B631" s="6" t="s">
        <v>11</v>
      </c>
      <c r="C631" s="6">
        <v>540000</v>
      </c>
      <c r="D631" s="6">
        <v>1600</v>
      </c>
      <c r="E631" s="6">
        <v>2023</v>
      </c>
      <c r="F631" s="6">
        <v>6.1</v>
      </c>
      <c r="G631" s="6" t="s">
        <v>41</v>
      </c>
      <c r="H631" s="6" t="s">
        <v>13</v>
      </c>
      <c r="I631" s="6" t="s">
        <v>14</v>
      </c>
      <c r="J631" s="6" t="s">
        <v>15</v>
      </c>
      <c r="K631" s="20">
        <f>C631/D631</f>
        <v>337.5</v>
      </c>
      <c r="L631" s="11">
        <f>PMT(F631/100/12, 300, -(C631 *
(1 - G631/100)))</f>
        <v>2809.8490084312148</v>
      </c>
      <c r="M631" s="11">
        <f t="shared" si="45"/>
        <v>410954.70252936438</v>
      </c>
      <c r="N631" s="11">
        <f t="shared" si="46"/>
        <v>842954.70252936438</v>
      </c>
      <c r="O631">
        <f t="shared" si="47"/>
        <v>432000</v>
      </c>
      <c r="P631">
        <v>640.90088888888886</v>
      </c>
      <c r="R631" t="str">
        <f t="shared" si="48"/>
        <v>3</v>
      </c>
      <c r="S631">
        <f t="shared" si="49"/>
        <v>640.90987654320986</v>
      </c>
    </row>
    <row r="632" spans="1:19">
      <c r="A632" s="6" t="s">
        <v>33</v>
      </c>
      <c r="B632" s="6" t="s">
        <v>11</v>
      </c>
      <c r="C632" s="6">
        <v>500000</v>
      </c>
      <c r="D632" s="6">
        <v>1480</v>
      </c>
      <c r="E632" s="6">
        <v>2024</v>
      </c>
      <c r="F632" s="6">
        <v>5.0999999999999996</v>
      </c>
      <c r="G632" s="6" t="s">
        <v>41</v>
      </c>
      <c r="H632" s="6" t="s">
        <v>13</v>
      </c>
      <c r="I632" s="6" t="s">
        <v>14</v>
      </c>
      <c r="J632" s="6" t="s">
        <v>15</v>
      </c>
      <c r="K632" s="20">
        <f>C632/D632</f>
        <v>337.83783783783781</v>
      </c>
      <c r="L632" s="11">
        <f>PMT(F632/100/12, 300, -(C632 *
(1 - G632/100)))</f>
        <v>2361.7242868703725</v>
      </c>
      <c r="M632" s="11">
        <f t="shared" si="45"/>
        <v>308517.28606111172</v>
      </c>
      <c r="N632" s="11">
        <f t="shared" si="46"/>
        <v>708517.28606111172</v>
      </c>
      <c r="O632">
        <f t="shared" si="47"/>
        <v>400000</v>
      </c>
      <c r="P632">
        <v>592.90088800000001</v>
      </c>
      <c r="R632" t="str">
        <f t="shared" si="48"/>
        <v>3</v>
      </c>
      <c r="S632">
        <f t="shared" si="49"/>
        <v>592.90986666666663</v>
      </c>
    </row>
    <row r="633" spans="1:19">
      <c r="A633" s="6" t="s">
        <v>30</v>
      </c>
      <c r="B633" s="6" t="s">
        <v>11</v>
      </c>
      <c r="C633" s="6">
        <v>440000</v>
      </c>
      <c r="D633" s="6">
        <v>1300</v>
      </c>
      <c r="E633" s="6">
        <v>2023</v>
      </c>
      <c r="F633" s="6">
        <v>6.2</v>
      </c>
      <c r="G633" s="6" t="s">
        <v>38</v>
      </c>
      <c r="H633" s="6" t="s">
        <v>13</v>
      </c>
      <c r="I633" s="6" t="s">
        <v>14</v>
      </c>
      <c r="J633" s="6" t="s">
        <v>15</v>
      </c>
      <c r="K633" s="20">
        <f>C633/D633</f>
        <v>338.46153846153845</v>
      </c>
      <c r="L633" s="11">
        <f>PMT(F633/100/12, 300, -(C633 *
(1 - G633/100)))</f>
        <v>2253.3897539742716</v>
      </c>
      <c r="M633" s="11">
        <f t="shared" si="45"/>
        <v>332816.92619228142</v>
      </c>
      <c r="N633" s="11">
        <f t="shared" si="46"/>
        <v>676016.92619228142</v>
      </c>
      <c r="O633">
        <f t="shared" si="47"/>
        <v>343200</v>
      </c>
      <c r="P633">
        <v>520.90088636363635</v>
      </c>
      <c r="R633" t="str">
        <f t="shared" si="48"/>
        <v>3</v>
      </c>
      <c r="S633">
        <f t="shared" si="49"/>
        <v>520.90984848484845</v>
      </c>
    </row>
    <row r="634" spans="1:19">
      <c r="A634" s="4" t="s">
        <v>37</v>
      </c>
      <c r="B634" s="4" t="s">
        <v>11</v>
      </c>
      <c r="C634" s="4">
        <v>535000</v>
      </c>
      <c r="D634" s="4">
        <v>1580</v>
      </c>
      <c r="E634" s="4">
        <v>2024</v>
      </c>
      <c r="F634" s="4">
        <v>5.0999999999999996</v>
      </c>
      <c r="G634" s="4" t="s">
        <v>41</v>
      </c>
      <c r="H634" s="4" t="s">
        <v>13</v>
      </c>
      <c r="I634" s="4" t="s">
        <v>14</v>
      </c>
      <c r="J634" s="4" t="s">
        <v>15</v>
      </c>
      <c r="K634" s="20">
        <f>C634/D634</f>
        <v>338.60759493670884</v>
      </c>
      <c r="L634" s="11">
        <f>PMT(F634/100/12, 300, -(C634 *
(1 - G634/100)))</f>
        <v>2527.0449869512986</v>
      </c>
      <c r="M634" s="11">
        <f t="shared" si="45"/>
        <v>330113.49608538963</v>
      </c>
      <c r="N634" s="11">
        <f t="shared" si="46"/>
        <v>758113.49608538963</v>
      </c>
      <c r="O634">
        <f t="shared" si="47"/>
        <v>428000</v>
      </c>
      <c r="P634">
        <v>632.90088598130842</v>
      </c>
      <c r="R634" t="str">
        <f t="shared" si="48"/>
        <v>3</v>
      </c>
      <c r="S634">
        <f t="shared" si="49"/>
        <v>632.90984423676014</v>
      </c>
    </row>
    <row r="635" spans="1:19">
      <c r="A635" s="6" t="s">
        <v>16</v>
      </c>
      <c r="B635" s="6" t="s">
        <v>11</v>
      </c>
      <c r="C635" s="6">
        <v>610000</v>
      </c>
      <c r="D635" s="6">
        <v>1800</v>
      </c>
      <c r="E635" s="6">
        <v>2023</v>
      </c>
      <c r="F635" s="6">
        <v>6</v>
      </c>
      <c r="G635" s="6" t="s">
        <v>38</v>
      </c>
      <c r="H635" s="6" t="s">
        <v>43</v>
      </c>
      <c r="I635" s="6" t="s">
        <v>14</v>
      </c>
      <c r="J635" s="6" t="s">
        <v>15</v>
      </c>
      <c r="K635" s="20">
        <f>C635/D635</f>
        <v>338.88888888888891</v>
      </c>
      <c r="L635" s="11">
        <f>PMT(F635/100/12, 300, -(C635 *
(1 - G635/100)))</f>
        <v>3065.58606826805</v>
      </c>
      <c r="M635" s="11">
        <f t="shared" si="45"/>
        <v>443875.82048041502</v>
      </c>
      <c r="N635" s="11">
        <f t="shared" si="46"/>
        <v>919675.82048041502</v>
      </c>
      <c r="O635">
        <f t="shared" si="47"/>
        <v>475800</v>
      </c>
      <c r="P635">
        <v>721.20088524590165</v>
      </c>
      <c r="R635" t="str">
        <f t="shared" si="48"/>
        <v>4</v>
      </c>
      <c r="S635">
        <f t="shared" si="49"/>
        <v>721.20983606557377</v>
      </c>
    </row>
    <row r="636" spans="1:19">
      <c r="A636" s="6" t="s">
        <v>37</v>
      </c>
      <c r="B636" s="6" t="s">
        <v>11</v>
      </c>
      <c r="C636" s="6">
        <v>560000</v>
      </c>
      <c r="D636" s="6">
        <v>1650</v>
      </c>
      <c r="E636" s="6">
        <v>2024</v>
      </c>
      <c r="F636" s="6">
        <v>5.0999999999999996</v>
      </c>
      <c r="G636" s="6" t="s">
        <v>41</v>
      </c>
      <c r="H636" s="6" t="s">
        <v>13</v>
      </c>
      <c r="I636" s="6" t="s">
        <v>14</v>
      </c>
      <c r="J636" s="6" t="s">
        <v>15</v>
      </c>
      <c r="K636" s="20">
        <f>C636/D636</f>
        <v>339.39393939393938</v>
      </c>
      <c r="L636" s="11">
        <f>PMT(F636/100/12, 300, -(C636 *
(1 - G636/100)))</f>
        <v>2645.1312012948174</v>
      </c>
      <c r="M636" s="11">
        <f t="shared" si="45"/>
        <v>345539.36038844514</v>
      </c>
      <c r="N636" s="11">
        <f t="shared" si="46"/>
        <v>793539.3603884452</v>
      </c>
      <c r="O636">
        <f t="shared" si="47"/>
        <v>448000</v>
      </c>
      <c r="P636">
        <v>660.90088392857137</v>
      </c>
      <c r="R636" t="str">
        <f t="shared" si="48"/>
        <v>3</v>
      </c>
      <c r="S636">
        <f t="shared" si="49"/>
        <v>660.90982142857138</v>
      </c>
    </row>
    <row r="637" spans="1:19">
      <c r="A637" s="4" t="s">
        <v>16</v>
      </c>
      <c r="B637" s="4" t="s">
        <v>11</v>
      </c>
      <c r="C637" s="4">
        <v>605000</v>
      </c>
      <c r="D637" s="4">
        <v>1780</v>
      </c>
      <c r="E637" s="4">
        <v>2024</v>
      </c>
      <c r="F637" s="4">
        <v>5.3</v>
      </c>
      <c r="G637" s="4" t="s">
        <v>38</v>
      </c>
      <c r="H637" s="4" t="s">
        <v>43</v>
      </c>
      <c r="I637" s="4" t="s">
        <v>14</v>
      </c>
      <c r="J637" s="4" t="s">
        <v>15</v>
      </c>
      <c r="K637" s="20">
        <f>C637/D637</f>
        <v>339.88764044943821</v>
      </c>
      <c r="L637" s="11">
        <f>PMT(F637/100/12, 300, -(C637 *
(1 - G637/100)))</f>
        <v>2841.7874451325952</v>
      </c>
      <c r="M637" s="11">
        <f t="shared" si="45"/>
        <v>380636.23353977845</v>
      </c>
      <c r="N637" s="11">
        <f t="shared" si="46"/>
        <v>852536.23353977851</v>
      </c>
      <c r="O637">
        <f t="shared" si="47"/>
        <v>471900</v>
      </c>
      <c r="P637">
        <v>713.20088264462811</v>
      </c>
      <c r="R637" t="str">
        <f t="shared" si="48"/>
        <v>4</v>
      </c>
      <c r="S637">
        <f t="shared" si="49"/>
        <v>713.2098071625345</v>
      </c>
    </row>
    <row r="638" spans="1:19">
      <c r="A638" s="6" t="s">
        <v>33</v>
      </c>
      <c r="B638" s="6" t="s">
        <v>11</v>
      </c>
      <c r="C638" s="6">
        <v>510000</v>
      </c>
      <c r="D638" s="6">
        <v>1500</v>
      </c>
      <c r="E638" s="6">
        <v>2024</v>
      </c>
      <c r="F638" s="6">
        <v>5.0999999999999996</v>
      </c>
      <c r="G638" s="6" t="s">
        <v>41</v>
      </c>
      <c r="H638" s="6" t="s">
        <v>25</v>
      </c>
      <c r="I638" s="6" t="s">
        <v>14</v>
      </c>
      <c r="J638" s="6" t="s">
        <v>15</v>
      </c>
      <c r="K638" s="20">
        <f>C638/D638</f>
        <v>340</v>
      </c>
      <c r="L638" s="11">
        <f>PMT(F638/100/12, 300, -(C638 *
(1 - G638/100)))</f>
        <v>2408.9587726077798</v>
      </c>
      <c r="M638" s="11">
        <f t="shared" si="45"/>
        <v>314687.63178233395</v>
      </c>
      <c r="N638" s="11">
        <f t="shared" si="46"/>
        <v>722687.63178233395</v>
      </c>
      <c r="O638">
        <f t="shared" si="47"/>
        <v>408000</v>
      </c>
      <c r="P638">
        <v>600.30088235294113</v>
      </c>
      <c r="R638" t="str">
        <f t="shared" si="48"/>
        <v>1</v>
      </c>
      <c r="S638">
        <f t="shared" si="49"/>
        <v>600.30980392156857</v>
      </c>
    </row>
    <row r="639" spans="1:19">
      <c r="A639" s="6" t="s">
        <v>16</v>
      </c>
      <c r="B639" s="6" t="s">
        <v>11</v>
      </c>
      <c r="C639" s="6">
        <v>630000</v>
      </c>
      <c r="D639" s="6">
        <v>1850</v>
      </c>
      <c r="E639" s="6">
        <v>2024</v>
      </c>
      <c r="F639" s="6">
        <v>5.3</v>
      </c>
      <c r="G639" s="6" t="s">
        <v>38</v>
      </c>
      <c r="H639" s="6" t="s">
        <v>43</v>
      </c>
      <c r="I639" s="6" t="s">
        <v>14</v>
      </c>
      <c r="J639" s="6" t="s">
        <v>15</v>
      </c>
      <c r="K639" s="20">
        <f>C639/D639</f>
        <v>340.54054054054052</v>
      </c>
      <c r="L639" s="11">
        <f>PMT(F639/100/12, 300, -(C639 *
(1 - G639/100)))</f>
        <v>2959.2166784025371</v>
      </c>
      <c r="M639" s="11">
        <f t="shared" si="45"/>
        <v>396365.00352076109</v>
      </c>
      <c r="N639" s="11">
        <f t="shared" si="46"/>
        <v>887765.00352076115</v>
      </c>
      <c r="O639">
        <f t="shared" si="47"/>
        <v>491400</v>
      </c>
      <c r="P639">
        <v>741.200880952381</v>
      </c>
      <c r="R639" t="str">
        <f t="shared" si="48"/>
        <v>4</v>
      </c>
      <c r="S639">
        <f t="shared" si="49"/>
        <v>741.20978835978838</v>
      </c>
    </row>
    <row r="640" spans="1:19">
      <c r="A640" s="6" t="s">
        <v>33</v>
      </c>
      <c r="B640" s="6" t="s">
        <v>11</v>
      </c>
      <c r="C640" s="6">
        <v>495000</v>
      </c>
      <c r="D640" s="6">
        <v>1450</v>
      </c>
      <c r="E640" s="6">
        <v>2023</v>
      </c>
      <c r="F640" s="6">
        <v>6.2</v>
      </c>
      <c r="G640" s="6" t="s">
        <v>41</v>
      </c>
      <c r="H640" s="6" t="s">
        <v>13</v>
      </c>
      <c r="I640" s="6" t="s">
        <v>14</v>
      </c>
      <c r="J640" s="6" t="s">
        <v>15</v>
      </c>
      <c r="K640" s="20">
        <f>C640/D640</f>
        <v>341.37931034482756</v>
      </c>
      <c r="L640" s="11">
        <f>PMT(F640/100/12, 300, -(C640 *
(1 - G640/100)))</f>
        <v>2600.0651007395441</v>
      </c>
      <c r="M640" s="11">
        <f t="shared" si="45"/>
        <v>384019.53022186318</v>
      </c>
      <c r="N640" s="11">
        <f t="shared" si="46"/>
        <v>780019.53022186318</v>
      </c>
      <c r="O640">
        <f t="shared" si="47"/>
        <v>396000</v>
      </c>
      <c r="P640">
        <v>580.90087878787881</v>
      </c>
      <c r="R640" t="str">
        <f t="shared" si="48"/>
        <v>3</v>
      </c>
      <c r="S640">
        <f t="shared" si="49"/>
        <v>580.90976430976434</v>
      </c>
    </row>
    <row r="641" spans="1:19">
      <c r="A641" s="6" t="s">
        <v>37</v>
      </c>
      <c r="B641" s="6" t="s">
        <v>11</v>
      </c>
      <c r="C641" s="6">
        <v>530000</v>
      </c>
      <c r="D641" s="6">
        <v>1550</v>
      </c>
      <c r="E641" s="6">
        <v>2023</v>
      </c>
      <c r="F641" s="6">
        <v>6.1</v>
      </c>
      <c r="G641" s="6" t="s">
        <v>41</v>
      </c>
      <c r="H641" s="6" t="s">
        <v>13</v>
      </c>
      <c r="I641" s="6" t="s">
        <v>14</v>
      </c>
      <c r="J641" s="6" t="s">
        <v>15</v>
      </c>
      <c r="K641" s="20">
        <f>C641/D641</f>
        <v>341.93548387096774</v>
      </c>
      <c r="L641" s="11">
        <f>PMT(F641/100/12, 300, -(C641 *
(1 - G641/100)))</f>
        <v>2757.8147675343403</v>
      </c>
      <c r="M641" s="11">
        <f t="shared" si="45"/>
        <v>403344.43026030209</v>
      </c>
      <c r="N641" s="11">
        <f t="shared" si="46"/>
        <v>827344.43026030203</v>
      </c>
      <c r="O641">
        <f t="shared" si="47"/>
        <v>424000</v>
      </c>
      <c r="P641">
        <v>620.90087735849056</v>
      </c>
      <c r="R641" t="str">
        <f t="shared" si="48"/>
        <v>3</v>
      </c>
      <c r="S641">
        <f t="shared" si="49"/>
        <v>620.90974842767298</v>
      </c>
    </row>
    <row r="642" spans="1:19">
      <c r="A642" s="6" t="s">
        <v>32</v>
      </c>
      <c r="B642" s="6" t="s">
        <v>11</v>
      </c>
      <c r="C642" s="6">
        <v>438000</v>
      </c>
      <c r="D642" s="6">
        <v>1280</v>
      </c>
      <c r="E642" s="6">
        <v>2023</v>
      </c>
      <c r="F642" s="6">
        <v>6.2</v>
      </c>
      <c r="G642" s="6" t="s">
        <v>41</v>
      </c>
      <c r="H642" s="6" t="s">
        <v>13</v>
      </c>
      <c r="I642" s="6" t="s">
        <v>14</v>
      </c>
      <c r="J642" s="6" t="s">
        <v>15</v>
      </c>
      <c r="K642" s="20">
        <f>C642/D642</f>
        <v>342.1875</v>
      </c>
      <c r="L642" s="11">
        <f>PMT(F642/100/12, 300, -(C642 *
(1 - G642/100)))</f>
        <v>2300.6636648968088</v>
      </c>
      <c r="M642" s="11">
        <f t="shared" si="45"/>
        <v>339799.09946904256</v>
      </c>
      <c r="N642" s="11">
        <f t="shared" si="46"/>
        <v>690199.09946904262</v>
      </c>
      <c r="O642">
        <f t="shared" si="47"/>
        <v>350400</v>
      </c>
      <c r="P642">
        <v>512.9008767123288</v>
      </c>
      <c r="R642" t="str">
        <f t="shared" si="48"/>
        <v>3</v>
      </c>
      <c r="S642">
        <f t="shared" si="49"/>
        <v>512.90974124809736</v>
      </c>
    </row>
    <row r="643" spans="1:19">
      <c r="A643" s="6" t="s">
        <v>16</v>
      </c>
      <c r="B643" s="6" t="s">
        <v>11</v>
      </c>
      <c r="C643" s="6">
        <v>600000</v>
      </c>
      <c r="D643" s="6">
        <v>1750</v>
      </c>
      <c r="E643" s="6">
        <v>2024</v>
      </c>
      <c r="F643" s="6">
        <v>5.3</v>
      </c>
      <c r="G643" s="6" t="s">
        <v>38</v>
      </c>
      <c r="H643" s="6" t="s">
        <v>43</v>
      </c>
      <c r="I643" s="6" t="s">
        <v>14</v>
      </c>
      <c r="J643" s="6" t="s">
        <v>15</v>
      </c>
      <c r="K643" s="20">
        <f>C643/D643</f>
        <v>342.85714285714283</v>
      </c>
      <c r="L643" s="11">
        <f>PMT(F643/100/12, 300, -(C643 *
(1 - G643/100)))</f>
        <v>2818.3015984786066</v>
      </c>
      <c r="M643" s="11">
        <f t="shared" ref="M643:M706" si="50">-CUMIPMT(F643/1200,300,O643,1,300,0)</f>
        <v>377490.4795435819</v>
      </c>
      <c r="N643" s="11">
        <f t="shared" ref="N643:N706" si="51">O643+M643</f>
        <v>845490.47954358184</v>
      </c>
      <c r="O643">
        <f t="shared" ref="O643:O706" si="52">C643*(1-G643/100)</f>
        <v>468000</v>
      </c>
      <c r="P643">
        <v>701.200875</v>
      </c>
      <c r="R643" t="str">
        <f t="shared" ref="R643:R706" si="53">IF(H643="A","4",IF(H643="B","3",IF(H643="C","2",IF(H643="D","1",0))))</f>
        <v>4</v>
      </c>
      <c r="S643">
        <f t="shared" ref="S643:S706" si="54">D643*0.4 +R643*0.3 +(1/(K643*0.3))</f>
        <v>701.20972222222224</v>
      </c>
    </row>
    <row r="644" spans="1:19">
      <c r="A644" s="6" t="s">
        <v>32</v>
      </c>
      <c r="B644" s="6" t="s">
        <v>11</v>
      </c>
      <c r="C644" s="6">
        <v>480000</v>
      </c>
      <c r="D644" s="6">
        <v>1400</v>
      </c>
      <c r="E644" s="6">
        <v>2024</v>
      </c>
      <c r="F644" s="6">
        <v>5.0999999999999996</v>
      </c>
      <c r="G644" s="7">
        <v>20</v>
      </c>
      <c r="H644" s="6" t="s">
        <v>13</v>
      </c>
      <c r="I644" s="6" t="s">
        <v>14</v>
      </c>
      <c r="J644" s="6" t="s">
        <v>15</v>
      </c>
      <c r="K644" s="20">
        <f>C644/D644</f>
        <v>342.85714285714283</v>
      </c>
      <c r="L644" s="11">
        <f>PMT(F644/100/12, 300, -(C644 *
(1 - G644/100)))</f>
        <v>2267.2553153955578</v>
      </c>
      <c r="M644" s="11">
        <f t="shared" si="50"/>
        <v>296176.59461866738</v>
      </c>
      <c r="N644" s="11">
        <f t="shared" si="51"/>
        <v>680176.59461866738</v>
      </c>
      <c r="O644">
        <f t="shared" si="52"/>
        <v>384000</v>
      </c>
      <c r="P644">
        <v>560.90087499999993</v>
      </c>
      <c r="R644" t="str">
        <f t="shared" si="53"/>
        <v>3</v>
      </c>
      <c r="S644">
        <f t="shared" si="54"/>
        <v>560.90972222222217</v>
      </c>
    </row>
    <row r="645" spans="1:19">
      <c r="A645" s="4" t="s">
        <v>37</v>
      </c>
      <c r="B645" s="4" t="s">
        <v>11</v>
      </c>
      <c r="C645" s="4">
        <v>525000</v>
      </c>
      <c r="D645" s="4">
        <v>1530</v>
      </c>
      <c r="E645" s="4">
        <v>2024</v>
      </c>
      <c r="F645" s="4">
        <v>5.0999999999999996</v>
      </c>
      <c r="G645" s="4" t="s">
        <v>38</v>
      </c>
      <c r="H645" s="4" t="s">
        <v>13</v>
      </c>
      <c r="I645" s="4" t="s">
        <v>14</v>
      </c>
      <c r="J645" s="4" t="s">
        <v>29</v>
      </c>
      <c r="K645" s="20">
        <f>C645/D645</f>
        <v>343.13725490196077</v>
      </c>
      <c r="L645" s="11">
        <f>PMT(F645/100/12, 300, -(C645 *
(1 - G645/100)))</f>
        <v>2417.8152386835436</v>
      </c>
      <c r="M645" s="11">
        <f t="shared" si="50"/>
        <v>315844.57160506304</v>
      </c>
      <c r="N645" s="11">
        <f t="shared" si="51"/>
        <v>725344.57160506304</v>
      </c>
      <c r="O645">
        <f t="shared" si="52"/>
        <v>409500</v>
      </c>
      <c r="P645">
        <v>612.90087428571428</v>
      </c>
      <c r="R645" t="str">
        <f t="shared" si="53"/>
        <v>3</v>
      </c>
      <c r="S645">
        <f t="shared" si="54"/>
        <v>612.90971428571424</v>
      </c>
    </row>
    <row r="646" spans="1:19">
      <c r="A646" s="4" t="s">
        <v>37</v>
      </c>
      <c r="B646" s="4" t="s">
        <v>11</v>
      </c>
      <c r="C646" s="4">
        <v>512000</v>
      </c>
      <c r="D646" s="4">
        <v>1490</v>
      </c>
      <c r="E646" s="4">
        <v>2023</v>
      </c>
      <c r="F646" s="4">
        <v>6.2</v>
      </c>
      <c r="G646" s="4" t="s">
        <v>38</v>
      </c>
      <c r="H646" s="4" t="s">
        <v>13</v>
      </c>
      <c r="I646" s="4" t="s">
        <v>14</v>
      </c>
      <c r="J646" s="4" t="s">
        <v>29</v>
      </c>
      <c r="K646" s="20">
        <f>C646/D646</f>
        <v>343.62416107382552</v>
      </c>
      <c r="L646" s="11">
        <f>PMT(F646/100/12, 300, -(C646 *
(1 - G646/100)))</f>
        <v>2622.1262591700615</v>
      </c>
      <c r="M646" s="11">
        <f t="shared" si="50"/>
        <v>387277.8777510185</v>
      </c>
      <c r="N646" s="11">
        <f t="shared" si="51"/>
        <v>786637.8777510185</v>
      </c>
      <c r="O646">
        <f t="shared" si="52"/>
        <v>399360</v>
      </c>
      <c r="P646">
        <v>596.90087304687495</v>
      </c>
      <c r="R646" t="str">
        <f t="shared" si="53"/>
        <v>3</v>
      </c>
      <c r="S646">
        <f t="shared" si="54"/>
        <v>596.90970052083333</v>
      </c>
    </row>
    <row r="647" spans="1:19">
      <c r="A647" s="6" t="s">
        <v>37</v>
      </c>
      <c r="B647" s="6" t="s">
        <v>11</v>
      </c>
      <c r="C647" s="6">
        <v>550000</v>
      </c>
      <c r="D647" s="6">
        <v>1600</v>
      </c>
      <c r="E647" s="6">
        <v>2024</v>
      </c>
      <c r="F647" s="6">
        <v>5.0999999999999996</v>
      </c>
      <c r="G647" s="6" t="s">
        <v>41</v>
      </c>
      <c r="H647" s="6" t="s">
        <v>25</v>
      </c>
      <c r="I647" s="6" t="s">
        <v>14</v>
      </c>
      <c r="J647" s="6" t="s">
        <v>15</v>
      </c>
      <c r="K647" s="20">
        <f>C647/D647</f>
        <v>343.75</v>
      </c>
      <c r="L647" s="11">
        <f>PMT(F647/100/12, 300, -(C647 *
(1 - G647/100)))</f>
        <v>2597.8967155574096</v>
      </c>
      <c r="M647" s="11">
        <f t="shared" si="50"/>
        <v>339369.01466722286</v>
      </c>
      <c r="N647" s="11">
        <f t="shared" si="51"/>
        <v>779369.01466722286</v>
      </c>
      <c r="O647">
        <f t="shared" si="52"/>
        <v>440000</v>
      </c>
      <c r="P647">
        <v>640.30087272727269</v>
      </c>
      <c r="R647" t="str">
        <f t="shared" si="53"/>
        <v>1</v>
      </c>
      <c r="S647">
        <f t="shared" si="54"/>
        <v>640.30969696969692</v>
      </c>
    </row>
    <row r="648" spans="1:19">
      <c r="A648" s="6" t="s">
        <v>16</v>
      </c>
      <c r="B648" s="6" t="s">
        <v>11</v>
      </c>
      <c r="C648" s="6">
        <v>620000</v>
      </c>
      <c r="D648" s="6">
        <v>1800</v>
      </c>
      <c r="E648" s="6">
        <v>2024</v>
      </c>
      <c r="F648" s="6">
        <v>5.3</v>
      </c>
      <c r="G648" s="6" t="s">
        <v>38</v>
      </c>
      <c r="H648" s="6" t="s">
        <v>43</v>
      </c>
      <c r="I648" s="6" t="s">
        <v>14</v>
      </c>
      <c r="J648" s="6" t="s">
        <v>15</v>
      </c>
      <c r="K648" s="20">
        <f>C648/D648</f>
        <v>344.44444444444446</v>
      </c>
      <c r="L648" s="11">
        <f>PMT(F648/100/12, 300, -(C648 *
(1 - G648/100)))</f>
        <v>2912.2449850945604</v>
      </c>
      <c r="M648" s="11">
        <f t="shared" si="50"/>
        <v>390073.4955283681</v>
      </c>
      <c r="N648" s="11">
        <f t="shared" si="51"/>
        <v>873673.49552836805</v>
      </c>
      <c r="O648">
        <f t="shared" si="52"/>
        <v>483600</v>
      </c>
      <c r="P648">
        <v>721.20087096774193</v>
      </c>
      <c r="R648" t="str">
        <f t="shared" si="53"/>
        <v>4</v>
      </c>
      <c r="S648">
        <f t="shared" si="54"/>
        <v>721.20967741935488</v>
      </c>
    </row>
    <row r="649" spans="1:19">
      <c r="A649" s="6" t="s">
        <v>33</v>
      </c>
      <c r="B649" s="6" t="s">
        <v>11</v>
      </c>
      <c r="C649" s="6">
        <v>510000</v>
      </c>
      <c r="D649" s="6">
        <v>1480</v>
      </c>
      <c r="E649" s="6">
        <v>2024</v>
      </c>
      <c r="F649" s="6">
        <v>5.0999999999999996</v>
      </c>
      <c r="G649" s="6" t="s">
        <v>41</v>
      </c>
      <c r="H649" s="6" t="s">
        <v>13</v>
      </c>
      <c r="I649" s="6" t="s">
        <v>14</v>
      </c>
      <c r="J649" s="6" t="s">
        <v>15</v>
      </c>
      <c r="K649" s="20">
        <f>C649/D649</f>
        <v>344.59459459459458</v>
      </c>
      <c r="L649" s="11">
        <f>PMT(F649/100/12, 300, -(C649 *
(1 - G649/100)))</f>
        <v>2408.9587726077798</v>
      </c>
      <c r="M649" s="11">
        <f t="shared" si="50"/>
        <v>314687.63178233395</v>
      </c>
      <c r="N649" s="11">
        <f t="shared" si="51"/>
        <v>722687.63178233395</v>
      </c>
      <c r="O649">
        <f t="shared" si="52"/>
        <v>408000</v>
      </c>
      <c r="P649">
        <v>592.90087058823531</v>
      </c>
      <c r="R649" t="str">
        <f t="shared" si="53"/>
        <v>3</v>
      </c>
      <c r="S649">
        <f t="shared" si="54"/>
        <v>592.90967320261439</v>
      </c>
    </row>
    <row r="650" spans="1:19">
      <c r="A650" s="6" t="s">
        <v>30</v>
      </c>
      <c r="B650" s="6" t="s">
        <v>11</v>
      </c>
      <c r="C650" s="6">
        <v>435000</v>
      </c>
      <c r="D650" s="6">
        <v>1260</v>
      </c>
      <c r="E650" s="6">
        <v>2024</v>
      </c>
      <c r="F650" s="6">
        <v>5.3</v>
      </c>
      <c r="G650" s="6" t="s">
        <v>38</v>
      </c>
      <c r="H650" s="6" t="s">
        <v>13</v>
      </c>
      <c r="I650" s="6" t="s">
        <v>14</v>
      </c>
      <c r="J650" s="6" t="s">
        <v>15</v>
      </c>
      <c r="K650" s="20">
        <f>C650/D650</f>
        <v>345.23809523809524</v>
      </c>
      <c r="L650" s="11">
        <f>PMT(F650/100/12, 300, -(C650 *
(1 - G650/100)))</f>
        <v>2043.2686588969898</v>
      </c>
      <c r="M650" s="11">
        <f t="shared" si="50"/>
        <v>273680.59766909684</v>
      </c>
      <c r="N650" s="11">
        <f t="shared" si="51"/>
        <v>612980.5976690969</v>
      </c>
      <c r="O650">
        <f t="shared" si="52"/>
        <v>339300</v>
      </c>
      <c r="P650">
        <v>504.90086896551719</v>
      </c>
      <c r="R650" t="str">
        <f t="shared" si="53"/>
        <v>3</v>
      </c>
      <c r="S650">
        <f t="shared" si="54"/>
        <v>504.90965517241375</v>
      </c>
    </row>
    <row r="651" spans="1:19">
      <c r="A651" s="6" t="s">
        <v>37</v>
      </c>
      <c r="B651" s="6" t="s">
        <v>11</v>
      </c>
      <c r="C651" s="6">
        <v>520000</v>
      </c>
      <c r="D651" s="6">
        <v>1500</v>
      </c>
      <c r="E651" s="6">
        <v>2024</v>
      </c>
      <c r="F651" s="6">
        <v>5.0999999999999996</v>
      </c>
      <c r="G651" s="6" t="s">
        <v>41</v>
      </c>
      <c r="H651" s="6" t="s">
        <v>13</v>
      </c>
      <c r="I651" s="6" t="s">
        <v>14</v>
      </c>
      <c r="J651" s="6" t="s">
        <v>15</v>
      </c>
      <c r="K651" s="20">
        <f>C651/D651</f>
        <v>346.66666666666669</v>
      </c>
      <c r="L651" s="11">
        <f>PMT(F651/100/12, 300, -(C651 *
(1 - G651/100)))</f>
        <v>2456.1932583451871</v>
      </c>
      <c r="M651" s="11">
        <f t="shared" si="50"/>
        <v>320857.97750355618</v>
      </c>
      <c r="N651" s="11">
        <f t="shared" si="51"/>
        <v>736857.97750355618</v>
      </c>
      <c r="O651">
        <f t="shared" si="52"/>
        <v>416000</v>
      </c>
      <c r="P651">
        <v>600.90086538461537</v>
      </c>
      <c r="R651" t="str">
        <f t="shared" si="53"/>
        <v>3</v>
      </c>
      <c r="S651">
        <f t="shared" si="54"/>
        <v>600.90961538461534</v>
      </c>
    </row>
    <row r="652" spans="1:19">
      <c r="A652" s="4" t="s">
        <v>33</v>
      </c>
      <c r="B652" s="4" t="s">
        <v>11</v>
      </c>
      <c r="C652" s="4">
        <v>520000</v>
      </c>
      <c r="D652" s="4">
        <v>1500</v>
      </c>
      <c r="E652" s="4">
        <v>2023</v>
      </c>
      <c r="F652" s="4">
        <v>6</v>
      </c>
      <c r="G652" s="4" t="s">
        <v>41</v>
      </c>
      <c r="H652" s="4" t="s">
        <v>13</v>
      </c>
      <c r="I652" s="4" t="s">
        <v>14</v>
      </c>
      <c r="J652" s="4" t="s">
        <v>15</v>
      </c>
      <c r="K652" s="20">
        <f>C652/D652</f>
        <v>346.66666666666669</v>
      </c>
      <c r="L652" s="11">
        <f>PMT(F652/100/12, 300, -(C652 *
(1 - G652/100)))</f>
        <v>2680.2938301797158</v>
      </c>
      <c r="M652" s="11">
        <f t="shared" si="50"/>
        <v>388088.14905391465</v>
      </c>
      <c r="N652" s="11">
        <f t="shared" si="51"/>
        <v>804088.14905391471</v>
      </c>
      <c r="O652">
        <f t="shared" si="52"/>
        <v>416000</v>
      </c>
      <c r="P652">
        <v>600.90086538461537</v>
      </c>
      <c r="R652" t="str">
        <f t="shared" si="53"/>
        <v>3</v>
      </c>
      <c r="S652">
        <f t="shared" si="54"/>
        <v>600.90961538461534</v>
      </c>
    </row>
    <row r="653" spans="1:19">
      <c r="A653" s="4" t="s">
        <v>30</v>
      </c>
      <c r="B653" s="4" t="s">
        <v>11</v>
      </c>
      <c r="C653" s="4">
        <v>430000</v>
      </c>
      <c r="D653" s="4">
        <v>1240</v>
      </c>
      <c r="E653" s="4">
        <v>2023</v>
      </c>
      <c r="F653" s="4">
        <v>6.2</v>
      </c>
      <c r="G653" s="4" t="s">
        <v>38</v>
      </c>
      <c r="H653" s="4" t="s">
        <v>13</v>
      </c>
      <c r="I653" s="4" t="s">
        <v>14</v>
      </c>
      <c r="J653" s="4" t="s">
        <v>15</v>
      </c>
      <c r="K653" s="20">
        <f>C653/D653</f>
        <v>346.77419354838707</v>
      </c>
      <c r="L653" s="11">
        <f>PMT(F653/100/12, 300, -(C653 *
(1 - G653/100)))</f>
        <v>2202.1763504748565</v>
      </c>
      <c r="M653" s="11">
        <f t="shared" si="50"/>
        <v>325252.90514245693</v>
      </c>
      <c r="N653" s="11">
        <f t="shared" si="51"/>
        <v>660652.90514245699</v>
      </c>
      <c r="O653">
        <f t="shared" si="52"/>
        <v>335400</v>
      </c>
      <c r="P653">
        <v>496.90086511627902</v>
      </c>
      <c r="R653" t="str">
        <f t="shared" si="53"/>
        <v>3</v>
      </c>
      <c r="S653">
        <f t="shared" si="54"/>
        <v>496.90961240310077</v>
      </c>
    </row>
    <row r="654" spans="1:19">
      <c r="A654" s="6" t="s">
        <v>16</v>
      </c>
      <c r="B654" s="6" t="s">
        <v>11</v>
      </c>
      <c r="C654" s="6">
        <v>590000</v>
      </c>
      <c r="D654" s="6">
        <v>1700</v>
      </c>
      <c r="E654" s="6">
        <v>2024</v>
      </c>
      <c r="F654" s="6">
        <v>5.3</v>
      </c>
      <c r="G654" s="6" t="s">
        <v>38</v>
      </c>
      <c r="H654" s="6" t="s">
        <v>43</v>
      </c>
      <c r="I654" s="6" t="s">
        <v>14</v>
      </c>
      <c r="J654" s="6" t="s">
        <v>15</v>
      </c>
      <c r="K654" s="20">
        <f>C654/D654</f>
        <v>347.05882352941177</v>
      </c>
      <c r="L654" s="11">
        <f>PMT(F654/100/12, 300, -(C654 *
(1 - G654/100)))</f>
        <v>2771.3299051706299</v>
      </c>
      <c r="M654" s="11">
        <f t="shared" si="50"/>
        <v>371198.97155118891</v>
      </c>
      <c r="N654" s="11">
        <f t="shared" si="51"/>
        <v>831398.97155118897</v>
      </c>
      <c r="O654">
        <f t="shared" si="52"/>
        <v>460200</v>
      </c>
      <c r="P654">
        <v>681.20086440677971</v>
      </c>
      <c r="R654" t="str">
        <f t="shared" si="53"/>
        <v>4</v>
      </c>
      <c r="S654">
        <f t="shared" si="54"/>
        <v>681.20960451977408</v>
      </c>
    </row>
    <row r="655" spans="1:19">
      <c r="A655" s="4" t="s">
        <v>37</v>
      </c>
      <c r="B655" s="4" t="s">
        <v>23</v>
      </c>
      <c r="C655" s="4">
        <v>330000</v>
      </c>
      <c r="D655" s="4">
        <v>950</v>
      </c>
      <c r="E655" s="4">
        <v>2024</v>
      </c>
      <c r="F655" s="4">
        <v>5.3</v>
      </c>
      <c r="G655" s="4">
        <v>10</v>
      </c>
      <c r="H655" s="4" t="s">
        <v>19</v>
      </c>
      <c r="I655" s="4" t="s">
        <v>20</v>
      </c>
      <c r="J655" s="4" t="s">
        <v>21</v>
      </c>
      <c r="K655" s="20">
        <f>C655/D655</f>
        <v>347.36842105263156</v>
      </c>
      <c r="L655" s="11">
        <f>PMT(F655/100/12, 300, -(C655 *
(1 - G655/100)))</f>
        <v>1788.5375528806542</v>
      </c>
      <c r="M655" s="11">
        <f t="shared" si="50"/>
        <v>239561.26586419623</v>
      </c>
      <c r="N655" s="11">
        <f t="shared" si="51"/>
        <v>536561.26586419623</v>
      </c>
      <c r="O655">
        <f t="shared" si="52"/>
        <v>297000</v>
      </c>
      <c r="P655">
        <v>380.60086363636367</v>
      </c>
      <c r="R655" t="str">
        <f t="shared" si="53"/>
        <v>2</v>
      </c>
      <c r="S655">
        <f t="shared" si="54"/>
        <v>380.60959595959599</v>
      </c>
    </row>
    <row r="656" spans="1:19">
      <c r="A656" s="4" t="s">
        <v>33</v>
      </c>
      <c r="B656" s="4" t="s">
        <v>11</v>
      </c>
      <c r="C656" s="4">
        <v>490000</v>
      </c>
      <c r="D656" s="4">
        <v>1410</v>
      </c>
      <c r="E656" s="4">
        <v>2024</v>
      </c>
      <c r="F656" s="4">
        <v>5.0999999999999996</v>
      </c>
      <c r="G656" s="4" t="s">
        <v>41</v>
      </c>
      <c r="H656" s="4" t="s">
        <v>13</v>
      </c>
      <c r="I656" s="4" t="s">
        <v>14</v>
      </c>
      <c r="J656" s="4" t="s">
        <v>15</v>
      </c>
      <c r="K656" s="20">
        <f>C656/D656</f>
        <v>347.51773049645391</v>
      </c>
      <c r="L656" s="11">
        <f>PMT(F656/100/12, 300, -(C656 *
(1 - G656/100)))</f>
        <v>2314.4898011329651</v>
      </c>
      <c r="M656" s="11">
        <f t="shared" si="50"/>
        <v>302346.94033988949</v>
      </c>
      <c r="N656" s="11">
        <f t="shared" si="51"/>
        <v>694346.94033988949</v>
      </c>
      <c r="O656">
        <f t="shared" si="52"/>
        <v>392000</v>
      </c>
      <c r="P656">
        <v>564.90086326530604</v>
      </c>
      <c r="R656" t="str">
        <f t="shared" si="53"/>
        <v>3</v>
      </c>
      <c r="S656">
        <f t="shared" si="54"/>
        <v>564.90959183673465</v>
      </c>
    </row>
    <row r="657" spans="1:19">
      <c r="A657" s="4" t="s">
        <v>37</v>
      </c>
      <c r="B657" s="4" t="s">
        <v>11</v>
      </c>
      <c r="C657" s="4">
        <v>550000</v>
      </c>
      <c r="D657" s="4">
        <v>1580</v>
      </c>
      <c r="E657" s="4">
        <v>2024</v>
      </c>
      <c r="F657" s="4">
        <v>5.0999999999999996</v>
      </c>
      <c r="G657" s="4" t="s">
        <v>41</v>
      </c>
      <c r="H657" s="4" t="s">
        <v>13</v>
      </c>
      <c r="I657" s="4" t="s">
        <v>14</v>
      </c>
      <c r="J657" s="4" t="s">
        <v>15</v>
      </c>
      <c r="K657" s="20">
        <f>C657/D657</f>
        <v>348.1012658227848</v>
      </c>
      <c r="L657" s="11">
        <f>PMT(F657/100/12, 300, -(C657 *
(1 - G657/100)))</f>
        <v>2597.8967155574096</v>
      </c>
      <c r="M657" s="11">
        <f t="shared" si="50"/>
        <v>339369.01466722286</v>
      </c>
      <c r="N657" s="11">
        <f t="shared" si="51"/>
        <v>779369.01466722286</v>
      </c>
      <c r="O657">
        <f t="shared" si="52"/>
        <v>440000</v>
      </c>
      <c r="P657">
        <v>632.90086181818185</v>
      </c>
      <c r="R657" t="str">
        <f t="shared" si="53"/>
        <v>3</v>
      </c>
      <c r="S657">
        <f t="shared" si="54"/>
        <v>632.90957575757568</v>
      </c>
    </row>
    <row r="658" spans="1:19">
      <c r="A658" s="4" t="s">
        <v>16</v>
      </c>
      <c r="B658" s="4" t="s">
        <v>11</v>
      </c>
      <c r="C658" s="4">
        <v>585000</v>
      </c>
      <c r="D658" s="4">
        <v>1680</v>
      </c>
      <c r="E658" s="4">
        <v>2023</v>
      </c>
      <c r="F658" s="4">
        <v>6</v>
      </c>
      <c r="G658" s="4" t="s">
        <v>38</v>
      </c>
      <c r="H658" s="4" t="s">
        <v>43</v>
      </c>
      <c r="I658" s="4" t="s">
        <v>14</v>
      </c>
      <c r="J658" s="4" t="s">
        <v>15</v>
      </c>
      <c r="K658" s="20">
        <f>C658/D658</f>
        <v>348.21428571428572</v>
      </c>
      <c r="L658" s="11">
        <f>PMT(F658/100/12, 300, -(C658 *
(1 - G658/100)))</f>
        <v>2939.9472949783753</v>
      </c>
      <c r="M658" s="11">
        <f t="shared" si="50"/>
        <v>425684.18849351257</v>
      </c>
      <c r="N658" s="11">
        <f t="shared" si="51"/>
        <v>881984.18849351257</v>
      </c>
      <c r="O658">
        <f t="shared" si="52"/>
        <v>456300</v>
      </c>
      <c r="P658">
        <v>673.2008615384616</v>
      </c>
      <c r="R658" t="str">
        <f t="shared" si="53"/>
        <v>4</v>
      </c>
      <c r="S658">
        <f t="shared" si="54"/>
        <v>673.20957264957269</v>
      </c>
    </row>
    <row r="659" spans="1:19">
      <c r="A659" s="6" t="s">
        <v>37</v>
      </c>
      <c r="B659" s="6" t="s">
        <v>11</v>
      </c>
      <c r="C659" s="6">
        <v>540000</v>
      </c>
      <c r="D659" s="6">
        <v>1550</v>
      </c>
      <c r="E659" s="6">
        <v>2023</v>
      </c>
      <c r="F659" s="6">
        <v>6.1</v>
      </c>
      <c r="G659" s="6" t="s">
        <v>41</v>
      </c>
      <c r="H659" s="6" t="s">
        <v>13</v>
      </c>
      <c r="I659" s="6" t="s">
        <v>14</v>
      </c>
      <c r="J659" s="6" t="s">
        <v>15</v>
      </c>
      <c r="K659" s="20">
        <f>C659/D659</f>
        <v>348.38709677419354</v>
      </c>
      <c r="L659" s="11">
        <f>PMT(F659/100/12, 300, -(C659 *
(1 - G659/100)))</f>
        <v>2809.8490084312148</v>
      </c>
      <c r="M659" s="11">
        <f t="shared" si="50"/>
        <v>410954.70252936438</v>
      </c>
      <c r="N659" s="11">
        <f t="shared" si="51"/>
        <v>842954.70252936438</v>
      </c>
      <c r="O659">
        <f t="shared" si="52"/>
        <v>432000</v>
      </c>
      <c r="P659">
        <v>620.90086111111111</v>
      </c>
      <c r="R659" t="str">
        <f t="shared" si="53"/>
        <v>3</v>
      </c>
      <c r="S659">
        <f t="shared" si="54"/>
        <v>620.9095679012346</v>
      </c>
    </row>
    <row r="660" spans="1:19">
      <c r="A660" s="6" t="s">
        <v>16</v>
      </c>
      <c r="B660" s="6" t="s">
        <v>11</v>
      </c>
      <c r="C660" s="6">
        <v>610000</v>
      </c>
      <c r="D660" s="6">
        <v>1750</v>
      </c>
      <c r="E660" s="6">
        <v>2024</v>
      </c>
      <c r="F660" s="6">
        <v>5.3</v>
      </c>
      <c r="G660" s="6" t="s">
        <v>38</v>
      </c>
      <c r="H660" s="6" t="s">
        <v>43</v>
      </c>
      <c r="I660" s="6" t="s">
        <v>14</v>
      </c>
      <c r="J660" s="6" t="s">
        <v>15</v>
      </c>
      <c r="K660" s="20">
        <f>C660/D660</f>
        <v>348.57142857142856</v>
      </c>
      <c r="L660" s="11">
        <f>PMT(F660/100/12, 300, -(C660 *
(1 - G660/100)))</f>
        <v>2865.2732917865833</v>
      </c>
      <c r="M660" s="11">
        <f t="shared" si="50"/>
        <v>383781.98753597494</v>
      </c>
      <c r="N660" s="11">
        <f t="shared" si="51"/>
        <v>859581.98753597494</v>
      </c>
      <c r="O660">
        <f t="shared" si="52"/>
        <v>475800</v>
      </c>
      <c r="P660">
        <v>701.20086065573776</v>
      </c>
      <c r="R660" t="str">
        <f t="shared" si="53"/>
        <v>4</v>
      </c>
      <c r="S660">
        <f t="shared" si="54"/>
        <v>701.2095628415301</v>
      </c>
    </row>
    <row r="661" spans="1:19">
      <c r="A661" s="6" t="s">
        <v>37</v>
      </c>
      <c r="B661" s="6" t="s">
        <v>11</v>
      </c>
      <c r="C661" s="6">
        <v>560000</v>
      </c>
      <c r="D661" s="6">
        <v>1600</v>
      </c>
      <c r="E661" s="6">
        <v>2023</v>
      </c>
      <c r="F661" s="6">
        <v>6.1</v>
      </c>
      <c r="G661" s="6" t="s">
        <v>41</v>
      </c>
      <c r="H661" s="6" t="s">
        <v>13</v>
      </c>
      <c r="I661" s="6" t="s">
        <v>14</v>
      </c>
      <c r="J661" s="6" t="s">
        <v>15</v>
      </c>
      <c r="K661" s="20">
        <f>C661/D661</f>
        <v>350</v>
      </c>
      <c r="L661" s="11">
        <f>PMT(F661/100/12, 300, -(C661 *
(1 - G661/100)))</f>
        <v>2913.9174902249633</v>
      </c>
      <c r="M661" s="11">
        <f t="shared" si="50"/>
        <v>426175.24706748902</v>
      </c>
      <c r="N661" s="11">
        <f t="shared" si="51"/>
        <v>874175.24706748896</v>
      </c>
      <c r="O661">
        <f t="shared" si="52"/>
        <v>448000</v>
      </c>
      <c r="P661">
        <v>640.90085714285715</v>
      </c>
      <c r="R661" t="str">
        <f t="shared" si="53"/>
        <v>3</v>
      </c>
      <c r="S661">
        <f t="shared" si="54"/>
        <v>640.90952380952376</v>
      </c>
    </row>
    <row r="662" spans="1:19">
      <c r="A662" s="4" t="s">
        <v>22</v>
      </c>
      <c r="B662" s="4" t="s">
        <v>27</v>
      </c>
      <c r="C662" s="4">
        <v>315000</v>
      </c>
      <c r="D662" s="4">
        <v>900</v>
      </c>
      <c r="E662" s="4">
        <v>2024</v>
      </c>
      <c r="F662" s="4">
        <v>5.4</v>
      </c>
      <c r="G662" s="4" t="s">
        <v>39</v>
      </c>
      <c r="H662" s="4" t="s">
        <v>19</v>
      </c>
      <c r="I662" s="4" t="s">
        <v>20</v>
      </c>
      <c r="J662" s="4" t="s">
        <v>29</v>
      </c>
      <c r="K662" s="20">
        <f>C662/D662</f>
        <v>350</v>
      </c>
      <c r="L662" s="11">
        <f>PMT(F662/100/12, 300, -(C662 *
(1 - G662/100)))</f>
        <v>1647.4239462588253</v>
      </c>
      <c r="M662" s="11">
        <f t="shared" si="50"/>
        <v>223327.18387764756</v>
      </c>
      <c r="N662" s="11">
        <f t="shared" si="51"/>
        <v>494227.18387764756</v>
      </c>
      <c r="O662">
        <f t="shared" si="52"/>
        <v>270900</v>
      </c>
      <c r="P662">
        <v>360.60085714285714</v>
      </c>
      <c r="R662" t="str">
        <f t="shared" si="53"/>
        <v>2</v>
      </c>
      <c r="S662">
        <f t="shared" si="54"/>
        <v>360.60952380952381</v>
      </c>
    </row>
    <row r="663" spans="1:19">
      <c r="A663" s="6" t="s">
        <v>30</v>
      </c>
      <c r="B663" s="6" t="s">
        <v>11</v>
      </c>
      <c r="C663" s="6">
        <v>410000</v>
      </c>
      <c r="D663" s="6">
        <v>1170</v>
      </c>
      <c r="E663" s="6">
        <v>2024</v>
      </c>
      <c r="F663" s="6">
        <v>5.2</v>
      </c>
      <c r="G663" s="6" t="s">
        <v>38</v>
      </c>
      <c r="H663" s="6" t="s">
        <v>13</v>
      </c>
      <c r="I663" s="6" t="s">
        <v>14</v>
      </c>
      <c r="J663" s="6" t="s">
        <v>15</v>
      </c>
      <c r="K663" s="20">
        <f>C663/D663</f>
        <v>350.4273504273504</v>
      </c>
      <c r="L663" s="11">
        <f>PMT(F663/100/12, 300, -(C663 *
(1 - G663/100)))</f>
        <v>1906.9722561034437</v>
      </c>
      <c r="M663" s="11">
        <f t="shared" si="50"/>
        <v>252291.67683103302</v>
      </c>
      <c r="N663" s="11">
        <f t="shared" si="51"/>
        <v>572091.67683103308</v>
      </c>
      <c r="O663">
        <f t="shared" si="52"/>
        <v>319800</v>
      </c>
      <c r="P663">
        <v>468.90085609756096</v>
      </c>
      <c r="R663" t="str">
        <f t="shared" si="53"/>
        <v>3</v>
      </c>
      <c r="S663">
        <f t="shared" si="54"/>
        <v>468.90951219512192</v>
      </c>
    </row>
    <row r="664" spans="1:19">
      <c r="A664" s="6" t="s">
        <v>33</v>
      </c>
      <c r="B664" s="6" t="s">
        <v>11</v>
      </c>
      <c r="C664" s="6">
        <v>488000</v>
      </c>
      <c r="D664" s="6">
        <v>1390</v>
      </c>
      <c r="E664" s="6">
        <v>2023</v>
      </c>
      <c r="F664" s="6">
        <v>6</v>
      </c>
      <c r="G664" s="6" t="s">
        <v>41</v>
      </c>
      <c r="H664" s="6" t="s">
        <v>13</v>
      </c>
      <c r="I664" s="6" t="s">
        <v>14</v>
      </c>
      <c r="J664" s="6" t="s">
        <v>15</v>
      </c>
      <c r="K664" s="20">
        <f>C664/D664</f>
        <v>351.07913669064749</v>
      </c>
      <c r="L664" s="11">
        <f>PMT(F664/100/12, 300, -(C664 *
(1 - G664/100)))</f>
        <v>2515.3526713994252</v>
      </c>
      <c r="M664" s="11">
        <f t="shared" si="50"/>
        <v>364205.80141982751</v>
      </c>
      <c r="N664" s="11">
        <f t="shared" si="51"/>
        <v>754605.80141982751</v>
      </c>
      <c r="O664">
        <f t="shared" si="52"/>
        <v>390400</v>
      </c>
      <c r="P664">
        <v>556.90085450819674</v>
      </c>
      <c r="R664" t="str">
        <f t="shared" si="53"/>
        <v>3</v>
      </c>
      <c r="S664">
        <f t="shared" si="54"/>
        <v>556.90949453551912</v>
      </c>
    </row>
    <row r="665" spans="1:19">
      <c r="A665" s="4" t="s">
        <v>16</v>
      </c>
      <c r="B665" s="4" t="s">
        <v>11</v>
      </c>
      <c r="C665" s="4">
        <v>590000</v>
      </c>
      <c r="D665" s="4">
        <v>1680</v>
      </c>
      <c r="E665" s="4">
        <v>2023</v>
      </c>
      <c r="F665" s="4">
        <v>6</v>
      </c>
      <c r="G665" s="4" t="s">
        <v>38</v>
      </c>
      <c r="H665" s="4" t="s">
        <v>43</v>
      </c>
      <c r="I665" s="4" t="s">
        <v>14</v>
      </c>
      <c r="J665" s="4" t="s">
        <v>15</v>
      </c>
      <c r="K665" s="20">
        <f>C665/D665</f>
        <v>351.1904761904762</v>
      </c>
      <c r="L665" s="11">
        <f>PMT(F665/100/12, 300, -(C665 *
(1 - G665/100)))</f>
        <v>2965.0750496363103</v>
      </c>
      <c r="M665" s="11">
        <f t="shared" si="50"/>
        <v>429322.51489089313</v>
      </c>
      <c r="N665" s="11">
        <f t="shared" si="51"/>
        <v>889522.51489089313</v>
      </c>
      <c r="O665">
        <f t="shared" si="52"/>
        <v>460200</v>
      </c>
      <c r="P665">
        <v>673.20085423728813</v>
      </c>
      <c r="R665" t="str">
        <f t="shared" si="53"/>
        <v>4</v>
      </c>
      <c r="S665">
        <f t="shared" si="54"/>
        <v>673.2094915254238</v>
      </c>
    </row>
    <row r="666" spans="1:19">
      <c r="A666" s="6" t="s">
        <v>30</v>
      </c>
      <c r="B666" s="6" t="s">
        <v>11</v>
      </c>
      <c r="C666" s="6">
        <v>425000</v>
      </c>
      <c r="D666" s="6">
        <v>1210</v>
      </c>
      <c r="E666" s="6">
        <v>2024</v>
      </c>
      <c r="F666" s="6">
        <v>5.3</v>
      </c>
      <c r="G666" s="6" t="s">
        <v>38</v>
      </c>
      <c r="H666" s="6" t="s">
        <v>13</v>
      </c>
      <c r="I666" s="6" t="s">
        <v>14</v>
      </c>
      <c r="J666" s="6" t="s">
        <v>15</v>
      </c>
      <c r="K666" s="20">
        <f>C666/D666</f>
        <v>351.23966942148758</v>
      </c>
      <c r="L666" s="11">
        <f>PMT(F666/100/12, 300, -(C666 *
(1 - G666/100)))</f>
        <v>1996.2969655890133</v>
      </c>
      <c r="M666" s="11">
        <f t="shared" si="50"/>
        <v>267389.08967670397</v>
      </c>
      <c r="N666" s="11">
        <f t="shared" si="51"/>
        <v>598889.08967670402</v>
      </c>
      <c r="O666">
        <f t="shared" si="52"/>
        <v>331500</v>
      </c>
      <c r="P666">
        <v>484.90085411764704</v>
      </c>
      <c r="R666" t="str">
        <f t="shared" si="53"/>
        <v>3</v>
      </c>
      <c r="S666">
        <f t="shared" si="54"/>
        <v>484.90949019607842</v>
      </c>
    </row>
    <row r="667" spans="1:19">
      <c r="A667" s="4" t="s">
        <v>26</v>
      </c>
      <c r="B667" s="4" t="s">
        <v>23</v>
      </c>
      <c r="C667" s="4">
        <v>260000</v>
      </c>
      <c r="D667" s="4">
        <v>740</v>
      </c>
      <c r="E667" s="4">
        <v>2023</v>
      </c>
      <c r="F667" s="4">
        <v>6.5</v>
      </c>
      <c r="G667" s="4" t="s">
        <v>24</v>
      </c>
      <c r="H667" s="4" t="s">
        <v>25</v>
      </c>
      <c r="I667" s="4" t="s">
        <v>20</v>
      </c>
      <c r="J667" s="4" t="s">
        <v>21</v>
      </c>
      <c r="K667" s="20">
        <f>C667/D667</f>
        <v>351.35135135135135</v>
      </c>
      <c r="L667" s="11">
        <f>PMT(F667/100/12, 300, -(C667 *
(1 - G667/100)))</f>
        <v>1579.9847575534768</v>
      </c>
      <c r="M667" s="11">
        <f t="shared" si="50"/>
        <v>239995.42726604303</v>
      </c>
      <c r="N667" s="11">
        <f t="shared" si="51"/>
        <v>473995.42726604303</v>
      </c>
      <c r="O667">
        <f t="shared" si="52"/>
        <v>234000</v>
      </c>
      <c r="P667">
        <v>296.30085384615387</v>
      </c>
      <c r="R667" t="str">
        <f t="shared" si="53"/>
        <v>1</v>
      </c>
      <c r="S667">
        <f t="shared" si="54"/>
        <v>296.30948717948718</v>
      </c>
    </row>
    <row r="668" spans="1:19">
      <c r="A668" s="4" t="s">
        <v>30</v>
      </c>
      <c r="B668" s="4" t="s">
        <v>17</v>
      </c>
      <c r="C668" s="4">
        <v>260000</v>
      </c>
      <c r="D668" s="4">
        <v>740</v>
      </c>
      <c r="E668" s="4">
        <v>2024</v>
      </c>
      <c r="F668" s="4">
        <v>5.4</v>
      </c>
      <c r="G668" s="4" t="s">
        <v>36</v>
      </c>
      <c r="H668" s="4" t="s">
        <v>25</v>
      </c>
      <c r="I668" s="4" t="s">
        <v>20</v>
      </c>
      <c r="J668" s="4" t="s">
        <v>21</v>
      </c>
      <c r="K668" s="20">
        <f>C668/D668</f>
        <v>351.35135135135135</v>
      </c>
      <c r="L668" s="11">
        <f>PMT(F668/100/12, 300, -(C668 *
(1 - G668/100)))</f>
        <v>1502.0808959982644</v>
      </c>
      <c r="M668" s="11">
        <f t="shared" si="50"/>
        <v>203624.26879947932</v>
      </c>
      <c r="N668" s="11">
        <f t="shared" si="51"/>
        <v>450624.26879947935</v>
      </c>
      <c r="O668">
        <f t="shared" si="52"/>
        <v>247000</v>
      </c>
      <c r="P668">
        <v>296.30085384615387</v>
      </c>
      <c r="R668" t="str">
        <f t="shared" si="53"/>
        <v>1</v>
      </c>
      <c r="S668">
        <f t="shared" si="54"/>
        <v>296.30948717948718</v>
      </c>
    </row>
    <row r="669" spans="1:19">
      <c r="A669" s="4" t="s">
        <v>32</v>
      </c>
      <c r="B669" s="4" t="s">
        <v>17</v>
      </c>
      <c r="C669" s="4">
        <v>260000</v>
      </c>
      <c r="D669" s="4">
        <v>740</v>
      </c>
      <c r="E669" s="4">
        <v>2023</v>
      </c>
      <c r="F669" s="4">
        <v>5.4</v>
      </c>
      <c r="G669" s="4" t="s">
        <v>40</v>
      </c>
      <c r="H669" s="4" t="s">
        <v>25</v>
      </c>
      <c r="I669" s="4" t="s">
        <v>20</v>
      </c>
      <c r="J669" s="4" t="s">
        <v>21</v>
      </c>
      <c r="K669" s="20">
        <f>C669/D669</f>
        <v>351.35135135135135</v>
      </c>
      <c r="L669" s="11">
        <f>PMT(F669/100/12, 300, -(C669 *
(1 - G669/100)))</f>
        <v>1470.4581402930376</v>
      </c>
      <c r="M669" s="11">
        <f t="shared" si="50"/>
        <v>199337.4420879113</v>
      </c>
      <c r="N669" s="11">
        <f t="shared" si="51"/>
        <v>441137.4420879113</v>
      </c>
      <c r="O669">
        <f t="shared" si="52"/>
        <v>241799.99999999997</v>
      </c>
      <c r="P669">
        <v>296.30085384615387</v>
      </c>
      <c r="R669" t="str">
        <f t="shared" si="53"/>
        <v>1</v>
      </c>
      <c r="S669">
        <f t="shared" si="54"/>
        <v>296.30948717948718</v>
      </c>
    </row>
    <row r="670" spans="1:19">
      <c r="A670" s="4" t="s">
        <v>32</v>
      </c>
      <c r="B670" s="4" t="s">
        <v>17</v>
      </c>
      <c r="C670" s="4">
        <v>260000</v>
      </c>
      <c r="D670" s="4">
        <v>740</v>
      </c>
      <c r="E670" s="4">
        <v>2024</v>
      </c>
      <c r="F670" s="4">
        <v>5.3</v>
      </c>
      <c r="G670" s="4" t="s">
        <v>40</v>
      </c>
      <c r="H670" s="4" t="s">
        <v>25</v>
      </c>
      <c r="I670" s="4" t="s">
        <v>20</v>
      </c>
      <c r="J670" s="4" t="s">
        <v>21</v>
      </c>
      <c r="K670" s="20">
        <f>C670/D670</f>
        <v>351.35135135135135</v>
      </c>
      <c r="L670" s="11">
        <f>PMT(F670/100/12, 300, -(C670 *
(1 - G670/100)))</f>
        <v>1456.12249254728</v>
      </c>
      <c r="M670" s="11">
        <f t="shared" si="50"/>
        <v>195036.74776418402</v>
      </c>
      <c r="N670" s="11">
        <f t="shared" si="51"/>
        <v>436836.74776418402</v>
      </c>
      <c r="O670">
        <f t="shared" si="52"/>
        <v>241799.99999999997</v>
      </c>
      <c r="P670">
        <v>296.30085384615387</v>
      </c>
      <c r="R670" t="str">
        <f t="shared" si="53"/>
        <v>1</v>
      </c>
      <c r="S670">
        <f t="shared" si="54"/>
        <v>296.30948717948718</v>
      </c>
    </row>
    <row r="671" spans="1:19">
      <c r="A671" s="6" t="s">
        <v>16</v>
      </c>
      <c r="B671" s="6" t="s">
        <v>11</v>
      </c>
      <c r="C671" s="6">
        <v>580000</v>
      </c>
      <c r="D671" s="6">
        <v>1650</v>
      </c>
      <c r="E671" s="6">
        <v>2024</v>
      </c>
      <c r="F671" s="6">
        <v>5.3</v>
      </c>
      <c r="G671" s="6" t="s">
        <v>38</v>
      </c>
      <c r="H671" s="6" t="s">
        <v>43</v>
      </c>
      <c r="I671" s="6" t="s">
        <v>14</v>
      </c>
      <c r="J671" s="6" t="s">
        <v>15</v>
      </c>
      <c r="K671" s="20">
        <f>C671/D671</f>
        <v>351.5151515151515</v>
      </c>
      <c r="L671" s="11">
        <f>PMT(F671/100/12, 300, -(C671 *
(1 - G671/100)))</f>
        <v>2724.3582118626532</v>
      </c>
      <c r="M671" s="11">
        <f t="shared" si="50"/>
        <v>364907.46355879592</v>
      </c>
      <c r="N671" s="11">
        <f t="shared" si="51"/>
        <v>817307.46355879586</v>
      </c>
      <c r="O671">
        <f t="shared" si="52"/>
        <v>452400</v>
      </c>
      <c r="P671">
        <v>661.20085344827589</v>
      </c>
      <c r="R671" t="str">
        <f t="shared" si="53"/>
        <v>4</v>
      </c>
      <c r="S671">
        <f t="shared" si="54"/>
        <v>661.20948275862077</v>
      </c>
    </row>
    <row r="672" spans="1:19">
      <c r="A672" s="6" t="s">
        <v>33</v>
      </c>
      <c r="B672" s="6" t="s">
        <v>11</v>
      </c>
      <c r="C672" s="6">
        <v>510000</v>
      </c>
      <c r="D672" s="6">
        <v>1450</v>
      </c>
      <c r="E672" s="6">
        <v>2023</v>
      </c>
      <c r="F672" s="6">
        <v>6.2</v>
      </c>
      <c r="G672" s="6" t="s">
        <v>41</v>
      </c>
      <c r="H672" s="6" t="s">
        <v>13</v>
      </c>
      <c r="I672" s="6" t="s">
        <v>14</v>
      </c>
      <c r="J672" s="6" t="s">
        <v>15</v>
      </c>
      <c r="K672" s="20">
        <f>C672/D672</f>
        <v>351.72413793103448</v>
      </c>
      <c r="L672" s="11">
        <f>PMT(F672/100/12, 300, -(C672 *
(1 - G672/100)))</f>
        <v>2678.8549522771059</v>
      </c>
      <c r="M672" s="11">
        <f t="shared" si="50"/>
        <v>395656.48568313173</v>
      </c>
      <c r="N672" s="11">
        <f t="shared" si="51"/>
        <v>803656.48568313173</v>
      </c>
      <c r="O672">
        <f t="shared" si="52"/>
        <v>408000</v>
      </c>
      <c r="P672">
        <v>580.90085294117648</v>
      </c>
      <c r="R672" t="str">
        <f t="shared" si="53"/>
        <v>3</v>
      </c>
      <c r="S672">
        <f t="shared" si="54"/>
        <v>580.90947712418301</v>
      </c>
    </row>
    <row r="673" spans="1:19">
      <c r="A673" s="6" t="s">
        <v>37</v>
      </c>
      <c r="B673" s="6" t="s">
        <v>11</v>
      </c>
      <c r="C673" s="6">
        <v>518000</v>
      </c>
      <c r="D673" s="6">
        <v>1470</v>
      </c>
      <c r="E673" s="6">
        <v>2024</v>
      </c>
      <c r="F673" s="6">
        <v>5.2</v>
      </c>
      <c r="G673" s="6" t="s">
        <v>41</v>
      </c>
      <c r="H673" s="6" t="s">
        <v>13</v>
      </c>
      <c r="I673" s="6" t="s">
        <v>14</v>
      </c>
      <c r="J673" s="6" t="s">
        <v>15</v>
      </c>
      <c r="K673" s="20">
        <f>C673/D673</f>
        <v>352.38095238095241</v>
      </c>
      <c r="L673" s="11">
        <f>PMT(F673/100/12, 300, -(C673 *
(1 - G673/100)))</f>
        <v>2471.0734925868264</v>
      </c>
      <c r="M673" s="11">
        <f t="shared" si="50"/>
        <v>326922.0477760479</v>
      </c>
      <c r="N673" s="11">
        <f t="shared" si="51"/>
        <v>741322.04777604784</v>
      </c>
      <c r="O673">
        <f t="shared" si="52"/>
        <v>414400</v>
      </c>
      <c r="P673">
        <v>588.90085135135132</v>
      </c>
      <c r="R673" t="str">
        <f t="shared" si="53"/>
        <v>3</v>
      </c>
      <c r="S673">
        <f t="shared" si="54"/>
        <v>588.90945945945941</v>
      </c>
    </row>
    <row r="674" spans="1:19">
      <c r="A674" s="6" t="s">
        <v>30</v>
      </c>
      <c r="B674" s="6" t="s">
        <v>11</v>
      </c>
      <c r="C674" s="6">
        <v>420000</v>
      </c>
      <c r="D674" s="6">
        <v>1190</v>
      </c>
      <c r="E674" s="6">
        <v>2024</v>
      </c>
      <c r="F674" s="6">
        <v>5.3</v>
      </c>
      <c r="G674" s="6" t="s">
        <v>38</v>
      </c>
      <c r="H674" s="6" t="s">
        <v>13</v>
      </c>
      <c r="I674" s="6" t="s">
        <v>14</v>
      </c>
      <c r="J674" s="6" t="s">
        <v>15</v>
      </c>
      <c r="K674" s="20">
        <f>C674/D674</f>
        <v>352.94117647058823</v>
      </c>
      <c r="L674" s="11">
        <f>PMT(F674/100/12, 300, -(C674 *
(1 - G674/100)))</f>
        <v>1972.8111189350248</v>
      </c>
      <c r="M674" s="11">
        <f t="shared" si="50"/>
        <v>264243.33568050747</v>
      </c>
      <c r="N674" s="11">
        <f t="shared" si="51"/>
        <v>591843.33568050747</v>
      </c>
      <c r="O674">
        <f t="shared" si="52"/>
        <v>327600</v>
      </c>
      <c r="P674">
        <v>476.90084999999999</v>
      </c>
      <c r="R674" t="str">
        <f t="shared" si="53"/>
        <v>3</v>
      </c>
      <c r="S674">
        <f t="shared" si="54"/>
        <v>476.90944444444443</v>
      </c>
    </row>
    <row r="675" spans="1:19">
      <c r="A675" s="4" t="s">
        <v>37</v>
      </c>
      <c r="B675" s="4" t="s">
        <v>11</v>
      </c>
      <c r="C675" s="4">
        <v>540000</v>
      </c>
      <c r="D675" s="4">
        <v>1530</v>
      </c>
      <c r="E675" s="4">
        <v>2024</v>
      </c>
      <c r="F675" s="4">
        <v>5.0999999999999996</v>
      </c>
      <c r="G675" s="4" t="s">
        <v>38</v>
      </c>
      <c r="H675" s="4" t="s">
        <v>13</v>
      </c>
      <c r="I675" s="4" t="s">
        <v>14</v>
      </c>
      <c r="J675" s="4" t="s">
        <v>29</v>
      </c>
      <c r="K675" s="20">
        <f>C675/D675</f>
        <v>352.94117647058823</v>
      </c>
      <c r="L675" s="11">
        <f>PMT(F675/100/12, 300, -(C675 *
(1 - G675/100)))</f>
        <v>2486.8956740745025</v>
      </c>
      <c r="M675" s="11">
        <f t="shared" si="50"/>
        <v>324868.70222235069</v>
      </c>
      <c r="N675" s="11">
        <f t="shared" si="51"/>
        <v>746068.70222235075</v>
      </c>
      <c r="O675">
        <f t="shared" si="52"/>
        <v>421200</v>
      </c>
      <c r="P675">
        <v>612.90084999999999</v>
      </c>
      <c r="R675" t="str">
        <f t="shared" si="53"/>
        <v>3</v>
      </c>
      <c r="S675">
        <f t="shared" si="54"/>
        <v>612.90944444444438</v>
      </c>
    </row>
    <row r="676" spans="1:19">
      <c r="A676" s="6" t="s">
        <v>16</v>
      </c>
      <c r="B676" s="6" t="s">
        <v>11</v>
      </c>
      <c r="C676" s="6">
        <v>600000</v>
      </c>
      <c r="D676" s="6">
        <v>1700</v>
      </c>
      <c r="E676" s="6">
        <v>2024</v>
      </c>
      <c r="F676" s="6">
        <v>5.3</v>
      </c>
      <c r="G676" s="6" t="s">
        <v>38</v>
      </c>
      <c r="H676" s="6" t="s">
        <v>43</v>
      </c>
      <c r="I676" s="6" t="s">
        <v>14</v>
      </c>
      <c r="J676" s="6" t="s">
        <v>15</v>
      </c>
      <c r="K676" s="20">
        <f>C676/D676</f>
        <v>352.94117647058823</v>
      </c>
      <c r="L676" s="11">
        <f>PMT(F676/100/12, 300, -(C676 *
(1 - G676/100)))</f>
        <v>2818.3015984786066</v>
      </c>
      <c r="M676" s="11">
        <f t="shared" si="50"/>
        <v>377490.4795435819</v>
      </c>
      <c r="N676" s="11">
        <f t="shared" si="51"/>
        <v>845490.47954358184</v>
      </c>
      <c r="O676">
        <f t="shared" si="52"/>
        <v>468000</v>
      </c>
      <c r="P676">
        <v>681.20085000000006</v>
      </c>
      <c r="R676" t="str">
        <f t="shared" si="53"/>
        <v>4</v>
      </c>
      <c r="S676">
        <f t="shared" si="54"/>
        <v>681.20944444444444</v>
      </c>
    </row>
    <row r="677" spans="1:19">
      <c r="A677" s="4" t="s">
        <v>30</v>
      </c>
      <c r="B677" s="4" t="s">
        <v>11</v>
      </c>
      <c r="C677" s="4">
        <v>440000</v>
      </c>
      <c r="D677" s="4">
        <v>1240</v>
      </c>
      <c r="E677" s="4">
        <v>2023</v>
      </c>
      <c r="F677" s="4">
        <v>6.2</v>
      </c>
      <c r="G677" s="4" t="s">
        <v>38</v>
      </c>
      <c r="H677" s="4" t="s">
        <v>13</v>
      </c>
      <c r="I677" s="4" t="s">
        <v>14</v>
      </c>
      <c r="J677" s="4" t="s">
        <v>15</v>
      </c>
      <c r="K677" s="20">
        <f>C677/D677</f>
        <v>354.83870967741933</v>
      </c>
      <c r="L677" s="11">
        <f>PMT(F677/100/12, 300, -(C677 *
(1 - G677/100)))</f>
        <v>2253.3897539742716</v>
      </c>
      <c r="M677" s="11">
        <f t="shared" si="50"/>
        <v>332816.92619228142</v>
      </c>
      <c r="N677" s="11">
        <f t="shared" si="51"/>
        <v>676016.92619228142</v>
      </c>
      <c r="O677">
        <f t="shared" si="52"/>
        <v>343200</v>
      </c>
      <c r="P677">
        <v>496.90084545454545</v>
      </c>
      <c r="R677" t="str">
        <f t="shared" si="53"/>
        <v>3</v>
      </c>
      <c r="S677">
        <f t="shared" si="54"/>
        <v>496.90939393939391</v>
      </c>
    </row>
    <row r="678" spans="1:19">
      <c r="A678" s="6" t="s">
        <v>37</v>
      </c>
      <c r="B678" s="6" t="s">
        <v>11</v>
      </c>
      <c r="C678" s="6">
        <v>550000</v>
      </c>
      <c r="D678" s="6">
        <v>1550</v>
      </c>
      <c r="E678" s="6">
        <v>2024</v>
      </c>
      <c r="F678" s="6">
        <v>5.0999999999999996</v>
      </c>
      <c r="G678" s="7">
        <v>20</v>
      </c>
      <c r="H678" s="6" t="s">
        <v>13</v>
      </c>
      <c r="I678" s="6" t="s">
        <v>14</v>
      </c>
      <c r="J678" s="6" t="s">
        <v>15</v>
      </c>
      <c r="K678" s="20">
        <f>C678/D678</f>
        <v>354.83870967741933</v>
      </c>
      <c r="L678" s="11">
        <f>PMT(F678/100/12, 300, -(C678 *
(1 - G678/100)))</f>
        <v>2597.8967155574096</v>
      </c>
      <c r="M678" s="11">
        <f t="shared" si="50"/>
        <v>339369.01466722286</v>
      </c>
      <c r="N678" s="11">
        <f t="shared" si="51"/>
        <v>779369.01466722286</v>
      </c>
      <c r="O678">
        <f t="shared" si="52"/>
        <v>440000</v>
      </c>
      <c r="P678">
        <v>620.90084545454545</v>
      </c>
      <c r="R678" t="str">
        <f t="shared" si="53"/>
        <v>3</v>
      </c>
      <c r="S678">
        <f t="shared" si="54"/>
        <v>620.90939393939391</v>
      </c>
    </row>
    <row r="679" spans="1:19">
      <c r="A679" s="6" t="s">
        <v>26</v>
      </c>
      <c r="B679" s="6" t="s">
        <v>23</v>
      </c>
      <c r="C679" s="6">
        <v>285000</v>
      </c>
      <c r="D679" s="6">
        <v>800</v>
      </c>
      <c r="E679" s="6">
        <v>2024</v>
      </c>
      <c r="F679" s="6">
        <v>5.5</v>
      </c>
      <c r="G679" s="6">
        <v>10</v>
      </c>
      <c r="H679" s="6" t="s">
        <v>25</v>
      </c>
      <c r="I679" s="6" t="s">
        <v>20</v>
      </c>
      <c r="J679" s="6" t="s">
        <v>21</v>
      </c>
      <c r="K679" s="20">
        <f>C679/D679</f>
        <v>356.25</v>
      </c>
      <c r="L679" s="11">
        <f>PMT(F679/100/12, 300, -(C679 *
(1 - G679/100)))</f>
        <v>1575.1344177019712</v>
      </c>
      <c r="M679" s="11">
        <f t="shared" si="50"/>
        <v>216040.32531059135</v>
      </c>
      <c r="N679" s="11">
        <f t="shared" si="51"/>
        <v>472540.32531059138</v>
      </c>
      <c r="O679">
        <f t="shared" si="52"/>
        <v>256500</v>
      </c>
      <c r="P679">
        <v>320.30084210526314</v>
      </c>
      <c r="R679" t="str">
        <f t="shared" si="53"/>
        <v>1</v>
      </c>
      <c r="S679">
        <f t="shared" si="54"/>
        <v>320.30935672514619</v>
      </c>
    </row>
    <row r="680" spans="1:19">
      <c r="A680" s="6" t="s">
        <v>30</v>
      </c>
      <c r="B680" s="6" t="s">
        <v>11</v>
      </c>
      <c r="C680" s="6">
        <v>450000</v>
      </c>
      <c r="D680" s="6">
        <v>1260</v>
      </c>
      <c r="E680" s="6">
        <v>2024</v>
      </c>
      <c r="F680" s="6">
        <v>5.3</v>
      </c>
      <c r="G680" s="6" t="s">
        <v>38</v>
      </c>
      <c r="H680" s="6" t="s">
        <v>13</v>
      </c>
      <c r="I680" s="6" t="s">
        <v>14</v>
      </c>
      <c r="J680" s="6" t="s">
        <v>15</v>
      </c>
      <c r="K680" s="20">
        <f>C680/D680</f>
        <v>357.14285714285717</v>
      </c>
      <c r="L680" s="11">
        <f>PMT(F680/100/12, 300, -(C680 *
(1 - G680/100)))</f>
        <v>2113.7261988589553</v>
      </c>
      <c r="M680" s="11">
        <f t="shared" si="50"/>
        <v>283117.85965768655</v>
      </c>
      <c r="N680" s="11">
        <f t="shared" si="51"/>
        <v>634117.85965768655</v>
      </c>
      <c r="O680">
        <f t="shared" si="52"/>
        <v>351000</v>
      </c>
      <c r="P680">
        <v>504.90083999999996</v>
      </c>
      <c r="R680" t="str">
        <f t="shared" si="53"/>
        <v>3</v>
      </c>
      <c r="S680">
        <f t="shared" si="54"/>
        <v>504.90933333333334</v>
      </c>
    </row>
    <row r="681" spans="1:19">
      <c r="A681" s="4" t="s">
        <v>37</v>
      </c>
      <c r="B681" s="4" t="s">
        <v>11</v>
      </c>
      <c r="C681" s="4">
        <v>508000</v>
      </c>
      <c r="D681" s="4">
        <v>1420</v>
      </c>
      <c r="E681" s="4">
        <v>2023</v>
      </c>
      <c r="F681" s="4">
        <v>6.2</v>
      </c>
      <c r="G681" s="4" t="s">
        <v>41</v>
      </c>
      <c r="H681" s="4" t="s">
        <v>13</v>
      </c>
      <c r="I681" s="4" t="s">
        <v>14</v>
      </c>
      <c r="J681" s="4" t="s">
        <v>15</v>
      </c>
      <c r="K681" s="20">
        <f>C681/D681</f>
        <v>357.74647887323943</v>
      </c>
      <c r="L681" s="11">
        <f>PMT(F681/100/12, 300, -(C681 *
(1 - G681/100)))</f>
        <v>2668.3496387387645</v>
      </c>
      <c r="M681" s="11">
        <f t="shared" si="50"/>
        <v>394104.89162162936</v>
      </c>
      <c r="N681" s="11">
        <f t="shared" si="51"/>
        <v>800504.89162162936</v>
      </c>
      <c r="O681">
        <f t="shared" si="52"/>
        <v>406400</v>
      </c>
      <c r="P681">
        <v>568.90083858267712</v>
      </c>
      <c r="R681" t="str">
        <f t="shared" si="53"/>
        <v>3</v>
      </c>
      <c r="S681">
        <f t="shared" si="54"/>
        <v>568.90931758530178</v>
      </c>
    </row>
    <row r="682" spans="1:19">
      <c r="A682" s="6" t="s">
        <v>16</v>
      </c>
      <c r="B682" s="6" t="s">
        <v>11</v>
      </c>
      <c r="C682" s="6">
        <v>610000</v>
      </c>
      <c r="D682" s="6">
        <v>1700</v>
      </c>
      <c r="E682" s="6">
        <v>2024</v>
      </c>
      <c r="F682" s="6">
        <v>5.3</v>
      </c>
      <c r="G682" s="6" t="s">
        <v>38</v>
      </c>
      <c r="H682" s="6" t="s">
        <v>43</v>
      </c>
      <c r="I682" s="6" t="s">
        <v>14</v>
      </c>
      <c r="J682" s="6" t="s">
        <v>15</v>
      </c>
      <c r="K682" s="20">
        <f>C682/D682</f>
        <v>358.8235294117647</v>
      </c>
      <c r="L682" s="11">
        <f>PMT(F682/100/12, 300, -(C682 *
(1 - G682/100)))</f>
        <v>2865.2732917865833</v>
      </c>
      <c r="M682" s="11">
        <f t="shared" si="50"/>
        <v>383781.98753597494</v>
      </c>
      <c r="N682" s="11">
        <f t="shared" si="51"/>
        <v>859581.98753597494</v>
      </c>
      <c r="O682">
        <f t="shared" si="52"/>
        <v>475800</v>
      </c>
      <c r="P682">
        <v>681.20083606557387</v>
      </c>
      <c r="R682" t="str">
        <f t="shared" si="53"/>
        <v>4</v>
      </c>
      <c r="S682">
        <f t="shared" si="54"/>
        <v>681.20928961748643</v>
      </c>
    </row>
    <row r="683" spans="1:19">
      <c r="A683" s="6" t="s">
        <v>16</v>
      </c>
      <c r="B683" s="6" t="s">
        <v>11</v>
      </c>
      <c r="C683" s="6">
        <v>575000</v>
      </c>
      <c r="D683" s="6">
        <v>1600</v>
      </c>
      <c r="E683" s="6">
        <v>2024</v>
      </c>
      <c r="F683" s="6">
        <v>5.3</v>
      </c>
      <c r="G683" s="6" t="s">
        <v>38</v>
      </c>
      <c r="H683" s="6" t="s">
        <v>43</v>
      </c>
      <c r="I683" s="6" t="s">
        <v>14</v>
      </c>
      <c r="J683" s="6" t="s">
        <v>15</v>
      </c>
      <c r="K683" s="20">
        <f>C683/D683</f>
        <v>359.375</v>
      </c>
      <c r="L683" s="11">
        <f>PMT(F683/100/12, 300, -(C683 *
(1 - G683/100)))</f>
        <v>2700.8723652086651</v>
      </c>
      <c r="M683" s="11">
        <f t="shared" si="50"/>
        <v>361761.70956259943</v>
      </c>
      <c r="N683" s="11">
        <f t="shared" si="51"/>
        <v>810261.70956259943</v>
      </c>
      <c r="O683">
        <f t="shared" si="52"/>
        <v>448500</v>
      </c>
      <c r="P683">
        <v>641.20083478260869</v>
      </c>
      <c r="R683" t="str">
        <f t="shared" si="53"/>
        <v>4</v>
      </c>
      <c r="S683">
        <f t="shared" si="54"/>
        <v>641.20927536231886</v>
      </c>
    </row>
    <row r="684" spans="1:19">
      <c r="A684" s="6" t="s">
        <v>30</v>
      </c>
      <c r="B684" s="6" t="s">
        <v>11</v>
      </c>
      <c r="C684" s="6">
        <v>435000</v>
      </c>
      <c r="D684" s="6">
        <v>1210</v>
      </c>
      <c r="E684" s="6">
        <v>2024</v>
      </c>
      <c r="F684" s="6">
        <v>5.3</v>
      </c>
      <c r="G684" s="6" t="s">
        <v>38</v>
      </c>
      <c r="H684" s="6" t="s">
        <v>13</v>
      </c>
      <c r="I684" s="6" t="s">
        <v>14</v>
      </c>
      <c r="J684" s="6" t="s">
        <v>15</v>
      </c>
      <c r="K684" s="20">
        <f>C684/D684</f>
        <v>359.50413223140498</v>
      </c>
      <c r="L684" s="11">
        <f>PMT(F684/100/12, 300, -(C684 *
(1 - G684/100)))</f>
        <v>2043.2686588969898</v>
      </c>
      <c r="M684" s="11">
        <f t="shared" si="50"/>
        <v>273680.59766909684</v>
      </c>
      <c r="N684" s="11">
        <f t="shared" si="51"/>
        <v>612980.5976690969</v>
      </c>
      <c r="O684">
        <f t="shared" si="52"/>
        <v>339300</v>
      </c>
      <c r="P684">
        <v>484.90083448275863</v>
      </c>
      <c r="R684" t="str">
        <f t="shared" si="53"/>
        <v>3</v>
      </c>
      <c r="S684">
        <f t="shared" si="54"/>
        <v>484.90927203065132</v>
      </c>
    </row>
    <row r="685" spans="1:19">
      <c r="A685" s="6" t="s">
        <v>37</v>
      </c>
      <c r="B685" s="6" t="s">
        <v>11</v>
      </c>
      <c r="C685" s="6">
        <v>540000</v>
      </c>
      <c r="D685" s="6">
        <v>1500</v>
      </c>
      <c r="E685" s="6">
        <v>2024</v>
      </c>
      <c r="F685" s="6">
        <v>5.0999999999999996</v>
      </c>
      <c r="G685" s="6" t="s">
        <v>41</v>
      </c>
      <c r="H685" s="6" t="s">
        <v>13</v>
      </c>
      <c r="I685" s="6" t="s">
        <v>14</v>
      </c>
      <c r="J685" s="6" t="s">
        <v>15</v>
      </c>
      <c r="K685" s="20">
        <f>C685/D685</f>
        <v>360</v>
      </c>
      <c r="L685" s="11">
        <f>PMT(F685/100/12, 300, -(C685 *
(1 - G685/100)))</f>
        <v>2550.6622298200023</v>
      </c>
      <c r="M685" s="11">
        <f t="shared" si="50"/>
        <v>333198.66894600063</v>
      </c>
      <c r="N685" s="11">
        <f t="shared" si="51"/>
        <v>765198.66894600063</v>
      </c>
      <c r="O685">
        <f t="shared" si="52"/>
        <v>432000</v>
      </c>
      <c r="P685">
        <v>600.90083333333337</v>
      </c>
      <c r="R685" t="str">
        <f t="shared" si="53"/>
        <v>3</v>
      </c>
      <c r="S685">
        <f t="shared" si="54"/>
        <v>600.90925925925922</v>
      </c>
    </row>
    <row r="686" spans="1:19">
      <c r="A686" s="4" t="s">
        <v>16</v>
      </c>
      <c r="B686" s="4" t="s">
        <v>11</v>
      </c>
      <c r="C686" s="4">
        <v>570000</v>
      </c>
      <c r="D686" s="4">
        <v>1580</v>
      </c>
      <c r="E686" s="4">
        <v>2023</v>
      </c>
      <c r="F686" s="4">
        <v>6.1</v>
      </c>
      <c r="G686" s="4" t="s">
        <v>38</v>
      </c>
      <c r="H686" s="4" t="s">
        <v>43</v>
      </c>
      <c r="I686" s="4" t="s">
        <v>14</v>
      </c>
      <c r="J686" s="4" t="s">
        <v>15</v>
      </c>
      <c r="K686" s="20">
        <f>C686/D686</f>
        <v>360.75949367088606</v>
      </c>
      <c r="L686" s="11">
        <f>PMT(F686/100/12, 300, -(C686 *
(1 - G686/100)))</f>
        <v>2891.8029378437918</v>
      </c>
      <c r="M686" s="11">
        <f t="shared" si="50"/>
        <v>422940.88135313755</v>
      </c>
      <c r="N686" s="11">
        <f t="shared" si="51"/>
        <v>867540.88135313755</v>
      </c>
      <c r="O686">
        <f t="shared" si="52"/>
        <v>444600</v>
      </c>
      <c r="P686">
        <v>633.20083157894737</v>
      </c>
      <c r="R686" t="str">
        <f t="shared" si="53"/>
        <v>4</v>
      </c>
      <c r="S686">
        <f t="shared" si="54"/>
        <v>633.20923976608196</v>
      </c>
    </row>
    <row r="687" spans="1:19">
      <c r="A687" s="6" t="s">
        <v>16</v>
      </c>
      <c r="B687" s="6" t="s">
        <v>11</v>
      </c>
      <c r="C687" s="6">
        <v>600000</v>
      </c>
      <c r="D687" s="6">
        <v>1650</v>
      </c>
      <c r="E687" s="6">
        <v>2024</v>
      </c>
      <c r="F687" s="6">
        <v>5.3</v>
      </c>
      <c r="G687" s="6" t="s">
        <v>38</v>
      </c>
      <c r="H687" s="6" t="s">
        <v>43</v>
      </c>
      <c r="I687" s="6" t="s">
        <v>14</v>
      </c>
      <c r="J687" s="6" t="s">
        <v>15</v>
      </c>
      <c r="K687" s="20">
        <f>C687/D687</f>
        <v>363.63636363636363</v>
      </c>
      <c r="L687" s="11">
        <f>PMT(F687/100/12, 300, -(C687 *
(1 - G687/100)))</f>
        <v>2818.3015984786066</v>
      </c>
      <c r="M687" s="11">
        <f t="shared" si="50"/>
        <v>377490.4795435819</v>
      </c>
      <c r="N687" s="11">
        <f t="shared" si="51"/>
        <v>845490.47954358184</v>
      </c>
      <c r="O687">
        <f t="shared" si="52"/>
        <v>468000</v>
      </c>
      <c r="P687">
        <v>661.20082500000001</v>
      </c>
      <c r="R687" t="str">
        <f t="shared" si="53"/>
        <v>4</v>
      </c>
      <c r="S687">
        <f t="shared" si="54"/>
        <v>661.20916666666676</v>
      </c>
    </row>
    <row r="688" spans="1:19">
      <c r="A688" s="4" t="s">
        <v>30</v>
      </c>
      <c r="B688" s="4" t="s">
        <v>11</v>
      </c>
      <c r="C688" s="4">
        <v>412000</v>
      </c>
      <c r="D688" s="4">
        <v>1130</v>
      </c>
      <c r="E688" s="4">
        <v>2023</v>
      </c>
      <c r="F688" s="4">
        <v>6.3</v>
      </c>
      <c r="G688" s="4" t="s">
        <v>38</v>
      </c>
      <c r="H688" s="4" t="s">
        <v>13</v>
      </c>
      <c r="I688" s="4" t="s">
        <v>14</v>
      </c>
      <c r="J688" s="4" t="s">
        <v>15</v>
      </c>
      <c r="K688" s="20">
        <f>C688/D688</f>
        <v>364.60176991150445</v>
      </c>
      <c r="L688" s="11">
        <f>PMT(F688/100/12, 300, -(C688 *
(1 - G688/100)))</f>
        <v>2129.8566322523493</v>
      </c>
      <c r="M688" s="11">
        <f t="shared" si="50"/>
        <v>317596.98967570462</v>
      </c>
      <c r="N688" s="11">
        <f t="shared" si="51"/>
        <v>638956.98967570462</v>
      </c>
      <c r="O688">
        <f t="shared" si="52"/>
        <v>321360</v>
      </c>
      <c r="P688">
        <v>452.90082281553396</v>
      </c>
      <c r="R688" t="str">
        <f t="shared" si="53"/>
        <v>3</v>
      </c>
      <c r="S688">
        <f t="shared" si="54"/>
        <v>452.90914239482197</v>
      </c>
    </row>
    <row r="689" spans="1:19">
      <c r="A689" s="4" t="s">
        <v>26</v>
      </c>
      <c r="B689" s="4" t="s">
        <v>23</v>
      </c>
      <c r="C689" s="4">
        <v>270000</v>
      </c>
      <c r="D689" s="4">
        <v>740</v>
      </c>
      <c r="E689" s="4">
        <v>2023</v>
      </c>
      <c r="F689" s="4">
        <v>6.5</v>
      </c>
      <c r="G689" s="4" t="s">
        <v>24</v>
      </c>
      <c r="H689" s="4" t="s">
        <v>25</v>
      </c>
      <c r="I689" s="4" t="s">
        <v>20</v>
      </c>
      <c r="J689" s="4" t="s">
        <v>21</v>
      </c>
      <c r="K689" s="20">
        <f>C689/D689</f>
        <v>364.86486486486484</v>
      </c>
      <c r="L689" s="11">
        <f>PMT(F689/100/12, 300, -(C689 *
(1 - G689/100)))</f>
        <v>1640.7534020747644</v>
      </c>
      <c r="M689" s="11">
        <f t="shared" si="50"/>
        <v>249226.02062242929</v>
      </c>
      <c r="N689" s="11">
        <f t="shared" si="51"/>
        <v>492226.02062242932</v>
      </c>
      <c r="O689">
        <f t="shared" si="52"/>
        <v>243000</v>
      </c>
      <c r="P689">
        <v>296.30082222222222</v>
      </c>
      <c r="R689" t="str">
        <f t="shared" si="53"/>
        <v>1</v>
      </c>
      <c r="S689">
        <f t="shared" si="54"/>
        <v>296.30913580246914</v>
      </c>
    </row>
    <row r="690" spans="1:19">
      <c r="A690" s="4" t="s">
        <v>30</v>
      </c>
      <c r="B690" s="4" t="s">
        <v>17</v>
      </c>
      <c r="C690" s="4">
        <v>270000</v>
      </c>
      <c r="D690" s="4">
        <v>740</v>
      </c>
      <c r="E690" s="4">
        <v>2024</v>
      </c>
      <c r="F690" s="4">
        <v>5.4</v>
      </c>
      <c r="G690" s="4" t="s">
        <v>36</v>
      </c>
      <c r="H690" s="4" t="s">
        <v>25</v>
      </c>
      <c r="I690" s="4" t="s">
        <v>20</v>
      </c>
      <c r="J690" s="4" t="s">
        <v>21</v>
      </c>
      <c r="K690" s="20">
        <f>C690/D690</f>
        <v>364.86486486486484</v>
      </c>
      <c r="L690" s="11">
        <f>PMT(F690/100/12, 300, -(C690 *
(1 - G690/100)))</f>
        <v>1559.8532381520438</v>
      </c>
      <c r="M690" s="11">
        <f t="shared" si="50"/>
        <v>211455.97144561316</v>
      </c>
      <c r="N690" s="11">
        <f t="shared" si="51"/>
        <v>467955.97144561319</v>
      </c>
      <c r="O690">
        <f t="shared" si="52"/>
        <v>256500</v>
      </c>
      <c r="P690">
        <v>296.30082222222222</v>
      </c>
      <c r="R690" t="str">
        <f t="shared" si="53"/>
        <v>1</v>
      </c>
      <c r="S690">
        <f t="shared" si="54"/>
        <v>296.30913580246914</v>
      </c>
    </row>
    <row r="691" spans="1:19">
      <c r="A691" s="6" t="s">
        <v>35</v>
      </c>
      <c r="B691" s="6" t="s">
        <v>11</v>
      </c>
      <c r="C691" s="6">
        <v>410000</v>
      </c>
      <c r="D691" s="6">
        <v>1120</v>
      </c>
      <c r="E691" s="6">
        <v>2024</v>
      </c>
      <c r="F691" s="6">
        <v>5.4</v>
      </c>
      <c r="G691" s="7">
        <v>25</v>
      </c>
      <c r="H691" s="6" t="s">
        <v>13</v>
      </c>
      <c r="I691" s="6" t="s">
        <v>14</v>
      </c>
      <c r="J691" s="6" t="s">
        <v>15</v>
      </c>
      <c r="K691" s="20">
        <f>C691/D691</f>
        <v>366.07142857142856</v>
      </c>
      <c r="L691" s="11">
        <f>PMT(F691/100/12, 300, -(C691 *
(1 - G691/100)))</f>
        <v>1869.9994960302279</v>
      </c>
      <c r="M691" s="11">
        <f t="shared" si="50"/>
        <v>253499.84880906832</v>
      </c>
      <c r="N691" s="11">
        <f t="shared" si="51"/>
        <v>560999.84880906832</v>
      </c>
      <c r="O691">
        <f t="shared" si="52"/>
        <v>307500</v>
      </c>
      <c r="P691">
        <v>448.90081951219508</v>
      </c>
      <c r="R691" t="str">
        <f t="shared" si="53"/>
        <v>3</v>
      </c>
      <c r="S691">
        <f t="shared" si="54"/>
        <v>448.90910569105688</v>
      </c>
    </row>
    <row r="692" spans="1:19">
      <c r="A692" s="6" t="s">
        <v>33</v>
      </c>
      <c r="B692" s="6" t="s">
        <v>11</v>
      </c>
      <c r="C692" s="6">
        <v>480000</v>
      </c>
      <c r="D692" s="6">
        <v>1300</v>
      </c>
      <c r="E692" s="6">
        <v>2024</v>
      </c>
      <c r="F692" s="6">
        <v>5.2</v>
      </c>
      <c r="G692" s="6" t="s">
        <v>41</v>
      </c>
      <c r="H692" s="6" t="s">
        <v>13</v>
      </c>
      <c r="I692" s="6" t="s">
        <v>14</v>
      </c>
      <c r="J692" s="6" t="s">
        <v>15</v>
      </c>
      <c r="K692" s="20">
        <f>C692/D692</f>
        <v>369.23076923076923</v>
      </c>
      <c r="L692" s="11">
        <f>PMT(F692/100/12, 300, -(C692 *
(1 - G692/100)))</f>
        <v>2289.7978309684877</v>
      </c>
      <c r="M692" s="11">
        <f t="shared" si="50"/>
        <v>302939.34929054626</v>
      </c>
      <c r="N692" s="11">
        <f t="shared" si="51"/>
        <v>686939.34929054626</v>
      </c>
      <c r="O692">
        <f t="shared" si="52"/>
        <v>384000</v>
      </c>
      <c r="P692">
        <v>520.90081250000003</v>
      </c>
      <c r="R692" t="str">
        <f t="shared" si="53"/>
        <v>3</v>
      </c>
      <c r="S692">
        <f t="shared" si="54"/>
        <v>520.90902777777774</v>
      </c>
    </row>
    <row r="693" spans="1:19">
      <c r="A693" s="6" t="s">
        <v>16</v>
      </c>
      <c r="B693" s="6" t="s">
        <v>11</v>
      </c>
      <c r="C693" s="6">
        <v>568000</v>
      </c>
      <c r="D693" s="6">
        <v>1520</v>
      </c>
      <c r="E693" s="6">
        <v>2024</v>
      </c>
      <c r="F693" s="6">
        <v>5.3</v>
      </c>
      <c r="G693" s="6" t="s">
        <v>38</v>
      </c>
      <c r="H693" s="6" t="s">
        <v>43</v>
      </c>
      <c r="I693" s="6" t="s">
        <v>14</v>
      </c>
      <c r="J693" s="6" t="s">
        <v>15</v>
      </c>
      <c r="K693" s="20">
        <f>C693/D693</f>
        <v>373.68421052631578</v>
      </c>
      <c r="L693" s="11">
        <f>PMT(F693/100/12, 300, -(C693 *
(1 - G693/100)))</f>
        <v>2667.9921798930814</v>
      </c>
      <c r="M693" s="11">
        <f t="shared" si="50"/>
        <v>357357.65396792436</v>
      </c>
      <c r="N693" s="11">
        <f t="shared" si="51"/>
        <v>800397.65396792442</v>
      </c>
      <c r="O693">
        <f t="shared" si="52"/>
        <v>443040</v>
      </c>
      <c r="P693">
        <v>609.2008028169015</v>
      </c>
      <c r="R693" t="str">
        <f t="shared" si="53"/>
        <v>4</v>
      </c>
      <c r="S693">
        <f t="shared" si="54"/>
        <v>609.20892018779352</v>
      </c>
    </row>
    <row r="694" spans="1:19">
      <c r="A694" s="6" t="s">
        <v>26</v>
      </c>
      <c r="B694" s="6" t="s">
        <v>23</v>
      </c>
      <c r="C694" s="6">
        <v>282000</v>
      </c>
      <c r="D694" s="6">
        <v>750</v>
      </c>
      <c r="E694" s="6">
        <v>2024</v>
      </c>
      <c r="F694" s="6">
        <v>5.5</v>
      </c>
      <c r="G694" s="6">
        <v>10</v>
      </c>
      <c r="H694" s="6" t="s">
        <v>25</v>
      </c>
      <c r="I694" s="6" t="s">
        <v>20</v>
      </c>
      <c r="J694" s="6" t="s">
        <v>21</v>
      </c>
      <c r="K694" s="20">
        <f>C694/D694</f>
        <v>376</v>
      </c>
      <c r="L694" s="11">
        <f>PMT(F694/100/12, 300, -(C694 *
(1 - G694/100)))</f>
        <v>1558.5540554103713</v>
      </c>
      <c r="M694" s="11">
        <f t="shared" si="50"/>
        <v>213766.2166231114</v>
      </c>
      <c r="N694" s="11">
        <f t="shared" si="51"/>
        <v>467566.2166231114</v>
      </c>
      <c r="O694">
        <f t="shared" si="52"/>
        <v>253800</v>
      </c>
      <c r="P694">
        <v>300.30079787234041</v>
      </c>
      <c r="R694" t="str">
        <f t="shared" si="53"/>
        <v>1</v>
      </c>
      <c r="S694">
        <f t="shared" si="54"/>
        <v>300.30886524822694</v>
      </c>
    </row>
    <row r="695" spans="1:19">
      <c r="A695" s="4" t="s">
        <v>10</v>
      </c>
      <c r="B695" s="4" t="s">
        <v>11</v>
      </c>
      <c r="C695" s="4">
        <v>920000</v>
      </c>
      <c r="D695" s="4">
        <v>2350</v>
      </c>
      <c r="E695" s="4">
        <v>2024</v>
      </c>
      <c r="F695" s="4">
        <v>5.0999999999999996</v>
      </c>
      <c r="G695" s="4" t="s">
        <v>41</v>
      </c>
      <c r="H695" s="4" t="s">
        <v>43</v>
      </c>
      <c r="I695" s="4" t="s">
        <v>14</v>
      </c>
      <c r="J695" s="4" t="s">
        <v>15</v>
      </c>
      <c r="K695" s="20">
        <f>C695/D695</f>
        <v>391.48936170212767</v>
      </c>
      <c r="L695" s="11">
        <f>PMT(F695/100/12, 300, -(C695 *
(1 - G695/100)))</f>
        <v>4345.5726878414853</v>
      </c>
      <c r="M695" s="11">
        <f t="shared" si="50"/>
        <v>567671.80635244562</v>
      </c>
      <c r="N695" s="11">
        <f t="shared" si="51"/>
        <v>1303671.8063524456</v>
      </c>
      <c r="O695">
        <f t="shared" si="52"/>
        <v>736000</v>
      </c>
      <c r="P695">
        <v>941.20076630434789</v>
      </c>
      <c r="R695" t="str">
        <f t="shared" si="53"/>
        <v>4</v>
      </c>
      <c r="S695">
        <f t="shared" si="54"/>
        <v>941.20851449275369</v>
      </c>
    </row>
    <row r="696" spans="1:19">
      <c r="A696" s="6" t="s">
        <v>35</v>
      </c>
      <c r="B696" s="6" t="s">
        <v>27</v>
      </c>
      <c r="C696" s="6">
        <v>290000</v>
      </c>
      <c r="D696" s="6">
        <v>740</v>
      </c>
      <c r="E696" s="6">
        <v>2023</v>
      </c>
      <c r="F696" s="6">
        <v>6.5</v>
      </c>
      <c r="G696" s="6" t="s">
        <v>18</v>
      </c>
      <c r="H696" s="6" t="s">
        <v>19</v>
      </c>
      <c r="I696" s="6" t="s">
        <v>20</v>
      </c>
      <c r="J696" s="6" t="s">
        <v>29</v>
      </c>
      <c r="K696" s="20">
        <f>C696/D696</f>
        <v>391.89189189189187</v>
      </c>
      <c r="L696" s="11">
        <f>PMT(F696/100/12, 300, -(C696 *
(1 - G696/100)))</f>
        <v>1723.1286757591763</v>
      </c>
      <c r="M696" s="11">
        <f t="shared" si="50"/>
        <v>261738.60272775288</v>
      </c>
      <c r="N696" s="11">
        <f t="shared" si="51"/>
        <v>516938.60272775288</v>
      </c>
      <c r="O696">
        <f t="shared" si="52"/>
        <v>255200</v>
      </c>
      <c r="P696">
        <v>296.60076551724143</v>
      </c>
      <c r="R696" t="str">
        <f t="shared" si="53"/>
        <v>2</v>
      </c>
      <c r="S696">
        <f t="shared" si="54"/>
        <v>296.60850574712646</v>
      </c>
    </row>
    <row r="697" spans="1:19">
      <c r="A697" s="4" t="s">
        <v>10</v>
      </c>
      <c r="B697" s="4" t="s">
        <v>11</v>
      </c>
      <c r="C697" s="4">
        <v>925000</v>
      </c>
      <c r="D697" s="4">
        <v>2360</v>
      </c>
      <c r="E697" s="4">
        <v>2024</v>
      </c>
      <c r="F697" s="4">
        <v>5.0999999999999996</v>
      </c>
      <c r="G697" s="4" t="s">
        <v>41</v>
      </c>
      <c r="H697" s="4" t="s">
        <v>43</v>
      </c>
      <c r="I697" s="4" t="s">
        <v>14</v>
      </c>
      <c r="J697" s="4" t="s">
        <v>15</v>
      </c>
      <c r="K697" s="20">
        <f>C697/D697</f>
        <v>391.94915254237287</v>
      </c>
      <c r="L697" s="11">
        <f>PMT(F697/100/12, 300, -(C697 *
(1 - G697/100)))</f>
        <v>4369.1899307101894</v>
      </c>
      <c r="M697" s="11">
        <f t="shared" si="50"/>
        <v>570756.97921305685</v>
      </c>
      <c r="N697" s="11">
        <f t="shared" si="51"/>
        <v>1310756.9792130569</v>
      </c>
      <c r="O697">
        <f t="shared" si="52"/>
        <v>740000</v>
      </c>
      <c r="P697">
        <v>945.20076540540549</v>
      </c>
      <c r="R697" t="str">
        <f t="shared" si="53"/>
        <v>4</v>
      </c>
      <c r="S697">
        <f t="shared" si="54"/>
        <v>945.2085045045045</v>
      </c>
    </row>
    <row r="698" spans="1:19">
      <c r="A698" s="4" t="s">
        <v>10</v>
      </c>
      <c r="B698" s="4" t="s">
        <v>11</v>
      </c>
      <c r="C698" s="4">
        <v>910000</v>
      </c>
      <c r="D698" s="4">
        <v>2300</v>
      </c>
      <c r="E698" s="4">
        <v>2024</v>
      </c>
      <c r="F698" s="4">
        <v>5.0999999999999996</v>
      </c>
      <c r="G698" s="4" t="s">
        <v>41</v>
      </c>
      <c r="H698" s="4" t="s">
        <v>43</v>
      </c>
      <c r="I698" s="4" t="s">
        <v>14</v>
      </c>
      <c r="J698" s="4" t="s">
        <v>15</v>
      </c>
      <c r="K698" s="20">
        <f>C698/D698</f>
        <v>395.6521739130435</v>
      </c>
      <c r="L698" s="11">
        <f>PMT(F698/100/12, 300, -(C698 *
(1 - G698/100)))</f>
        <v>4298.3382021040779</v>
      </c>
      <c r="M698" s="11">
        <f t="shared" si="50"/>
        <v>561501.4606312234</v>
      </c>
      <c r="N698" s="11">
        <f t="shared" si="51"/>
        <v>1289501.4606312234</v>
      </c>
      <c r="O698">
        <f t="shared" si="52"/>
        <v>728000</v>
      </c>
      <c r="P698">
        <v>921.20075824175831</v>
      </c>
      <c r="R698" t="str">
        <f t="shared" si="53"/>
        <v>4</v>
      </c>
      <c r="S698">
        <f t="shared" si="54"/>
        <v>921.20842490842494</v>
      </c>
    </row>
    <row r="699" spans="1:19">
      <c r="A699" s="6" t="s">
        <v>26</v>
      </c>
      <c r="B699" s="6" t="s">
        <v>23</v>
      </c>
      <c r="C699" s="6">
        <v>280000</v>
      </c>
      <c r="D699" s="6">
        <v>700</v>
      </c>
      <c r="E699" s="6">
        <v>2024</v>
      </c>
      <c r="F699" s="6">
        <v>5.5</v>
      </c>
      <c r="G699" s="6">
        <v>10</v>
      </c>
      <c r="H699" s="6" t="s">
        <v>25</v>
      </c>
      <c r="I699" s="6" t="s">
        <v>20</v>
      </c>
      <c r="J699" s="6" t="s">
        <v>21</v>
      </c>
      <c r="K699" s="20">
        <f>C699/D699</f>
        <v>400</v>
      </c>
      <c r="L699" s="11">
        <f>PMT(F699/100/12, 300, -(C699 *
(1 - G699/100)))</f>
        <v>1547.5004805493052</v>
      </c>
      <c r="M699" s="11">
        <f t="shared" si="50"/>
        <v>212250.14416479153</v>
      </c>
      <c r="N699" s="11">
        <f t="shared" si="51"/>
        <v>464250.14416479156</v>
      </c>
      <c r="O699">
        <f t="shared" si="52"/>
        <v>252000</v>
      </c>
      <c r="P699">
        <v>280.30074999999999</v>
      </c>
      <c r="R699" t="str">
        <f t="shared" si="53"/>
        <v>1</v>
      </c>
      <c r="S699">
        <f t="shared" si="54"/>
        <v>280.30833333333334</v>
      </c>
    </row>
    <row r="700" spans="1:19">
      <c r="A700" s="4" t="s">
        <v>10</v>
      </c>
      <c r="B700" s="4" t="s">
        <v>11</v>
      </c>
      <c r="C700" s="4">
        <v>900000</v>
      </c>
      <c r="D700" s="4">
        <v>2250</v>
      </c>
      <c r="E700" s="4">
        <v>2024</v>
      </c>
      <c r="F700" s="4">
        <v>5.0999999999999996</v>
      </c>
      <c r="G700" s="4" t="s">
        <v>41</v>
      </c>
      <c r="H700" s="4" t="s">
        <v>43</v>
      </c>
      <c r="I700" s="4" t="s">
        <v>14</v>
      </c>
      <c r="J700" s="4" t="s">
        <v>15</v>
      </c>
      <c r="K700" s="20">
        <f>C700/D700</f>
        <v>400</v>
      </c>
      <c r="L700" s="11">
        <f>PMT(F700/100/12, 300, -(C700 *
(1 - G700/100)))</f>
        <v>4251.1037163666706</v>
      </c>
      <c r="M700" s="11">
        <f t="shared" si="50"/>
        <v>555331.11491000117</v>
      </c>
      <c r="N700" s="11">
        <f t="shared" si="51"/>
        <v>1275331.1149100012</v>
      </c>
      <c r="O700">
        <f t="shared" si="52"/>
        <v>720000</v>
      </c>
      <c r="P700">
        <v>901.20075000000008</v>
      </c>
      <c r="R700" t="str">
        <f t="shared" si="53"/>
        <v>4</v>
      </c>
      <c r="S700">
        <f t="shared" si="54"/>
        <v>901.20833333333337</v>
      </c>
    </row>
    <row r="701" spans="1:19">
      <c r="A701" s="6" t="s">
        <v>10</v>
      </c>
      <c r="B701" s="6" t="s">
        <v>11</v>
      </c>
      <c r="C701" s="6">
        <v>890000</v>
      </c>
      <c r="D701" s="6">
        <v>2200</v>
      </c>
      <c r="E701" s="6">
        <v>2024</v>
      </c>
      <c r="F701" s="6">
        <v>5.0999999999999996</v>
      </c>
      <c r="G701" s="6" t="s">
        <v>41</v>
      </c>
      <c r="H701" s="6" t="s">
        <v>43</v>
      </c>
      <c r="I701" s="6" t="s">
        <v>14</v>
      </c>
      <c r="J701" s="6" t="s">
        <v>15</v>
      </c>
      <c r="K701" s="20">
        <f>C701/D701</f>
        <v>404.54545454545456</v>
      </c>
      <c r="L701" s="11">
        <f>PMT(F701/100/12, 300, -(C701 *
(1 - G701/100)))</f>
        <v>4203.8692306292633</v>
      </c>
      <c r="M701" s="11">
        <f t="shared" si="50"/>
        <v>549160.76918877882</v>
      </c>
      <c r="N701" s="11">
        <f t="shared" si="51"/>
        <v>1261160.7691887789</v>
      </c>
      <c r="O701">
        <f t="shared" si="52"/>
        <v>712000</v>
      </c>
      <c r="P701">
        <v>881.20074157303372</v>
      </c>
      <c r="R701" t="str">
        <f t="shared" si="53"/>
        <v>4</v>
      </c>
      <c r="S701">
        <f t="shared" si="54"/>
        <v>881.20823970037463</v>
      </c>
    </row>
    <row r="702" spans="1:19">
      <c r="A702" s="4" t="s">
        <v>33</v>
      </c>
      <c r="B702" s="4" t="s">
        <v>17</v>
      </c>
      <c r="C702" s="4">
        <v>300000</v>
      </c>
      <c r="D702" s="4">
        <v>740</v>
      </c>
      <c r="E702" s="4">
        <v>2024</v>
      </c>
      <c r="F702" s="4">
        <v>5.2</v>
      </c>
      <c r="G702" s="4" t="s">
        <v>18</v>
      </c>
      <c r="H702" s="4" t="s">
        <v>19</v>
      </c>
      <c r="I702" s="4" t="s">
        <v>20</v>
      </c>
      <c r="J702" s="4" t="s">
        <v>21</v>
      </c>
      <c r="K702" s="20">
        <f>C702/D702</f>
        <v>405.40540540540542</v>
      </c>
      <c r="L702" s="11">
        <f>PMT(F702/100/12, 300, -(C702 *
(1 - G702/100)))</f>
        <v>1574.2360087908353</v>
      </c>
      <c r="M702" s="11">
        <f t="shared" si="50"/>
        <v>208270.80263725057</v>
      </c>
      <c r="N702" s="11">
        <f t="shared" si="51"/>
        <v>472270.80263725057</v>
      </c>
      <c r="O702">
        <f t="shared" si="52"/>
        <v>264000</v>
      </c>
      <c r="P702">
        <v>296.60074000000003</v>
      </c>
      <c r="R702" t="str">
        <f t="shared" si="53"/>
        <v>2</v>
      </c>
      <c r="S702">
        <f t="shared" si="54"/>
        <v>296.60822222222225</v>
      </c>
    </row>
    <row r="703" spans="1:19">
      <c r="A703" s="4" t="s">
        <v>22</v>
      </c>
      <c r="B703" s="4" t="s">
        <v>23</v>
      </c>
      <c r="C703" s="4">
        <v>300000</v>
      </c>
      <c r="D703" s="4">
        <v>740</v>
      </c>
      <c r="E703" s="4">
        <v>2024</v>
      </c>
      <c r="F703" s="4">
        <v>5.4</v>
      </c>
      <c r="G703" s="4" t="s">
        <v>24</v>
      </c>
      <c r="H703" s="4" t="s">
        <v>25</v>
      </c>
      <c r="I703" s="4" t="s">
        <v>20</v>
      </c>
      <c r="J703" s="4" t="s">
        <v>21</v>
      </c>
      <c r="K703" s="20">
        <f>C703/D703</f>
        <v>405.40540540540542</v>
      </c>
      <c r="L703" s="11">
        <f>PMT(F703/100/12, 300, -(C703 *
(1 - G703/100)))</f>
        <v>1641.9507770021514</v>
      </c>
      <c r="M703" s="11">
        <f t="shared" si="50"/>
        <v>222585.23310064548</v>
      </c>
      <c r="N703" s="11">
        <f t="shared" si="51"/>
        <v>492585.23310064548</v>
      </c>
      <c r="O703">
        <f t="shared" si="52"/>
        <v>270000</v>
      </c>
      <c r="P703">
        <v>296.30074000000002</v>
      </c>
      <c r="R703" t="str">
        <f t="shared" si="53"/>
        <v>1</v>
      </c>
      <c r="S703">
        <f t="shared" si="54"/>
        <v>296.30822222222224</v>
      </c>
    </row>
    <row r="704" spans="1:19">
      <c r="A704" s="6" t="s">
        <v>35</v>
      </c>
      <c r="B704" s="6" t="s">
        <v>27</v>
      </c>
      <c r="C704" s="6">
        <v>300000</v>
      </c>
      <c r="D704" s="6">
        <v>740</v>
      </c>
      <c r="E704" s="6">
        <v>2023</v>
      </c>
      <c r="F704" s="6">
        <v>6.5</v>
      </c>
      <c r="G704" s="6" t="s">
        <v>18</v>
      </c>
      <c r="H704" s="6" t="s">
        <v>19</v>
      </c>
      <c r="I704" s="6" t="s">
        <v>20</v>
      </c>
      <c r="J704" s="6" t="s">
        <v>29</v>
      </c>
      <c r="K704" s="20">
        <f>C704/D704</f>
        <v>405.40540540540542</v>
      </c>
      <c r="L704" s="11">
        <f>PMT(F704/100/12, 300, -(C704 *
(1 - G704/100)))</f>
        <v>1782.5469059577686</v>
      </c>
      <c r="M704" s="11">
        <f t="shared" si="50"/>
        <v>270764.07178733061</v>
      </c>
      <c r="N704" s="11">
        <f t="shared" si="51"/>
        <v>534764.07178733055</v>
      </c>
      <c r="O704">
        <f t="shared" si="52"/>
        <v>264000</v>
      </c>
      <c r="P704">
        <v>296.60074000000003</v>
      </c>
      <c r="R704" t="str">
        <f t="shared" si="53"/>
        <v>2</v>
      </c>
      <c r="S704">
        <f t="shared" si="54"/>
        <v>296.60822222222225</v>
      </c>
    </row>
    <row r="705" spans="1:19">
      <c r="A705" s="6" t="s">
        <v>10</v>
      </c>
      <c r="B705" s="6" t="s">
        <v>11</v>
      </c>
      <c r="C705" s="6">
        <v>885000</v>
      </c>
      <c r="D705" s="6">
        <v>2150</v>
      </c>
      <c r="E705" s="6">
        <v>2024</v>
      </c>
      <c r="F705" s="6">
        <v>5.0999999999999996</v>
      </c>
      <c r="G705" s="6" t="s">
        <v>41</v>
      </c>
      <c r="H705" s="6" t="s">
        <v>43</v>
      </c>
      <c r="I705" s="6" t="s">
        <v>14</v>
      </c>
      <c r="J705" s="6" t="s">
        <v>15</v>
      </c>
      <c r="K705" s="20">
        <f>C705/D705</f>
        <v>411.62790697674421</v>
      </c>
      <c r="L705" s="11">
        <f>PMT(F705/100/12, 300, -(C705 *
(1 - G705/100)))</f>
        <v>4180.25198776056</v>
      </c>
      <c r="M705" s="11">
        <f t="shared" si="50"/>
        <v>546075.59632816783</v>
      </c>
      <c r="N705" s="11">
        <f t="shared" si="51"/>
        <v>1254075.5963281677</v>
      </c>
      <c r="O705">
        <f t="shared" si="52"/>
        <v>708000</v>
      </c>
      <c r="P705">
        <v>861.20072881355941</v>
      </c>
      <c r="R705" t="str">
        <f t="shared" si="53"/>
        <v>4</v>
      </c>
      <c r="S705">
        <f t="shared" si="54"/>
        <v>861.20809792843693</v>
      </c>
    </row>
    <row r="706" spans="1:19">
      <c r="A706" s="4" t="s">
        <v>30</v>
      </c>
      <c r="B706" s="4" t="s">
        <v>23</v>
      </c>
      <c r="C706" s="4">
        <v>305000</v>
      </c>
      <c r="D706" s="4">
        <v>740</v>
      </c>
      <c r="E706" s="4">
        <v>2023</v>
      </c>
      <c r="F706" s="4">
        <v>6.5</v>
      </c>
      <c r="G706" s="4" t="s">
        <v>24</v>
      </c>
      <c r="H706" s="4" t="s">
        <v>19</v>
      </c>
      <c r="I706" s="4" t="s">
        <v>20</v>
      </c>
      <c r="J706" s="4" t="s">
        <v>21</v>
      </c>
      <c r="K706" s="20">
        <f>C706/D706</f>
        <v>412.16216216216219</v>
      </c>
      <c r="L706" s="11">
        <f>PMT(F706/100/12, 300, -(C706 *
(1 - G706/100)))</f>
        <v>1853.4436578992709</v>
      </c>
      <c r="M706" s="11">
        <f t="shared" si="50"/>
        <v>281533.09736978123</v>
      </c>
      <c r="N706" s="11">
        <f t="shared" si="51"/>
        <v>556033.09736978123</v>
      </c>
      <c r="O706">
        <f t="shared" si="52"/>
        <v>274500</v>
      </c>
      <c r="P706">
        <v>296.60072786885246</v>
      </c>
      <c r="R706" t="str">
        <f t="shared" si="53"/>
        <v>2</v>
      </c>
      <c r="S706">
        <f t="shared" si="54"/>
        <v>296.608087431694</v>
      </c>
    </row>
    <row r="707" spans="1:19">
      <c r="A707" s="4" t="s">
        <v>32</v>
      </c>
      <c r="B707" s="4" t="s">
        <v>23</v>
      </c>
      <c r="C707" s="4">
        <v>310000</v>
      </c>
      <c r="D707" s="4">
        <v>740</v>
      </c>
      <c r="E707" s="4">
        <v>2023</v>
      </c>
      <c r="F707" s="4">
        <v>6.4</v>
      </c>
      <c r="G707" s="4" t="s">
        <v>24</v>
      </c>
      <c r="H707" s="4" t="s">
        <v>19</v>
      </c>
      <c r="I707" s="4" t="s">
        <v>20</v>
      </c>
      <c r="J707" s="4" t="s">
        <v>21</v>
      </c>
      <c r="K707" s="20">
        <f>C707/D707</f>
        <v>418.91891891891891</v>
      </c>
      <c r="L707" s="11">
        <f>PMT(F707/100/12, 300, -(C707 *
(1 - G707/100)))</f>
        <v>1866.4315359517541</v>
      </c>
      <c r="M707" s="11">
        <f t="shared" ref="M707:M770" si="55">-CUMIPMT(F707/1200,300,O707,1,300,0)</f>
        <v>280929.46078552632</v>
      </c>
      <c r="N707" s="11">
        <f t="shared" ref="N707:N770" si="56">O707+M707</f>
        <v>559929.46078552632</v>
      </c>
      <c r="O707">
        <f t="shared" ref="O707:O770" si="57">C707*(1-G707/100)</f>
        <v>279000</v>
      </c>
      <c r="P707">
        <v>296.60071612903226</v>
      </c>
      <c r="R707" t="str">
        <f t="shared" ref="R707:R770" si="58">IF(H707="A","4",IF(H707="B","3",IF(H707="C","2",IF(H707="D","1",0))))</f>
        <v>2</v>
      </c>
      <c r="S707">
        <f t="shared" ref="S707:S770" si="59">D707*0.4 +R707*0.3 +(1/(K707*0.3))</f>
        <v>296.60795698924733</v>
      </c>
    </row>
    <row r="708" spans="1:19">
      <c r="A708" s="4" t="s">
        <v>37</v>
      </c>
      <c r="B708" s="4" t="s">
        <v>17</v>
      </c>
      <c r="C708" s="4">
        <v>310000</v>
      </c>
      <c r="D708" s="4">
        <v>740</v>
      </c>
      <c r="E708" s="4">
        <v>2023</v>
      </c>
      <c r="F708" s="4">
        <v>6</v>
      </c>
      <c r="G708" s="4" t="s">
        <v>24</v>
      </c>
      <c r="H708" s="4" t="s">
        <v>19</v>
      </c>
      <c r="I708" s="4" t="s">
        <v>20</v>
      </c>
      <c r="J708" s="4" t="s">
        <v>21</v>
      </c>
      <c r="K708" s="20">
        <f>C708/D708</f>
        <v>418.91891891891891</v>
      </c>
      <c r="L708" s="11">
        <f>PMT(F708/100/12, 300, -(C708 *
(1 - G708/100)))</f>
        <v>1797.6009101445688</v>
      </c>
      <c r="M708" s="11">
        <f t="shared" si="55"/>
        <v>260280.27304337075</v>
      </c>
      <c r="N708" s="11">
        <f t="shared" si="56"/>
        <v>539280.27304337081</v>
      </c>
      <c r="O708">
        <f t="shared" si="57"/>
        <v>279000</v>
      </c>
      <c r="P708">
        <v>296.60071612903226</v>
      </c>
      <c r="R708" t="str">
        <f t="shared" si="58"/>
        <v>2</v>
      </c>
      <c r="S708">
        <f t="shared" si="59"/>
        <v>296.60795698924733</v>
      </c>
    </row>
    <row r="709" spans="1:19">
      <c r="A709" s="6" t="s">
        <v>30</v>
      </c>
      <c r="B709" s="6" t="s">
        <v>23</v>
      </c>
      <c r="C709" s="6">
        <v>310000</v>
      </c>
      <c r="D709" s="6">
        <v>740</v>
      </c>
      <c r="E709" s="6">
        <v>2024</v>
      </c>
      <c r="F709" s="6">
        <v>5.4</v>
      </c>
      <c r="G709" s="6" t="s">
        <v>24</v>
      </c>
      <c r="H709" s="6" t="s">
        <v>19</v>
      </c>
      <c r="I709" s="6" t="s">
        <v>20</v>
      </c>
      <c r="J709" s="6" t="s">
        <v>21</v>
      </c>
      <c r="K709" s="20">
        <f>C709/D709</f>
        <v>418.91891891891891</v>
      </c>
      <c r="L709" s="11">
        <f>PMT(F709/100/12, 300, -(C709 *
(1 - G709/100)))</f>
        <v>1696.6824695688897</v>
      </c>
      <c r="M709" s="11">
        <f t="shared" si="55"/>
        <v>230004.74087066698</v>
      </c>
      <c r="N709" s="11">
        <f t="shared" si="56"/>
        <v>509004.74087066698</v>
      </c>
      <c r="O709">
        <f t="shared" si="57"/>
        <v>279000</v>
      </c>
      <c r="P709">
        <v>296.60071612903226</v>
      </c>
      <c r="R709" t="str">
        <f t="shared" si="58"/>
        <v>2</v>
      </c>
      <c r="S709">
        <f t="shared" si="59"/>
        <v>296.60795698924733</v>
      </c>
    </row>
    <row r="710" spans="1:19">
      <c r="A710" s="4" t="s">
        <v>30</v>
      </c>
      <c r="B710" s="4" t="s">
        <v>23</v>
      </c>
      <c r="C710" s="4">
        <v>310000</v>
      </c>
      <c r="D710" s="4">
        <v>740</v>
      </c>
      <c r="E710" s="4">
        <v>2023</v>
      </c>
      <c r="F710" s="4">
        <v>6.5</v>
      </c>
      <c r="G710" s="4" t="s">
        <v>24</v>
      </c>
      <c r="H710" s="4" t="s">
        <v>19</v>
      </c>
      <c r="I710" s="4" t="s">
        <v>20</v>
      </c>
      <c r="J710" s="4" t="s">
        <v>21</v>
      </c>
      <c r="K710" s="20">
        <f>C710/D710</f>
        <v>418.91891891891891</v>
      </c>
      <c r="L710" s="11">
        <f>PMT(F710/100/12, 300, -(C710 *
(1 - G710/100)))</f>
        <v>1883.8279801599144</v>
      </c>
      <c r="M710" s="11">
        <f t="shared" si="55"/>
        <v>286148.39404797443</v>
      </c>
      <c r="N710" s="11">
        <f t="shared" si="56"/>
        <v>565148.39404797438</v>
      </c>
      <c r="O710">
        <f t="shared" si="57"/>
        <v>279000</v>
      </c>
      <c r="P710">
        <v>296.60071612903226</v>
      </c>
      <c r="R710" t="str">
        <f t="shared" si="58"/>
        <v>2</v>
      </c>
      <c r="S710">
        <f t="shared" si="59"/>
        <v>296.60795698924733</v>
      </c>
    </row>
    <row r="711" spans="1:19">
      <c r="A711" s="4" t="s">
        <v>33</v>
      </c>
      <c r="B711" s="4" t="s">
        <v>17</v>
      </c>
      <c r="C711" s="4">
        <v>310000</v>
      </c>
      <c r="D711" s="4">
        <v>740</v>
      </c>
      <c r="E711" s="4">
        <v>2024</v>
      </c>
      <c r="F711" s="4">
        <v>5.2</v>
      </c>
      <c r="G711" s="4" t="s">
        <v>18</v>
      </c>
      <c r="H711" s="4" t="s">
        <v>19</v>
      </c>
      <c r="I711" s="4" t="s">
        <v>20</v>
      </c>
      <c r="J711" s="4" t="s">
        <v>21</v>
      </c>
      <c r="K711" s="20">
        <f>C711/D711</f>
        <v>418.91891891891891</v>
      </c>
      <c r="L711" s="11">
        <f>PMT(F711/100/12, 300, -(C711 *
(1 - G711/100)))</f>
        <v>1626.7105424171966</v>
      </c>
      <c r="M711" s="11">
        <f t="shared" si="55"/>
        <v>215213.16272515891</v>
      </c>
      <c r="N711" s="11">
        <f t="shared" si="56"/>
        <v>488013.16272515891</v>
      </c>
      <c r="O711">
        <f t="shared" si="57"/>
        <v>272800</v>
      </c>
      <c r="P711">
        <v>296.60071612903226</v>
      </c>
      <c r="R711" t="str">
        <f t="shared" si="58"/>
        <v>2</v>
      </c>
      <c r="S711">
        <f t="shared" si="59"/>
        <v>296.60795698924733</v>
      </c>
    </row>
    <row r="712" spans="1:19">
      <c r="A712" s="4" t="s">
        <v>22</v>
      </c>
      <c r="B712" s="4" t="s">
        <v>23</v>
      </c>
      <c r="C712" s="4">
        <v>310000</v>
      </c>
      <c r="D712" s="4">
        <v>740</v>
      </c>
      <c r="E712" s="4">
        <v>2024</v>
      </c>
      <c r="F712" s="4">
        <v>5.4</v>
      </c>
      <c r="G712" s="4" t="s">
        <v>24</v>
      </c>
      <c r="H712" s="4" t="s">
        <v>25</v>
      </c>
      <c r="I712" s="4" t="s">
        <v>20</v>
      </c>
      <c r="J712" s="4" t="s">
        <v>21</v>
      </c>
      <c r="K712" s="20">
        <f>C712/D712</f>
        <v>418.91891891891891</v>
      </c>
      <c r="L712" s="11">
        <f>PMT(F712/100/12, 300, -(C712 *
(1 - G712/100)))</f>
        <v>1696.6824695688897</v>
      </c>
      <c r="M712" s="11">
        <f t="shared" si="55"/>
        <v>230004.74087066698</v>
      </c>
      <c r="N712" s="11">
        <f t="shared" si="56"/>
        <v>509004.74087066698</v>
      </c>
      <c r="O712">
        <f t="shared" si="57"/>
        <v>279000</v>
      </c>
      <c r="P712">
        <v>296.30071612903225</v>
      </c>
      <c r="R712" t="str">
        <f t="shared" si="58"/>
        <v>1</v>
      </c>
      <c r="S712">
        <f t="shared" si="59"/>
        <v>296.30795698924732</v>
      </c>
    </row>
    <row r="713" spans="1:19">
      <c r="A713" s="6" t="s">
        <v>10</v>
      </c>
      <c r="B713" s="6" t="s">
        <v>11</v>
      </c>
      <c r="C713" s="6">
        <v>880000</v>
      </c>
      <c r="D713" s="6">
        <v>2100</v>
      </c>
      <c r="E713" s="6">
        <v>2024</v>
      </c>
      <c r="F713" s="6">
        <v>5.0999999999999996</v>
      </c>
      <c r="G713" s="6" t="s">
        <v>41</v>
      </c>
      <c r="H713" s="6" t="s">
        <v>43</v>
      </c>
      <c r="I713" s="6" t="s">
        <v>14</v>
      </c>
      <c r="J713" s="6" t="s">
        <v>15</v>
      </c>
      <c r="K713" s="20">
        <f>C713/D713</f>
        <v>419.04761904761904</v>
      </c>
      <c r="L713" s="11">
        <f>PMT(F713/100/12, 300, -(C713 *
(1 - G713/100)))</f>
        <v>4156.6347448918559</v>
      </c>
      <c r="M713" s="11">
        <f t="shared" si="55"/>
        <v>542990.4234675566</v>
      </c>
      <c r="N713" s="11">
        <f t="shared" si="56"/>
        <v>1246990.4234675565</v>
      </c>
      <c r="O713">
        <f t="shared" si="57"/>
        <v>704000</v>
      </c>
      <c r="P713">
        <v>841.20071590909095</v>
      </c>
      <c r="R713" t="str">
        <f t="shared" si="58"/>
        <v>4</v>
      </c>
      <c r="S713">
        <f t="shared" si="59"/>
        <v>841.20795454545464</v>
      </c>
    </row>
    <row r="714" spans="1:19">
      <c r="A714" s="6" t="s">
        <v>10</v>
      </c>
      <c r="B714" s="6" t="s">
        <v>11</v>
      </c>
      <c r="C714" s="6">
        <v>875000</v>
      </c>
      <c r="D714" s="6">
        <v>2050</v>
      </c>
      <c r="E714" s="6">
        <v>2024</v>
      </c>
      <c r="F714" s="6">
        <v>5.0999999999999996</v>
      </c>
      <c r="G714" s="6" t="s">
        <v>41</v>
      </c>
      <c r="H714" s="6" t="s">
        <v>43</v>
      </c>
      <c r="I714" s="6" t="s">
        <v>14</v>
      </c>
      <c r="J714" s="6" t="s">
        <v>15</v>
      </c>
      <c r="K714" s="20">
        <f>C714/D714</f>
        <v>426.82926829268291</v>
      </c>
      <c r="L714" s="11">
        <f>PMT(F714/100/12, 300, -(C714 *
(1 - G714/100)))</f>
        <v>4133.0175020231518</v>
      </c>
      <c r="M714" s="11">
        <f t="shared" si="55"/>
        <v>539905.25060694548</v>
      </c>
      <c r="N714" s="11">
        <f t="shared" si="56"/>
        <v>1239905.2506069455</v>
      </c>
      <c r="O714">
        <f t="shared" si="57"/>
        <v>700000</v>
      </c>
      <c r="P714">
        <v>821.20070285714291</v>
      </c>
      <c r="R714" t="str">
        <f t="shared" si="58"/>
        <v>4</v>
      </c>
      <c r="S714">
        <f t="shared" si="59"/>
        <v>821.2078095238096</v>
      </c>
    </row>
    <row r="715" spans="1:19">
      <c r="A715" s="6" t="s">
        <v>26</v>
      </c>
      <c r="B715" s="6" t="s">
        <v>23</v>
      </c>
      <c r="C715" s="6">
        <v>278000</v>
      </c>
      <c r="D715" s="6">
        <v>650</v>
      </c>
      <c r="E715" s="6">
        <v>2024</v>
      </c>
      <c r="F715" s="6">
        <v>5.5</v>
      </c>
      <c r="G715" s="6">
        <v>10</v>
      </c>
      <c r="H715" s="6" t="s">
        <v>25</v>
      </c>
      <c r="I715" s="6" t="s">
        <v>20</v>
      </c>
      <c r="J715" s="6" t="s">
        <v>21</v>
      </c>
      <c r="K715" s="20">
        <f>C715/D715</f>
        <v>427.69230769230768</v>
      </c>
      <c r="L715" s="11">
        <f>PMT(F715/100/12, 300, -(C715 *
(1 - G715/100)))</f>
        <v>1536.4469056882385</v>
      </c>
      <c r="M715" s="11">
        <f t="shared" si="55"/>
        <v>210734.07170647156</v>
      </c>
      <c r="N715" s="11">
        <f t="shared" si="56"/>
        <v>460934.07170647156</v>
      </c>
      <c r="O715">
        <f t="shared" si="57"/>
        <v>250200</v>
      </c>
      <c r="P715">
        <v>260.30070143884893</v>
      </c>
      <c r="R715" t="str">
        <f t="shared" si="58"/>
        <v>1</v>
      </c>
      <c r="S715">
        <f t="shared" si="59"/>
        <v>260.30779376498805</v>
      </c>
    </row>
    <row r="716" spans="1:19">
      <c r="A716" s="6" t="s">
        <v>22</v>
      </c>
      <c r="B716" s="6" t="s">
        <v>27</v>
      </c>
      <c r="C716" s="6">
        <v>320000</v>
      </c>
      <c r="D716" s="6">
        <v>740</v>
      </c>
      <c r="E716" s="6">
        <v>2024</v>
      </c>
      <c r="F716" s="6">
        <v>5.5</v>
      </c>
      <c r="G716" s="6" t="s">
        <v>18</v>
      </c>
      <c r="H716" s="6" t="s">
        <v>19</v>
      </c>
      <c r="I716" s="6" t="s">
        <v>20</v>
      </c>
      <c r="J716" s="6" t="s">
        <v>29</v>
      </c>
      <c r="K716" s="20">
        <f>C716/D716</f>
        <v>432.43243243243245</v>
      </c>
      <c r="L716" s="11">
        <f>PMT(F716/100/12, 300, -(C716 *
(1 - G716/100)))</f>
        <v>1729.2703782646201</v>
      </c>
      <c r="M716" s="11">
        <f t="shared" si="55"/>
        <v>237181.11347938603</v>
      </c>
      <c r="N716" s="11">
        <f t="shared" si="56"/>
        <v>518781.11347938603</v>
      </c>
      <c r="O716">
        <f t="shared" si="57"/>
        <v>281600</v>
      </c>
      <c r="P716">
        <v>296.60069375</v>
      </c>
      <c r="R716" t="str">
        <f t="shared" si="58"/>
        <v>2</v>
      </c>
      <c r="S716">
        <f t="shared" si="59"/>
        <v>296.60770833333333</v>
      </c>
    </row>
    <row r="717" spans="1:19">
      <c r="A717" s="4" t="s">
        <v>32</v>
      </c>
      <c r="B717" s="4" t="s">
        <v>23</v>
      </c>
      <c r="C717" s="4">
        <v>320000</v>
      </c>
      <c r="D717" s="4">
        <v>740</v>
      </c>
      <c r="E717" s="4">
        <v>2023</v>
      </c>
      <c r="F717" s="4">
        <v>6.4</v>
      </c>
      <c r="G717" s="4" t="s">
        <v>24</v>
      </c>
      <c r="H717" s="4" t="s">
        <v>19</v>
      </c>
      <c r="I717" s="4" t="s">
        <v>20</v>
      </c>
      <c r="J717" s="4" t="s">
        <v>21</v>
      </c>
      <c r="K717" s="20">
        <f>C717/D717</f>
        <v>432.43243243243245</v>
      </c>
      <c r="L717" s="11">
        <f>PMT(F717/100/12, 300, -(C717 *
(1 - G717/100)))</f>
        <v>1926.6390048534236</v>
      </c>
      <c r="M717" s="11">
        <f t="shared" si="55"/>
        <v>289991.70145602722</v>
      </c>
      <c r="N717" s="11">
        <f t="shared" si="56"/>
        <v>577991.70145602722</v>
      </c>
      <c r="O717">
        <f t="shared" si="57"/>
        <v>288000</v>
      </c>
      <c r="P717">
        <v>296.60069375</v>
      </c>
      <c r="R717" t="str">
        <f t="shared" si="58"/>
        <v>2</v>
      </c>
      <c r="S717">
        <f t="shared" si="59"/>
        <v>296.60770833333333</v>
      </c>
    </row>
    <row r="718" spans="1:19">
      <c r="A718" s="4" t="s">
        <v>37</v>
      </c>
      <c r="B718" s="4" t="s">
        <v>17</v>
      </c>
      <c r="C718" s="4">
        <v>320000</v>
      </c>
      <c r="D718" s="4">
        <v>740</v>
      </c>
      <c r="E718" s="4">
        <v>2023</v>
      </c>
      <c r="F718" s="4">
        <v>6</v>
      </c>
      <c r="G718" s="4" t="s">
        <v>24</v>
      </c>
      <c r="H718" s="4" t="s">
        <v>19</v>
      </c>
      <c r="I718" s="4" t="s">
        <v>20</v>
      </c>
      <c r="J718" s="4" t="s">
        <v>21</v>
      </c>
      <c r="K718" s="20">
        <f>C718/D718</f>
        <v>432.43243243243245</v>
      </c>
      <c r="L718" s="11">
        <f>PMT(F718/100/12, 300, -(C718 *
(1 - G718/100)))</f>
        <v>1855.5880362782648</v>
      </c>
      <c r="M718" s="11">
        <f t="shared" si="55"/>
        <v>268676.4108834794</v>
      </c>
      <c r="N718" s="11">
        <f t="shared" si="56"/>
        <v>556676.4108834794</v>
      </c>
      <c r="O718">
        <f t="shared" si="57"/>
        <v>288000</v>
      </c>
      <c r="P718">
        <v>296.60069375</v>
      </c>
      <c r="R718" t="str">
        <f t="shared" si="58"/>
        <v>2</v>
      </c>
      <c r="S718">
        <f t="shared" si="59"/>
        <v>296.60770833333333</v>
      </c>
    </row>
    <row r="719" spans="1:19">
      <c r="A719" s="6" t="s">
        <v>10</v>
      </c>
      <c r="B719" s="6" t="s">
        <v>11</v>
      </c>
      <c r="C719" s="6">
        <v>870000</v>
      </c>
      <c r="D719" s="6">
        <v>2000</v>
      </c>
      <c r="E719" s="6">
        <v>2024</v>
      </c>
      <c r="F719" s="6">
        <v>5.0999999999999996</v>
      </c>
      <c r="G719" s="6" t="s">
        <v>41</v>
      </c>
      <c r="H719" s="6" t="s">
        <v>43</v>
      </c>
      <c r="I719" s="6" t="s">
        <v>14</v>
      </c>
      <c r="J719" s="6" t="s">
        <v>15</v>
      </c>
      <c r="K719" s="20">
        <f>C719/D719</f>
        <v>435</v>
      </c>
      <c r="L719" s="11">
        <f>PMT(F719/100/12, 300, -(C719 *
(1 - G719/100)))</f>
        <v>4109.4002591544486</v>
      </c>
      <c r="M719" s="11">
        <f t="shared" si="55"/>
        <v>536820.07774633437</v>
      </c>
      <c r="N719" s="11">
        <f t="shared" si="56"/>
        <v>1232820.0777463345</v>
      </c>
      <c r="O719">
        <f t="shared" si="57"/>
        <v>696000</v>
      </c>
      <c r="P719">
        <v>801.20068965517248</v>
      </c>
      <c r="R719" t="str">
        <f t="shared" si="58"/>
        <v>4</v>
      </c>
      <c r="S719">
        <f t="shared" si="59"/>
        <v>801.20766283524904</v>
      </c>
    </row>
    <row r="720" spans="1:19">
      <c r="A720" s="4" t="s">
        <v>26</v>
      </c>
      <c r="B720" s="4" t="s">
        <v>27</v>
      </c>
      <c r="C720" s="4">
        <v>330000</v>
      </c>
      <c r="D720" s="4">
        <v>740</v>
      </c>
      <c r="E720" s="4">
        <v>2024</v>
      </c>
      <c r="F720" s="4">
        <v>5.5</v>
      </c>
      <c r="G720" s="4" t="s">
        <v>18</v>
      </c>
      <c r="H720" s="4" t="s">
        <v>19</v>
      </c>
      <c r="I720" s="4" t="s">
        <v>20</v>
      </c>
      <c r="J720" s="4" t="s">
        <v>29</v>
      </c>
      <c r="K720" s="20">
        <f>C720/D720</f>
        <v>445.94594594594594</v>
      </c>
      <c r="L720" s="11">
        <f>PMT(F720/100/12, 300, -(C720 *
(1 - G720/100)))</f>
        <v>1783.3100775853898</v>
      </c>
      <c r="M720" s="11">
        <f t="shared" si="55"/>
        <v>244593.02327561693</v>
      </c>
      <c r="N720" s="11">
        <f t="shared" si="56"/>
        <v>534993.02327561693</v>
      </c>
      <c r="O720">
        <f t="shared" si="57"/>
        <v>290400</v>
      </c>
      <c r="P720">
        <v>296.60067272727275</v>
      </c>
      <c r="R720" t="str">
        <f t="shared" si="58"/>
        <v>2</v>
      </c>
      <c r="S720">
        <f t="shared" si="59"/>
        <v>296.60747474747478</v>
      </c>
    </row>
    <row r="721" spans="1:19">
      <c r="A721" s="6" t="s">
        <v>22</v>
      </c>
      <c r="B721" s="6" t="s">
        <v>27</v>
      </c>
      <c r="C721" s="6">
        <v>330000</v>
      </c>
      <c r="D721" s="6">
        <v>740</v>
      </c>
      <c r="E721" s="6">
        <v>2024</v>
      </c>
      <c r="F721" s="6">
        <v>5.5</v>
      </c>
      <c r="G721" s="6" t="s">
        <v>18</v>
      </c>
      <c r="H721" s="6" t="s">
        <v>19</v>
      </c>
      <c r="I721" s="6" t="s">
        <v>20</v>
      </c>
      <c r="J721" s="6" t="s">
        <v>29</v>
      </c>
      <c r="K721" s="20">
        <f>C721/D721</f>
        <v>445.94594594594594</v>
      </c>
      <c r="L721" s="11">
        <f>PMT(F721/100/12, 300, -(C721 *
(1 - G721/100)))</f>
        <v>1783.3100775853898</v>
      </c>
      <c r="M721" s="11">
        <f t="shared" si="55"/>
        <v>244593.02327561693</v>
      </c>
      <c r="N721" s="11">
        <f t="shared" si="56"/>
        <v>534993.02327561693</v>
      </c>
      <c r="O721">
        <f t="shared" si="57"/>
        <v>290400</v>
      </c>
      <c r="P721">
        <v>296.60067272727275</v>
      </c>
      <c r="R721" t="str">
        <f t="shared" si="58"/>
        <v>2</v>
      </c>
      <c r="S721">
        <f t="shared" si="59"/>
        <v>296.60747474747478</v>
      </c>
    </row>
    <row r="722" spans="1:19">
      <c r="A722" s="6" t="s">
        <v>10</v>
      </c>
      <c r="B722" s="6" t="s">
        <v>11</v>
      </c>
      <c r="C722" s="6">
        <v>890000</v>
      </c>
      <c r="D722" s="6">
        <v>1950</v>
      </c>
      <c r="E722" s="6">
        <v>2024</v>
      </c>
      <c r="F722" s="6">
        <v>5</v>
      </c>
      <c r="G722" s="6" t="s">
        <v>41</v>
      </c>
      <c r="H722" s="6" t="s">
        <v>43</v>
      </c>
      <c r="I722" s="6" t="s">
        <v>14</v>
      </c>
      <c r="J722" s="6" t="s">
        <v>15</v>
      </c>
      <c r="K722" s="20">
        <f>C722/D722</f>
        <v>456.41025641025641</v>
      </c>
      <c r="L722" s="11">
        <f>PMT(F722/100/12, 300, -(C722 *
(1 - G722/100)))</f>
        <v>4162.2810955368113</v>
      </c>
      <c r="M722" s="11">
        <f t="shared" si="55"/>
        <v>536684.32866104343</v>
      </c>
      <c r="N722" s="11">
        <f t="shared" si="56"/>
        <v>1248684.3286610434</v>
      </c>
      <c r="O722">
        <f t="shared" si="57"/>
        <v>712000</v>
      </c>
      <c r="P722">
        <v>781.2006573033708</v>
      </c>
      <c r="R722" t="str">
        <f t="shared" si="58"/>
        <v>4</v>
      </c>
      <c r="S722">
        <f t="shared" si="59"/>
        <v>781.20730337078658</v>
      </c>
    </row>
    <row r="723" spans="1:19">
      <c r="A723" s="6" t="s">
        <v>26</v>
      </c>
      <c r="B723" s="6" t="s">
        <v>23</v>
      </c>
      <c r="C723" s="6">
        <v>275000</v>
      </c>
      <c r="D723" s="6">
        <v>600</v>
      </c>
      <c r="E723" s="6">
        <v>2024</v>
      </c>
      <c r="F723" s="6">
        <v>5.5</v>
      </c>
      <c r="G723" s="6">
        <v>10</v>
      </c>
      <c r="H723" s="6" t="s">
        <v>25</v>
      </c>
      <c r="I723" s="6" t="s">
        <v>20</v>
      </c>
      <c r="J723" s="6" t="s">
        <v>21</v>
      </c>
      <c r="K723" s="20">
        <f>C723/D723</f>
        <v>458.33333333333331</v>
      </c>
      <c r="L723" s="11">
        <f>PMT(F723/100/12, 300, -(C723 *
(1 - G723/100)))</f>
        <v>1519.8665433966389</v>
      </c>
      <c r="M723" s="11">
        <f t="shared" si="55"/>
        <v>208459.96301899166</v>
      </c>
      <c r="N723" s="11">
        <f t="shared" si="56"/>
        <v>455959.96301899164</v>
      </c>
      <c r="O723">
        <f t="shared" si="57"/>
        <v>247500</v>
      </c>
      <c r="P723">
        <v>240.30065454545456</v>
      </c>
      <c r="R723" t="str">
        <f t="shared" si="58"/>
        <v>1</v>
      </c>
      <c r="S723">
        <f t="shared" si="59"/>
        <v>240.30727272727273</v>
      </c>
    </row>
    <row r="724" spans="1:19">
      <c r="A724" s="6" t="s">
        <v>10</v>
      </c>
      <c r="B724" s="6" t="s">
        <v>11</v>
      </c>
      <c r="C724" s="6">
        <v>850000</v>
      </c>
      <c r="D724" s="6">
        <v>1850</v>
      </c>
      <c r="E724" s="6">
        <v>2024</v>
      </c>
      <c r="F724" s="6">
        <v>5.0999999999999996</v>
      </c>
      <c r="G724" s="6" t="s">
        <v>41</v>
      </c>
      <c r="H724" s="6" t="s">
        <v>43</v>
      </c>
      <c r="I724" s="6" t="s">
        <v>14</v>
      </c>
      <c r="J724" s="6" t="s">
        <v>15</v>
      </c>
      <c r="K724" s="20">
        <f>C724/D724</f>
        <v>459.45945945945948</v>
      </c>
      <c r="L724" s="11">
        <f>PMT(F724/100/12, 300, -(C724 *
(1 - G724/100)))</f>
        <v>4014.9312876796334</v>
      </c>
      <c r="M724" s="11">
        <f t="shared" si="55"/>
        <v>524479.38630388991</v>
      </c>
      <c r="N724" s="11">
        <f t="shared" si="56"/>
        <v>1204479.38630389</v>
      </c>
      <c r="O724">
        <f t="shared" si="57"/>
        <v>680000</v>
      </c>
      <c r="P724">
        <v>741.20065294117649</v>
      </c>
      <c r="R724" t="str">
        <f t="shared" si="58"/>
        <v>4</v>
      </c>
      <c r="S724">
        <f t="shared" si="59"/>
        <v>741.20725490196082</v>
      </c>
    </row>
    <row r="725" spans="1:19">
      <c r="A725" s="4" t="s">
        <v>10</v>
      </c>
      <c r="B725" s="4" t="s">
        <v>11</v>
      </c>
      <c r="C725" s="4">
        <v>880000</v>
      </c>
      <c r="D725" s="4">
        <v>1900</v>
      </c>
      <c r="E725" s="4">
        <v>2024</v>
      </c>
      <c r="F725" s="4">
        <v>5</v>
      </c>
      <c r="G725" s="4" t="s">
        <v>41</v>
      </c>
      <c r="H725" s="4" t="s">
        <v>43</v>
      </c>
      <c r="I725" s="4" t="s">
        <v>14</v>
      </c>
      <c r="J725" s="4" t="s">
        <v>15</v>
      </c>
      <c r="K725" s="20">
        <f>C725/D725</f>
        <v>463.15789473684208</v>
      </c>
      <c r="L725" s="11">
        <f>PMT(F725/100/12, 300, -(C725 *
(1 - G725/100)))</f>
        <v>4115.5138922161732</v>
      </c>
      <c r="M725" s="11">
        <f t="shared" si="55"/>
        <v>530654.16766485199</v>
      </c>
      <c r="N725" s="11">
        <f t="shared" si="56"/>
        <v>1234654.167664852</v>
      </c>
      <c r="O725">
        <f t="shared" si="57"/>
        <v>704000</v>
      </c>
      <c r="P725">
        <v>761.20064772727278</v>
      </c>
      <c r="R725" t="str">
        <f t="shared" si="58"/>
        <v>4</v>
      </c>
      <c r="S725">
        <f t="shared" si="59"/>
        <v>761.20719696969707</v>
      </c>
    </row>
    <row r="726" spans="1:19">
      <c r="A726" s="6" t="s">
        <v>10</v>
      </c>
      <c r="B726" s="6" t="s">
        <v>11</v>
      </c>
      <c r="C726" s="6">
        <v>840000</v>
      </c>
      <c r="D726" s="6">
        <v>1800</v>
      </c>
      <c r="E726" s="6">
        <v>2024</v>
      </c>
      <c r="F726" s="6">
        <v>5.0999999999999996</v>
      </c>
      <c r="G726" s="6" t="s">
        <v>41</v>
      </c>
      <c r="H726" s="6" t="s">
        <v>43</v>
      </c>
      <c r="I726" s="6" t="s">
        <v>14</v>
      </c>
      <c r="J726" s="6" t="s">
        <v>15</v>
      </c>
      <c r="K726" s="20">
        <f>C726/D726</f>
        <v>466.66666666666669</v>
      </c>
      <c r="L726" s="11">
        <f>PMT(F726/100/12, 300, -(C726 *
(1 - G726/100)))</f>
        <v>3967.6968019422261</v>
      </c>
      <c r="M726" s="11">
        <f t="shared" si="55"/>
        <v>518309.04058266769</v>
      </c>
      <c r="N726" s="11">
        <f t="shared" si="56"/>
        <v>1190309.0405826676</v>
      </c>
      <c r="O726">
        <f t="shared" si="57"/>
        <v>672000</v>
      </c>
      <c r="P726">
        <v>721.20064285714295</v>
      </c>
      <c r="R726" t="str">
        <f t="shared" si="58"/>
        <v>4</v>
      </c>
      <c r="S726">
        <f t="shared" si="59"/>
        <v>721.20714285714291</v>
      </c>
    </row>
    <row r="727" spans="1:19">
      <c r="A727" s="6" t="s">
        <v>10</v>
      </c>
      <c r="B727" s="6" t="s">
        <v>11</v>
      </c>
      <c r="C727" s="6">
        <v>870000</v>
      </c>
      <c r="D727" s="6">
        <v>1850</v>
      </c>
      <c r="E727" s="6">
        <v>2023</v>
      </c>
      <c r="F727" s="6">
        <v>6</v>
      </c>
      <c r="G727" s="6" t="s">
        <v>41</v>
      </c>
      <c r="H727" s="6" t="s">
        <v>43</v>
      </c>
      <c r="I727" s="6" t="s">
        <v>14</v>
      </c>
      <c r="J727" s="6" t="s">
        <v>15</v>
      </c>
      <c r="K727" s="20">
        <f>C727/D727</f>
        <v>470.27027027027026</v>
      </c>
      <c r="L727" s="11">
        <f>PMT(F727/100/12, 300, -(C727 *
(1 - G727/100)))</f>
        <v>4484.3377543391398</v>
      </c>
      <c r="M727" s="11">
        <f t="shared" si="55"/>
        <v>649301.32630174188</v>
      </c>
      <c r="N727" s="11">
        <f t="shared" si="56"/>
        <v>1345301.3263017419</v>
      </c>
      <c r="O727">
        <f t="shared" si="57"/>
        <v>696000</v>
      </c>
      <c r="P727">
        <v>741.20063793103452</v>
      </c>
      <c r="R727" t="str">
        <f t="shared" si="58"/>
        <v>4</v>
      </c>
      <c r="S727">
        <f t="shared" si="59"/>
        <v>741.20708812260546</v>
      </c>
    </row>
    <row r="728" spans="1:19">
      <c r="A728" s="4" t="s">
        <v>10</v>
      </c>
      <c r="B728" s="4" t="s">
        <v>11</v>
      </c>
      <c r="C728" s="4">
        <v>860000</v>
      </c>
      <c r="D728" s="4">
        <v>1820</v>
      </c>
      <c r="E728" s="4">
        <v>2024</v>
      </c>
      <c r="F728" s="4">
        <v>5</v>
      </c>
      <c r="G728" s="4" t="s">
        <v>41</v>
      </c>
      <c r="H728" s="4" t="s">
        <v>43</v>
      </c>
      <c r="I728" s="4" t="s">
        <v>14</v>
      </c>
      <c r="J728" s="4" t="s">
        <v>15</v>
      </c>
      <c r="K728" s="20">
        <f>C728/D728</f>
        <v>472.52747252747253</v>
      </c>
      <c r="L728" s="11">
        <f>PMT(F728/100/12, 300, -(C728 *
(1 - G728/100)))</f>
        <v>4021.9794855748964</v>
      </c>
      <c r="M728" s="11">
        <f t="shared" si="55"/>
        <v>518593.84567246889</v>
      </c>
      <c r="N728" s="11">
        <f t="shared" si="56"/>
        <v>1206593.8456724689</v>
      </c>
      <c r="O728">
        <f t="shared" si="57"/>
        <v>688000</v>
      </c>
      <c r="P728">
        <v>729.20063488372102</v>
      </c>
      <c r="R728" t="str">
        <f t="shared" si="58"/>
        <v>4</v>
      </c>
      <c r="S728">
        <f t="shared" si="59"/>
        <v>729.20705426356596</v>
      </c>
    </row>
    <row r="729" spans="1:19">
      <c r="A729" s="6" t="s">
        <v>10</v>
      </c>
      <c r="B729" s="6" t="s">
        <v>11</v>
      </c>
      <c r="C729" s="6">
        <v>830000</v>
      </c>
      <c r="D729" s="6">
        <v>1750</v>
      </c>
      <c r="E729" s="6">
        <v>2024</v>
      </c>
      <c r="F729" s="6">
        <v>5.0999999999999996</v>
      </c>
      <c r="G729" s="6" t="s">
        <v>41</v>
      </c>
      <c r="H729" s="6" t="s">
        <v>43</v>
      </c>
      <c r="I729" s="6" t="s">
        <v>14</v>
      </c>
      <c r="J729" s="6" t="s">
        <v>15</v>
      </c>
      <c r="K729" s="20">
        <f>C729/D729</f>
        <v>474.28571428571428</v>
      </c>
      <c r="L729" s="11">
        <f>PMT(F729/100/12, 300, -(C729 *
(1 - G729/100)))</f>
        <v>3920.4623162048183</v>
      </c>
      <c r="M729" s="11">
        <f t="shared" si="55"/>
        <v>512138.69486144546</v>
      </c>
      <c r="N729" s="11">
        <f t="shared" si="56"/>
        <v>1176138.6948614456</v>
      </c>
      <c r="O729">
        <f t="shared" si="57"/>
        <v>664000</v>
      </c>
      <c r="P729">
        <v>701.20063253012052</v>
      </c>
      <c r="R729" t="str">
        <f t="shared" si="58"/>
        <v>4</v>
      </c>
      <c r="S729">
        <f t="shared" si="59"/>
        <v>701.20702811244985</v>
      </c>
    </row>
    <row r="730" spans="1:19">
      <c r="A730" s="6" t="s">
        <v>10</v>
      </c>
      <c r="B730" s="6" t="s">
        <v>11</v>
      </c>
      <c r="C730" s="6">
        <v>845000</v>
      </c>
      <c r="D730" s="6">
        <v>1780</v>
      </c>
      <c r="E730" s="6">
        <v>2024</v>
      </c>
      <c r="F730" s="6">
        <v>5</v>
      </c>
      <c r="G730" s="6" t="s">
        <v>41</v>
      </c>
      <c r="H730" s="6" t="s">
        <v>43</v>
      </c>
      <c r="I730" s="6" t="s">
        <v>14</v>
      </c>
      <c r="J730" s="6" t="s">
        <v>15</v>
      </c>
      <c r="K730" s="20">
        <f>C730/D730</f>
        <v>474.71910112359552</v>
      </c>
      <c r="L730" s="11">
        <f>PMT(F730/100/12, 300, -(C730 *
(1 - G730/100)))</f>
        <v>3951.8286805939383</v>
      </c>
      <c r="M730" s="11">
        <f t="shared" si="55"/>
        <v>509548.6041781815</v>
      </c>
      <c r="N730" s="11">
        <f t="shared" si="56"/>
        <v>1185548.6041781814</v>
      </c>
      <c r="O730">
        <f t="shared" si="57"/>
        <v>676000</v>
      </c>
      <c r="P730">
        <v>713.20063195266277</v>
      </c>
      <c r="R730" t="str">
        <f t="shared" si="58"/>
        <v>4</v>
      </c>
      <c r="S730">
        <f t="shared" si="59"/>
        <v>713.20702169625247</v>
      </c>
    </row>
    <row r="731" spans="1:19">
      <c r="A731" s="4" t="s">
        <v>33</v>
      </c>
      <c r="B731" s="4" t="s">
        <v>27</v>
      </c>
      <c r="C731" s="4">
        <v>380000</v>
      </c>
      <c r="D731" s="4">
        <v>800</v>
      </c>
      <c r="E731" s="4">
        <v>2024</v>
      </c>
      <c r="F731" s="4">
        <v>5.2</v>
      </c>
      <c r="G731" s="4" t="s">
        <v>28</v>
      </c>
      <c r="H731" s="4" t="s">
        <v>13</v>
      </c>
      <c r="I731" s="4" t="s">
        <v>20</v>
      </c>
      <c r="J731" s="4" t="s">
        <v>29</v>
      </c>
      <c r="K731" s="20">
        <f>C731/D731</f>
        <v>475</v>
      </c>
      <c r="L731" s="11">
        <f>PMT(F731/100/12, 300, -(C731 *
(1 - G731/100)))</f>
        <v>1926.0539046948477</v>
      </c>
      <c r="M731" s="11">
        <f t="shared" si="55"/>
        <v>254816.17140845419</v>
      </c>
      <c r="N731" s="11">
        <f t="shared" si="56"/>
        <v>577816.17140845419</v>
      </c>
      <c r="O731">
        <f t="shared" si="57"/>
        <v>323000</v>
      </c>
      <c r="P731">
        <v>320.90063157894735</v>
      </c>
      <c r="R731" t="str">
        <f t="shared" si="58"/>
        <v>3</v>
      </c>
      <c r="S731">
        <f t="shared" si="59"/>
        <v>320.90701754385964</v>
      </c>
    </row>
    <row r="732" spans="1:19">
      <c r="A732" s="4" t="s">
        <v>10</v>
      </c>
      <c r="B732" s="4" t="s">
        <v>11</v>
      </c>
      <c r="C732" s="4">
        <v>840000</v>
      </c>
      <c r="D732" s="4">
        <v>1750</v>
      </c>
      <c r="E732" s="4">
        <v>2024</v>
      </c>
      <c r="F732" s="4">
        <v>5</v>
      </c>
      <c r="G732" s="4" t="s">
        <v>41</v>
      </c>
      <c r="H732" s="4" t="s">
        <v>43</v>
      </c>
      <c r="I732" s="4" t="s">
        <v>14</v>
      </c>
      <c r="J732" s="4" t="s">
        <v>15</v>
      </c>
      <c r="K732" s="20">
        <f>C732/D732</f>
        <v>480</v>
      </c>
      <c r="L732" s="11">
        <f>PMT(F732/100/12, 300, -(C732 *
(1 - G732/100)))</f>
        <v>3928.4450789336197</v>
      </c>
      <c r="M732" s="11">
        <f t="shared" si="55"/>
        <v>506533.52368008601</v>
      </c>
      <c r="N732" s="11">
        <f t="shared" si="56"/>
        <v>1178533.523680086</v>
      </c>
      <c r="O732">
        <f t="shared" si="57"/>
        <v>672000</v>
      </c>
      <c r="P732">
        <v>701.20062500000006</v>
      </c>
      <c r="R732" t="str">
        <f t="shared" si="58"/>
        <v>4</v>
      </c>
      <c r="S732">
        <f t="shared" si="59"/>
        <v>701.2069444444445</v>
      </c>
    </row>
    <row r="733" spans="1:19">
      <c r="A733" s="6" t="s">
        <v>10</v>
      </c>
      <c r="B733" s="6" t="s">
        <v>11</v>
      </c>
      <c r="C733" s="6">
        <v>820000</v>
      </c>
      <c r="D733" s="6">
        <v>1700</v>
      </c>
      <c r="E733" s="6">
        <v>2024</v>
      </c>
      <c r="F733" s="6">
        <v>5.0999999999999996</v>
      </c>
      <c r="G733" s="6" t="s">
        <v>41</v>
      </c>
      <c r="H733" s="6" t="s">
        <v>43</v>
      </c>
      <c r="I733" s="6" t="s">
        <v>14</v>
      </c>
      <c r="J733" s="6" t="s">
        <v>15</v>
      </c>
      <c r="K733" s="20">
        <f>C733/D733</f>
        <v>482.35294117647061</v>
      </c>
      <c r="L733" s="11">
        <f>PMT(F733/100/12, 300, -(C733 *
(1 - G733/100)))</f>
        <v>3873.227830467411</v>
      </c>
      <c r="M733" s="11">
        <f t="shared" si="55"/>
        <v>505968.34914022323</v>
      </c>
      <c r="N733" s="11">
        <f t="shared" si="56"/>
        <v>1161968.3491402231</v>
      </c>
      <c r="O733">
        <f t="shared" si="57"/>
        <v>656000</v>
      </c>
      <c r="P733">
        <v>681.20062195121955</v>
      </c>
      <c r="R733" t="str">
        <f t="shared" si="58"/>
        <v>4</v>
      </c>
      <c r="S733">
        <f t="shared" si="59"/>
        <v>681.20691056910573</v>
      </c>
    </row>
    <row r="734" spans="1:19">
      <c r="A734" s="6" t="s">
        <v>10</v>
      </c>
      <c r="B734" s="6" t="s">
        <v>11</v>
      </c>
      <c r="C734" s="6">
        <v>830000</v>
      </c>
      <c r="D734" s="6">
        <v>1720</v>
      </c>
      <c r="E734" s="6">
        <v>2023</v>
      </c>
      <c r="F734" s="6">
        <v>6</v>
      </c>
      <c r="G734" s="6" t="s">
        <v>41</v>
      </c>
      <c r="H734" s="6" t="s">
        <v>43</v>
      </c>
      <c r="I734" s="6" t="s">
        <v>14</v>
      </c>
      <c r="J734" s="6" t="s">
        <v>15</v>
      </c>
      <c r="K734" s="20">
        <f>C734/D734</f>
        <v>482.55813953488371</v>
      </c>
      <c r="L734" s="11">
        <f>PMT(F734/100/12, 300, -(C734 *
(1 - G734/100)))</f>
        <v>4278.1613058637768</v>
      </c>
      <c r="M734" s="11">
        <f t="shared" si="55"/>
        <v>619448.39175913297</v>
      </c>
      <c r="N734" s="11">
        <f t="shared" si="56"/>
        <v>1283448.391759133</v>
      </c>
      <c r="O734">
        <f t="shared" si="57"/>
        <v>664000</v>
      </c>
      <c r="P734">
        <v>689.20062168674701</v>
      </c>
      <c r="R734" t="str">
        <f t="shared" si="58"/>
        <v>4</v>
      </c>
      <c r="S734">
        <f t="shared" si="59"/>
        <v>689.2069076305221</v>
      </c>
    </row>
    <row r="735" spans="1:19">
      <c r="A735" s="4" t="s">
        <v>10</v>
      </c>
      <c r="B735" s="4" t="s">
        <v>11</v>
      </c>
      <c r="C735" s="4">
        <v>825000</v>
      </c>
      <c r="D735" s="4">
        <v>1700</v>
      </c>
      <c r="E735" s="4">
        <v>2024</v>
      </c>
      <c r="F735" s="4">
        <v>5</v>
      </c>
      <c r="G735" s="4" t="s">
        <v>41</v>
      </c>
      <c r="H735" s="4" t="s">
        <v>43</v>
      </c>
      <c r="I735" s="4" t="s">
        <v>14</v>
      </c>
      <c r="J735" s="4" t="s">
        <v>15</v>
      </c>
      <c r="K735" s="20">
        <f>C735/D735</f>
        <v>485.29411764705884</v>
      </c>
      <c r="L735" s="11">
        <f>PMT(F735/100/12, 300, -(C735 *
(1 - G735/100)))</f>
        <v>3858.294273952662</v>
      </c>
      <c r="M735" s="11">
        <f t="shared" si="55"/>
        <v>497488.28218579851</v>
      </c>
      <c r="N735" s="11">
        <f t="shared" si="56"/>
        <v>1157488.2821857985</v>
      </c>
      <c r="O735">
        <f t="shared" si="57"/>
        <v>660000</v>
      </c>
      <c r="P735">
        <v>681.20061818181819</v>
      </c>
      <c r="R735" t="str">
        <f t="shared" si="58"/>
        <v>4</v>
      </c>
      <c r="S735">
        <f t="shared" si="59"/>
        <v>681.20686868686869</v>
      </c>
    </row>
    <row r="736" spans="1:19">
      <c r="A736" s="6" t="s">
        <v>32</v>
      </c>
      <c r="B736" s="6" t="s">
        <v>27</v>
      </c>
      <c r="C736" s="6">
        <v>360000</v>
      </c>
      <c r="D736" s="6">
        <v>740</v>
      </c>
      <c r="E736" s="6">
        <v>2024</v>
      </c>
      <c r="F736" s="6">
        <v>5.3</v>
      </c>
      <c r="G736" s="6" t="s">
        <v>12</v>
      </c>
      <c r="H736" s="6" t="s">
        <v>13</v>
      </c>
      <c r="I736" s="6" t="s">
        <v>20</v>
      </c>
      <c r="J736" s="6" t="s">
        <v>29</v>
      </c>
      <c r="K736" s="20">
        <f>C736/D736</f>
        <v>486.48648648648651</v>
      </c>
      <c r="L736" s="11">
        <f>PMT(F736/100/12, 300, -(C736 *
(1 - G736/100)))</f>
        <v>1777.6979313480442</v>
      </c>
      <c r="M736" s="11">
        <f t="shared" si="55"/>
        <v>238109.37940441328</v>
      </c>
      <c r="N736" s="11">
        <f t="shared" si="56"/>
        <v>533309.37940441328</v>
      </c>
      <c r="O736">
        <f t="shared" si="57"/>
        <v>295200</v>
      </c>
      <c r="P736">
        <v>296.90061666666662</v>
      </c>
      <c r="R736" t="str">
        <f t="shared" si="58"/>
        <v>3</v>
      </c>
      <c r="S736">
        <f t="shared" si="59"/>
        <v>296.90685185185185</v>
      </c>
    </row>
    <row r="737" spans="1:19">
      <c r="A737" s="4" t="s">
        <v>33</v>
      </c>
      <c r="B737" s="4" t="s">
        <v>23</v>
      </c>
      <c r="C737" s="4">
        <v>360000</v>
      </c>
      <c r="D737" s="4">
        <v>740</v>
      </c>
      <c r="E737" s="4">
        <v>2024</v>
      </c>
      <c r="F737" s="4">
        <v>5.3</v>
      </c>
      <c r="G737" s="4" t="s">
        <v>24</v>
      </c>
      <c r="H737" s="4" t="s">
        <v>19</v>
      </c>
      <c r="I737" s="4" t="s">
        <v>20</v>
      </c>
      <c r="J737" s="4" t="s">
        <v>21</v>
      </c>
      <c r="K737" s="20">
        <f>C737/D737</f>
        <v>486.48648648648651</v>
      </c>
      <c r="L737" s="11">
        <f>PMT(F737/100/12, 300, -(C737 *
(1 - G737/100)))</f>
        <v>1951.1318758698046</v>
      </c>
      <c r="M737" s="11">
        <f t="shared" si="55"/>
        <v>261339.56276094128</v>
      </c>
      <c r="N737" s="11">
        <f t="shared" si="56"/>
        <v>585339.56276094122</v>
      </c>
      <c r="O737">
        <f t="shared" si="57"/>
        <v>324000</v>
      </c>
      <c r="P737">
        <v>296.60061666666667</v>
      </c>
      <c r="R737" t="str">
        <f t="shared" si="58"/>
        <v>2</v>
      </c>
      <c r="S737">
        <f t="shared" si="59"/>
        <v>296.6068518518519</v>
      </c>
    </row>
    <row r="738" spans="1:19">
      <c r="A738" s="6" t="s">
        <v>30</v>
      </c>
      <c r="B738" s="6" t="s">
        <v>27</v>
      </c>
      <c r="C738" s="6">
        <v>360000</v>
      </c>
      <c r="D738" s="6">
        <v>740</v>
      </c>
      <c r="E738" s="6">
        <v>2024</v>
      </c>
      <c r="F738" s="6">
        <v>5.4</v>
      </c>
      <c r="G738" s="6" t="s">
        <v>39</v>
      </c>
      <c r="H738" s="6" t="s">
        <v>19</v>
      </c>
      <c r="I738" s="6" t="s">
        <v>20</v>
      </c>
      <c r="J738" s="6" t="s">
        <v>29</v>
      </c>
      <c r="K738" s="20">
        <f>C738/D738</f>
        <v>486.48648648648651</v>
      </c>
      <c r="L738" s="11">
        <f>PMT(F738/100/12, 300, -(C738 *
(1 - G738/100)))</f>
        <v>1882.7702242958003</v>
      </c>
      <c r="M738" s="11">
        <f t="shared" si="55"/>
        <v>255231.06728874013</v>
      </c>
      <c r="N738" s="11">
        <f t="shared" si="56"/>
        <v>564831.06728874007</v>
      </c>
      <c r="O738">
        <f t="shared" si="57"/>
        <v>309600</v>
      </c>
      <c r="P738">
        <v>296.60061666666667</v>
      </c>
      <c r="R738" t="str">
        <f t="shared" si="58"/>
        <v>2</v>
      </c>
      <c r="S738">
        <f t="shared" si="59"/>
        <v>296.6068518518519</v>
      </c>
    </row>
    <row r="739" spans="1:19">
      <c r="A739" s="6" t="s">
        <v>10</v>
      </c>
      <c r="B739" s="6" t="s">
        <v>11</v>
      </c>
      <c r="C739" s="6">
        <v>820000</v>
      </c>
      <c r="D739" s="6">
        <v>1680</v>
      </c>
      <c r="E739" s="6">
        <v>2023</v>
      </c>
      <c r="F739" s="6">
        <v>6.1</v>
      </c>
      <c r="G739" s="6" t="s">
        <v>41</v>
      </c>
      <c r="H739" s="6" t="s">
        <v>43</v>
      </c>
      <c r="I739" s="6" t="s">
        <v>14</v>
      </c>
      <c r="J739" s="6" t="s">
        <v>15</v>
      </c>
      <c r="K739" s="20">
        <f>C739/D739</f>
        <v>488.09523809523807</v>
      </c>
      <c r="L739" s="11">
        <f>PMT(F739/100/12, 300, -(C739 *
(1 - G739/100)))</f>
        <v>4266.8077535436969</v>
      </c>
      <c r="M739" s="11">
        <f t="shared" si="55"/>
        <v>624042.3260631091</v>
      </c>
      <c r="N739" s="11">
        <f t="shared" si="56"/>
        <v>1280042.3260631091</v>
      </c>
      <c r="O739">
        <f t="shared" si="57"/>
        <v>656000</v>
      </c>
      <c r="P739">
        <v>673.2006146341464</v>
      </c>
      <c r="R739" t="str">
        <f t="shared" si="58"/>
        <v>4</v>
      </c>
      <c r="S739">
        <f t="shared" si="59"/>
        <v>673.20682926829272</v>
      </c>
    </row>
    <row r="740" spans="1:19">
      <c r="A740" s="6" t="s">
        <v>10</v>
      </c>
      <c r="B740" s="6" t="s">
        <v>11</v>
      </c>
      <c r="C740" s="6">
        <v>810000</v>
      </c>
      <c r="D740" s="6">
        <v>1650</v>
      </c>
      <c r="E740" s="6">
        <v>2024</v>
      </c>
      <c r="F740" s="6">
        <v>5.0999999999999996</v>
      </c>
      <c r="G740" s="6" t="s">
        <v>41</v>
      </c>
      <c r="H740" s="6" t="s">
        <v>43</v>
      </c>
      <c r="I740" s="6" t="s">
        <v>14</v>
      </c>
      <c r="J740" s="6" t="s">
        <v>15</v>
      </c>
      <c r="K740" s="20">
        <f>C740/D740</f>
        <v>490.90909090909093</v>
      </c>
      <c r="L740" s="11">
        <f>PMT(F740/100/12, 300, -(C740 *
(1 - G740/100)))</f>
        <v>3825.9933447300036</v>
      </c>
      <c r="M740" s="11">
        <f t="shared" si="55"/>
        <v>499798.00341900112</v>
      </c>
      <c r="N740" s="11">
        <f t="shared" si="56"/>
        <v>1147798.0034190011</v>
      </c>
      <c r="O740">
        <f t="shared" si="57"/>
        <v>648000</v>
      </c>
      <c r="P740">
        <v>661.20061111111113</v>
      </c>
      <c r="R740" t="str">
        <f t="shared" si="58"/>
        <v>4</v>
      </c>
      <c r="S740">
        <f t="shared" si="59"/>
        <v>661.20679012345681</v>
      </c>
    </row>
    <row r="741" spans="1:19">
      <c r="A741" s="4" t="s">
        <v>10</v>
      </c>
      <c r="B741" s="4" t="s">
        <v>11</v>
      </c>
      <c r="C741" s="4">
        <v>815000</v>
      </c>
      <c r="D741" s="4">
        <v>1650</v>
      </c>
      <c r="E741" s="4">
        <v>2024</v>
      </c>
      <c r="F741" s="4">
        <v>5</v>
      </c>
      <c r="G741" s="4" t="s">
        <v>41</v>
      </c>
      <c r="H741" s="4" t="s">
        <v>43</v>
      </c>
      <c r="I741" s="4" t="s">
        <v>14</v>
      </c>
      <c r="J741" s="4" t="s">
        <v>15</v>
      </c>
      <c r="K741" s="20">
        <f>C741/D741</f>
        <v>493.93939393939394</v>
      </c>
      <c r="L741" s="11">
        <f>PMT(F741/100/12, 300, -(C741 *
(1 - G741/100)))</f>
        <v>3811.5270706320239</v>
      </c>
      <c r="M741" s="11">
        <f t="shared" si="55"/>
        <v>491458.12118960707</v>
      </c>
      <c r="N741" s="11">
        <f t="shared" si="56"/>
        <v>1143458.1211896071</v>
      </c>
      <c r="O741">
        <f t="shared" si="57"/>
        <v>652000</v>
      </c>
      <c r="P741">
        <v>661.20060736196319</v>
      </c>
      <c r="R741" t="str">
        <f t="shared" si="58"/>
        <v>4</v>
      </c>
      <c r="S741">
        <f t="shared" si="59"/>
        <v>661.20674846625775</v>
      </c>
    </row>
    <row r="742" spans="1:19">
      <c r="A742" s="6" t="s">
        <v>10</v>
      </c>
      <c r="B742" s="6" t="s">
        <v>11</v>
      </c>
      <c r="C742" s="6">
        <v>810000</v>
      </c>
      <c r="D742" s="6">
        <v>1620</v>
      </c>
      <c r="E742" s="6">
        <v>2023</v>
      </c>
      <c r="F742" s="6">
        <v>6</v>
      </c>
      <c r="G742" s="6" t="s">
        <v>41</v>
      </c>
      <c r="H742" s="6" t="s">
        <v>43</v>
      </c>
      <c r="I742" s="6" t="s">
        <v>14</v>
      </c>
      <c r="J742" s="6" t="s">
        <v>15</v>
      </c>
      <c r="K742" s="20">
        <f>C742/D742</f>
        <v>500</v>
      </c>
      <c r="L742" s="11">
        <f>PMT(F742/100/12, 300, -(C742 *
(1 - G742/100)))</f>
        <v>4175.0730816260957</v>
      </c>
      <c r="M742" s="11">
        <f t="shared" si="55"/>
        <v>604521.92448782874</v>
      </c>
      <c r="N742" s="11">
        <f t="shared" si="56"/>
        <v>1252521.9244878287</v>
      </c>
      <c r="O742">
        <f t="shared" si="57"/>
        <v>648000</v>
      </c>
      <c r="P742">
        <v>649.20060000000001</v>
      </c>
      <c r="R742" t="str">
        <f t="shared" si="58"/>
        <v>4</v>
      </c>
      <c r="S742">
        <f t="shared" si="59"/>
        <v>649.20666666666671</v>
      </c>
    </row>
    <row r="743" spans="1:19">
      <c r="A743" s="4" t="s">
        <v>10</v>
      </c>
      <c r="B743" s="4" t="s">
        <v>11</v>
      </c>
      <c r="C743" s="4">
        <v>825000</v>
      </c>
      <c r="D743" s="4">
        <v>1650</v>
      </c>
      <c r="E743" s="4">
        <v>2024</v>
      </c>
      <c r="F743" s="4">
        <v>5</v>
      </c>
      <c r="G743" s="4" t="s">
        <v>41</v>
      </c>
      <c r="H743" s="4" t="s">
        <v>43</v>
      </c>
      <c r="I743" s="4" t="s">
        <v>14</v>
      </c>
      <c r="J743" s="4" t="s">
        <v>15</v>
      </c>
      <c r="K743" s="20">
        <f>C743/D743</f>
        <v>500</v>
      </c>
      <c r="L743" s="11">
        <f>PMT(F743/100/12, 300, -(C743 *
(1 - G743/100)))</f>
        <v>3858.294273952662</v>
      </c>
      <c r="M743" s="11">
        <f t="shared" si="55"/>
        <v>497488.28218579851</v>
      </c>
      <c r="N743" s="11">
        <f t="shared" si="56"/>
        <v>1157488.2821857985</v>
      </c>
      <c r="O743">
        <f t="shared" si="57"/>
        <v>660000</v>
      </c>
      <c r="P743">
        <v>661.20060000000001</v>
      </c>
      <c r="R743" t="str">
        <f t="shared" si="58"/>
        <v>4</v>
      </c>
      <c r="S743">
        <f t="shared" si="59"/>
        <v>661.20666666666671</v>
      </c>
    </row>
    <row r="744" spans="1:19">
      <c r="A744" s="6" t="s">
        <v>10</v>
      </c>
      <c r="B744" s="6" t="s">
        <v>11</v>
      </c>
      <c r="C744" s="6">
        <v>840000</v>
      </c>
      <c r="D744" s="6">
        <v>1680</v>
      </c>
      <c r="E744" s="6">
        <v>2023</v>
      </c>
      <c r="F744" s="6">
        <v>6.1</v>
      </c>
      <c r="G744" s="6" t="s">
        <v>41</v>
      </c>
      <c r="H744" s="6" t="s">
        <v>43</v>
      </c>
      <c r="I744" s="6" t="s">
        <v>14</v>
      </c>
      <c r="J744" s="6" t="s">
        <v>15</v>
      </c>
      <c r="K744" s="20">
        <f>C744/D744</f>
        <v>500</v>
      </c>
      <c r="L744" s="11">
        <f>PMT(F744/100/12, 300, -(C744 *
(1 - G744/100)))</f>
        <v>4370.876235337445</v>
      </c>
      <c r="M744" s="11">
        <f t="shared" si="55"/>
        <v>639262.87060123356</v>
      </c>
      <c r="N744" s="11">
        <f t="shared" si="56"/>
        <v>1311262.8706012336</v>
      </c>
      <c r="O744">
        <f t="shared" si="57"/>
        <v>672000</v>
      </c>
      <c r="P744">
        <v>673.20060000000001</v>
      </c>
      <c r="R744" t="str">
        <f t="shared" si="58"/>
        <v>4</v>
      </c>
      <c r="S744">
        <f t="shared" si="59"/>
        <v>673.20666666666671</v>
      </c>
    </row>
    <row r="745" spans="1:19">
      <c r="A745" s="6" t="s">
        <v>32</v>
      </c>
      <c r="B745" s="6" t="s">
        <v>27</v>
      </c>
      <c r="C745" s="6">
        <v>370000</v>
      </c>
      <c r="D745" s="6">
        <v>740</v>
      </c>
      <c r="E745" s="6">
        <v>2024</v>
      </c>
      <c r="F745" s="6">
        <v>5.3</v>
      </c>
      <c r="G745" s="6" t="s">
        <v>12</v>
      </c>
      <c r="H745" s="6" t="s">
        <v>13</v>
      </c>
      <c r="I745" s="6" t="s">
        <v>20</v>
      </c>
      <c r="J745" s="6" t="s">
        <v>29</v>
      </c>
      <c r="K745" s="20">
        <f>C745/D745</f>
        <v>500</v>
      </c>
      <c r="L745" s="11">
        <f>PMT(F745/100/12, 300, -(C745 *
(1 - G745/100)))</f>
        <v>1827.0784294410455</v>
      </c>
      <c r="M745" s="11">
        <f t="shared" si="55"/>
        <v>244723.52883231355</v>
      </c>
      <c r="N745" s="11">
        <f t="shared" si="56"/>
        <v>548123.5288323136</v>
      </c>
      <c r="O745">
        <f t="shared" si="57"/>
        <v>303400</v>
      </c>
      <c r="P745">
        <v>296.9006</v>
      </c>
      <c r="R745" t="str">
        <f t="shared" si="58"/>
        <v>3</v>
      </c>
      <c r="S745">
        <f t="shared" si="59"/>
        <v>296.90666666666664</v>
      </c>
    </row>
    <row r="746" spans="1:19">
      <c r="A746" s="4" t="s">
        <v>33</v>
      </c>
      <c r="B746" s="4" t="s">
        <v>23</v>
      </c>
      <c r="C746" s="4">
        <v>370000</v>
      </c>
      <c r="D746" s="4">
        <v>740</v>
      </c>
      <c r="E746" s="4">
        <v>2024</v>
      </c>
      <c r="F746" s="4">
        <v>5.3</v>
      </c>
      <c r="G746" s="4" t="s">
        <v>24</v>
      </c>
      <c r="H746" s="4" t="s">
        <v>19</v>
      </c>
      <c r="I746" s="4" t="s">
        <v>20</v>
      </c>
      <c r="J746" s="4" t="s">
        <v>21</v>
      </c>
      <c r="K746" s="20">
        <f>C746/D746</f>
        <v>500</v>
      </c>
      <c r="L746" s="11">
        <f>PMT(F746/100/12, 300, -(C746 *
(1 - G746/100)))</f>
        <v>2005.3299835328546</v>
      </c>
      <c r="M746" s="11">
        <f t="shared" si="55"/>
        <v>268598.99505985627</v>
      </c>
      <c r="N746" s="11">
        <f t="shared" si="56"/>
        <v>601598.99505985621</v>
      </c>
      <c r="O746">
        <f t="shared" si="57"/>
        <v>333000</v>
      </c>
      <c r="P746">
        <v>296.60060000000004</v>
      </c>
      <c r="R746" t="str">
        <f t="shared" si="58"/>
        <v>2</v>
      </c>
      <c r="S746">
        <f t="shared" si="59"/>
        <v>296.60666666666668</v>
      </c>
    </row>
    <row r="747" spans="1:19">
      <c r="A747" s="4" t="s">
        <v>10</v>
      </c>
      <c r="B747" s="4" t="s">
        <v>11</v>
      </c>
      <c r="C747" s="4">
        <v>805000</v>
      </c>
      <c r="D747" s="4">
        <v>1600</v>
      </c>
      <c r="E747" s="4">
        <v>2024</v>
      </c>
      <c r="F747" s="4">
        <v>5</v>
      </c>
      <c r="G747" s="4" t="s">
        <v>41</v>
      </c>
      <c r="H747" s="4" t="s">
        <v>43</v>
      </c>
      <c r="I747" s="4" t="s">
        <v>14</v>
      </c>
      <c r="J747" s="4" t="s">
        <v>15</v>
      </c>
      <c r="K747" s="20">
        <f>C747/D747</f>
        <v>503.125</v>
      </c>
      <c r="L747" s="11">
        <f>PMT(F747/100/12, 300, -(C747 *
(1 - G747/100)))</f>
        <v>3764.7598673113853</v>
      </c>
      <c r="M747" s="11">
        <f t="shared" si="55"/>
        <v>485427.96019341564</v>
      </c>
      <c r="N747" s="11">
        <f t="shared" si="56"/>
        <v>1129427.9601934156</v>
      </c>
      <c r="O747">
        <f t="shared" si="57"/>
        <v>644000</v>
      </c>
      <c r="P747">
        <v>641.20059627329192</v>
      </c>
      <c r="R747" t="str">
        <f t="shared" si="58"/>
        <v>4</v>
      </c>
      <c r="S747">
        <f t="shared" si="59"/>
        <v>641.20662525879925</v>
      </c>
    </row>
    <row r="748" spans="1:19">
      <c r="A748" s="4" t="s">
        <v>37</v>
      </c>
      <c r="B748" s="4" t="s">
        <v>11</v>
      </c>
      <c r="C748" s="4">
        <v>770000</v>
      </c>
      <c r="D748" s="4">
        <v>1530</v>
      </c>
      <c r="E748" s="4">
        <v>2024</v>
      </c>
      <c r="F748" s="4">
        <v>5.0999999999999996</v>
      </c>
      <c r="G748" s="8">
        <v>22</v>
      </c>
      <c r="H748" s="4" t="s">
        <v>13</v>
      </c>
      <c r="I748" s="4" t="s">
        <v>14</v>
      </c>
      <c r="J748" s="4" t="s">
        <v>29</v>
      </c>
      <c r="K748" s="20">
        <f>C748/D748</f>
        <v>503.26797385620915</v>
      </c>
      <c r="L748" s="11">
        <f>PMT(F748/100/12, 300, -(C748 *
(1 - G748/100)))</f>
        <v>3546.1290167358643</v>
      </c>
      <c r="M748" s="11">
        <f t="shared" si="55"/>
        <v>463238.70502075914</v>
      </c>
      <c r="N748" s="11">
        <f t="shared" si="56"/>
        <v>1063838.7050207593</v>
      </c>
      <c r="O748">
        <f t="shared" si="57"/>
        <v>600600</v>
      </c>
      <c r="P748">
        <v>612.90059610389608</v>
      </c>
      <c r="R748" t="str">
        <f t="shared" si="58"/>
        <v>3</v>
      </c>
      <c r="S748">
        <f t="shared" si="59"/>
        <v>612.90662337662332</v>
      </c>
    </row>
    <row r="749" spans="1:19">
      <c r="A749" s="6" t="s">
        <v>10</v>
      </c>
      <c r="B749" s="6" t="s">
        <v>11</v>
      </c>
      <c r="C749" s="6">
        <v>830000</v>
      </c>
      <c r="D749" s="6">
        <v>1620</v>
      </c>
      <c r="E749" s="6">
        <v>2023</v>
      </c>
      <c r="F749" s="6">
        <v>6</v>
      </c>
      <c r="G749" s="6" t="s">
        <v>41</v>
      </c>
      <c r="H749" s="6" t="s">
        <v>43</v>
      </c>
      <c r="I749" s="6" t="s">
        <v>14</v>
      </c>
      <c r="J749" s="6" t="s">
        <v>15</v>
      </c>
      <c r="K749" s="20">
        <f>C749/D749</f>
        <v>512.34567901234573</v>
      </c>
      <c r="L749" s="11">
        <f>PMT(F749/100/12, 300, -(C749 *
(1 - G749/100)))</f>
        <v>4278.1613058637768</v>
      </c>
      <c r="M749" s="11">
        <f t="shared" si="55"/>
        <v>619448.39175913297</v>
      </c>
      <c r="N749" s="11">
        <f t="shared" si="56"/>
        <v>1283448.391759133</v>
      </c>
      <c r="O749">
        <f t="shared" si="57"/>
        <v>664000</v>
      </c>
      <c r="P749">
        <v>649.20058554216871</v>
      </c>
      <c r="R749" t="str">
        <f t="shared" si="58"/>
        <v>4</v>
      </c>
      <c r="S749">
        <f t="shared" si="59"/>
        <v>649.20650602409648</v>
      </c>
    </row>
    <row r="750" spans="1:19">
      <c r="A750" s="6" t="s">
        <v>10</v>
      </c>
      <c r="B750" s="6" t="s">
        <v>11</v>
      </c>
      <c r="C750" s="6">
        <v>860000</v>
      </c>
      <c r="D750" s="6">
        <v>1620</v>
      </c>
      <c r="E750" s="6">
        <v>2024</v>
      </c>
      <c r="F750" s="6">
        <v>5.0999999999999996</v>
      </c>
      <c r="G750" s="7">
        <v>20</v>
      </c>
      <c r="H750" s="6" t="s">
        <v>43</v>
      </c>
      <c r="I750" s="6" t="s">
        <v>14</v>
      </c>
      <c r="J750" s="6" t="s">
        <v>15</v>
      </c>
      <c r="K750" s="20">
        <f>C750/D750</f>
        <v>530.8641975308642</v>
      </c>
      <c r="L750" s="11">
        <f>PMT(F750/100/12, 300, -(C750 *
(1 - G750/100)))</f>
        <v>4062.1657734170408</v>
      </c>
      <c r="M750" s="11">
        <f t="shared" si="55"/>
        <v>530649.73202511214</v>
      </c>
      <c r="N750" s="11">
        <f t="shared" si="56"/>
        <v>1218649.732025112</v>
      </c>
      <c r="O750">
        <f t="shared" si="57"/>
        <v>688000</v>
      </c>
      <c r="P750">
        <v>649.20056511627911</v>
      </c>
      <c r="R750" t="str">
        <f t="shared" si="58"/>
        <v>4</v>
      </c>
      <c r="S750">
        <f t="shared" si="59"/>
        <v>649.20627906976745</v>
      </c>
    </row>
    <row r="751" spans="1:19">
      <c r="A751" s="4" t="s">
        <v>16</v>
      </c>
      <c r="B751" s="4" t="s">
        <v>23</v>
      </c>
      <c r="C751" s="4">
        <v>400000</v>
      </c>
      <c r="D751" s="4">
        <v>740</v>
      </c>
      <c r="E751" s="4">
        <v>2024</v>
      </c>
      <c r="F751" s="4">
        <v>5.4</v>
      </c>
      <c r="G751" s="4" t="s">
        <v>24</v>
      </c>
      <c r="H751" s="4" t="s">
        <v>19</v>
      </c>
      <c r="I751" s="4" t="s">
        <v>20</v>
      </c>
      <c r="J751" s="4" t="s">
        <v>21</v>
      </c>
      <c r="K751" s="20">
        <f>C751/D751</f>
        <v>540.54054054054052</v>
      </c>
      <c r="L751" s="11">
        <f>PMT(F751/100/12, 300, -(C751 *
(1 - G751/100)))</f>
        <v>2189.2677026695351</v>
      </c>
      <c r="M751" s="11">
        <f t="shared" si="55"/>
        <v>296780.31080086058</v>
      </c>
      <c r="N751" s="11">
        <f t="shared" si="56"/>
        <v>656780.31080086064</v>
      </c>
      <c r="O751">
        <f t="shared" si="57"/>
        <v>360000</v>
      </c>
      <c r="P751">
        <v>296.60055500000004</v>
      </c>
      <c r="R751" t="str">
        <f t="shared" si="58"/>
        <v>2</v>
      </c>
      <c r="S751">
        <f t="shared" si="59"/>
        <v>296.6061666666667</v>
      </c>
    </row>
    <row r="752" spans="1:19">
      <c r="A752" s="6" t="s">
        <v>30</v>
      </c>
      <c r="B752" s="6" t="s">
        <v>27</v>
      </c>
      <c r="C752" s="6">
        <v>400000</v>
      </c>
      <c r="D752" s="6">
        <v>740</v>
      </c>
      <c r="E752" s="6">
        <v>2024</v>
      </c>
      <c r="F752" s="6">
        <v>5.2</v>
      </c>
      <c r="G752" s="6" t="s">
        <v>28</v>
      </c>
      <c r="H752" s="6" t="s">
        <v>19</v>
      </c>
      <c r="I752" s="6" t="s">
        <v>20</v>
      </c>
      <c r="J752" s="6" t="s">
        <v>29</v>
      </c>
      <c r="K752" s="20">
        <f>C752/D752</f>
        <v>540.54054054054052</v>
      </c>
      <c r="L752" s="11">
        <f>PMT(F752/100/12, 300, -(C752 *
(1 - G752/100)))</f>
        <v>2027.4251628366819</v>
      </c>
      <c r="M752" s="11">
        <f t="shared" si="55"/>
        <v>268227.54885100445</v>
      </c>
      <c r="N752" s="11">
        <f t="shared" si="56"/>
        <v>608227.54885100445</v>
      </c>
      <c r="O752">
        <f t="shared" si="57"/>
        <v>340000</v>
      </c>
      <c r="P752">
        <v>296.60055500000004</v>
      </c>
      <c r="R752" t="str">
        <f t="shared" si="58"/>
        <v>2</v>
      </c>
      <c r="S752">
        <f t="shared" si="59"/>
        <v>296.6061666666667</v>
      </c>
    </row>
    <row r="753" spans="1:19">
      <c r="A753" s="4" t="s">
        <v>10</v>
      </c>
      <c r="B753" s="4" t="s">
        <v>11</v>
      </c>
      <c r="C753" s="4">
        <v>900000</v>
      </c>
      <c r="D753" s="4">
        <v>1650</v>
      </c>
      <c r="E753" s="4">
        <v>2024</v>
      </c>
      <c r="F753" s="4">
        <v>5.0999999999999996</v>
      </c>
      <c r="G753" s="8">
        <v>20</v>
      </c>
      <c r="H753" s="4" t="s">
        <v>43</v>
      </c>
      <c r="I753" s="4" t="s">
        <v>14</v>
      </c>
      <c r="J753" s="4" t="s">
        <v>15</v>
      </c>
      <c r="K753" s="20">
        <f>C753/D753</f>
        <v>545.4545454545455</v>
      </c>
      <c r="L753" s="11">
        <f>PMT(F753/100/12, 300, -(C753 *
(1 - G753/100)))</f>
        <v>4251.1037163666706</v>
      </c>
      <c r="M753" s="11">
        <f t="shared" si="55"/>
        <v>555331.11491000117</v>
      </c>
      <c r="N753" s="11">
        <f t="shared" si="56"/>
        <v>1275331.1149100012</v>
      </c>
      <c r="O753">
        <f t="shared" si="57"/>
        <v>720000</v>
      </c>
      <c r="P753">
        <v>661.20055000000002</v>
      </c>
      <c r="R753" t="str">
        <f t="shared" si="58"/>
        <v>4</v>
      </c>
      <c r="S753">
        <f t="shared" si="59"/>
        <v>661.20611111111111</v>
      </c>
    </row>
    <row r="754" spans="1:19">
      <c r="A754" s="4" t="s">
        <v>10</v>
      </c>
      <c r="B754" s="4" t="s">
        <v>17</v>
      </c>
      <c r="C754" s="4">
        <v>470000</v>
      </c>
      <c r="D754" s="4">
        <v>850</v>
      </c>
      <c r="E754" s="4">
        <v>2024</v>
      </c>
      <c r="F754" s="4">
        <v>5</v>
      </c>
      <c r="G754" s="4" t="s">
        <v>18</v>
      </c>
      <c r="H754" s="4" t="s">
        <v>19</v>
      </c>
      <c r="I754" s="4" t="s">
        <v>20</v>
      </c>
      <c r="J754" s="4" t="s">
        <v>21</v>
      </c>
      <c r="K754" s="20">
        <f>C754/D754</f>
        <v>552.94117647058829</v>
      </c>
      <c r="L754" s="11">
        <f>PMT(F754/100/12, 300, -(C754 *
(1 - G754/100)))</f>
        <v>2417.8644116770015</v>
      </c>
      <c r="M754" s="11">
        <f t="shared" si="55"/>
        <v>311759.32350310043</v>
      </c>
      <c r="N754" s="11">
        <f t="shared" si="56"/>
        <v>725359.32350310043</v>
      </c>
      <c r="O754">
        <f t="shared" si="57"/>
        <v>413600</v>
      </c>
      <c r="P754">
        <v>340.60054255319153</v>
      </c>
      <c r="R754" t="str">
        <f t="shared" si="58"/>
        <v>2</v>
      </c>
      <c r="S754">
        <f t="shared" si="59"/>
        <v>340.60602836879434</v>
      </c>
    </row>
    <row r="755" spans="1:19">
      <c r="A755" s="6" t="s">
        <v>33</v>
      </c>
      <c r="B755" s="6" t="s">
        <v>27</v>
      </c>
      <c r="C755" s="6">
        <v>410000</v>
      </c>
      <c r="D755" s="6">
        <v>740</v>
      </c>
      <c r="E755" s="6">
        <v>2024</v>
      </c>
      <c r="F755" s="6">
        <v>5.2</v>
      </c>
      <c r="G755" s="6" t="s">
        <v>28</v>
      </c>
      <c r="H755" s="6" t="s">
        <v>13</v>
      </c>
      <c r="I755" s="6" t="s">
        <v>20</v>
      </c>
      <c r="J755" s="6" t="s">
        <v>29</v>
      </c>
      <c r="K755" s="20">
        <f>C755/D755</f>
        <v>554.05405405405406</v>
      </c>
      <c r="L755" s="11">
        <f>PMT(F755/100/12, 300, -(C755 *
(1 - G755/100)))</f>
        <v>2078.1107919075989</v>
      </c>
      <c r="M755" s="11">
        <f t="shared" si="55"/>
        <v>274933.23757227953</v>
      </c>
      <c r="N755" s="11">
        <f t="shared" si="56"/>
        <v>623433.23757227953</v>
      </c>
      <c r="O755">
        <f t="shared" si="57"/>
        <v>348500</v>
      </c>
      <c r="P755">
        <v>296.90054146341458</v>
      </c>
      <c r="R755" t="str">
        <f t="shared" si="58"/>
        <v>3</v>
      </c>
      <c r="S755">
        <f t="shared" si="59"/>
        <v>296.90601626016257</v>
      </c>
    </row>
    <row r="756" spans="1:19">
      <c r="A756" s="4" t="s">
        <v>16</v>
      </c>
      <c r="B756" s="4" t="s">
        <v>23</v>
      </c>
      <c r="C756" s="4">
        <v>410000</v>
      </c>
      <c r="D756" s="4">
        <v>740</v>
      </c>
      <c r="E756" s="4">
        <v>2024</v>
      </c>
      <c r="F756" s="4">
        <v>5.4</v>
      </c>
      <c r="G756" s="4" t="s">
        <v>24</v>
      </c>
      <c r="H756" s="4" t="s">
        <v>19</v>
      </c>
      <c r="I756" s="4" t="s">
        <v>20</v>
      </c>
      <c r="J756" s="4" t="s">
        <v>21</v>
      </c>
      <c r="K756" s="20">
        <f>C756/D756</f>
        <v>554.05405405405406</v>
      </c>
      <c r="L756" s="11">
        <f>PMT(F756/100/12, 300, -(C756 *
(1 - G756/100)))</f>
        <v>2243.9993952362734</v>
      </c>
      <c r="M756" s="11">
        <f t="shared" si="55"/>
        <v>304199.81857088202</v>
      </c>
      <c r="N756" s="11">
        <f t="shared" si="56"/>
        <v>673199.81857088208</v>
      </c>
      <c r="O756">
        <f t="shared" si="57"/>
        <v>369000</v>
      </c>
      <c r="P756">
        <v>296.60054146341463</v>
      </c>
      <c r="R756" t="str">
        <f t="shared" si="58"/>
        <v>2</v>
      </c>
      <c r="S756">
        <f t="shared" si="59"/>
        <v>296.60601626016262</v>
      </c>
    </row>
    <row r="757" spans="1:19">
      <c r="A757" s="6" t="s">
        <v>26</v>
      </c>
      <c r="B757" s="6" t="s">
        <v>11</v>
      </c>
      <c r="C757" s="6">
        <v>420000</v>
      </c>
      <c r="D757" s="6">
        <v>740</v>
      </c>
      <c r="E757" s="6">
        <v>2024</v>
      </c>
      <c r="F757" s="6">
        <v>5.4</v>
      </c>
      <c r="G757" s="6" t="s">
        <v>41</v>
      </c>
      <c r="H757" s="6" t="s">
        <v>13</v>
      </c>
      <c r="I757" s="6" t="s">
        <v>14</v>
      </c>
      <c r="J757" s="6" t="s">
        <v>29</v>
      </c>
      <c r="K757" s="20">
        <f>C757/D757</f>
        <v>567.56756756756761</v>
      </c>
      <c r="L757" s="11">
        <f>PMT(F757/100/12, 300, -(C757 *
(1 - G757/100)))</f>
        <v>2043.316522491566</v>
      </c>
      <c r="M757" s="11">
        <f t="shared" si="55"/>
        <v>276994.9567474699</v>
      </c>
      <c r="N757" s="11">
        <f t="shared" si="56"/>
        <v>612994.95674746996</v>
      </c>
      <c r="O757">
        <f t="shared" si="57"/>
        <v>336000</v>
      </c>
      <c r="P757">
        <v>296.90052857142854</v>
      </c>
      <c r="R757" t="str">
        <f t="shared" si="58"/>
        <v>3</v>
      </c>
      <c r="S757">
        <f t="shared" si="59"/>
        <v>296.905873015873</v>
      </c>
    </row>
    <row r="758" spans="1:19">
      <c r="A758" s="6" t="s">
        <v>33</v>
      </c>
      <c r="B758" s="6" t="s">
        <v>27</v>
      </c>
      <c r="C758" s="6">
        <v>420000</v>
      </c>
      <c r="D758" s="6">
        <v>740</v>
      </c>
      <c r="E758" s="6">
        <v>2024</v>
      </c>
      <c r="F758" s="6">
        <v>5.2</v>
      </c>
      <c r="G758" s="6" t="s">
        <v>28</v>
      </c>
      <c r="H758" s="6" t="s">
        <v>13</v>
      </c>
      <c r="I758" s="6" t="s">
        <v>20</v>
      </c>
      <c r="J758" s="6" t="s">
        <v>29</v>
      </c>
      <c r="K758" s="20">
        <f>C758/D758</f>
        <v>567.56756756756761</v>
      </c>
      <c r="L758" s="11">
        <f>PMT(F758/100/12, 300, -(C758 *
(1 - G758/100)))</f>
        <v>2128.7964209785159</v>
      </c>
      <c r="M758" s="11">
        <f t="shared" si="55"/>
        <v>281638.9262935546</v>
      </c>
      <c r="N758" s="11">
        <f t="shared" si="56"/>
        <v>638638.9262935546</v>
      </c>
      <c r="O758">
        <f t="shared" si="57"/>
        <v>357000</v>
      </c>
      <c r="P758">
        <v>296.90052857142854</v>
      </c>
      <c r="R758" t="str">
        <f t="shared" si="58"/>
        <v>3</v>
      </c>
      <c r="S758">
        <f t="shared" si="59"/>
        <v>296.905873015873</v>
      </c>
    </row>
    <row r="759" spans="1:19">
      <c r="A759" s="6" t="s">
        <v>10</v>
      </c>
      <c r="B759" s="6" t="s">
        <v>11</v>
      </c>
      <c r="C759" s="6">
        <v>920000</v>
      </c>
      <c r="D759" s="6">
        <v>1620</v>
      </c>
      <c r="E759" s="6">
        <v>2024</v>
      </c>
      <c r="F759" s="6">
        <v>5.0999999999999996</v>
      </c>
      <c r="G759" s="7">
        <v>20</v>
      </c>
      <c r="H759" s="6" t="s">
        <v>43</v>
      </c>
      <c r="I759" s="6" t="s">
        <v>14</v>
      </c>
      <c r="J759" s="6" t="s">
        <v>15</v>
      </c>
      <c r="K759" s="20">
        <f>C759/D759</f>
        <v>567.90123456790127</v>
      </c>
      <c r="L759" s="11">
        <f>PMT(F759/100/12, 300, -(C759 *
(1 - G759/100)))</f>
        <v>4345.5726878414853</v>
      </c>
      <c r="M759" s="11">
        <f t="shared" si="55"/>
        <v>567671.80635244562</v>
      </c>
      <c r="N759" s="11">
        <f t="shared" si="56"/>
        <v>1303671.8063524456</v>
      </c>
      <c r="O759">
        <f t="shared" si="57"/>
        <v>736000</v>
      </c>
      <c r="P759">
        <v>649.20052826086965</v>
      </c>
      <c r="R759" t="str">
        <f t="shared" si="58"/>
        <v>4</v>
      </c>
      <c r="S759">
        <f t="shared" si="59"/>
        <v>649.20586956521743</v>
      </c>
    </row>
    <row r="760" spans="1:19">
      <c r="A760" s="6" t="s">
        <v>10</v>
      </c>
      <c r="B760" s="6" t="s">
        <v>11</v>
      </c>
      <c r="C760" s="6">
        <v>950000</v>
      </c>
      <c r="D760" s="6">
        <v>1650</v>
      </c>
      <c r="E760" s="6">
        <v>2024</v>
      </c>
      <c r="F760" s="6">
        <v>5.0999999999999996</v>
      </c>
      <c r="G760" s="7">
        <v>20</v>
      </c>
      <c r="H760" s="6" t="s">
        <v>43</v>
      </c>
      <c r="I760" s="6" t="s">
        <v>14</v>
      </c>
      <c r="J760" s="6" t="s">
        <v>15</v>
      </c>
      <c r="K760" s="20">
        <f>C760/D760</f>
        <v>575.75757575757575</v>
      </c>
      <c r="L760" s="11">
        <f>PMT(F760/100/12, 300, -(C760 *
(1 - G760/100)))</f>
        <v>4487.2761450537082</v>
      </c>
      <c r="M760" s="11">
        <f t="shared" si="55"/>
        <v>586182.84351611242</v>
      </c>
      <c r="N760" s="11">
        <f t="shared" si="56"/>
        <v>1346182.8435161123</v>
      </c>
      <c r="O760">
        <f t="shared" si="57"/>
        <v>760000</v>
      </c>
      <c r="P760">
        <v>661.20052105263164</v>
      </c>
      <c r="R760" t="str">
        <f t="shared" si="58"/>
        <v>4</v>
      </c>
      <c r="S760">
        <f t="shared" si="59"/>
        <v>661.20578947368426</v>
      </c>
    </row>
    <row r="761" spans="1:19">
      <c r="A761" s="6" t="s">
        <v>26</v>
      </c>
      <c r="B761" s="6" t="s">
        <v>11</v>
      </c>
      <c r="C761" s="6">
        <v>430000</v>
      </c>
      <c r="D761" s="6">
        <v>740</v>
      </c>
      <c r="E761" s="6">
        <v>2023</v>
      </c>
      <c r="F761" s="6">
        <v>6.2</v>
      </c>
      <c r="G761" s="6" t="s">
        <v>38</v>
      </c>
      <c r="H761" s="6" t="s">
        <v>13</v>
      </c>
      <c r="I761" s="6" t="s">
        <v>14</v>
      </c>
      <c r="J761" s="6" t="s">
        <v>15</v>
      </c>
      <c r="K761" s="20">
        <f>C761/D761</f>
        <v>581.08108108108104</v>
      </c>
      <c r="L761" s="11">
        <f>PMT(F761/100/12, 300, -(C761 *
(1 - G761/100)))</f>
        <v>2202.1763504748565</v>
      </c>
      <c r="M761" s="11">
        <f t="shared" si="55"/>
        <v>325252.90514245693</v>
      </c>
      <c r="N761" s="11">
        <f t="shared" si="56"/>
        <v>660652.90514245699</v>
      </c>
      <c r="O761">
        <f t="shared" si="57"/>
        <v>335400</v>
      </c>
      <c r="P761">
        <v>296.90051627906973</v>
      </c>
      <c r="R761" t="str">
        <f t="shared" si="58"/>
        <v>3</v>
      </c>
      <c r="S761">
        <f t="shared" si="59"/>
        <v>296.90573643410852</v>
      </c>
    </row>
    <row r="762" spans="1:19">
      <c r="A762" s="6" t="s">
        <v>22</v>
      </c>
      <c r="B762" s="6" t="s">
        <v>23</v>
      </c>
      <c r="C762" s="6">
        <v>265000</v>
      </c>
      <c r="D762" s="6">
        <v>450</v>
      </c>
      <c r="E762" s="6">
        <v>2024</v>
      </c>
      <c r="F762" s="6">
        <v>4.5</v>
      </c>
      <c r="G762" s="6" t="s">
        <v>24</v>
      </c>
      <c r="H762" s="6" t="s">
        <v>13</v>
      </c>
      <c r="I762" s="6" t="s">
        <v>20</v>
      </c>
      <c r="J762" s="6" t="s">
        <v>21</v>
      </c>
      <c r="K762" s="20">
        <f>C762/D762</f>
        <v>588.88888888888891</v>
      </c>
      <c r="L762" s="11">
        <f>PMT(F762/100/12, 300, -(C762 *
(1 - G762/100)))</f>
        <v>1325.6604599393438</v>
      </c>
      <c r="M762" s="11">
        <f t="shared" si="55"/>
        <v>159198.13798180319</v>
      </c>
      <c r="N762" s="11">
        <f t="shared" si="56"/>
        <v>397698.13798180316</v>
      </c>
      <c r="O762">
        <f t="shared" si="57"/>
        <v>238500</v>
      </c>
      <c r="P762">
        <v>180.90050943396227</v>
      </c>
      <c r="R762" t="str">
        <f t="shared" si="58"/>
        <v>3</v>
      </c>
      <c r="S762">
        <f t="shared" si="59"/>
        <v>180.90566037735849</v>
      </c>
    </row>
    <row r="763" spans="1:19">
      <c r="A763" s="6" t="s">
        <v>26</v>
      </c>
      <c r="B763" s="6" t="s">
        <v>23</v>
      </c>
      <c r="C763" s="6">
        <v>265000</v>
      </c>
      <c r="D763" s="6">
        <v>450</v>
      </c>
      <c r="E763" s="6">
        <v>2024</v>
      </c>
      <c r="F763" s="6">
        <v>5.5</v>
      </c>
      <c r="G763" s="6">
        <v>10</v>
      </c>
      <c r="H763" s="6" t="s">
        <v>25</v>
      </c>
      <c r="I763" s="6" t="s">
        <v>20</v>
      </c>
      <c r="J763" s="6" t="s">
        <v>21</v>
      </c>
      <c r="K763" s="20">
        <f>C763/D763</f>
        <v>588.88888888888891</v>
      </c>
      <c r="L763" s="11">
        <f>PMT(F763/100/12, 300, -(C763 *
(1 - G763/100)))</f>
        <v>1464.5986690913066</v>
      </c>
      <c r="M763" s="11">
        <f t="shared" si="55"/>
        <v>200879.60072739198</v>
      </c>
      <c r="N763" s="11">
        <f t="shared" si="56"/>
        <v>439379.60072739201</v>
      </c>
      <c r="O763">
        <f t="shared" si="57"/>
        <v>238500</v>
      </c>
      <c r="P763">
        <v>180.30050943396228</v>
      </c>
      <c r="R763" t="str">
        <f t="shared" si="58"/>
        <v>1</v>
      </c>
      <c r="S763">
        <f t="shared" si="59"/>
        <v>180.30566037735849</v>
      </c>
    </row>
    <row r="764" spans="1:19">
      <c r="A764" s="4" t="s">
        <v>16</v>
      </c>
      <c r="B764" s="4" t="s">
        <v>27</v>
      </c>
      <c r="C764" s="4">
        <v>440000</v>
      </c>
      <c r="D764" s="4">
        <v>740</v>
      </c>
      <c r="E764" s="4">
        <v>2023</v>
      </c>
      <c r="F764" s="4">
        <v>6.1</v>
      </c>
      <c r="G764" s="4" t="s">
        <v>28</v>
      </c>
      <c r="H764" s="4" t="s">
        <v>13</v>
      </c>
      <c r="I764" s="4" t="s">
        <v>20</v>
      </c>
      <c r="J764" s="4" t="s">
        <v>29</v>
      </c>
      <c r="K764" s="20">
        <f>C764/D764</f>
        <v>594.59459459459458</v>
      </c>
      <c r="L764" s="11">
        <f>PMT(F764/100/12, 300, -(C764 *
(1 - G764/100)))</f>
        <v>2432.6007619288757</v>
      </c>
      <c r="M764" s="11">
        <f t="shared" si="55"/>
        <v>355780.22857866273</v>
      </c>
      <c r="N764" s="11">
        <f t="shared" si="56"/>
        <v>729780.22857866273</v>
      </c>
      <c r="O764">
        <f t="shared" si="57"/>
        <v>374000</v>
      </c>
      <c r="P764">
        <v>296.90050454545451</v>
      </c>
      <c r="R764" t="str">
        <f t="shared" si="58"/>
        <v>3</v>
      </c>
      <c r="S764">
        <f t="shared" si="59"/>
        <v>296.90560606060603</v>
      </c>
    </row>
    <row r="765" spans="1:19">
      <c r="A765" s="4" t="s">
        <v>37</v>
      </c>
      <c r="B765" s="4" t="s">
        <v>27</v>
      </c>
      <c r="C765" s="4">
        <v>440000</v>
      </c>
      <c r="D765" s="4">
        <v>740</v>
      </c>
      <c r="E765" s="4">
        <v>2024</v>
      </c>
      <c r="F765" s="4">
        <v>5.2</v>
      </c>
      <c r="G765" s="4" t="s">
        <v>28</v>
      </c>
      <c r="H765" s="4" t="s">
        <v>13</v>
      </c>
      <c r="I765" s="4" t="s">
        <v>20</v>
      </c>
      <c r="J765" s="4" t="s">
        <v>29</v>
      </c>
      <c r="K765" s="20">
        <f>C765/D765</f>
        <v>594.59459459459458</v>
      </c>
      <c r="L765" s="11">
        <f>PMT(F765/100/12, 300, -(C765 *
(1 - G765/100)))</f>
        <v>2230.1676791203499</v>
      </c>
      <c r="M765" s="11">
        <f t="shared" si="55"/>
        <v>295050.30373610486</v>
      </c>
      <c r="N765" s="11">
        <f t="shared" si="56"/>
        <v>669050.30373610486</v>
      </c>
      <c r="O765">
        <f t="shared" si="57"/>
        <v>374000</v>
      </c>
      <c r="P765">
        <v>296.90050454545451</v>
      </c>
      <c r="R765" t="str">
        <f t="shared" si="58"/>
        <v>3</v>
      </c>
      <c r="S765">
        <f t="shared" si="59"/>
        <v>296.90560606060603</v>
      </c>
    </row>
    <row r="766" spans="1:19">
      <c r="A766" s="6" t="s">
        <v>26</v>
      </c>
      <c r="B766" s="6" t="s">
        <v>11</v>
      </c>
      <c r="C766" s="6">
        <v>440000</v>
      </c>
      <c r="D766" s="6">
        <v>740</v>
      </c>
      <c r="E766" s="6">
        <v>2023</v>
      </c>
      <c r="F766" s="6">
        <v>6.2</v>
      </c>
      <c r="G766" s="6" t="s">
        <v>41</v>
      </c>
      <c r="H766" s="6" t="s">
        <v>13</v>
      </c>
      <c r="I766" s="6" t="s">
        <v>14</v>
      </c>
      <c r="J766" s="6" t="s">
        <v>15</v>
      </c>
      <c r="K766" s="20">
        <f>C766/D766</f>
        <v>594.59459459459458</v>
      </c>
      <c r="L766" s="11">
        <f>PMT(F766/100/12, 300, -(C766 *
(1 - G766/100)))</f>
        <v>2311.1689784351502</v>
      </c>
      <c r="M766" s="11">
        <f t="shared" si="55"/>
        <v>341350.6935305451</v>
      </c>
      <c r="N766" s="11">
        <f t="shared" si="56"/>
        <v>693350.6935305451</v>
      </c>
      <c r="O766">
        <f t="shared" si="57"/>
        <v>352000</v>
      </c>
      <c r="P766">
        <v>296.90050454545451</v>
      </c>
      <c r="R766" t="str">
        <f t="shared" si="58"/>
        <v>3</v>
      </c>
      <c r="S766">
        <f t="shared" si="59"/>
        <v>296.90560606060603</v>
      </c>
    </row>
    <row r="767" spans="1:19">
      <c r="A767" s="4" t="s">
        <v>33</v>
      </c>
      <c r="B767" s="4" t="s">
        <v>23</v>
      </c>
      <c r="C767" s="4">
        <v>300000</v>
      </c>
      <c r="D767" s="4">
        <v>500</v>
      </c>
      <c r="E767" s="4">
        <v>2024</v>
      </c>
      <c r="F767" s="4">
        <v>5.3</v>
      </c>
      <c r="G767" s="4" t="s">
        <v>24</v>
      </c>
      <c r="H767" s="4" t="s">
        <v>19</v>
      </c>
      <c r="I767" s="4" t="s">
        <v>20</v>
      </c>
      <c r="J767" s="4" t="s">
        <v>21</v>
      </c>
      <c r="K767" s="20">
        <f>C767/D767</f>
        <v>600</v>
      </c>
      <c r="L767" s="11">
        <f>PMT(F767/100/12, 300, -(C767 *
(1 - G767/100)))</f>
        <v>1625.9432298915037</v>
      </c>
      <c r="M767" s="11">
        <f t="shared" si="55"/>
        <v>217782.96896745113</v>
      </c>
      <c r="N767" s="11">
        <f t="shared" si="56"/>
        <v>487782.96896745113</v>
      </c>
      <c r="O767">
        <f t="shared" si="57"/>
        <v>270000</v>
      </c>
      <c r="P767">
        <v>200.60049999999998</v>
      </c>
      <c r="R767" t="str">
        <f t="shared" si="58"/>
        <v>2</v>
      </c>
      <c r="S767">
        <f t="shared" si="59"/>
        <v>200.60555555555555</v>
      </c>
    </row>
    <row r="768" spans="1:19">
      <c r="A768" s="6" t="s">
        <v>30</v>
      </c>
      <c r="B768" s="6" t="s">
        <v>11</v>
      </c>
      <c r="C768" s="6">
        <v>450000</v>
      </c>
      <c r="D768" s="6">
        <v>740</v>
      </c>
      <c r="E768" s="6">
        <v>2024</v>
      </c>
      <c r="F768" s="6">
        <v>5.3</v>
      </c>
      <c r="G768" s="6" t="s">
        <v>38</v>
      </c>
      <c r="H768" s="6" t="s">
        <v>13</v>
      </c>
      <c r="I768" s="6" t="s">
        <v>14</v>
      </c>
      <c r="J768" s="6" t="s">
        <v>15</v>
      </c>
      <c r="K768" s="20">
        <f>C768/D768</f>
        <v>608.10810810810813</v>
      </c>
      <c r="L768" s="11">
        <f>PMT(F768/100/12, 300, -(C768 *
(1 - G768/100)))</f>
        <v>2113.7261988589553</v>
      </c>
      <c r="M768" s="11">
        <f t="shared" si="55"/>
        <v>283117.85965768655</v>
      </c>
      <c r="N768" s="11">
        <f t="shared" si="56"/>
        <v>634117.85965768655</v>
      </c>
      <c r="O768">
        <f t="shared" si="57"/>
        <v>351000</v>
      </c>
      <c r="P768">
        <v>296.90049333333332</v>
      </c>
      <c r="R768" t="str">
        <f t="shared" si="58"/>
        <v>3</v>
      </c>
      <c r="S768">
        <f t="shared" si="59"/>
        <v>296.90548148148144</v>
      </c>
    </row>
    <row r="769" spans="1:19">
      <c r="A769" s="6" t="s">
        <v>37</v>
      </c>
      <c r="B769" s="6" t="s">
        <v>27</v>
      </c>
      <c r="C769" s="6">
        <v>450000</v>
      </c>
      <c r="D769" s="6">
        <v>740</v>
      </c>
      <c r="E769" s="6">
        <v>2023</v>
      </c>
      <c r="F769" s="6">
        <v>6.1</v>
      </c>
      <c r="G769" s="6" t="s">
        <v>28</v>
      </c>
      <c r="H769" s="6" t="s">
        <v>13</v>
      </c>
      <c r="I769" s="6" t="s">
        <v>20</v>
      </c>
      <c r="J769" s="6" t="s">
        <v>29</v>
      </c>
      <c r="K769" s="20">
        <f>C769/D769</f>
        <v>608.10810810810813</v>
      </c>
      <c r="L769" s="11">
        <f>PMT(F769/100/12, 300, -(C769 *
(1 - G769/100)))</f>
        <v>2487.8871428818047</v>
      </c>
      <c r="M769" s="11">
        <f t="shared" si="55"/>
        <v>363866.14286454138</v>
      </c>
      <c r="N769" s="11">
        <f t="shared" si="56"/>
        <v>746366.14286454138</v>
      </c>
      <c r="O769">
        <f t="shared" si="57"/>
        <v>382500</v>
      </c>
      <c r="P769">
        <v>296.90049333333332</v>
      </c>
      <c r="R769" t="str">
        <f t="shared" si="58"/>
        <v>3</v>
      </c>
      <c r="S769">
        <f t="shared" si="59"/>
        <v>296.90548148148144</v>
      </c>
    </row>
    <row r="770" spans="1:19">
      <c r="A770" s="4" t="s">
        <v>16</v>
      </c>
      <c r="B770" s="4" t="s">
        <v>27</v>
      </c>
      <c r="C770" s="4">
        <v>450000</v>
      </c>
      <c r="D770" s="4">
        <v>740</v>
      </c>
      <c r="E770" s="4">
        <v>2023</v>
      </c>
      <c r="F770" s="4">
        <v>6.1</v>
      </c>
      <c r="G770" s="4" t="s">
        <v>28</v>
      </c>
      <c r="H770" s="4" t="s">
        <v>13</v>
      </c>
      <c r="I770" s="4" t="s">
        <v>20</v>
      </c>
      <c r="J770" s="4" t="s">
        <v>29</v>
      </c>
      <c r="K770" s="20">
        <f>C770/D770</f>
        <v>608.10810810810813</v>
      </c>
      <c r="L770" s="11">
        <f>PMT(F770/100/12, 300, -(C770 *
(1 - G770/100)))</f>
        <v>2487.8871428818047</v>
      </c>
      <c r="M770" s="11">
        <f t="shared" si="55"/>
        <v>363866.14286454138</v>
      </c>
      <c r="N770" s="11">
        <f t="shared" si="56"/>
        <v>746366.14286454138</v>
      </c>
      <c r="O770">
        <f t="shared" si="57"/>
        <v>382500</v>
      </c>
      <c r="P770">
        <v>296.90049333333332</v>
      </c>
      <c r="R770" t="str">
        <f t="shared" si="58"/>
        <v>3</v>
      </c>
      <c r="S770">
        <f t="shared" si="59"/>
        <v>296.90548148148144</v>
      </c>
    </row>
    <row r="771" spans="1:19">
      <c r="A771" s="6" t="s">
        <v>10</v>
      </c>
      <c r="B771" s="6" t="s">
        <v>11</v>
      </c>
      <c r="C771" s="6">
        <v>792000</v>
      </c>
      <c r="D771" s="6">
        <v>1300</v>
      </c>
      <c r="E771" s="6">
        <v>2024</v>
      </c>
      <c r="F771" s="6">
        <v>5</v>
      </c>
      <c r="G771" s="6" t="s">
        <v>41</v>
      </c>
      <c r="H771" s="6" t="s">
        <v>43</v>
      </c>
      <c r="I771" s="6" t="s">
        <v>14</v>
      </c>
      <c r="J771" s="6" t="s">
        <v>15</v>
      </c>
      <c r="K771" s="20">
        <f>C771/D771</f>
        <v>609.23076923076928</v>
      </c>
      <c r="L771" s="11">
        <f>PMT(F771/100/12, 300, -(C771 *
(1 - G771/100)))</f>
        <v>3703.9625029945555</v>
      </c>
      <c r="M771" s="11">
        <f t="shared" ref="M771:M800" si="60">-CUMIPMT(F771/1200,300,O771,1,300,0)</f>
        <v>477588.75089836656</v>
      </c>
      <c r="N771" s="11">
        <f t="shared" ref="N771:N800" si="61">O771+M771</f>
        <v>1111188.7508983666</v>
      </c>
      <c r="O771">
        <f t="shared" ref="O771:O800" si="62">C771*(1-G771/100)</f>
        <v>633600</v>
      </c>
      <c r="P771">
        <v>521.2004924242425</v>
      </c>
      <c r="R771" t="str">
        <f t="shared" ref="R771:R802" si="63">IF(H771="A","4",IF(H771="B","3",IF(H771="C","2",IF(H771="D","1",0))))</f>
        <v>4</v>
      </c>
      <c r="S771">
        <f t="shared" ref="S771:S800" si="64">D771*0.4 +R771*0.3 +(1/(K771*0.3))</f>
        <v>521.20547138047141</v>
      </c>
    </row>
    <row r="772" spans="1:19">
      <c r="A772" s="4" t="s">
        <v>10</v>
      </c>
      <c r="B772" s="4" t="s">
        <v>17</v>
      </c>
      <c r="C772" s="4">
        <v>460000</v>
      </c>
      <c r="D772" s="4">
        <v>750</v>
      </c>
      <c r="E772" s="4">
        <v>2024</v>
      </c>
      <c r="F772" s="4">
        <v>5</v>
      </c>
      <c r="G772" s="4" t="s">
        <v>36</v>
      </c>
      <c r="H772" s="4" t="s">
        <v>19</v>
      </c>
      <c r="I772" s="4" t="s">
        <v>20</v>
      </c>
      <c r="J772" s="4" t="s">
        <v>21</v>
      </c>
      <c r="K772" s="20">
        <f>C772/D772</f>
        <v>613.33333333333337</v>
      </c>
      <c r="L772" s="11">
        <f>PMT(F772/100/12, 300, -(C772 *
(1 - G772/100)))</f>
        <v>2554.6584813898685</v>
      </c>
      <c r="M772" s="11">
        <f t="shared" si="60"/>
        <v>329397.54441696056</v>
      </c>
      <c r="N772" s="11">
        <f t="shared" si="61"/>
        <v>766397.54441696056</v>
      </c>
      <c r="O772">
        <f t="shared" si="62"/>
        <v>437000</v>
      </c>
      <c r="P772">
        <v>300.60048913043482</v>
      </c>
      <c r="R772" t="str">
        <f t="shared" si="63"/>
        <v>2</v>
      </c>
      <c r="S772">
        <f t="shared" si="64"/>
        <v>300.60543478260871</v>
      </c>
    </row>
    <row r="773" spans="1:19">
      <c r="A773" s="6" t="s">
        <v>10</v>
      </c>
      <c r="B773" s="6" t="s">
        <v>11</v>
      </c>
      <c r="C773" s="6">
        <v>795000</v>
      </c>
      <c r="D773" s="6">
        <v>1290</v>
      </c>
      <c r="E773" s="6">
        <v>2024</v>
      </c>
      <c r="F773" s="6">
        <v>5.0999999999999996</v>
      </c>
      <c r="G773" s="6" t="s">
        <v>41</v>
      </c>
      <c r="H773" s="6" t="s">
        <v>43</v>
      </c>
      <c r="I773" s="6" t="s">
        <v>14</v>
      </c>
      <c r="J773" s="6" t="s">
        <v>15</v>
      </c>
      <c r="K773" s="20">
        <f>C773/D773</f>
        <v>616.27906976744191</v>
      </c>
      <c r="L773" s="11">
        <f>PMT(F773/100/12, 300, -(C773 *
(1 - G773/100)))</f>
        <v>3755.1416161238922</v>
      </c>
      <c r="M773" s="11">
        <f t="shared" si="60"/>
        <v>490542.48483716766</v>
      </c>
      <c r="N773" s="11">
        <f t="shared" si="61"/>
        <v>1126542.4848371677</v>
      </c>
      <c r="O773">
        <f t="shared" si="62"/>
        <v>636000</v>
      </c>
      <c r="P773">
        <v>517.20048679245292</v>
      </c>
      <c r="R773" t="str">
        <f t="shared" si="63"/>
        <v>4</v>
      </c>
      <c r="S773">
        <f t="shared" si="64"/>
        <v>517.20540880503154</v>
      </c>
    </row>
    <row r="774" spans="1:19">
      <c r="A774" s="4" t="s">
        <v>37</v>
      </c>
      <c r="B774" s="4" t="s">
        <v>27</v>
      </c>
      <c r="C774" s="4">
        <v>460000</v>
      </c>
      <c r="D774" s="4">
        <v>740</v>
      </c>
      <c r="E774" s="4">
        <v>2024</v>
      </c>
      <c r="F774" s="4">
        <v>5.2</v>
      </c>
      <c r="G774" s="4" t="s">
        <v>28</v>
      </c>
      <c r="H774" s="4" t="s">
        <v>13</v>
      </c>
      <c r="I774" s="4" t="s">
        <v>20</v>
      </c>
      <c r="J774" s="4" t="s">
        <v>29</v>
      </c>
      <c r="K774" s="20">
        <f>C774/D774</f>
        <v>621.62162162162167</v>
      </c>
      <c r="L774" s="11">
        <f>PMT(F774/100/12, 300, -(C774 *
(1 - G774/100)))</f>
        <v>2331.5389372621844</v>
      </c>
      <c r="M774" s="11">
        <f t="shared" si="60"/>
        <v>308461.68117865513</v>
      </c>
      <c r="N774" s="11">
        <f t="shared" si="61"/>
        <v>699461.68117865513</v>
      </c>
      <c r="O774">
        <f t="shared" si="62"/>
        <v>391000</v>
      </c>
      <c r="P774">
        <v>296.90048260869565</v>
      </c>
      <c r="R774" t="str">
        <f t="shared" si="63"/>
        <v>3</v>
      </c>
      <c r="S774">
        <f t="shared" si="64"/>
        <v>296.90536231884056</v>
      </c>
    </row>
    <row r="775" spans="1:19">
      <c r="A775" s="6" t="s">
        <v>30</v>
      </c>
      <c r="B775" s="6" t="s">
        <v>11</v>
      </c>
      <c r="C775" s="6">
        <v>460000</v>
      </c>
      <c r="D775" s="6">
        <v>740</v>
      </c>
      <c r="E775" s="6">
        <v>2024</v>
      </c>
      <c r="F775" s="6">
        <v>5.3</v>
      </c>
      <c r="G775" s="6" t="s">
        <v>38</v>
      </c>
      <c r="H775" s="6" t="s">
        <v>13</v>
      </c>
      <c r="I775" s="6" t="s">
        <v>14</v>
      </c>
      <c r="J775" s="6" t="s">
        <v>15</v>
      </c>
      <c r="K775" s="20">
        <f>C775/D775</f>
        <v>621.62162162162167</v>
      </c>
      <c r="L775" s="11">
        <f>PMT(F775/100/12, 300, -(C775 *
(1 - G775/100)))</f>
        <v>2160.697892166932</v>
      </c>
      <c r="M775" s="11">
        <f t="shared" si="60"/>
        <v>289409.36765007948</v>
      </c>
      <c r="N775" s="11">
        <f t="shared" si="61"/>
        <v>648209.36765007954</v>
      </c>
      <c r="O775">
        <f t="shared" si="62"/>
        <v>358800</v>
      </c>
      <c r="P775">
        <v>296.90048260869565</v>
      </c>
      <c r="R775" t="str">
        <f t="shared" si="63"/>
        <v>3</v>
      </c>
      <c r="S775">
        <f t="shared" si="64"/>
        <v>296.90536231884056</v>
      </c>
    </row>
    <row r="776" spans="1:19">
      <c r="A776" s="4" t="s">
        <v>10</v>
      </c>
      <c r="B776" s="4" t="s">
        <v>11</v>
      </c>
      <c r="C776" s="4">
        <v>788000</v>
      </c>
      <c r="D776" s="4">
        <v>1260</v>
      </c>
      <c r="E776" s="4">
        <v>2023</v>
      </c>
      <c r="F776" s="4">
        <v>6.2</v>
      </c>
      <c r="G776" s="4" t="s">
        <v>41</v>
      </c>
      <c r="H776" s="4" t="s">
        <v>43</v>
      </c>
      <c r="I776" s="4" t="s">
        <v>14</v>
      </c>
      <c r="J776" s="4" t="s">
        <v>15</v>
      </c>
      <c r="K776" s="20">
        <f>C776/D776</f>
        <v>625.39682539682542</v>
      </c>
      <c r="L776" s="11">
        <f>PMT(F776/100/12, 300, -(C776 *
(1 - G776/100)))</f>
        <v>4139.093534106587</v>
      </c>
      <c r="M776" s="11">
        <f t="shared" si="60"/>
        <v>611328.06023197598</v>
      </c>
      <c r="N776" s="11">
        <f t="shared" si="61"/>
        <v>1241728.060231976</v>
      </c>
      <c r="O776">
        <f t="shared" si="62"/>
        <v>630400</v>
      </c>
      <c r="P776">
        <v>505.20047969543145</v>
      </c>
      <c r="R776" t="str">
        <f t="shared" si="63"/>
        <v>4</v>
      </c>
      <c r="S776">
        <f t="shared" si="64"/>
        <v>505.20532994923855</v>
      </c>
    </row>
    <row r="777" spans="1:19">
      <c r="A777" s="6" t="s">
        <v>16</v>
      </c>
      <c r="B777" s="6" t="s">
        <v>27</v>
      </c>
      <c r="C777" s="6">
        <v>480000</v>
      </c>
      <c r="D777" s="6">
        <v>740</v>
      </c>
      <c r="E777" s="6">
        <v>2024</v>
      </c>
      <c r="F777" s="6">
        <v>5.3</v>
      </c>
      <c r="G777" s="6" t="s">
        <v>28</v>
      </c>
      <c r="H777" s="6" t="s">
        <v>13</v>
      </c>
      <c r="I777" s="6" t="s">
        <v>20</v>
      </c>
      <c r="J777" s="6" t="s">
        <v>29</v>
      </c>
      <c r="K777" s="20">
        <f>C777/D777</f>
        <v>648.64864864864865</v>
      </c>
      <c r="L777" s="11">
        <f>PMT(F777/100/12, 300, -(C777 *
(1 - G777/100)))</f>
        <v>2456.9808807249387</v>
      </c>
      <c r="M777" s="11">
        <f t="shared" si="60"/>
        <v>329094.2642174816</v>
      </c>
      <c r="N777" s="11">
        <f t="shared" si="61"/>
        <v>737094.2642174816</v>
      </c>
      <c r="O777">
        <f t="shared" si="62"/>
        <v>408000</v>
      </c>
      <c r="P777">
        <v>296.9004625</v>
      </c>
      <c r="R777" t="str">
        <f t="shared" si="63"/>
        <v>3</v>
      </c>
      <c r="S777">
        <f t="shared" si="64"/>
        <v>296.90513888888887</v>
      </c>
    </row>
    <row r="778" spans="1:19">
      <c r="A778" s="6" t="s">
        <v>22</v>
      </c>
      <c r="B778" s="6" t="s">
        <v>23</v>
      </c>
      <c r="C778" s="6">
        <v>260000</v>
      </c>
      <c r="D778" s="6">
        <v>400</v>
      </c>
      <c r="E778" s="6">
        <v>2024</v>
      </c>
      <c r="F778" s="6">
        <v>5.4</v>
      </c>
      <c r="G778" s="6">
        <v>10</v>
      </c>
      <c r="H778" s="6" t="s">
        <v>25</v>
      </c>
      <c r="I778" s="6" t="s">
        <v>20</v>
      </c>
      <c r="J778" s="6" t="s">
        <v>21</v>
      </c>
      <c r="K778" s="20">
        <f>C778/D778</f>
        <v>650</v>
      </c>
      <c r="L778" s="11">
        <f>PMT(F778/100/12, 300, -(C778 *
(1 - G778/100)))</f>
        <v>1423.0240067351979</v>
      </c>
      <c r="M778" s="11">
        <f t="shared" si="60"/>
        <v>192907.20202055937</v>
      </c>
      <c r="N778" s="11">
        <f t="shared" si="61"/>
        <v>426907.20202055934</v>
      </c>
      <c r="O778">
        <f t="shared" si="62"/>
        <v>234000</v>
      </c>
      <c r="P778">
        <v>160.30046153846155</v>
      </c>
      <c r="R778" t="str">
        <f t="shared" si="63"/>
        <v>1</v>
      </c>
      <c r="S778">
        <f t="shared" si="64"/>
        <v>160.30512820512823</v>
      </c>
    </row>
    <row r="779" spans="1:19">
      <c r="A779" s="6" t="s">
        <v>26</v>
      </c>
      <c r="B779" s="6" t="s">
        <v>23</v>
      </c>
      <c r="C779" s="6">
        <v>260000</v>
      </c>
      <c r="D779" s="6">
        <v>400</v>
      </c>
      <c r="E779" s="6">
        <v>2024</v>
      </c>
      <c r="F779" s="6">
        <v>5.5</v>
      </c>
      <c r="G779" s="6">
        <v>10</v>
      </c>
      <c r="H779" s="6" t="s">
        <v>25</v>
      </c>
      <c r="I779" s="6" t="s">
        <v>20</v>
      </c>
      <c r="J779" s="6" t="s">
        <v>21</v>
      </c>
      <c r="K779" s="20">
        <f>C779/D779</f>
        <v>650</v>
      </c>
      <c r="L779" s="11">
        <f>PMT(F779/100/12, 300, -(C779 *
(1 - G779/100)))</f>
        <v>1436.9647319386402</v>
      </c>
      <c r="M779" s="11">
        <f t="shared" si="60"/>
        <v>197089.419581592</v>
      </c>
      <c r="N779" s="11">
        <f t="shared" si="61"/>
        <v>431089.41958159197</v>
      </c>
      <c r="O779">
        <f t="shared" si="62"/>
        <v>234000</v>
      </c>
      <c r="P779">
        <v>160.30046153846155</v>
      </c>
      <c r="R779" t="str">
        <f t="shared" si="63"/>
        <v>1</v>
      </c>
      <c r="S779">
        <f t="shared" si="64"/>
        <v>160.30512820512823</v>
      </c>
    </row>
    <row r="780" spans="1:19">
      <c r="A780" s="4" t="s">
        <v>10</v>
      </c>
      <c r="B780" s="4" t="s">
        <v>11</v>
      </c>
      <c r="C780" s="4">
        <v>785000</v>
      </c>
      <c r="D780" s="4">
        <v>1200</v>
      </c>
      <c r="E780" s="4">
        <v>2023</v>
      </c>
      <c r="F780" s="4">
        <v>6.1</v>
      </c>
      <c r="G780" s="4" t="s">
        <v>12</v>
      </c>
      <c r="H780" s="4" t="s">
        <v>13</v>
      </c>
      <c r="I780" s="4" t="s">
        <v>14</v>
      </c>
      <c r="J780" s="4" t="s">
        <v>15</v>
      </c>
      <c r="K780" s="20">
        <f>C780/D780</f>
        <v>654.16666666666663</v>
      </c>
      <c r="L780" s="11">
        <f>PMT(F780/100/12, 300, -(C780 *
(1 - G780/100)))</f>
        <v>4186.8051081647518</v>
      </c>
      <c r="M780" s="11">
        <f t="shared" si="60"/>
        <v>612341.53244942543</v>
      </c>
      <c r="N780" s="11">
        <f t="shared" si="61"/>
        <v>1256041.5324494254</v>
      </c>
      <c r="O780">
        <f t="shared" si="62"/>
        <v>643700</v>
      </c>
      <c r="P780">
        <v>480.90045859872612</v>
      </c>
      <c r="R780" t="str">
        <f t="shared" si="63"/>
        <v>3</v>
      </c>
      <c r="S780">
        <f t="shared" si="64"/>
        <v>480.90509554140124</v>
      </c>
    </row>
    <row r="781" spans="1:19">
      <c r="A781" s="6" t="s">
        <v>32</v>
      </c>
      <c r="B781" s="6" t="s">
        <v>11</v>
      </c>
      <c r="C781" s="6">
        <v>490000</v>
      </c>
      <c r="D781" s="6">
        <v>740</v>
      </c>
      <c r="E781" s="6">
        <v>2024</v>
      </c>
      <c r="F781" s="6">
        <v>5.2</v>
      </c>
      <c r="G781" s="6" t="s">
        <v>38</v>
      </c>
      <c r="H781" s="6" t="s">
        <v>13</v>
      </c>
      <c r="I781" s="6" t="s">
        <v>14</v>
      </c>
      <c r="J781" s="6" t="s">
        <v>15</v>
      </c>
      <c r="K781" s="20">
        <f>C781/D781</f>
        <v>662.16216216216219</v>
      </c>
      <c r="L781" s="11">
        <f>PMT(F781/100/12, 300, -(C781 *
(1 - G781/100)))</f>
        <v>2279.0644036358231</v>
      </c>
      <c r="M781" s="11">
        <f t="shared" si="60"/>
        <v>301519.32109074685</v>
      </c>
      <c r="N781" s="11">
        <f t="shared" si="61"/>
        <v>683719.3210907469</v>
      </c>
      <c r="O781">
        <f t="shared" si="62"/>
        <v>382200</v>
      </c>
      <c r="P781">
        <v>296.90045306122448</v>
      </c>
      <c r="R781" t="str">
        <f t="shared" si="63"/>
        <v>3</v>
      </c>
      <c r="S781">
        <f t="shared" si="64"/>
        <v>296.90503401360542</v>
      </c>
    </row>
    <row r="782" spans="1:19">
      <c r="A782" s="6" t="s">
        <v>16</v>
      </c>
      <c r="B782" s="6" t="s">
        <v>27</v>
      </c>
      <c r="C782" s="6">
        <v>490000</v>
      </c>
      <c r="D782" s="6">
        <v>740</v>
      </c>
      <c r="E782" s="6">
        <v>2024</v>
      </c>
      <c r="F782" s="6">
        <v>5.3</v>
      </c>
      <c r="G782" s="6" t="s">
        <v>28</v>
      </c>
      <c r="H782" s="6" t="s">
        <v>13</v>
      </c>
      <c r="I782" s="6" t="s">
        <v>20</v>
      </c>
      <c r="J782" s="6" t="s">
        <v>29</v>
      </c>
      <c r="K782" s="20">
        <f>C782/D782</f>
        <v>662.16216216216219</v>
      </c>
      <c r="L782" s="11">
        <f>PMT(F782/100/12, 300, -(C782 *
(1 - G782/100)))</f>
        <v>2508.1679824067091</v>
      </c>
      <c r="M782" s="11">
        <f t="shared" si="60"/>
        <v>335950.39472201263</v>
      </c>
      <c r="N782" s="11">
        <f t="shared" si="61"/>
        <v>752450.39472201257</v>
      </c>
      <c r="O782">
        <f t="shared" si="62"/>
        <v>416500</v>
      </c>
      <c r="P782">
        <v>296.90045306122448</v>
      </c>
      <c r="R782" t="str">
        <f t="shared" si="63"/>
        <v>3</v>
      </c>
      <c r="S782">
        <f t="shared" si="64"/>
        <v>296.90503401360542</v>
      </c>
    </row>
    <row r="783" spans="1:19">
      <c r="A783" s="4" t="s">
        <v>10</v>
      </c>
      <c r="B783" s="4" t="s">
        <v>17</v>
      </c>
      <c r="C783" s="4">
        <v>500000</v>
      </c>
      <c r="D783" s="4">
        <v>740</v>
      </c>
      <c r="E783" s="4">
        <v>2023</v>
      </c>
      <c r="F783" s="4">
        <v>6</v>
      </c>
      <c r="G783" s="4" t="s">
        <v>24</v>
      </c>
      <c r="H783" s="4" t="s">
        <v>19</v>
      </c>
      <c r="I783" s="4" t="s">
        <v>20</v>
      </c>
      <c r="J783" s="4" t="s">
        <v>21</v>
      </c>
      <c r="K783" s="20">
        <f>C783/D783</f>
        <v>675.67567567567562</v>
      </c>
      <c r="L783" s="11">
        <f>PMT(F783/100/12, 300, -(C783 *
(1 - G783/100)))</f>
        <v>2899.3563066847887</v>
      </c>
      <c r="M783" s="11">
        <f t="shared" si="60"/>
        <v>419806.89200543659</v>
      </c>
      <c r="N783" s="11">
        <f t="shared" si="61"/>
        <v>869806.89200543659</v>
      </c>
      <c r="O783">
        <f t="shared" si="62"/>
        <v>450000</v>
      </c>
      <c r="P783">
        <v>296.60044400000004</v>
      </c>
      <c r="R783" t="str">
        <f t="shared" si="63"/>
        <v>2</v>
      </c>
      <c r="S783">
        <f t="shared" si="64"/>
        <v>296.60493333333335</v>
      </c>
    </row>
    <row r="784" spans="1:19">
      <c r="A784" s="6" t="s">
        <v>32</v>
      </c>
      <c r="B784" s="6" t="s">
        <v>11</v>
      </c>
      <c r="C784" s="6">
        <v>500000</v>
      </c>
      <c r="D784" s="6">
        <v>740</v>
      </c>
      <c r="E784" s="6">
        <v>2024</v>
      </c>
      <c r="F784" s="6">
        <v>5.2</v>
      </c>
      <c r="G784" s="6" t="s">
        <v>41</v>
      </c>
      <c r="H784" s="6" t="s">
        <v>13</v>
      </c>
      <c r="I784" s="6" t="s">
        <v>14</v>
      </c>
      <c r="J784" s="6" t="s">
        <v>15</v>
      </c>
      <c r="K784" s="20">
        <f>C784/D784</f>
        <v>675.67567567567562</v>
      </c>
      <c r="L784" s="11">
        <f>PMT(F784/100/12, 300, -(C784 *
(1 - G784/100)))</f>
        <v>2385.2060739255085</v>
      </c>
      <c r="M784" s="11">
        <f t="shared" si="60"/>
        <v>315561.82217765239</v>
      </c>
      <c r="N784" s="11">
        <f t="shared" si="61"/>
        <v>715561.82217765239</v>
      </c>
      <c r="O784">
        <f t="shared" si="62"/>
        <v>400000</v>
      </c>
      <c r="P784">
        <v>296.90044399999999</v>
      </c>
      <c r="R784" t="str">
        <f t="shared" si="63"/>
        <v>3</v>
      </c>
      <c r="S784">
        <f t="shared" si="64"/>
        <v>296.9049333333333</v>
      </c>
    </row>
    <row r="785" spans="1:19">
      <c r="A785" s="4" t="s">
        <v>10</v>
      </c>
      <c r="B785" s="4" t="s">
        <v>17</v>
      </c>
      <c r="C785" s="4">
        <v>520000</v>
      </c>
      <c r="D785" s="4">
        <v>740</v>
      </c>
      <c r="E785" s="4">
        <v>2023</v>
      </c>
      <c r="F785" s="4">
        <v>6</v>
      </c>
      <c r="G785" s="4" t="s">
        <v>24</v>
      </c>
      <c r="H785" s="4" t="s">
        <v>19</v>
      </c>
      <c r="I785" s="4" t="s">
        <v>20</v>
      </c>
      <c r="J785" s="4" t="s">
        <v>21</v>
      </c>
      <c r="K785" s="20">
        <f>C785/D785</f>
        <v>702.70270270270271</v>
      </c>
      <c r="L785" s="11">
        <f>PMT(F785/100/12, 300, -(C785 *
(1 - G785/100)))</f>
        <v>3015.3305589521801</v>
      </c>
      <c r="M785" s="11">
        <f t="shared" si="60"/>
        <v>436599.16768565407</v>
      </c>
      <c r="N785" s="11">
        <f t="shared" si="61"/>
        <v>904599.16768565401</v>
      </c>
      <c r="O785">
        <f t="shared" si="62"/>
        <v>468000</v>
      </c>
      <c r="P785">
        <v>296.60042692307695</v>
      </c>
      <c r="R785" t="str">
        <f t="shared" si="63"/>
        <v>2</v>
      </c>
      <c r="S785">
        <f t="shared" si="64"/>
        <v>296.60474358974363</v>
      </c>
    </row>
    <row r="786" spans="1:19">
      <c r="A786" s="6" t="s">
        <v>26</v>
      </c>
      <c r="B786" s="6" t="s">
        <v>23</v>
      </c>
      <c r="C786" s="6">
        <v>255000</v>
      </c>
      <c r="D786" s="6">
        <v>350</v>
      </c>
      <c r="E786" s="6">
        <v>2024</v>
      </c>
      <c r="F786" s="6">
        <v>5.5</v>
      </c>
      <c r="G786" s="6">
        <v>10</v>
      </c>
      <c r="H786" s="6" t="s">
        <v>25</v>
      </c>
      <c r="I786" s="6" t="s">
        <v>20</v>
      </c>
      <c r="J786" s="6" t="s">
        <v>21</v>
      </c>
      <c r="K786" s="20">
        <f>C786/D786</f>
        <v>728.57142857142856</v>
      </c>
      <c r="L786" s="11">
        <f>PMT(F786/100/12, 300, -(C786 *
(1 - G786/100)))</f>
        <v>1409.3307947859744</v>
      </c>
      <c r="M786" s="11">
        <f t="shared" si="60"/>
        <v>193299.2384357923</v>
      </c>
      <c r="N786" s="11">
        <f t="shared" si="61"/>
        <v>422799.23843579227</v>
      </c>
      <c r="O786">
        <f t="shared" si="62"/>
        <v>229500</v>
      </c>
      <c r="P786">
        <v>140.3004117647059</v>
      </c>
      <c r="R786" t="str">
        <f t="shared" si="63"/>
        <v>1</v>
      </c>
      <c r="S786">
        <f t="shared" si="64"/>
        <v>140.30457516339871</v>
      </c>
    </row>
    <row r="787" spans="1:19">
      <c r="A787" s="4" t="s">
        <v>10</v>
      </c>
      <c r="B787" s="4" t="s">
        <v>23</v>
      </c>
      <c r="C787" s="4">
        <v>600000</v>
      </c>
      <c r="D787" s="4">
        <v>740</v>
      </c>
      <c r="E787" s="4">
        <v>2024</v>
      </c>
      <c r="F787" s="4">
        <v>5.0999999999999996</v>
      </c>
      <c r="G787" s="4" t="s">
        <v>28</v>
      </c>
      <c r="H787" s="4" t="s">
        <v>13</v>
      </c>
      <c r="I787" s="4" t="s">
        <v>20</v>
      </c>
      <c r="J787" s="4" t="s">
        <v>29</v>
      </c>
      <c r="K787" s="20">
        <f>C787/D787</f>
        <v>810.81081081081084</v>
      </c>
      <c r="L787" s="11">
        <f>PMT(F787/100/12, 300, -(C787 *
(1 - G787/100)))</f>
        <v>3011.198465759725</v>
      </c>
      <c r="M787" s="11">
        <f t="shared" si="60"/>
        <v>393359.53972791746</v>
      </c>
      <c r="N787" s="11">
        <f t="shared" si="61"/>
        <v>903359.53972791741</v>
      </c>
      <c r="O787">
        <f t="shared" si="62"/>
        <v>510000</v>
      </c>
      <c r="P787">
        <v>296.90036999999995</v>
      </c>
      <c r="R787" t="str">
        <f t="shared" si="63"/>
        <v>3</v>
      </c>
      <c r="S787">
        <f t="shared" si="64"/>
        <v>296.90411111111109</v>
      </c>
    </row>
    <row r="788" spans="1:19">
      <c r="A788" s="6" t="s">
        <v>10</v>
      </c>
      <c r="B788" s="6" t="s">
        <v>23</v>
      </c>
      <c r="C788" s="6">
        <v>600000</v>
      </c>
      <c r="D788" s="6">
        <v>740</v>
      </c>
      <c r="E788" s="6">
        <v>2023</v>
      </c>
      <c r="F788" s="6">
        <v>6.1</v>
      </c>
      <c r="G788" s="6" t="s">
        <v>28</v>
      </c>
      <c r="H788" s="6" t="s">
        <v>13</v>
      </c>
      <c r="I788" s="6" t="s">
        <v>20</v>
      </c>
      <c r="J788" s="6" t="s">
        <v>29</v>
      </c>
      <c r="K788" s="20">
        <f>C788/D788</f>
        <v>810.81081081081084</v>
      </c>
      <c r="L788" s="11">
        <f>PMT(F788/100/12, 300, -(C788 *
(1 - G788/100)))</f>
        <v>3317.1828571757396</v>
      </c>
      <c r="M788" s="11">
        <f t="shared" si="60"/>
        <v>485154.8571527219</v>
      </c>
      <c r="N788" s="11">
        <f t="shared" si="61"/>
        <v>995154.85715272184</v>
      </c>
      <c r="O788">
        <f t="shared" si="62"/>
        <v>510000</v>
      </c>
      <c r="P788">
        <v>296.90036999999995</v>
      </c>
      <c r="R788" t="str">
        <f t="shared" si="63"/>
        <v>3</v>
      </c>
      <c r="S788">
        <f t="shared" si="64"/>
        <v>296.90411111111109</v>
      </c>
    </row>
    <row r="789" spans="1:19">
      <c r="A789" s="4" t="s">
        <v>10</v>
      </c>
      <c r="B789" s="4" t="s">
        <v>23</v>
      </c>
      <c r="C789" s="4">
        <v>610000</v>
      </c>
      <c r="D789" s="4">
        <v>740</v>
      </c>
      <c r="E789" s="4">
        <v>2024</v>
      </c>
      <c r="F789" s="4">
        <v>5.0999999999999996</v>
      </c>
      <c r="G789" s="4" t="s">
        <v>28</v>
      </c>
      <c r="H789" s="4" t="s">
        <v>13</v>
      </c>
      <c r="I789" s="4" t="s">
        <v>20</v>
      </c>
      <c r="J789" s="4" t="s">
        <v>29</v>
      </c>
      <c r="K789" s="20">
        <f>C789/D789</f>
        <v>824.32432432432438</v>
      </c>
      <c r="L789" s="11">
        <f>PMT(F789/100/12, 300, -(C789 *
(1 - G789/100)))</f>
        <v>3061.3851068557206</v>
      </c>
      <c r="M789" s="11">
        <f t="shared" si="60"/>
        <v>399915.5320567161</v>
      </c>
      <c r="N789" s="11">
        <f t="shared" si="61"/>
        <v>918415.53205671604</v>
      </c>
      <c r="O789">
        <f t="shared" si="62"/>
        <v>518500</v>
      </c>
      <c r="P789">
        <v>296.9003639344262</v>
      </c>
      <c r="R789" t="str">
        <f t="shared" si="63"/>
        <v>3</v>
      </c>
      <c r="S789">
        <f t="shared" si="64"/>
        <v>296.90404371584697</v>
      </c>
    </row>
    <row r="790" spans="1:19">
      <c r="A790" s="6" t="s">
        <v>16</v>
      </c>
      <c r="B790" s="6" t="s">
        <v>11</v>
      </c>
      <c r="C790" s="6">
        <v>620000</v>
      </c>
      <c r="D790" s="6">
        <v>740</v>
      </c>
      <c r="E790" s="6">
        <v>2024</v>
      </c>
      <c r="F790" s="6">
        <v>5.3</v>
      </c>
      <c r="G790" s="6" t="s">
        <v>38</v>
      </c>
      <c r="H790" s="6" t="s">
        <v>43</v>
      </c>
      <c r="I790" s="6" t="s">
        <v>14</v>
      </c>
      <c r="J790" s="6" t="s">
        <v>15</v>
      </c>
      <c r="K790" s="20">
        <f>C790/D790</f>
        <v>837.83783783783781</v>
      </c>
      <c r="L790" s="11">
        <f>PMT(F790/100/12, 300, -(C790 *
(1 - G790/100)))</f>
        <v>2912.2449850945604</v>
      </c>
      <c r="M790" s="11">
        <f t="shared" si="60"/>
        <v>390073.4955283681</v>
      </c>
      <c r="N790" s="11">
        <f t="shared" si="61"/>
        <v>873673.49552836805</v>
      </c>
      <c r="O790">
        <f t="shared" si="62"/>
        <v>483600</v>
      </c>
      <c r="P790">
        <v>297.20035806451614</v>
      </c>
      <c r="R790" t="str">
        <f t="shared" si="63"/>
        <v>4</v>
      </c>
      <c r="S790">
        <f t="shared" si="64"/>
        <v>297.20397849462364</v>
      </c>
    </row>
    <row r="791" spans="1:19">
      <c r="A791" s="4" t="s">
        <v>16</v>
      </c>
      <c r="B791" s="4" t="s">
        <v>11</v>
      </c>
      <c r="C791" s="4">
        <v>620000</v>
      </c>
      <c r="D791" s="4">
        <v>740</v>
      </c>
      <c r="E791" s="4">
        <v>2023</v>
      </c>
      <c r="F791" s="4">
        <v>6</v>
      </c>
      <c r="G791" s="4" t="s">
        <v>38</v>
      </c>
      <c r="H791" s="4" t="s">
        <v>43</v>
      </c>
      <c r="I791" s="4" t="s">
        <v>14</v>
      </c>
      <c r="J791" s="4" t="s">
        <v>15</v>
      </c>
      <c r="K791" s="20">
        <f>C791/D791</f>
        <v>837.83783783783781</v>
      </c>
      <c r="L791" s="11">
        <f>PMT(F791/100/12, 300, -(C791 *
(1 - G791/100)))</f>
        <v>3115.8415775839194</v>
      </c>
      <c r="M791" s="11">
        <f t="shared" si="60"/>
        <v>451152.47327517584</v>
      </c>
      <c r="N791" s="11">
        <f t="shared" si="61"/>
        <v>934752.47327517578</v>
      </c>
      <c r="O791">
        <f t="shared" si="62"/>
        <v>483600</v>
      </c>
      <c r="P791">
        <v>297.20035806451614</v>
      </c>
      <c r="R791" t="str">
        <f t="shared" si="63"/>
        <v>4</v>
      </c>
      <c r="S791">
        <f t="shared" si="64"/>
        <v>297.20397849462364</v>
      </c>
    </row>
    <row r="792" spans="1:19">
      <c r="A792" s="6" t="s">
        <v>16</v>
      </c>
      <c r="B792" s="6" t="s">
        <v>11</v>
      </c>
      <c r="C792" s="6">
        <v>630000</v>
      </c>
      <c r="D792" s="6">
        <v>740</v>
      </c>
      <c r="E792" s="6">
        <v>2024</v>
      </c>
      <c r="F792" s="6">
        <v>5.3</v>
      </c>
      <c r="G792" s="6" t="s">
        <v>38</v>
      </c>
      <c r="H792" s="6" t="s">
        <v>43</v>
      </c>
      <c r="I792" s="6" t="s">
        <v>14</v>
      </c>
      <c r="J792" s="6" t="s">
        <v>15</v>
      </c>
      <c r="K792" s="20">
        <f>C792/D792</f>
        <v>851.35135135135135</v>
      </c>
      <c r="L792" s="11">
        <f>PMT(F792/100/12, 300, -(C792 *
(1 - G792/100)))</f>
        <v>2959.2166784025371</v>
      </c>
      <c r="M792" s="11">
        <f t="shared" si="60"/>
        <v>396365.00352076109</v>
      </c>
      <c r="N792" s="11">
        <f t="shared" si="61"/>
        <v>887765.00352076115</v>
      </c>
      <c r="O792">
        <f t="shared" si="62"/>
        <v>491400</v>
      </c>
      <c r="P792">
        <v>297.20035238095238</v>
      </c>
      <c r="R792" t="str">
        <f t="shared" si="63"/>
        <v>4</v>
      </c>
      <c r="S792">
        <f t="shared" si="64"/>
        <v>297.20391534391536</v>
      </c>
    </row>
    <row r="793" spans="1:19">
      <c r="A793" s="4" t="s">
        <v>16</v>
      </c>
      <c r="B793" s="4" t="s">
        <v>17</v>
      </c>
      <c r="C793" s="4">
        <v>315000</v>
      </c>
      <c r="D793" s="4">
        <v>350</v>
      </c>
      <c r="E793" s="4">
        <v>2024</v>
      </c>
      <c r="F793" s="4">
        <v>5.2</v>
      </c>
      <c r="G793" s="4">
        <v>12</v>
      </c>
      <c r="H793" s="4" t="s">
        <v>19</v>
      </c>
      <c r="I793" s="4" t="s">
        <v>20</v>
      </c>
      <c r="J793" s="4" t="s">
        <v>21</v>
      </c>
      <c r="K793" s="20">
        <f>C793/D793</f>
        <v>900</v>
      </c>
      <c r="L793" s="11">
        <f>PMT(F793/100/12, 300, -(C793 *
(1 - G793/100)))</f>
        <v>1652.9478092303773</v>
      </c>
      <c r="M793" s="11">
        <f t="shared" si="60"/>
        <v>218684.34276911308</v>
      </c>
      <c r="N793" s="11">
        <f t="shared" si="61"/>
        <v>495884.34276911308</v>
      </c>
      <c r="O793">
        <f t="shared" si="62"/>
        <v>277200</v>
      </c>
      <c r="P793">
        <v>140.60033333333334</v>
      </c>
      <c r="R793" t="str">
        <f t="shared" si="63"/>
        <v>2</v>
      </c>
      <c r="S793">
        <f t="shared" si="64"/>
        <v>140.6037037037037</v>
      </c>
    </row>
    <row r="794" spans="1:19">
      <c r="A794" s="4" t="s">
        <v>37</v>
      </c>
      <c r="B794" s="4" t="s">
        <v>11</v>
      </c>
      <c r="C794" s="4">
        <v>700000</v>
      </c>
      <c r="D794" s="4">
        <v>740</v>
      </c>
      <c r="E794" s="4">
        <v>2024</v>
      </c>
      <c r="F794" s="4">
        <v>5.0999999999999996</v>
      </c>
      <c r="G794" s="4" t="s">
        <v>38</v>
      </c>
      <c r="H794" s="4" t="s">
        <v>13</v>
      </c>
      <c r="I794" s="4" t="s">
        <v>14</v>
      </c>
      <c r="J794" s="4" t="s">
        <v>29</v>
      </c>
      <c r="K794" s="20">
        <f>C794/D794</f>
        <v>945.94594594594594</v>
      </c>
      <c r="L794" s="11">
        <f>PMT(F794/100/12, 300, -(C794 *
(1 - G794/100)))</f>
        <v>3223.7536515780585</v>
      </c>
      <c r="M794" s="11">
        <f t="shared" si="60"/>
        <v>421126.09547341755</v>
      </c>
      <c r="N794" s="11">
        <f t="shared" si="61"/>
        <v>967126.09547341755</v>
      </c>
      <c r="O794">
        <f t="shared" si="62"/>
        <v>546000</v>
      </c>
      <c r="P794">
        <v>296.90031714285715</v>
      </c>
      <c r="R794" t="str">
        <f t="shared" si="63"/>
        <v>3</v>
      </c>
      <c r="S794">
        <f t="shared" si="64"/>
        <v>296.90352380952379</v>
      </c>
    </row>
    <row r="795" spans="1:19">
      <c r="A795" s="6" t="s">
        <v>26</v>
      </c>
      <c r="B795" s="6" t="s">
        <v>23</v>
      </c>
      <c r="C795" s="6">
        <v>245000</v>
      </c>
      <c r="D795" s="6">
        <v>250</v>
      </c>
      <c r="E795" s="6">
        <v>2024</v>
      </c>
      <c r="F795" s="6">
        <v>5.5</v>
      </c>
      <c r="G795" s="6">
        <v>10</v>
      </c>
      <c r="H795" s="6" t="s">
        <v>25</v>
      </c>
      <c r="I795" s="6" t="s">
        <v>20</v>
      </c>
      <c r="J795" s="6" t="s">
        <v>21</v>
      </c>
      <c r="K795" s="20">
        <f>C795/D795</f>
        <v>980</v>
      </c>
      <c r="L795" s="11">
        <f>PMT(F795/100/12, 300, -(C795 *
(1 - G795/100)))</f>
        <v>1354.0629204806419</v>
      </c>
      <c r="M795" s="11">
        <f t="shared" si="60"/>
        <v>185718.87614419256</v>
      </c>
      <c r="N795" s="11">
        <f t="shared" si="61"/>
        <v>406218.87614419253</v>
      </c>
      <c r="O795">
        <f t="shared" si="62"/>
        <v>220500</v>
      </c>
      <c r="P795">
        <v>100.30030612244897</v>
      </c>
      <c r="R795" t="str">
        <f t="shared" si="63"/>
        <v>1</v>
      </c>
      <c r="S795">
        <f t="shared" si="64"/>
        <v>100.30340136054421</v>
      </c>
    </row>
    <row r="796" spans="1:19">
      <c r="A796" s="6" t="s">
        <v>16</v>
      </c>
      <c r="B796" s="6" t="s">
        <v>11</v>
      </c>
      <c r="C796" s="6">
        <v>590000</v>
      </c>
      <c r="D796" s="6">
        <v>600</v>
      </c>
      <c r="E796" s="6">
        <v>2024</v>
      </c>
      <c r="F796" s="6">
        <v>5.3</v>
      </c>
      <c r="G796" s="6" t="s">
        <v>38</v>
      </c>
      <c r="H796" s="6" t="s">
        <v>43</v>
      </c>
      <c r="I796" s="6" t="s">
        <v>14</v>
      </c>
      <c r="J796" s="6" t="s">
        <v>15</v>
      </c>
      <c r="K796" s="20">
        <f>C796/D796</f>
        <v>983.33333333333337</v>
      </c>
      <c r="L796" s="11">
        <f>PMT(F796/100/12, 300, -(C796 *
(1 - G796/100)))</f>
        <v>2771.3299051706299</v>
      </c>
      <c r="M796" s="11">
        <f t="shared" si="60"/>
        <v>371198.97155118891</v>
      </c>
      <c r="N796" s="11">
        <f t="shared" si="61"/>
        <v>831398.97155118897</v>
      </c>
      <c r="O796">
        <f t="shared" si="62"/>
        <v>460200</v>
      </c>
      <c r="P796">
        <v>241.20030508474576</v>
      </c>
      <c r="R796" t="str">
        <f t="shared" si="63"/>
        <v>4</v>
      </c>
      <c r="S796">
        <f t="shared" si="64"/>
        <v>241.20338983050846</v>
      </c>
    </row>
    <row r="797" spans="1:19">
      <c r="A797" s="6" t="s">
        <v>33</v>
      </c>
      <c r="B797" s="6" t="s">
        <v>11</v>
      </c>
      <c r="C797" s="6">
        <v>500000</v>
      </c>
      <c r="D797" s="6">
        <v>450</v>
      </c>
      <c r="E797" s="6">
        <v>2024</v>
      </c>
      <c r="F797" s="6">
        <v>5.0999999999999996</v>
      </c>
      <c r="G797" s="6" t="s">
        <v>41</v>
      </c>
      <c r="H797" s="6" t="s">
        <v>13</v>
      </c>
      <c r="I797" s="6" t="s">
        <v>14</v>
      </c>
      <c r="J797" s="6" t="s">
        <v>15</v>
      </c>
      <c r="K797" s="20">
        <f>C797/D797</f>
        <v>1111.1111111111111</v>
      </c>
      <c r="L797" s="11">
        <f>PMT(F797/100/12, 300, -(C797 *
(1 - G797/100)))</f>
        <v>2361.7242868703725</v>
      </c>
      <c r="M797" s="11">
        <f t="shared" si="60"/>
        <v>308517.28606111172</v>
      </c>
      <c r="N797" s="11">
        <f t="shared" si="61"/>
        <v>708517.28606111172</v>
      </c>
      <c r="O797">
        <f t="shared" si="62"/>
        <v>400000</v>
      </c>
      <c r="P797">
        <v>180.90027000000001</v>
      </c>
      <c r="R797" t="str">
        <f t="shared" si="63"/>
        <v>3</v>
      </c>
      <c r="S797">
        <f t="shared" si="64"/>
        <v>180.90299999999999</v>
      </c>
    </row>
    <row r="798" spans="1:19">
      <c r="A798" s="6" t="s">
        <v>32</v>
      </c>
      <c r="B798" s="6" t="s">
        <v>11</v>
      </c>
      <c r="C798" s="6">
        <v>460000</v>
      </c>
      <c r="D798" s="6">
        <v>400</v>
      </c>
      <c r="E798" s="6">
        <v>2024</v>
      </c>
      <c r="F798" s="6">
        <v>5.2</v>
      </c>
      <c r="G798" s="6" t="s">
        <v>41</v>
      </c>
      <c r="H798" s="6" t="s">
        <v>13</v>
      </c>
      <c r="I798" s="6" t="s">
        <v>14</v>
      </c>
      <c r="J798" s="6" t="s">
        <v>15</v>
      </c>
      <c r="K798" s="20">
        <f>C798/D798</f>
        <v>1150</v>
      </c>
      <c r="L798" s="11">
        <f>PMT(F798/100/12, 300, -(C798 *
(1 - G798/100)))</f>
        <v>2194.3895880114674</v>
      </c>
      <c r="M798" s="11">
        <f t="shared" si="60"/>
        <v>290316.87640344008</v>
      </c>
      <c r="N798" s="11">
        <f t="shared" si="61"/>
        <v>658316.87640344002</v>
      </c>
      <c r="O798">
        <f t="shared" si="62"/>
        <v>368000</v>
      </c>
      <c r="P798">
        <v>160.90026086956522</v>
      </c>
      <c r="R798" t="str">
        <f t="shared" si="63"/>
        <v>3</v>
      </c>
      <c r="S798">
        <f t="shared" si="64"/>
        <v>160.90289855072464</v>
      </c>
    </row>
    <row r="799" spans="1:19">
      <c r="A799" s="4" t="s">
        <v>30</v>
      </c>
      <c r="B799" s="4" t="s">
        <v>17</v>
      </c>
      <c r="C799" s="4">
        <v>230000</v>
      </c>
      <c r="D799" s="4">
        <v>150</v>
      </c>
      <c r="E799" s="4">
        <v>2024</v>
      </c>
      <c r="F799" s="4">
        <v>5.4</v>
      </c>
      <c r="G799" s="4">
        <v>8</v>
      </c>
      <c r="H799" s="4" t="s">
        <v>25</v>
      </c>
      <c r="I799" s="4" t="s">
        <v>20</v>
      </c>
      <c r="J799" s="4" t="s">
        <v>21</v>
      </c>
      <c r="K799" s="20">
        <f>C799/D799</f>
        <v>1533.3333333333333</v>
      </c>
      <c r="L799" s="11">
        <f>PMT(F799/100/12, 300, -(C799 *
(1 - G799/100)))</f>
        <v>1286.8029052357601</v>
      </c>
      <c r="M799" s="11">
        <f t="shared" si="60"/>
        <v>174440.87157072802</v>
      </c>
      <c r="N799" s="11">
        <f t="shared" si="61"/>
        <v>386040.87157072802</v>
      </c>
      <c r="O799">
        <f t="shared" si="62"/>
        <v>211600</v>
      </c>
      <c r="P799">
        <v>60.300195652173912</v>
      </c>
      <c r="R799" t="str">
        <f t="shared" si="63"/>
        <v>1</v>
      </c>
      <c r="S799">
        <f t="shared" si="64"/>
        <v>60.302173913043475</v>
      </c>
    </row>
    <row r="800" spans="1:19">
      <c r="A800" s="4" t="s">
        <v>10</v>
      </c>
      <c r="B800" s="4" t="s">
        <v>23</v>
      </c>
      <c r="C800" s="4">
        <v>575000</v>
      </c>
      <c r="D800" s="4">
        <v>300</v>
      </c>
      <c r="E800" s="4">
        <v>2024</v>
      </c>
      <c r="F800" s="4">
        <v>5.0999999999999996</v>
      </c>
      <c r="G800" s="4">
        <v>15</v>
      </c>
      <c r="H800" s="4" t="s">
        <v>13</v>
      </c>
      <c r="I800" s="4" t="s">
        <v>20</v>
      </c>
      <c r="J800" s="4" t="s">
        <v>29</v>
      </c>
      <c r="K800" s="20">
        <f>C800/D800</f>
        <v>1916.6666666666667</v>
      </c>
      <c r="L800" s="11">
        <f>PMT(F800/100/12, 300, -(C800 *
(1 - G800/100)))</f>
        <v>2885.7318630197365</v>
      </c>
      <c r="M800" s="11">
        <f t="shared" si="60"/>
        <v>376969.55890592095</v>
      </c>
      <c r="N800" s="11">
        <f t="shared" si="61"/>
        <v>865719.55890592095</v>
      </c>
      <c r="O800">
        <f t="shared" si="62"/>
        <v>488750</v>
      </c>
      <c r="P800">
        <v>120.90015652173913</v>
      </c>
      <c r="R800" t="str">
        <f t="shared" si="63"/>
        <v>3</v>
      </c>
      <c r="S800">
        <f t="shared" si="64"/>
        <v>120.90173913043479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6DBB8-B997-4E5E-A9F0-97E84CD1E648}">
  <dimension ref="A3:E13"/>
  <sheetViews>
    <sheetView workbookViewId="0">
      <selection activeCell="E3" sqref="E3"/>
    </sheetView>
  </sheetViews>
  <sheetFormatPr defaultRowHeight="15"/>
  <cols>
    <col min="1" max="1" width="14.5703125" customWidth="1"/>
    <col min="2" max="2" width="24.42578125" bestFit="1" customWidth="1"/>
  </cols>
  <sheetData>
    <row r="3" spans="1:5">
      <c r="A3" s="9" t="s">
        <v>0</v>
      </c>
      <c r="B3" t="s">
        <v>53</v>
      </c>
      <c r="E3">
        <f>(B6-B7)/B7</f>
        <v>1.7297450094710769</v>
      </c>
    </row>
    <row r="4" spans="1:5">
      <c r="A4" t="s">
        <v>30</v>
      </c>
      <c r="B4">
        <v>326625</v>
      </c>
    </row>
    <row r="5" spans="1:5">
      <c r="A5" t="s">
        <v>37</v>
      </c>
      <c r="B5">
        <v>448712.64367816091</v>
      </c>
    </row>
    <row r="6" spans="1:5">
      <c r="A6" t="s">
        <v>10</v>
      </c>
      <c r="B6">
        <v>653520</v>
      </c>
    </row>
    <row r="7" spans="1:5">
      <c r="A7" t="s">
        <v>35</v>
      </c>
      <c r="B7">
        <v>239406.97674418605</v>
      </c>
    </row>
    <row r="8" spans="1:5">
      <c r="A8" t="s">
        <v>22</v>
      </c>
      <c r="B8">
        <v>298952.38095238095</v>
      </c>
    </row>
    <row r="9" spans="1:5">
      <c r="A9" t="s">
        <v>16</v>
      </c>
      <c r="B9">
        <v>474319.58762886596</v>
      </c>
    </row>
    <row r="10" spans="1:5">
      <c r="A10" t="s">
        <v>33</v>
      </c>
      <c r="B10">
        <v>418697.67441860464</v>
      </c>
    </row>
    <row r="11" spans="1:5">
      <c r="A11" t="s">
        <v>32</v>
      </c>
      <c r="B11">
        <v>361305.8823529412</v>
      </c>
    </row>
    <row r="12" spans="1:5">
      <c r="A12" t="s">
        <v>26</v>
      </c>
      <c r="B12">
        <v>323627.90697674418</v>
      </c>
    </row>
    <row r="13" spans="1:5">
      <c r="A13" t="s">
        <v>54</v>
      </c>
      <c r="B13">
        <v>399742.17772215267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06772-F948-4FDC-A420-C8E4C1201228}">
  <dimension ref="A3:E28"/>
  <sheetViews>
    <sheetView workbookViewId="0">
      <selection activeCell="A3" sqref="A3:C8"/>
    </sheetView>
  </sheetViews>
  <sheetFormatPr defaultRowHeight="15"/>
  <cols>
    <col min="1" max="1" width="17.5703125" bestFit="1" customWidth="1"/>
    <col min="2" max="2" width="24.140625" bestFit="1" customWidth="1"/>
    <col min="3" max="3" width="20.85546875" bestFit="1" customWidth="1"/>
  </cols>
  <sheetData>
    <row r="3" spans="1:5">
      <c r="A3" s="9" t="s">
        <v>1</v>
      </c>
      <c r="B3" t="s">
        <v>55</v>
      </c>
      <c r="C3" t="s">
        <v>56</v>
      </c>
    </row>
    <row r="4" spans="1:5">
      <c r="A4" t="s">
        <v>11</v>
      </c>
      <c r="B4" s="10">
        <v>1608.3333333333333</v>
      </c>
      <c r="C4">
        <v>129502000</v>
      </c>
      <c r="E4">
        <f>C4/231</f>
        <v>560614.71861471864</v>
      </c>
    </row>
    <row r="5" spans="1:5">
      <c r="A5" t="s">
        <v>17</v>
      </c>
      <c r="B5" s="10">
        <v>2332.4884792626726</v>
      </c>
      <c r="C5">
        <v>62637000</v>
      </c>
    </row>
    <row r="6" spans="1:5">
      <c r="A6" t="s">
        <v>27</v>
      </c>
      <c r="B6" s="10">
        <v>1915.7272727272727</v>
      </c>
      <c r="C6">
        <v>62998000</v>
      </c>
    </row>
    <row r="7" spans="1:5">
      <c r="A7" t="s">
        <v>23</v>
      </c>
      <c r="B7" s="10">
        <v>1994.8387096774193</v>
      </c>
      <c r="C7">
        <v>64257000</v>
      </c>
    </row>
    <row r="8" spans="1:5">
      <c r="A8" t="s">
        <v>54</v>
      </c>
      <c r="B8" s="10">
        <v>1958.4605757196496</v>
      </c>
      <c r="C8">
        <v>319394000</v>
      </c>
    </row>
    <row r="23" spans="1:2">
      <c r="A23" s="9" t="s">
        <v>1</v>
      </c>
      <c r="B23" t="s">
        <v>53</v>
      </c>
    </row>
    <row r="24" spans="1:2">
      <c r="A24" t="s">
        <v>11</v>
      </c>
      <c r="B24">
        <v>560614.71861471864</v>
      </c>
    </row>
    <row r="25" spans="1:2">
      <c r="A25" t="s">
        <v>17</v>
      </c>
      <c r="B25">
        <v>288649.76958525344</v>
      </c>
    </row>
    <row r="26" spans="1:2">
      <c r="A26" t="s">
        <v>27</v>
      </c>
      <c r="B26">
        <v>381806.06060606061</v>
      </c>
    </row>
    <row r="27" spans="1:2">
      <c r="A27" t="s">
        <v>23</v>
      </c>
      <c r="B27">
        <v>345467.74193548388</v>
      </c>
    </row>
    <row r="28" spans="1:2">
      <c r="A28" t="s">
        <v>54</v>
      </c>
      <c r="B28">
        <v>399742.17772215267</v>
      </c>
    </row>
  </sheetData>
  <pageMargins left="0.7" right="0.7" top="0.75" bottom="0.75" header="0.3" footer="0.3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D2E27-2B85-4775-94F9-A2C778CF77A1}">
  <dimension ref="A3:E16"/>
  <sheetViews>
    <sheetView topLeftCell="A3" workbookViewId="0">
      <selection activeCell="E6" sqref="E6"/>
    </sheetView>
  </sheetViews>
  <sheetFormatPr defaultRowHeight="15"/>
  <cols>
    <col min="1" max="1" width="24.42578125" bestFit="1" customWidth="1"/>
    <col min="2" max="2" width="14.85546875" bestFit="1" customWidth="1"/>
    <col min="3" max="8" width="12.5703125" bestFit="1" customWidth="1"/>
    <col min="9" max="9" width="14.7109375" bestFit="1" customWidth="1"/>
    <col min="10" max="11" width="12.5703125" bestFit="1" customWidth="1"/>
  </cols>
  <sheetData>
    <row r="3" spans="1:5">
      <c r="A3" s="9" t="s">
        <v>53</v>
      </c>
      <c r="B3" s="9" t="s">
        <v>4</v>
      </c>
    </row>
    <row r="4" spans="1:5">
      <c r="A4" s="9" t="s">
        <v>0</v>
      </c>
      <c r="B4">
        <v>2023</v>
      </c>
      <c r="C4">
        <v>2024</v>
      </c>
      <c r="D4" t="s">
        <v>54</v>
      </c>
      <c r="E4" s="17" t="s">
        <v>57</v>
      </c>
    </row>
    <row r="5" spans="1:5">
      <c r="A5" t="s">
        <v>30</v>
      </c>
      <c r="B5" s="10">
        <v>317478.26086956525</v>
      </c>
      <c r="C5" s="10">
        <v>329861.53846153844</v>
      </c>
      <c r="D5">
        <v>326625</v>
      </c>
      <c r="E5" s="14">
        <f>(C5-B5)/B5</f>
        <v>3.9005119777510741E-2</v>
      </c>
    </row>
    <row r="6" spans="1:5">
      <c r="A6" t="s">
        <v>37</v>
      </c>
      <c r="B6" s="10">
        <v>427736.84210526315</v>
      </c>
      <c r="C6" s="10">
        <v>454573.5294117647</v>
      </c>
      <c r="D6">
        <v>448712.64367816091</v>
      </c>
      <c r="E6" s="14">
        <f t="shared" ref="E6:E13" si="0">(C6-B6)/B6</f>
        <v>6.2741117118682119E-2</v>
      </c>
    </row>
    <row r="7" spans="1:5">
      <c r="A7" t="s">
        <v>10</v>
      </c>
      <c r="B7" s="10">
        <v>635090.90909090906</v>
      </c>
      <c r="C7" s="10">
        <v>658717.94871794875</v>
      </c>
      <c r="D7">
        <v>653520</v>
      </c>
      <c r="E7" s="14">
        <f t="shared" si="0"/>
        <v>3.7202610348903035E-2</v>
      </c>
    </row>
    <row r="8" spans="1:5">
      <c r="A8" t="s">
        <v>35</v>
      </c>
      <c r="B8" s="10">
        <v>251344.8275862069</v>
      </c>
      <c r="C8" s="10">
        <v>233333.33333333334</v>
      </c>
      <c r="D8">
        <v>239406.97674418605</v>
      </c>
      <c r="E8" s="14">
        <f t="shared" si="0"/>
        <v>-7.1660492980289897E-2</v>
      </c>
    </row>
    <row r="9" spans="1:5">
      <c r="A9" t="s">
        <v>22</v>
      </c>
      <c r="B9" s="10">
        <v>273173.91304347827</v>
      </c>
      <c r="C9" s="10">
        <v>308672.13114754099</v>
      </c>
      <c r="D9">
        <v>298952.38095238095</v>
      </c>
      <c r="E9" s="14">
        <f t="shared" si="0"/>
        <v>0.12994732076928894</v>
      </c>
    </row>
    <row r="10" spans="1:5">
      <c r="A10" t="s">
        <v>16</v>
      </c>
      <c r="B10" s="10">
        <v>434130.4347826087</v>
      </c>
      <c r="C10" s="10">
        <v>486810.81081081083</v>
      </c>
      <c r="D10">
        <v>474319.58762886596</v>
      </c>
      <c r="E10" s="14">
        <f t="shared" si="0"/>
        <v>0.12134688519265387</v>
      </c>
    </row>
    <row r="11" spans="1:5">
      <c r="A11" t="s">
        <v>33</v>
      </c>
      <c r="B11" s="10">
        <v>419000</v>
      </c>
      <c r="C11" s="10">
        <v>418623.18840579712</v>
      </c>
      <c r="D11">
        <v>418697.67441860464</v>
      </c>
      <c r="E11" s="14">
        <f t="shared" si="0"/>
        <v>-8.9931168067513526E-4</v>
      </c>
    </row>
    <row r="12" spans="1:5">
      <c r="A12" t="s">
        <v>32</v>
      </c>
      <c r="B12" s="10">
        <v>343074.0740740741</v>
      </c>
      <c r="C12" s="10">
        <v>369793.10344827588</v>
      </c>
      <c r="D12">
        <v>361305.8823529412</v>
      </c>
      <c r="E12" s="14">
        <f t="shared" si="0"/>
        <v>7.7881225640013818E-2</v>
      </c>
    </row>
    <row r="13" spans="1:5">
      <c r="A13" t="s">
        <v>26</v>
      </c>
      <c r="B13" s="10">
        <v>306142.85714285716</v>
      </c>
      <c r="C13" s="10">
        <v>332068.96551724139</v>
      </c>
      <c r="D13">
        <v>323627.90697674418</v>
      </c>
      <c r="E13" s="14">
        <f t="shared" si="0"/>
        <v>8.468630826910388E-2</v>
      </c>
    </row>
    <row r="14" spans="1:5">
      <c r="A14" t="s">
        <v>54</v>
      </c>
      <c r="B14" s="18">
        <v>369270.14218009479</v>
      </c>
      <c r="C14" s="18">
        <v>410676.87074829935</v>
      </c>
      <c r="D14">
        <v>399742.17772215267</v>
      </c>
    </row>
    <row r="16" spans="1:5">
      <c r="C16" s="19">
        <f>(C14-B14)/B14</f>
        <v>0.11213126608002416</v>
      </c>
      <c r="E16">
        <f>(C7-C8)/C7</f>
        <v>0.64577656675749318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2C1DF-9B4A-4063-B012-F6A79DD1C718}">
  <dimension ref="A3:D16"/>
  <sheetViews>
    <sheetView topLeftCell="A3" workbookViewId="0">
      <selection activeCell="D13" sqref="D13"/>
    </sheetView>
  </sheetViews>
  <sheetFormatPr defaultRowHeight="15"/>
  <cols>
    <col min="1" max="1" width="24.42578125" bestFit="1" customWidth="1"/>
    <col min="2" max="4" width="12.5703125" bestFit="1" customWidth="1"/>
  </cols>
  <sheetData>
    <row r="3" spans="1:4">
      <c r="A3" s="9" t="s">
        <v>53</v>
      </c>
      <c r="B3" s="9" t="s">
        <v>4</v>
      </c>
    </row>
    <row r="4" spans="1:4">
      <c r="A4" s="9" t="s">
        <v>1</v>
      </c>
      <c r="B4">
        <v>2023</v>
      </c>
      <c r="C4">
        <v>2024</v>
      </c>
      <c r="D4" t="s">
        <v>54</v>
      </c>
    </row>
    <row r="5" spans="1:4">
      <c r="A5" t="s">
        <v>11</v>
      </c>
      <c r="B5" s="10">
        <v>521280.70175438595</v>
      </c>
      <c r="C5">
        <v>573500</v>
      </c>
      <c r="D5">
        <v>560614.71861471864</v>
      </c>
    </row>
    <row r="6" spans="1:4">
      <c r="A6" t="s">
        <v>17</v>
      </c>
      <c r="B6" s="10">
        <v>270920.63492063491</v>
      </c>
      <c r="C6" s="10">
        <v>295902.59740259743</v>
      </c>
      <c r="D6">
        <v>288649.76958525344</v>
      </c>
    </row>
    <row r="7" spans="1:4">
      <c r="A7" t="s">
        <v>27</v>
      </c>
      <c r="B7" s="10">
        <v>364378.3783783784</v>
      </c>
      <c r="C7" s="10">
        <v>386843.75</v>
      </c>
      <c r="D7">
        <v>381806.06060606061</v>
      </c>
    </row>
    <row r="8" spans="1:4">
      <c r="A8" t="s">
        <v>23</v>
      </c>
      <c r="B8" s="10">
        <v>326907.40740740742</v>
      </c>
      <c r="C8" s="10">
        <v>353060.60606060608</v>
      </c>
      <c r="D8">
        <v>345467.74193548388</v>
      </c>
    </row>
    <row r="9" spans="1:4">
      <c r="A9" t="s">
        <v>54</v>
      </c>
      <c r="B9" s="10">
        <v>369270.14218009479</v>
      </c>
      <c r="C9" s="10">
        <v>410676.87074829935</v>
      </c>
      <c r="D9">
        <v>399742.17772215267</v>
      </c>
    </row>
    <row r="12" spans="1:4">
      <c r="A12" s="21"/>
      <c r="B12" s="21">
        <v>2023</v>
      </c>
      <c r="C12" s="21">
        <v>2024</v>
      </c>
    </row>
    <row r="13" spans="1:4">
      <c r="A13" t="s">
        <v>11</v>
      </c>
      <c r="B13" s="10">
        <v>521280.70175438595</v>
      </c>
      <c r="C13">
        <v>573500</v>
      </c>
      <c r="D13" s="14">
        <f>(C13-B13)/B13</f>
        <v>0.10017500757244306</v>
      </c>
    </row>
    <row r="14" spans="1:4">
      <c r="A14" t="s">
        <v>17</v>
      </c>
      <c r="B14" s="10">
        <v>270920.63492063491</v>
      </c>
      <c r="C14" s="10">
        <v>295902.59740259743</v>
      </c>
      <c r="D14" s="14">
        <f t="shared" ref="D14:D16" si="0">(C14-B14)/B14</f>
        <v>9.2211368430023352E-2</v>
      </c>
    </row>
    <row r="15" spans="1:4">
      <c r="A15" t="s">
        <v>27</v>
      </c>
      <c r="B15" s="10">
        <v>364378.3783783784</v>
      </c>
      <c r="C15" s="10">
        <v>386843.75</v>
      </c>
      <c r="D15" s="14">
        <f t="shared" si="0"/>
        <v>6.1653964545319614E-2</v>
      </c>
    </row>
    <row r="16" spans="1:4">
      <c r="A16" t="s">
        <v>23</v>
      </c>
      <c r="B16" s="10">
        <v>326907.40740740742</v>
      </c>
      <c r="C16" s="10">
        <v>353060.60606060608</v>
      </c>
      <c r="D16" s="14">
        <f t="shared" si="0"/>
        <v>8.0001853921301061E-2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72882-3F16-44AE-ABBB-41ADBEEBB6A5}">
  <dimension ref="A1"/>
  <sheetViews>
    <sheetView workbookViewId="0">
      <selection activeCell="A20" sqref="A20"/>
    </sheetView>
  </sheetViews>
  <sheetFormatPr defaultRowHeight="1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682C9-AD2C-4B2E-92BB-3A2B52A94C2C}">
  <dimension ref="A3:B13"/>
  <sheetViews>
    <sheetView workbookViewId="0">
      <selection activeCell="A3" sqref="A3"/>
    </sheetView>
  </sheetViews>
  <sheetFormatPr defaultRowHeight="15"/>
  <cols>
    <col min="1" max="1" width="14.5703125" bestFit="1" customWidth="1"/>
    <col min="2" max="2" width="29.140625" bestFit="1" customWidth="1"/>
  </cols>
  <sheetData>
    <row r="3" spans="1:2">
      <c r="A3" s="9" t="s">
        <v>0</v>
      </c>
      <c r="B3" t="s">
        <v>58</v>
      </c>
    </row>
    <row r="4" spans="1:2">
      <c r="A4" t="s">
        <v>30</v>
      </c>
      <c r="B4" s="20">
        <v>225.10602221627008</v>
      </c>
    </row>
    <row r="5" spans="1:2">
      <c r="A5" t="s">
        <v>37</v>
      </c>
      <c r="B5" s="20">
        <v>261.68975222331062</v>
      </c>
    </row>
    <row r="6" spans="1:2">
      <c r="A6" t="s">
        <v>10</v>
      </c>
      <c r="B6" s="20">
        <v>359.72055559503445</v>
      </c>
    </row>
    <row r="7" spans="1:2">
      <c r="A7" t="s">
        <v>35</v>
      </c>
      <c r="B7" s="20">
        <v>144.30476188399109</v>
      </c>
    </row>
    <row r="8" spans="1:2">
      <c r="A8" t="s">
        <v>22</v>
      </c>
      <c r="B8" s="20">
        <v>172.01106527961176</v>
      </c>
    </row>
    <row r="9" spans="1:2">
      <c r="A9" t="s">
        <v>16</v>
      </c>
      <c r="B9" s="20">
        <v>277.63699425733898</v>
      </c>
    </row>
    <row r="10" spans="1:2">
      <c r="A10" t="s">
        <v>33</v>
      </c>
      <c r="B10" s="20">
        <v>268.27737555317395</v>
      </c>
    </row>
    <row r="11" spans="1:2">
      <c r="A11" t="s">
        <v>32</v>
      </c>
      <c r="B11" s="20">
        <v>235.65145107732008</v>
      </c>
    </row>
    <row r="12" spans="1:2">
      <c r="A12" t="s">
        <v>26</v>
      </c>
      <c r="B12" s="20">
        <v>241.03384427590544</v>
      </c>
    </row>
    <row r="13" spans="1:2">
      <c r="A13" t="s">
        <v>54</v>
      </c>
      <c r="B13" s="20">
        <v>245.51872297034924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9C0C4-0358-4C65-9D78-46092D2D8315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0F6E5-187E-4CA6-951C-869D15CABADD}">
  <dimension ref="A3:B17"/>
  <sheetViews>
    <sheetView topLeftCell="A2" workbookViewId="0">
      <selection activeCell="B17" sqref="B17"/>
    </sheetView>
  </sheetViews>
  <sheetFormatPr defaultRowHeight="15"/>
  <cols>
    <col min="1" max="1" width="14.5703125" bestFit="1" customWidth="1"/>
    <col min="2" max="2" width="34.140625" bestFit="1" customWidth="1"/>
  </cols>
  <sheetData>
    <row r="3" spans="1:2">
      <c r="A3" s="9" t="s">
        <v>0</v>
      </c>
      <c r="B3" t="s">
        <v>59</v>
      </c>
    </row>
    <row r="4" spans="1:2">
      <c r="A4" t="s">
        <v>30</v>
      </c>
      <c r="B4" s="11">
        <v>1743.8924945381043</v>
      </c>
    </row>
    <row r="5" spans="1:2">
      <c r="A5" t="s">
        <v>37</v>
      </c>
      <c r="B5" s="11">
        <v>2272.3082011439428</v>
      </c>
    </row>
    <row r="6" spans="1:2">
      <c r="A6" t="s">
        <v>10</v>
      </c>
      <c r="B6" s="11">
        <v>3280.8675049982312</v>
      </c>
    </row>
    <row r="7" spans="1:2">
      <c r="A7" t="s">
        <v>35</v>
      </c>
      <c r="B7" s="11">
        <v>1363.5603728057565</v>
      </c>
    </row>
    <row r="8" spans="1:2">
      <c r="A8" t="s">
        <v>22</v>
      </c>
      <c r="B8" s="11">
        <v>1646.06010834669</v>
      </c>
    </row>
    <row r="9" spans="1:2">
      <c r="A9" t="s">
        <v>16</v>
      </c>
      <c r="B9" s="11">
        <v>2402.5527865348336</v>
      </c>
    </row>
    <row r="10" spans="1:2">
      <c r="A10" t="s">
        <v>33</v>
      </c>
      <c r="B10" s="11">
        <v>2126.4191060658063</v>
      </c>
    </row>
    <row r="11" spans="1:2">
      <c r="A11" t="s">
        <v>32</v>
      </c>
      <c r="B11" s="11">
        <v>1901.3800950464617</v>
      </c>
    </row>
    <row r="12" spans="1:2">
      <c r="A12" t="s">
        <v>26</v>
      </c>
      <c r="B12" s="11">
        <v>1728.4580181329402</v>
      </c>
    </row>
    <row r="13" spans="1:2">
      <c r="A13" t="s">
        <v>54</v>
      </c>
      <c r="B13" s="11">
        <v>2078.798129831086</v>
      </c>
    </row>
    <row r="17" spans="2:2">
      <c r="B17">
        <f>(B6-B7)/B7</f>
        <v>1.4061035876594818</v>
      </c>
    </row>
  </sheetData>
  <pageMargins left="0.7" right="0.7" top="0.75" bottom="0.75" header="0.3" footer="0.3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15CAF-849A-4E23-9C6E-3CD833E7BE35}">
  <dimension ref="A3:K9"/>
  <sheetViews>
    <sheetView topLeftCell="G1" workbookViewId="0">
      <selection activeCell="A3" sqref="A3:K9"/>
    </sheetView>
  </sheetViews>
  <sheetFormatPr defaultRowHeight="15"/>
  <cols>
    <col min="1" max="1" width="14.85546875" bestFit="1" customWidth="1"/>
    <col min="2" max="2" width="24.140625" bestFit="1" customWidth="1"/>
    <col min="3" max="3" width="24.42578125" bestFit="1" customWidth="1"/>
    <col min="4" max="4" width="24.140625" bestFit="1" customWidth="1"/>
    <col min="5" max="5" width="24.42578125" bestFit="1" customWidth="1"/>
    <col min="6" max="6" width="24.140625" bestFit="1" customWidth="1"/>
    <col min="7" max="7" width="24.42578125" bestFit="1" customWidth="1"/>
    <col min="8" max="8" width="24.140625" bestFit="1" customWidth="1"/>
    <col min="9" max="9" width="24.42578125" bestFit="1" customWidth="1"/>
    <col min="10" max="10" width="29.42578125" bestFit="1" customWidth="1"/>
    <col min="11" max="11" width="29.5703125" bestFit="1" customWidth="1"/>
  </cols>
  <sheetData>
    <row r="3" spans="1:11">
      <c r="B3" s="9" t="s">
        <v>1</v>
      </c>
      <c r="C3" s="9" t="s">
        <v>60</v>
      </c>
    </row>
    <row r="4" spans="1:11">
      <c r="B4" t="s">
        <v>11</v>
      </c>
      <c r="D4" t="s">
        <v>17</v>
      </c>
      <c r="F4" t="s">
        <v>27</v>
      </c>
      <c r="H4" t="s">
        <v>23</v>
      </c>
      <c r="J4" t="s">
        <v>61</v>
      </c>
      <c r="K4" t="s">
        <v>62</v>
      </c>
    </row>
    <row r="5" spans="1:11">
      <c r="A5" s="9" t="s">
        <v>9</v>
      </c>
      <c r="B5" t="s">
        <v>55</v>
      </c>
      <c r="C5" t="s">
        <v>53</v>
      </c>
      <c r="D5" t="s">
        <v>55</v>
      </c>
      <c r="E5" t="s">
        <v>53</v>
      </c>
      <c r="F5" t="s">
        <v>55</v>
      </c>
      <c r="G5" t="s">
        <v>53</v>
      </c>
      <c r="H5" t="s">
        <v>55</v>
      </c>
      <c r="I5" t="s">
        <v>53</v>
      </c>
    </row>
    <row r="6" spans="1:11">
      <c r="A6" t="s">
        <v>21</v>
      </c>
      <c r="D6">
        <v>2330.787037037037</v>
      </c>
      <c r="E6">
        <v>287879.62962962961</v>
      </c>
      <c r="F6">
        <v>1850</v>
      </c>
      <c r="G6">
        <v>305000</v>
      </c>
      <c r="H6">
        <v>1942.4358974358975</v>
      </c>
      <c r="I6">
        <v>296544.87179487181</v>
      </c>
      <c r="J6">
        <v>2167.0777479892763</v>
      </c>
      <c r="K6">
        <v>291549.59785522788</v>
      </c>
    </row>
    <row r="7" spans="1:11">
      <c r="A7" t="s">
        <v>15</v>
      </c>
      <c r="B7">
        <v>1603.8177339901479</v>
      </c>
      <c r="C7">
        <v>574103.44827586203</v>
      </c>
      <c r="J7">
        <v>1603.8177339901479</v>
      </c>
      <c r="K7">
        <v>574103.44827586203</v>
      </c>
    </row>
    <row r="8" spans="1:11">
      <c r="A8" t="s">
        <v>29</v>
      </c>
      <c r="B8">
        <v>1641.0714285714287</v>
      </c>
      <c r="C8">
        <v>462821.42857142858</v>
      </c>
      <c r="D8">
        <v>2700</v>
      </c>
      <c r="E8">
        <v>455000</v>
      </c>
      <c r="F8">
        <v>1916.1280487804879</v>
      </c>
      <c r="G8">
        <v>382274.39024390245</v>
      </c>
      <c r="H8">
        <v>2267.3333333333335</v>
      </c>
      <c r="I8">
        <v>599866.66666666663</v>
      </c>
      <c r="J8">
        <v>1932.354260089686</v>
      </c>
      <c r="K8">
        <v>421986.54708520178</v>
      </c>
    </row>
    <row r="9" spans="1:11">
      <c r="A9" t="s">
        <v>54</v>
      </c>
      <c r="B9">
        <v>1608.3333333333333</v>
      </c>
      <c r="C9">
        <v>560614.71861471864</v>
      </c>
      <c r="D9">
        <v>2332.4884792626726</v>
      </c>
      <c r="E9">
        <v>288649.76958525344</v>
      </c>
      <c r="F9">
        <v>1915.7272727272727</v>
      </c>
      <c r="G9">
        <v>381806.06060606061</v>
      </c>
      <c r="H9">
        <v>1994.8387096774193</v>
      </c>
      <c r="I9">
        <v>345467.74193548388</v>
      </c>
      <c r="J9">
        <v>1958.4605757196496</v>
      </c>
      <c r="K9">
        <v>399742.17772215267</v>
      </c>
    </row>
  </sheetData>
  <pageMargins left="0.7" right="0.7" top="0.75" bottom="0.75" header="0.3" footer="0.3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82878-FE63-4797-9B73-0DA3406B2E6F}">
  <dimension ref="A3:F8"/>
  <sheetViews>
    <sheetView topLeftCell="A8" workbookViewId="0">
      <selection activeCell="F18" sqref="F18"/>
    </sheetView>
  </sheetViews>
  <sheetFormatPr defaultRowHeight="15"/>
  <cols>
    <col min="1" max="1" width="22.140625" bestFit="1" customWidth="1"/>
    <col min="2" max="2" width="17.5703125" bestFit="1" customWidth="1"/>
    <col min="3" max="3" width="4.42578125" bestFit="1" customWidth="1"/>
    <col min="4" max="4" width="14.5703125" bestFit="1" customWidth="1"/>
    <col min="5" max="5" width="9" bestFit="1" customWidth="1"/>
    <col min="6" max="6" width="11.7109375" bestFit="1" customWidth="1"/>
  </cols>
  <sheetData>
    <row r="3" spans="1:6">
      <c r="A3" s="9" t="s">
        <v>63</v>
      </c>
      <c r="B3" s="9" t="s">
        <v>1</v>
      </c>
    </row>
    <row r="4" spans="1:6">
      <c r="A4" s="9" t="s">
        <v>9</v>
      </c>
      <c r="B4" t="s">
        <v>11</v>
      </c>
      <c r="C4" t="s">
        <v>17</v>
      </c>
      <c r="D4" t="s">
        <v>27</v>
      </c>
      <c r="E4" t="s">
        <v>23</v>
      </c>
      <c r="F4" t="s">
        <v>54</v>
      </c>
    </row>
    <row r="5" spans="1:6">
      <c r="A5" t="s">
        <v>21</v>
      </c>
      <c r="C5">
        <v>216</v>
      </c>
      <c r="D5">
        <v>1</v>
      </c>
      <c r="E5">
        <v>156</v>
      </c>
      <c r="F5">
        <v>373</v>
      </c>
    </row>
    <row r="6" spans="1:6">
      <c r="A6" t="s">
        <v>15</v>
      </c>
      <c r="B6">
        <v>203</v>
      </c>
      <c r="F6">
        <v>203</v>
      </c>
    </row>
    <row r="7" spans="1:6">
      <c r="A7" t="s">
        <v>29</v>
      </c>
      <c r="B7">
        <v>28</v>
      </c>
      <c r="C7">
        <v>1</v>
      </c>
      <c r="D7">
        <v>164</v>
      </c>
      <c r="E7">
        <v>30</v>
      </c>
      <c r="F7">
        <v>223</v>
      </c>
    </row>
    <row r="8" spans="1:6">
      <c r="A8" t="s">
        <v>54</v>
      </c>
      <c r="B8">
        <v>231</v>
      </c>
      <c r="C8">
        <v>217</v>
      </c>
      <c r="D8">
        <v>165</v>
      </c>
      <c r="E8">
        <v>186</v>
      </c>
      <c r="F8">
        <v>799</v>
      </c>
    </row>
  </sheetData>
  <pageMargins left="0.7" right="0.7" top="0.75" bottom="0.75" header="0.3" footer="0.3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59075-D806-4E56-B556-72A9BA4EEA0B}">
  <dimension ref="A1"/>
  <sheetViews>
    <sheetView workbookViewId="0">
      <selection activeCell="B9" sqref="B9"/>
    </sheetView>
  </sheetViews>
  <sheetFormatPr defaultRowHeight="15"/>
  <sheetData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CA56A-E225-4A8B-BD4F-9266D68C71DF}">
  <dimension ref="A3:F8"/>
  <sheetViews>
    <sheetView topLeftCell="B8" workbookViewId="0">
      <selection activeCell="A3" sqref="A3:F8"/>
    </sheetView>
  </sheetViews>
  <sheetFormatPr defaultRowHeight="15"/>
  <cols>
    <col min="1" max="1" width="24.42578125" bestFit="1" customWidth="1"/>
    <col min="2" max="2" width="17.5703125" bestFit="1" customWidth="1"/>
    <col min="3" max="3" width="12.5703125" bestFit="1" customWidth="1"/>
    <col min="4" max="4" width="14.5703125" bestFit="1" customWidth="1"/>
    <col min="5" max="6" width="12.5703125" bestFit="1" customWidth="1"/>
  </cols>
  <sheetData>
    <row r="3" spans="1:6">
      <c r="A3" s="9" t="s">
        <v>53</v>
      </c>
      <c r="B3" s="9" t="s">
        <v>1</v>
      </c>
    </row>
    <row r="4" spans="1:6">
      <c r="A4" s="9" t="s">
        <v>9</v>
      </c>
      <c r="B4" t="s">
        <v>11</v>
      </c>
      <c r="C4" t="s">
        <v>17</v>
      </c>
      <c r="D4" t="s">
        <v>27</v>
      </c>
      <c r="E4" t="s">
        <v>23</v>
      </c>
      <c r="F4" t="s">
        <v>54</v>
      </c>
    </row>
    <row r="5" spans="1:6">
      <c r="A5" t="s">
        <v>21</v>
      </c>
      <c r="C5">
        <v>287879.62962962961</v>
      </c>
      <c r="D5">
        <v>305000</v>
      </c>
      <c r="E5">
        <v>296544.87179487181</v>
      </c>
      <c r="F5">
        <v>291549.59785522788</v>
      </c>
    </row>
    <row r="6" spans="1:6">
      <c r="A6" t="s">
        <v>15</v>
      </c>
      <c r="B6">
        <v>574103.44827586203</v>
      </c>
      <c r="F6">
        <v>574103.44827586203</v>
      </c>
    </row>
    <row r="7" spans="1:6">
      <c r="A7" t="s">
        <v>29</v>
      </c>
      <c r="B7">
        <v>462821.42857142858</v>
      </c>
      <c r="C7">
        <v>455000</v>
      </c>
      <c r="D7">
        <v>382274.39024390245</v>
      </c>
      <c r="E7">
        <v>599866.66666666663</v>
      </c>
      <c r="F7">
        <v>421986.54708520178</v>
      </c>
    </row>
    <row r="8" spans="1:6">
      <c r="A8" t="s">
        <v>54</v>
      </c>
      <c r="B8">
        <v>560614.71861471864</v>
      </c>
      <c r="C8">
        <v>288649.76958525344</v>
      </c>
      <c r="D8">
        <v>381806.06060606061</v>
      </c>
      <c r="E8">
        <v>345467.74193548388</v>
      </c>
      <c r="F8">
        <v>399742.17772215267</v>
      </c>
    </row>
  </sheetData>
  <pageMargins left="0.7" right="0.7" top="0.75" bottom="0.75" header="0.3" footer="0.3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2D6DE-D13C-48BD-92D3-DB8B0413E19A}">
  <dimension ref="A2:H8"/>
  <sheetViews>
    <sheetView topLeftCell="A7" workbookViewId="0">
      <selection activeCell="K16" sqref="K16"/>
    </sheetView>
  </sheetViews>
  <sheetFormatPr defaultRowHeight="15"/>
  <cols>
    <col min="1" max="1" width="17.28515625" bestFit="1" customWidth="1"/>
    <col min="2" max="2" width="24.42578125" bestFit="1" customWidth="1"/>
    <col min="3" max="3" width="24.140625" bestFit="1" customWidth="1"/>
  </cols>
  <sheetData>
    <row r="2" spans="1:8">
      <c r="G2" t="s">
        <v>43</v>
      </c>
      <c r="H2" s="14">
        <f>E4/E8</f>
        <v>1.1473860573939254E-3</v>
      </c>
    </row>
    <row r="3" spans="1:8">
      <c r="A3" s="9" t="s">
        <v>7</v>
      </c>
      <c r="B3" t="s">
        <v>53</v>
      </c>
      <c r="C3" t="s">
        <v>55</v>
      </c>
      <c r="H3" s="14">
        <f>E5/E8</f>
        <v>1.1239753255548564E-3</v>
      </c>
    </row>
    <row r="4" spans="1:8">
      <c r="A4" t="s">
        <v>43</v>
      </c>
      <c r="B4">
        <v>745852.9411764706</v>
      </c>
      <c r="C4">
        <v>1795.4411764705883</v>
      </c>
      <c r="E4">
        <v>1795.4411764705883</v>
      </c>
      <c r="H4" s="14">
        <f>E6/E8</f>
        <v>1.3266455837207512E-3</v>
      </c>
    </row>
    <row r="5" spans="1:8">
      <c r="A5" t="s">
        <v>13</v>
      </c>
      <c r="B5">
        <v>475277.58007117437</v>
      </c>
      <c r="C5">
        <v>1758.8078291814948</v>
      </c>
      <c r="E5">
        <v>1758.8078291814948</v>
      </c>
      <c r="H5" s="14">
        <f>E7/E8</f>
        <v>1.3686188357480923E-3</v>
      </c>
    </row>
    <row r="6" spans="1:8">
      <c r="A6" t="s">
        <v>19</v>
      </c>
      <c r="B6">
        <v>348000</v>
      </c>
      <c r="C6">
        <v>2075.9482758620688</v>
      </c>
      <c r="E6">
        <v>2075.9482758620688</v>
      </c>
    </row>
    <row r="7" spans="1:8">
      <c r="A7" t="s">
        <v>25</v>
      </c>
      <c r="B7">
        <v>249481.65137614679</v>
      </c>
      <c r="C7">
        <v>2141.6284403669724</v>
      </c>
      <c r="E7">
        <v>2141.6284403669724</v>
      </c>
    </row>
    <row r="8" spans="1:8">
      <c r="A8" t="s">
        <v>54</v>
      </c>
      <c r="B8">
        <v>399742.17772215267</v>
      </c>
      <c r="C8">
        <v>1958.4605757196496</v>
      </c>
      <c r="E8" s="23">
        <v>1564810</v>
      </c>
    </row>
  </sheetData>
  <pageMargins left="0.7" right="0.7" top="0.75" bottom="0.75" header="0.3" footer="0.3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386D6-2731-44BD-83A2-9D220B76ACB9}">
  <dimension ref="A3:B13"/>
  <sheetViews>
    <sheetView topLeftCell="A5" workbookViewId="0">
      <selection activeCell="A3" sqref="A3"/>
    </sheetView>
  </sheetViews>
  <sheetFormatPr defaultRowHeight="15"/>
  <cols>
    <col min="1" max="1" width="14.5703125" bestFit="1" customWidth="1"/>
    <col min="2" max="2" width="27.85546875" bestFit="1" customWidth="1"/>
  </cols>
  <sheetData>
    <row r="3" spans="1:2">
      <c r="A3" s="9" t="s">
        <v>0</v>
      </c>
      <c r="B3" t="s">
        <v>64</v>
      </c>
    </row>
    <row r="4" spans="1:2">
      <c r="A4" t="s">
        <v>30</v>
      </c>
      <c r="B4">
        <v>742.49729518583604</v>
      </c>
    </row>
    <row r="5" spans="1:2">
      <c r="A5" t="s">
        <v>37</v>
      </c>
      <c r="B5">
        <v>783.63134057660727</v>
      </c>
    </row>
    <row r="6" spans="1:2">
      <c r="A6" t="s">
        <v>10</v>
      </c>
      <c r="B6">
        <v>886.16711839864661</v>
      </c>
    </row>
    <row r="7" spans="1:2">
      <c r="A7" t="s">
        <v>35</v>
      </c>
      <c r="B7">
        <v>779.04445368383028</v>
      </c>
    </row>
    <row r="8" spans="1:2">
      <c r="A8" t="s">
        <v>22</v>
      </c>
      <c r="B8">
        <v>850.79865755426124</v>
      </c>
    </row>
    <row r="9" spans="1:2">
      <c r="A9" t="s">
        <v>16</v>
      </c>
      <c r="B9">
        <v>833.42823884997711</v>
      </c>
    </row>
    <row r="10" spans="1:2">
      <c r="A10" t="s">
        <v>33</v>
      </c>
      <c r="B10">
        <v>711.26529395536215</v>
      </c>
    </row>
    <row r="11" spans="1:2">
      <c r="A11" t="s">
        <v>32</v>
      </c>
      <c r="B11">
        <v>749.19822904496107</v>
      </c>
    </row>
    <row r="12" spans="1:2">
      <c r="A12" t="s">
        <v>26</v>
      </c>
      <c r="B12">
        <v>699.6971276682898</v>
      </c>
    </row>
    <row r="13" spans="1:2">
      <c r="A13" t="s">
        <v>54</v>
      </c>
      <c r="B13">
        <v>784.06066031871615</v>
      </c>
    </row>
  </sheetData>
  <pageMargins left="0.7" right="0.7" top="0.75" bottom="0.75" header="0.3" footer="0.3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1D495-9691-4D44-9A0E-61F922A7EB68}">
  <dimension ref="A3:F14"/>
  <sheetViews>
    <sheetView topLeftCell="D9" workbookViewId="0">
      <selection activeCell="F10" sqref="F10"/>
    </sheetView>
  </sheetViews>
  <sheetFormatPr defaultRowHeight="15"/>
  <cols>
    <col min="1" max="1" width="24.42578125" bestFit="1" customWidth="1"/>
    <col min="2" max="2" width="17.5703125" bestFit="1" customWidth="1"/>
    <col min="3" max="3" width="12.5703125" bestFit="1" customWidth="1"/>
    <col min="4" max="4" width="14.5703125" bestFit="1" customWidth="1"/>
    <col min="5" max="7" width="12.5703125" bestFit="1" customWidth="1"/>
    <col min="8" max="8" width="11.42578125" bestFit="1" customWidth="1"/>
    <col min="9" max="9" width="14.7109375" bestFit="1" customWidth="1"/>
    <col min="10" max="10" width="9.85546875" bestFit="1" customWidth="1"/>
    <col min="11" max="11" width="11.7109375" bestFit="1" customWidth="1"/>
    <col min="12" max="12" width="13.7109375" bestFit="1" customWidth="1"/>
    <col min="13" max="13" width="14.85546875" bestFit="1" customWidth="1"/>
    <col min="14" max="14" width="9.85546875" bestFit="1" customWidth="1"/>
    <col min="15" max="15" width="10.5703125" bestFit="1" customWidth="1"/>
    <col min="16" max="16" width="11.42578125" bestFit="1" customWidth="1"/>
    <col min="17" max="17" width="10.5703125" bestFit="1" customWidth="1"/>
    <col min="18" max="18" width="11.42578125" bestFit="1" customWidth="1"/>
    <col min="19" max="19" width="14.7109375" bestFit="1" customWidth="1"/>
    <col min="20" max="20" width="9.85546875" bestFit="1" customWidth="1"/>
    <col min="21" max="21" width="10.85546875" bestFit="1" customWidth="1"/>
    <col min="22" max="22" width="11.7109375" bestFit="1" customWidth="1"/>
  </cols>
  <sheetData>
    <row r="3" spans="1:6">
      <c r="A3" s="9" t="s">
        <v>53</v>
      </c>
      <c r="B3" s="9" t="s">
        <v>1</v>
      </c>
    </row>
    <row r="4" spans="1:6">
      <c r="A4" s="9" t="s">
        <v>0</v>
      </c>
      <c r="B4" t="s">
        <v>11</v>
      </c>
      <c r="C4" t="s">
        <v>17</v>
      </c>
      <c r="D4" t="s">
        <v>27</v>
      </c>
      <c r="E4" t="s">
        <v>23</v>
      </c>
      <c r="F4" t="s">
        <v>54</v>
      </c>
    </row>
    <row r="5" spans="1:6">
      <c r="A5" t="s">
        <v>30</v>
      </c>
      <c r="B5">
        <v>439500</v>
      </c>
      <c r="C5">
        <v>255812.5</v>
      </c>
      <c r="D5">
        <v>367954.54545454547</v>
      </c>
      <c r="E5">
        <v>301666.66666666669</v>
      </c>
      <c r="F5">
        <v>326625</v>
      </c>
    </row>
    <row r="6" spans="1:6">
      <c r="A6" t="s">
        <v>37</v>
      </c>
      <c r="B6">
        <v>568972.22222222225</v>
      </c>
      <c r="C6">
        <v>300000</v>
      </c>
      <c r="D6">
        <v>432388.88888888888</v>
      </c>
      <c r="E6">
        <v>362285.71428571426</v>
      </c>
      <c r="F6">
        <v>448712.64367816091</v>
      </c>
    </row>
    <row r="7" spans="1:6">
      <c r="A7" t="s">
        <v>10</v>
      </c>
      <c r="B7">
        <v>853513.51351351349</v>
      </c>
      <c r="C7">
        <v>478060.60606060608</v>
      </c>
      <c r="E7">
        <v>599866.66666666663</v>
      </c>
      <c r="F7">
        <v>653520</v>
      </c>
    </row>
    <row r="8" spans="1:6">
      <c r="A8" t="s">
        <v>35</v>
      </c>
      <c r="B8">
        <v>350714.28571428574</v>
      </c>
      <c r="C8">
        <v>201222.22222222222</v>
      </c>
      <c r="D8">
        <v>285916.66666666669</v>
      </c>
      <c r="E8">
        <v>240612.90322580645</v>
      </c>
      <c r="F8">
        <v>239406.97674418605</v>
      </c>
    </row>
    <row r="9" spans="1:6">
      <c r="A9" t="s">
        <v>22</v>
      </c>
      <c r="B9">
        <v>407142.85714285716</v>
      </c>
      <c r="C9">
        <v>226666.66666666666</v>
      </c>
      <c r="D9">
        <v>332633.33333333331</v>
      </c>
      <c r="E9">
        <v>282862.06896551722</v>
      </c>
      <c r="F9">
        <v>298952.38095238095</v>
      </c>
    </row>
    <row r="10" spans="1:6">
      <c r="A10" t="s">
        <v>16</v>
      </c>
      <c r="B10">
        <v>622593.75</v>
      </c>
      <c r="C10">
        <v>329461.53846153844</v>
      </c>
      <c r="D10">
        <v>463062.5</v>
      </c>
      <c r="E10">
        <v>386000</v>
      </c>
      <c r="F10">
        <v>474319.58762886596</v>
      </c>
    </row>
    <row r="11" spans="1:6">
      <c r="A11" t="s">
        <v>33</v>
      </c>
      <c r="B11">
        <v>515419.3548387097</v>
      </c>
      <c r="C11">
        <v>284285.71428571426</v>
      </c>
      <c r="D11">
        <v>401464.28571428574</v>
      </c>
      <c r="E11">
        <v>339950</v>
      </c>
      <c r="F11">
        <v>418697.67441860464</v>
      </c>
    </row>
    <row r="12" spans="1:6">
      <c r="A12" t="s">
        <v>32</v>
      </c>
      <c r="B12">
        <v>485531.25</v>
      </c>
      <c r="C12">
        <v>258166.66666666666</v>
      </c>
      <c r="D12">
        <v>356142.85714285716</v>
      </c>
      <c r="E12">
        <v>308500</v>
      </c>
      <c r="F12">
        <v>361305.8823529412</v>
      </c>
    </row>
    <row r="13" spans="1:6">
      <c r="A13" t="s">
        <v>26</v>
      </c>
      <c r="B13">
        <v>414060.60606060608</v>
      </c>
      <c r="C13">
        <v>209375</v>
      </c>
      <c r="D13">
        <v>322375</v>
      </c>
      <c r="E13">
        <v>269523.80952380953</v>
      </c>
      <c r="F13">
        <v>323627.90697674418</v>
      </c>
    </row>
    <row r="14" spans="1:6">
      <c r="A14" t="s">
        <v>54</v>
      </c>
      <c r="B14">
        <v>560614.71861471864</v>
      </c>
      <c r="C14">
        <v>288649.76958525344</v>
      </c>
      <c r="D14">
        <v>381806.06060606061</v>
      </c>
      <c r="E14">
        <v>345467.74193548388</v>
      </c>
      <c r="F14">
        <v>399742.17772215267</v>
      </c>
    </row>
  </sheetData>
  <pageMargins left="0.7" right="0.7" top="0.75" bottom="0.75" header="0.3" footer="0.3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18C35-29D6-416C-91B9-AC32FA094DB4}">
  <dimension ref="A3:C24"/>
  <sheetViews>
    <sheetView topLeftCell="C2" workbookViewId="0">
      <selection activeCell="A3" sqref="A3"/>
    </sheetView>
  </sheetViews>
  <sheetFormatPr defaultRowHeight="15"/>
  <cols>
    <col min="1" max="1" width="11.7109375" bestFit="1" customWidth="1"/>
    <col min="2" max="2" width="14.5703125" bestFit="1" customWidth="1"/>
    <col min="3" max="3" width="24.42578125" bestFit="1" customWidth="1"/>
  </cols>
  <sheetData>
    <row r="3" spans="1:3">
      <c r="A3" s="9" t="s">
        <v>4</v>
      </c>
      <c r="B3" s="9" t="s">
        <v>0</v>
      </c>
      <c r="C3" t="s">
        <v>53</v>
      </c>
    </row>
    <row r="4" spans="1:3">
      <c r="A4">
        <v>2023</v>
      </c>
      <c r="B4" t="s">
        <v>30</v>
      </c>
      <c r="C4">
        <v>317478.26086956525</v>
      </c>
    </row>
    <row r="5" spans="1:3">
      <c r="B5" t="s">
        <v>37</v>
      </c>
      <c r="C5">
        <v>427736.84210526315</v>
      </c>
    </row>
    <row r="6" spans="1:3">
      <c r="B6" t="s">
        <v>10</v>
      </c>
      <c r="C6">
        <v>635090.90909090906</v>
      </c>
    </row>
    <row r="7" spans="1:3">
      <c r="B7" t="s">
        <v>35</v>
      </c>
      <c r="C7">
        <v>251344.8275862069</v>
      </c>
    </row>
    <row r="8" spans="1:3">
      <c r="B8" t="s">
        <v>22</v>
      </c>
      <c r="C8">
        <v>273173.91304347827</v>
      </c>
    </row>
    <row r="9" spans="1:3">
      <c r="B9" t="s">
        <v>16</v>
      </c>
      <c r="C9">
        <v>434130.4347826087</v>
      </c>
    </row>
    <row r="10" spans="1:3">
      <c r="B10" t="s">
        <v>33</v>
      </c>
      <c r="C10">
        <v>419000</v>
      </c>
    </row>
    <row r="11" spans="1:3">
      <c r="B11" t="s">
        <v>32</v>
      </c>
      <c r="C11">
        <v>343074.0740740741</v>
      </c>
    </row>
    <row r="12" spans="1:3">
      <c r="B12" t="s">
        <v>26</v>
      </c>
      <c r="C12">
        <v>306142.85714285716</v>
      </c>
    </row>
    <row r="13" spans="1:3">
      <c r="A13" t="s">
        <v>65</v>
      </c>
      <c r="C13">
        <v>369270.14218009479</v>
      </c>
    </row>
    <row r="14" spans="1:3">
      <c r="A14">
        <v>2024</v>
      </c>
      <c r="B14" t="s">
        <v>30</v>
      </c>
      <c r="C14">
        <v>329861.53846153844</v>
      </c>
    </row>
    <row r="15" spans="1:3">
      <c r="B15" t="s">
        <v>37</v>
      </c>
      <c r="C15">
        <v>454573.5294117647</v>
      </c>
    </row>
    <row r="16" spans="1:3">
      <c r="B16" t="s">
        <v>10</v>
      </c>
      <c r="C16">
        <v>658717.94871794875</v>
      </c>
    </row>
    <row r="17" spans="1:3">
      <c r="B17" t="s">
        <v>35</v>
      </c>
      <c r="C17">
        <v>233333.33333333334</v>
      </c>
    </row>
    <row r="18" spans="1:3">
      <c r="B18" t="s">
        <v>22</v>
      </c>
      <c r="C18">
        <v>308672.13114754099</v>
      </c>
    </row>
    <row r="19" spans="1:3">
      <c r="B19" t="s">
        <v>16</v>
      </c>
      <c r="C19">
        <v>486810.81081081083</v>
      </c>
    </row>
    <row r="20" spans="1:3">
      <c r="B20" t="s">
        <v>33</v>
      </c>
      <c r="C20">
        <v>418623.18840579712</v>
      </c>
    </row>
    <row r="21" spans="1:3">
      <c r="B21" t="s">
        <v>32</v>
      </c>
      <c r="C21">
        <v>369793.10344827588</v>
      </c>
    </row>
    <row r="22" spans="1:3">
      <c r="B22" t="s">
        <v>26</v>
      </c>
      <c r="C22">
        <v>332068.96551724139</v>
      </c>
    </row>
    <row r="23" spans="1:3">
      <c r="A23" t="s">
        <v>66</v>
      </c>
      <c r="C23">
        <v>410676.87074829935</v>
      </c>
    </row>
    <row r="24" spans="1:3">
      <c r="A24" t="s">
        <v>54</v>
      </c>
      <c r="C24">
        <v>399742.17772215267</v>
      </c>
    </row>
  </sheetData>
  <pageMargins left="0.7" right="0.7" top="0.75" bottom="0.75" header="0.3" footer="0.3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B6F76-3563-4CD8-AB15-C23AD1065AE0}">
  <dimension ref="A3:B13"/>
  <sheetViews>
    <sheetView workbookViewId="0">
      <selection activeCell="A3" sqref="A3"/>
    </sheetView>
  </sheetViews>
  <sheetFormatPr defaultRowHeight="15"/>
  <cols>
    <col min="1" max="1" width="14.5703125" bestFit="1" customWidth="1"/>
    <col min="2" max="2" width="24.140625" bestFit="1" customWidth="1"/>
  </cols>
  <sheetData>
    <row r="3" spans="1:2">
      <c r="A3" s="9" t="s">
        <v>0</v>
      </c>
      <c r="B3" t="s">
        <v>55</v>
      </c>
    </row>
    <row r="4" spans="1:2">
      <c r="A4" t="s">
        <v>30</v>
      </c>
      <c r="B4">
        <v>1854.7727272727273</v>
      </c>
    </row>
    <row r="5" spans="1:2">
      <c r="A5" t="s">
        <v>37</v>
      </c>
      <c r="B5">
        <v>1957.1264367816093</v>
      </c>
    </row>
    <row r="6" spans="1:2">
      <c r="A6" t="s">
        <v>10</v>
      </c>
      <c r="B6">
        <v>2213.15</v>
      </c>
    </row>
    <row r="7" spans="1:2">
      <c r="A7" t="s">
        <v>35</v>
      </c>
      <c r="B7">
        <v>1946.6279069767443</v>
      </c>
    </row>
    <row r="8" spans="1:2">
      <c r="A8" t="s">
        <v>22</v>
      </c>
      <c r="B8">
        <v>2125.8928571428573</v>
      </c>
    </row>
    <row r="9" spans="1:2">
      <c r="A9" t="s">
        <v>16</v>
      </c>
      <c r="B9">
        <v>2081.3402061855668</v>
      </c>
    </row>
    <row r="10" spans="1:2">
      <c r="A10" t="s">
        <v>33</v>
      </c>
      <c r="B10">
        <v>1776.1627906976744</v>
      </c>
    </row>
    <row r="11" spans="1:2">
      <c r="A11" t="s">
        <v>32</v>
      </c>
      <c r="B11">
        <v>1871.4117647058824</v>
      </c>
    </row>
    <row r="12" spans="1:2">
      <c r="A12" t="s">
        <v>26</v>
      </c>
      <c r="B12">
        <v>1747.7906976744187</v>
      </c>
    </row>
    <row r="13" spans="1:2">
      <c r="A13" t="s">
        <v>54</v>
      </c>
      <c r="B13">
        <v>1958.4605757196496</v>
      </c>
    </row>
  </sheetData>
  <pageMargins left="0.7" right="0.7" top="0.75" bottom="0.75" header="0.3" footer="0.3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F3FF0-5D1B-4A42-98FE-C9C7D4BEB1AC}">
  <dimension ref="A3:B14"/>
  <sheetViews>
    <sheetView workbookViewId="0">
      <selection activeCell="A3" sqref="A3:B14"/>
    </sheetView>
  </sheetViews>
  <sheetFormatPr defaultRowHeight="15"/>
  <cols>
    <col min="1" max="1" width="14.5703125" bestFit="1" customWidth="1"/>
    <col min="2" max="2" width="30.140625" bestFit="1" customWidth="1"/>
  </cols>
  <sheetData>
    <row r="3" spans="1:2">
      <c r="A3" s="9" t="s">
        <v>0</v>
      </c>
      <c r="B3" t="s">
        <v>67</v>
      </c>
    </row>
    <row r="4" spans="1:2">
      <c r="A4" t="s">
        <v>30</v>
      </c>
      <c r="B4">
        <v>742.51590610524772</v>
      </c>
    </row>
    <row r="5" spans="1:2">
      <c r="A5" t="s">
        <v>37</v>
      </c>
      <c r="B5">
        <v>783.64605749231362</v>
      </c>
    </row>
    <row r="6" spans="1:2">
      <c r="A6" t="s">
        <v>10</v>
      </c>
      <c r="B6">
        <v>886.17842665163232</v>
      </c>
    </row>
    <row r="7" spans="1:2">
      <c r="A7" t="s">
        <v>35</v>
      </c>
      <c r="B7">
        <v>779.07067400638437</v>
      </c>
    </row>
    <row r="8" spans="1:2">
      <c r="A8" t="s">
        <v>22</v>
      </c>
      <c r="B8">
        <v>850.82119504734317</v>
      </c>
    </row>
    <row r="9" spans="1:2">
      <c r="A9" t="s">
        <v>16</v>
      </c>
      <c r="B9">
        <v>833.44274552666639</v>
      </c>
    </row>
    <row r="10" spans="1:2">
      <c r="A10" t="s">
        <v>33</v>
      </c>
      <c r="B10">
        <v>711.27884756604089</v>
      </c>
    </row>
    <row r="11" spans="1:2">
      <c r="A11" t="s">
        <v>32</v>
      </c>
      <c r="B11">
        <v>749.21600899629971</v>
      </c>
    </row>
    <row r="12" spans="1:2">
      <c r="A12" t="s">
        <v>26</v>
      </c>
      <c r="B12">
        <v>699.71511362699334</v>
      </c>
    </row>
    <row r="13" spans="1:2">
      <c r="A13" t="s">
        <v>68</v>
      </c>
    </row>
    <row r="14" spans="1:2">
      <c r="A14" t="s">
        <v>54</v>
      </c>
      <c r="B14">
        <v>784.07796682872947</v>
      </c>
    </row>
  </sheetData>
  <pageMargins left="0.7" right="0.7" top="0.75" bottom="0.75" header="0.3" footer="0.3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7BC40-7A14-48D9-A7E9-0A25E96EF62D}">
  <dimension ref="B1:E20"/>
  <sheetViews>
    <sheetView workbookViewId="0">
      <selection activeCell="E1" sqref="E1"/>
    </sheetView>
  </sheetViews>
  <sheetFormatPr defaultRowHeight="15"/>
  <cols>
    <col min="2" max="2" width="15.42578125" customWidth="1"/>
  </cols>
  <sheetData>
    <row r="1" spans="2:5">
      <c r="E1" s="10">
        <f>(C4+D4)/2</f>
        <v>371379.21075077145</v>
      </c>
    </row>
    <row r="3" spans="2:5">
      <c r="B3" s="12"/>
      <c r="C3" s="12">
        <v>2023</v>
      </c>
      <c r="D3" s="12">
        <v>2024</v>
      </c>
    </row>
    <row r="4" spans="2:5">
      <c r="B4" s="12" t="s">
        <v>11</v>
      </c>
      <c r="C4" s="13">
        <f>AVERAGE(Copy!C2:C528)</f>
        <v>341779.88614800759</v>
      </c>
      <c r="D4" s="13">
        <f>AVERAGE(Copy!C7:C798)</f>
        <v>400978.53535353538</v>
      </c>
      <c r="E4" s="15">
        <f>(D4-C4)/C4</f>
        <v>0.17320694284476371</v>
      </c>
    </row>
    <row r="5" spans="2:5">
      <c r="B5" s="12" t="s">
        <v>27</v>
      </c>
      <c r="C5" s="13">
        <f>AVERAGE(Copy!C31:C532)</f>
        <v>350350.59760956175</v>
      </c>
      <c r="D5" s="13">
        <f>AVERAGE(Copy!C5:C800)</f>
        <v>400507.53768844221</v>
      </c>
      <c r="E5" s="15">
        <f t="shared" ref="E5:E7" si="0">(D5-C5)/C5</f>
        <v>0.14316213650297932</v>
      </c>
    </row>
    <row r="6" spans="2:5">
      <c r="B6" s="12" t="s">
        <v>17</v>
      </c>
      <c r="C6" s="13">
        <f>AVERAGE(Copy!C6:C533)</f>
        <v>343164.77272727271</v>
      </c>
      <c r="D6" s="13">
        <f>AVERAGE(Copy!C3:C795)</f>
        <v>399576.2925598991</v>
      </c>
      <c r="E6" s="15">
        <f t="shared" si="0"/>
        <v>0.16438610345782481</v>
      </c>
    </row>
    <row r="7" spans="2:5">
      <c r="B7" s="12" t="s">
        <v>23</v>
      </c>
      <c r="C7" s="13">
        <f>AVERAGE(Copy!C4:C521)</f>
        <v>341067.56756756757</v>
      </c>
      <c r="D7" s="13">
        <f>AVERAGE(Copy!C14:C799)</f>
        <v>402478.37150127225</v>
      </c>
      <c r="E7" s="15">
        <f t="shared" si="0"/>
        <v>0.18005465712168256</v>
      </c>
    </row>
    <row r="10" spans="2:5" ht="137.25">
      <c r="B10" s="16" t="s">
        <v>69</v>
      </c>
    </row>
    <row r="11" spans="2:5">
      <c r="B11" s="16"/>
      <c r="C11">
        <v>2023</v>
      </c>
      <c r="D11">
        <v>2024</v>
      </c>
    </row>
    <row r="12" spans="2:5">
      <c r="B12" t="s">
        <v>30</v>
      </c>
      <c r="C12">
        <f>AVERAGE(Copy!C6:C511)</f>
        <v>339418.97233201581</v>
      </c>
    </row>
    <row r="13" spans="2:5">
      <c r="B13" t="s">
        <v>37</v>
      </c>
      <c r="C13">
        <f>AVERAGE(Copy!C10:C533)</f>
        <v>344095.41984732822</v>
      </c>
    </row>
    <row r="14" spans="2:5">
      <c r="B14" t="s">
        <v>10</v>
      </c>
      <c r="C14">
        <f>AVERAGE(Copy!C2:C525)</f>
        <v>341188.93129770993</v>
      </c>
    </row>
    <row r="15" spans="2:5">
      <c r="B15" t="s">
        <v>35</v>
      </c>
      <c r="C15">
        <f>AVERAGE(Copy!C18:C532)</f>
        <v>346363.10679611651</v>
      </c>
    </row>
    <row r="16" spans="2:5">
      <c r="B16" t="s">
        <v>22</v>
      </c>
    </row>
    <row r="17" spans="2:2">
      <c r="B17" t="s">
        <v>16</v>
      </c>
    </row>
    <row r="18" spans="2:2">
      <c r="B18" t="s">
        <v>33</v>
      </c>
    </row>
    <row r="19" spans="2:2">
      <c r="B19" t="s">
        <v>32</v>
      </c>
    </row>
    <row r="20" spans="2:2">
      <c r="B20" t="s">
        <v>26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Ola Odubiyi</dc:creator>
  <cp:keywords/>
  <dc:description/>
  <cp:lastModifiedBy/>
  <cp:revision/>
  <dcterms:created xsi:type="dcterms:W3CDTF">2026-07-07T21:46:49Z</dcterms:created>
  <dcterms:modified xsi:type="dcterms:W3CDTF">2026-07-17T11:30:27Z</dcterms:modified>
  <cp:category/>
  <cp:contentStatus/>
</cp:coreProperties>
</file>